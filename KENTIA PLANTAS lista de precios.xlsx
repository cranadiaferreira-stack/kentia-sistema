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bookViews>
    <workbookView xWindow="0" yWindow="3000" windowWidth="16815" windowHeight="7755" tabRatio="679" firstSheet="1" activeTab="1"/>
  </bookViews>
  <sheets>
    <sheet name="Gráfico1" sheetId="4" r:id="rId1"/>
    <sheet name="PRECIO" sheetId="1" r:id="rId2"/>
    <sheet name="Hoja1" sheetId="5" r:id="rId3"/>
    <sheet name="AGENDA" sheetId="2" r:id="rId4"/>
    <sheet name="SEMILLA" sheetId="3" r:id="rId5"/>
  </sheets>
  <definedNames>
    <definedName name="_xlnm._FilterDatabase" localSheetId="3" hidden="1">AGENDA!$A$1:$J$552</definedName>
    <definedName name="_xlnm._FilterDatabase" localSheetId="1" hidden="1">PRECIO!$A$1:$O$2291</definedName>
    <definedName name="_xlnm._FilterDatabase" localSheetId="4" hidden="1">SEMILLA!$A$1:$N$59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291" i="1" l="1"/>
  <c r="K2289" i="1" l="1"/>
  <c r="K2288" i="1" l="1"/>
  <c r="K317" i="1" l="1"/>
  <c r="K1606" i="1" l="1"/>
  <c r="K1889" i="1"/>
  <c r="K13" i="1"/>
  <c r="K1892" i="1"/>
  <c r="K1516" i="1" l="1"/>
  <c r="K1515" i="1"/>
  <c r="K1514" i="1"/>
  <c r="K2243" i="1" l="1"/>
  <c r="K1240" i="1"/>
  <c r="K1239" i="1"/>
  <c r="K1238" i="1"/>
  <c r="K853" i="1"/>
  <c r="K2176" i="1" l="1"/>
  <c r="K2177" i="1"/>
  <c r="K876" i="1" l="1"/>
  <c r="K282" i="1"/>
  <c r="K2001" i="1"/>
  <c r="K1724" i="1"/>
  <c r="K1026" i="1"/>
  <c r="K1020" i="1"/>
  <c r="K1019" i="1"/>
  <c r="K1018" i="1"/>
  <c r="K2286" i="1"/>
  <c r="K1273" i="1"/>
  <c r="K1272" i="1"/>
  <c r="K917" i="1" l="1"/>
  <c r="K105" i="1" l="1"/>
  <c r="K1464" i="1"/>
  <c r="K1840" i="1" l="1"/>
  <c r="K1839" i="1"/>
  <c r="K2199" i="1"/>
  <c r="K200" i="1"/>
  <c r="K1244" i="1"/>
  <c r="K186" i="1"/>
  <c r="K1434" i="1"/>
  <c r="K1984" i="1"/>
  <c r="K1195" i="1"/>
  <c r="K1194" i="1"/>
  <c r="K1193" i="1"/>
  <c r="K1192" i="1"/>
  <c r="K1191" i="1"/>
  <c r="K1190" i="1"/>
  <c r="K1189" i="1"/>
  <c r="K1188" i="1"/>
  <c r="K1004" i="1"/>
  <c r="K1003" i="1"/>
  <c r="K1092" i="1"/>
  <c r="K1406" i="1"/>
  <c r="K1398" i="1"/>
  <c r="K964" i="1"/>
  <c r="K582" i="1" l="1"/>
  <c r="K1601" i="1" l="1"/>
  <c r="K39" i="1" l="1"/>
  <c r="N39" i="1"/>
  <c r="O39" i="1"/>
  <c r="K1871" i="1" l="1"/>
  <c r="O1871" i="1" s="1"/>
  <c r="K1870" i="1"/>
  <c r="O1870" i="1" s="1"/>
  <c r="K1872" i="1"/>
  <c r="K2202" i="1" l="1"/>
  <c r="K637" i="1" l="1"/>
  <c r="K780" i="1" l="1"/>
  <c r="K1042" i="1" l="1"/>
  <c r="K1313" i="1"/>
  <c r="K1039" i="1"/>
  <c r="K1041" i="1"/>
  <c r="K1311" i="1"/>
  <c r="K1310" i="1"/>
  <c r="K2016" i="1" l="1"/>
  <c r="K310" i="1"/>
  <c r="N310" i="1"/>
  <c r="K1855" i="1" l="1"/>
  <c r="K1029" i="1" l="1"/>
  <c r="K1007" i="1"/>
  <c r="K1005" i="1"/>
  <c r="K1147" i="1"/>
  <c r="K438" i="1" l="1"/>
  <c r="K377" i="1"/>
  <c r="K376" i="1"/>
  <c r="K182" i="1"/>
  <c r="K1109" i="1" l="1"/>
  <c r="K1502" i="1"/>
  <c r="K40" i="3" l="1"/>
  <c r="H40" i="3"/>
  <c r="I40" i="3"/>
  <c r="K602" i="1"/>
  <c r="K905" i="1"/>
  <c r="L40" i="3" l="1"/>
  <c r="M40" i="3" s="1"/>
  <c r="K1461" i="1"/>
  <c r="K1415" i="1" l="1"/>
  <c r="K1408" i="1"/>
  <c r="K1387" i="1"/>
  <c r="K1405" i="1"/>
  <c r="K1431" i="1" l="1"/>
  <c r="K1432" i="1"/>
  <c r="K1433" i="1"/>
  <c r="K1430" i="1"/>
  <c r="K1132" i="1"/>
  <c r="K2241" i="1"/>
  <c r="K2240" i="1"/>
  <c r="K1091" i="1"/>
  <c r="K428" i="1" l="1"/>
  <c r="K123" i="1"/>
  <c r="K953" i="1"/>
  <c r="K955" i="1"/>
  <c r="K2192" i="1"/>
  <c r="K163" i="1"/>
  <c r="K56" i="1"/>
  <c r="K55" i="1"/>
  <c r="K54" i="1"/>
  <c r="K53" i="1"/>
  <c r="K136" i="1" l="1"/>
  <c r="K135" i="1"/>
  <c r="K616" i="1" l="1"/>
  <c r="L616" i="1"/>
  <c r="K183" i="1" l="1"/>
  <c r="K1108" i="1"/>
  <c r="K199" i="1" l="1"/>
  <c r="K198" i="1"/>
  <c r="K1278" i="1"/>
  <c r="K1277" i="1"/>
  <c r="K1276" i="1"/>
  <c r="K1225" i="1"/>
  <c r="K1224" i="1"/>
  <c r="K1202" i="1"/>
  <c r="K1176" i="1"/>
  <c r="K1175" i="1"/>
  <c r="K1429" i="1"/>
  <c r="K2066" i="1" l="1"/>
  <c r="K859" i="1"/>
  <c r="K207" i="1"/>
  <c r="K206" i="1"/>
  <c r="K850" i="1"/>
  <c r="K849" i="1"/>
  <c r="K1404" i="1"/>
  <c r="K1136" i="1"/>
  <c r="K1134" i="1"/>
  <c r="K1133" i="1"/>
  <c r="K1271" i="1"/>
  <c r="K1002" i="1"/>
  <c r="K1021" i="1"/>
  <c r="K1024" i="1"/>
  <c r="K1025" i="1"/>
  <c r="K1094" i="1"/>
  <c r="K1093" i="1"/>
  <c r="K1090" i="1"/>
  <c r="K1089" i="1"/>
  <c r="K1088" i="1"/>
  <c r="K1087" i="1"/>
  <c r="K1348" i="1" l="1"/>
  <c r="K1347" i="1"/>
  <c r="K1346" i="1"/>
  <c r="K1345" i="1"/>
  <c r="K1122" i="1"/>
  <c r="K1121" i="1"/>
  <c r="K138" i="1" l="1"/>
  <c r="K441" i="1"/>
  <c r="K375" i="1"/>
  <c r="K340" i="1"/>
  <c r="K398" i="1"/>
  <c r="K397" i="1"/>
  <c r="K137" i="1"/>
  <c r="K1582" i="1"/>
  <c r="K234" i="1"/>
  <c r="K440" i="1" l="1"/>
  <c r="K798" i="1" l="1"/>
  <c r="K1660" i="1" l="1"/>
  <c r="K462" i="1" l="1"/>
  <c r="K461" i="1"/>
  <c r="K1620" i="1" l="1"/>
  <c r="K1769" i="1"/>
  <c r="K1768" i="1"/>
  <c r="K1767" i="1"/>
  <c r="K122" i="1"/>
  <c r="K281" i="1"/>
  <c r="K2107" i="1"/>
  <c r="K1723" i="1"/>
  <c r="K1622" i="1"/>
  <c r="K1873" i="1"/>
  <c r="K956" i="1"/>
  <c r="K605" i="1"/>
  <c r="K2147" i="1" l="1"/>
  <c r="K69" i="1" l="1"/>
  <c r="K1138" i="1"/>
  <c r="K1137" i="1"/>
  <c r="K2244" i="1"/>
  <c r="K1960" i="1" l="1"/>
  <c r="K1921" i="1" l="1"/>
  <c r="K1305" i="1" l="1"/>
  <c r="K1819" i="1" l="1"/>
  <c r="K1820" i="1"/>
  <c r="K1821" i="1"/>
  <c r="K1822" i="1"/>
  <c r="K1823" i="1"/>
  <c r="K1824" i="1"/>
  <c r="K1825" i="1"/>
  <c r="K1826" i="1"/>
  <c r="K1827" i="1"/>
  <c r="K1828" i="1"/>
  <c r="K1818" i="1"/>
  <c r="K1074" i="1"/>
  <c r="O1074" i="1" s="1"/>
  <c r="K603" i="1"/>
  <c r="K2206" i="1"/>
  <c r="K2027" i="1"/>
  <c r="K2026" i="1"/>
  <c r="K2025" i="1"/>
  <c r="K2047" i="1"/>
  <c r="K2040" i="1"/>
  <c r="K188" i="1"/>
  <c r="K189" i="1"/>
  <c r="K190" i="1"/>
  <c r="K1395" i="1"/>
  <c r="K1397" i="1"/>
  <c r="K924" i="1" l="1"/>
  <c r="K701" i="1"/>
  <c r="K678" i="1"/>
  <c r="K1850" i="1"/>
  <c r="K1289" i="1"/>
  <c r="K1288" i="1"/>
  <c r="K1290" i="1"/>
  <c r="K1501" i="1"/>
  <c r="K1105" i="1"/>
  <c r="K1113" i="1"/>
  <c r="K1114" i="1"/>
  <c r="K1106" i="1"/>
  <c r="K1910" i="1" l="1"/>
  <c r="N1910" i="1"/>
  <c r="K1906" i="1"/>
  <c r="N1906" i="1"/>
  <c r="K2018" i="1" l="1"/>
  <c r="K1900" i="1" l="1"/>
  <c r="K1899" i="1"/>
  <c r="K50" i="3" l="1"/>
  <c r="L50" i="3" s="1"/>
  <c r="M50" i="3" s="1"/>
  <c r="K2017" i="1"/>
  <c r="K140" i="1"/>
  <c r="G13" i="3" l="1"/>
  <c r="H13" i="3" s="1"/>
  <c r="I13" i="3" s="1"/>
  <c r="K13" i="3" s="1"/>
  <c r="L13" i="3" s="1"/>
  <c r="M13" i="3" s="1"/>
  <c r="K43" i="1"/>
  <c r="N1749" i="1" l="1"/>
  <c r="K368" i="1"/>
  <c r="K2093" i="1" l="1"/>
  <c r="K360" i="1" l="1"/>
  <c r="N360" i="1"/>
  <c r="K571" i="1" l="1"/>
  <c r="K952" i="1" l="1"/>
  <c r="K226" i="1"/>
  <c r="K2282" i="1" l="1"/>
  <c r="K2281" i="1"/>
  <c r="K44" i="1"/>
  <c r="K48" i="1"/>
  <c r="K46" i="1"/>
  <c r="K300" i="1"/>
  <c r="K577" i="1"/>
  <c r="K1991" i="1"/>
  <c r="K712" i="1"/>
  <c r="K2249" i="1"/>
  <c r="K487" i="1"/>
  <c r="K332" i="1"/>
  <c r="K2079" i="1"/>
  <c r="K34" i="1"/>
  <c r="K2137" i="1"/>
  <c r="K2124" i="1"/>
  <c r="K2136" i="1"/>
  <c r="K2123" i="1"/>
  <c r="K2135" i="1"/>
  <c r="K2133" i="1"/>
  <c r="K1526" i="1"/>
  <c r="K668" i="1"/>
  <c r="K320" i="1"/>
  <c r="K2092" i="1"/>
  <c r="K1315" i="1"/>
  <c r="K965" i="1"/>
  <c r="K72" i="1"/>
  <c r="K73" i="1"/>
  <c r="K19" i="1"/>
  <c r="K70" i="1"/>
  <c r="K71" i="1"/>
  <c r="K1528" i="1" l="1"/>
  <c r="K1527" i="1"/>
  <c r="K980" i="1"/>
  <c r="K975" i="1"/>
  <c r="K976" i="1"/>
  <c r="K977" i="1"/>
  <c r="K978" i="1"/>
  <c r="K979" i="1"/>
  <c r="K1330" i="1"/>
  <c r="K1267" i="1"/>
  <c r="K2204" i="1"/>
  <c r="K1414" i="1" l="1"/>
  <c r="K1403" i="1"/>
  <c r="K930" i="1" l="1"/>
  <c r="K931" i="1"/>
  <c r="K1890" i="1"/>
  <c r="K14" i="1"/>
  <c r="K1849" i="1"/>
  <c r="K1314" i="1"/>
  <c r="K1214" i="1"/>
  <c r="K1293" i="1"/>
  <c r="K1292" i="1"/>
  <c r="K1291" i="1"/>
  <c r="K1270" i="1"/>
  <c r="K973" i="1" l="1"/>
  <c r="K972" i="1"/>
  <c r="K971" i="1"/>
  <c r="K970" i="1"/>
  <c r="K1922" i="1" l="1"/>
  <c r="K591" i="1"/>
  <c r="K580" i="1"/>
  <c r="K626" i="1" l="1"/>
  <c r="K2144" i="1"/>
  <c r="K1574" i="1" l="1"/>
  <c r="K1792" i="1" l="1"/>
  <c r="K1518" i="1"/>
  <c r="K2078" i="1"/>
  <c r="K104" i="1"/>
  <c r="K1874" i="1"/>
  <c r="K1116" i="1" l="1"/>
  <c r="K2148" i="1" l="1"/>
  <c r="K1584" i="1"/>
  <c r="O1584" i="1" s="1"/>
  <c r="N1584" i="1"/>
  <c r="N1897" i="1" l="1"/>
  <c r="K460" i="1" l="1"/>
  <c r="K533" i="1" l="1"/>
  <c r="K1085" i="1" l="1"/>
  <c r="N1380" i="1" l="1"/>
  <c r="K1380" i="1"/>
  <c r="K2090" i="1" l="1"/>
  <c r="K2127" i="1"/>
  <c r="K2128" i="1"/>
  <c r="K1987" i="1"/>
  <c r="K1208" i="1"/>
  <c r="N1168" i="1" l="1"/>
  <c r="K395" i="1" l="1"/>
  <c r="N630" i="1" l="1"/>
  <c r="N1082" i="1"/>
  <c r="N780" i="1"/>
  <c r="N1624" i="1"/>
  <c r="K307" i="1" l="1"/>
  <c r="K306" i="1"/>
  <c r="K311" i="1" l="1"/>
  <c r="K1897" i="1" l="1"/>
  <c r="K1532" i="1" l="1"/>
  <c r="K78" i="1" l="1"/>
  <c r="K75" i="1"/>
  <c r="K77" i="1"/>
  <c r="K87" i="1" l="1"/>
  <c r="K86" i="1"/>
  <c r="K682" i="1"/>
  <c r="K684" i="1"/>
  <c r="K683" i="1"/>
  <c r="K687" i="1"/>
  <c r="K686" i="1"/>
  <c r="K685" i="1"/>
  <c r="K1557" i="1"/>
  <c r="K1559" i="1"/>
  <c r="K1781" i="1"/>
  <c r="K96" i="1"/>
  <c r="K2223" i="1"/>
  <c r="K2231" i="1"/>
  <c r="K1598" i="1" l="1"/>
  <c r="K1754" i="1"/>
  <c r="K1758" i="1"/>
  <c r="K490" i="1"/>
  <c r="K747" i="1"/>
  <c r="K94" i="1"/>
  <c r="K929" i="1"/>
  <c r="N1725" i="1" l="1"/>
  <c r="I46" i="3" l="1"/>
  <c r="K46" i="3" s="1"/>
  <c r="L46" i="3" s="1"/>
  <c r="M46" i="3" s="1"/>
  <c r="M47" i="3"/>
  <c r="G3" i="3"/>
  <c r="H3" i="3" s="1"/>
  <c r="I3" i="3" s="1"/>
  <c r="K3" i="3" s="1"/>
  <c r="L3" i="3" s="1"/>
  <c r="M3" i="3" s="1"/>
  <c r="G37" i="3"/>
  <c r="G38" i="3"/>
  <c r="G39" i="3"/>
  <c r="G41" i="3"/>
  <c r="G42" i="3"/>
  <c r="G43" i="3"/>
  <c r="G44" i="3"/>
  <c r="G45" i="3"/>
  <c r="G48" i="3"/>
  <c r="G49" i="3"/>
  <c r="G50" i="3"/>
  <c r="G51" i="3"/>
  <c r="G52" i="3"/>
  <c r="G53" i="3"/>
  <c r="G54" i="3"/>
  <c r="G55" i="3"/>
  <c r="G57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21" i="3"/>
  <c r="G22" i="3"/>
  <c r="G23" i="3"/>
  <c r="G24" i="3"/>
  <c r="G25" i="3"/>
  <c r="G26" i="3"/>
  <c r="G27" i="3"/>
  <c r="G28" i="3"/>
  <c r="G29" i="3"/>
  <c r="G30" i="3"/>
  <c r="G32" i="3"/>
  <c r="G34" i="3"/>
  <c r="G35" i="3"/>
  <c r="H51" i="3" l="1"/>
  <c r="I51" i="3" s="1"/>
  <c r="K51" i="3" s="1"/>
  <c r="K385" i="1" l="1"/>
  <c r="K357" i="1"/>
  <c r="K374" i="1"/>
  <c r="K356" i="1"/>
  <c r="K1862" i="1"/>
  <c r="K1861" i="1"/>
  <c r="K1860" i="1"/>
  <c r="K1859" i="1"/>
  <c r="K779" i="1" l="1"/>
  <c r="K778" i="1"/>
  <c r="K1322" i="1" l="1"/>
  <c r="K2086" i="1" l="1"/>
  <c r="H36" i="3" l="1"/>
  <c r="I36" i="3" s="1"/>
  <c r="K36" i="3" s="1"/>
  <c r="L36" i="3" s="1"/>
  <c r="M36" i="3" s="1"/>
  <c r="H68" i="3"/>
  <c r="I68" i="3" s="1"/>
  <c r="K68" i="3" s="1"/>
  <c r="L68" i="3" s="1"/>
  <c r="M68" i="3" s="1"/>
  <c r="K253" i="1" l="1"/>
  <c r="K1986" i="1"/>
  <c r="K263" i="1"/>
  <c r="K1538" i="1"/>
  <c r="K1428" i="1"/>
  <c r="K1427" i="1"/>
  <c r="K285" i="1"/>
  <c r="K286" i="1"/>
  <c r="K284" i="1"/>
  <c r="K852" i="1"/>
  <c r="K854" i="1"/>
  <c r="K851" i="1"/>
  <c r="O851" i="1" s="1"/>
  <c r="N851" i="1"/>
  <c r="K1241" i="1"/>
  <c r="O1241" i="1" s="1"/>
  <c r="N1241" i="1"/>
  <c r="K1168" i="1"/>
  <c r="K1304" i="1"/>
  <c r="K1303" i="1"/>
  <c r="K1302" i="1"/>
  <c r="K1413" i="1"/>
  <c r="K1412" i="1"/>
  <c r="K1411" i="1"/>
  <c r="K1389" i="1"/>
  <c r="K1388" i="1"/>
  <c r="K1394" i="1"/>
  <c r="K1399" i="1"/>
  <c r="K1407" i="1"/>
  <c r="K1378" i="1"/>
  <c r="K1377" i="1"/>
  <c r="K1376" i="1"/>
  <c r="K1379" i="1"/>
  <c r="K29" i="1" l="1"/>
  <c r="O29" i="1" s="1"/>
  <c r="N29" i="1"/>
  <c r="K2280" i="1" l="1"/>
  <c r="K2279" i="1"/>
  <c r="K2278" i="1"/>
  <c r="K2277" i="1"/>
  <c r="K2276" i="1"/>
  <c r="K335" i="1"/>
  <c r="K334" i="1"/>
  <c r="K333" i="1"/>
  <c r="K1576" i="1" l="1"/>
  <c r="K1599" i="1" l="1"/>
  <c r="K1551" i="1" l="1"/>
  <c r="K773" i="1"/>
  <c r="K774" i="1"/>
  <c r="K95" i="1"/>
  <c r="K287" i="1"/>
  <c r="K1766" i="1"/>
  <c r="K26" i="1"/>
  <c r="K764" i="1"/>
  <c r="K763" i="1"/>
  <c r="K2042" i="1"/>
  <c r="K1309" i="1"/>
  <c r="K2067" i="1"/>
  <c r="K2041" i="1"/>
  <c r="K1523" i="1"/>
  <c r="K1503" i="1"/>
  <c r="K2002" i="1"/>
  <c r="K1306" i="1"/>
  <c r="K1161" i="1"/>
  <c r="K424" i="1"/>
  <c r="K2182" i="1" l="1"/>
  <c r="G5" i="3" l="1"/>
  <c r="K1950" i="1" l="1"/>
  <c r="K1949" i="1"/>
  <c r="K1948" i="1"/>
  <c r="K592" i="1" l="1"/>
  <c r="K1323" i="1" l="1"/>
  <c r="K1324" i="1"/>
  <c r="K766" i="1"/>
  <c r="K809" i="1" l="1"/>
  <c r="K2081" i="1"/>
  <c r="K2044" i="1"/>
  <c r="K2046" i="1"/>
  <c r="K2045" i="1"/>
  <c r="K2043" i="1"/>
  <c r="K2036" i="1"/>
  <c r="K2037" i="1"/>
  <c r="K2035" i="1"/>
  <c r="K2034" i="1"/>
  <c r="K65" i="1"/>
  <c r="K1586" i="1" l="1"/>
  <c r="K437" i="1"/>
  <c r="K436" i="1"/>
  <c r="K806" i="1"/>
  <c r="K805" i="1"/>
  <c r="N1835" i="1" l="1"/>
  <c r="K240" i="1" l="1"/>
  <c r="K220" i="1" l="1"/>
  <c r="K219" i="1"/>
  <c r="K218" i="1"/>
  <c r="K313" i="1"/>
  <c r="K641" i="1" l="1"/>
  <c r="K759" i="1" l="1"/>
  <c r="K274" i="1" l="1"/>
  <c r="K1623" i="1" l="1"/>
  <c r="K139" i="1" l="1"/>
  <c r="K153" i="1" l="1"/>
  <c r="K1979" i="1"/>
  <c r="K1734" i="1" l="1"/>
  <c r="K1733" i="1"/>
  <c r="K1884" i="1" l="1"/>
  <c r="K1883" i="1"/>
  <c r="K1469" i="1"/>
  <c r="K982" i="1"/>
  <c r="K983" i="1"/>
  <c r="K1154" i="1"/>
  <c r="K1156" i="1"/>
  <c r="K586" i="1"/>
  <c r="K404" i="1" l="1"/>
  <c r="K407" i="1"/>
  <c r="K403" i="1"/>
  <c r="K942" i="1"/>
  <c r="K1952" i="1"/>
  <c r="K1946" i="1"/>
  <c r="K1945" i="1"/>
  <c r="K817" i="1"/>
  <c r="K816" i="1"/>
  <c r="K815" i="1"/>
  <c r="K481" i="1"/>
  <c r="K480" i="1"/>
  <c r="K611" i="1" l="1"/>
  <c r="K619" i="1"/>
  <c r="K610" i="1"/>
  <c r="K618" i="1"/>
  <c r="K625" i="1" l="1"/>
  <c r="K1721" i="1" l="1"/>
  <c r="K1711" i="1" l="1"/>
  <c r="N1908" i="1" l="1"/>
  <c r="N1840" i="1"/>
  <c r="K1366" i="1" l="1"/>
  <c r="K1367" i="1"/>
  <c r="K1368" i="1"/>
  <c r="K1369" i="1"/>
  <c r="K1370" i="1"/>
  <c r="K1371" i="1"/>
  <c r="K1372" i="1"/>
  <c r="K1373" i="1"/>
  <c r="K1374" i="1"/>
  <c r="K1375" i="1"/>
  <c r="K1364" i="1"/>
  <c r="K1365" i="1"/>
  <c r="K1363" i="1"/>
  <c r="K823" i="1" l="1"/>
  <c r="N1283" i="1" l="1"/>
  <c r="N1282" i="1"/>
  <c r="N1281" i="1"/>
  <c r="N1280" i="1"/>
  <c r="N1279" i="1"/>
  <c r="K1351" i="1" l="1"/>
  <c r="K1352" i="1"/>
  <c r="K1439" i="1"/>
  <c r="K1402" i="1" l="1"/>
  <c r="K1401" i="1"/>
  <c r="K1400" i="1"/>
  <c r="K1179" i="1"/>
  <c r="K1178" i="1"/>
  <c r="K1177" i="1"/>
  <c r="K1269" i="1"/>
  <c r="K981" i="1"/>
  <c r="K2242" i="1"/>
  <c r="K1353" i="1"/>
  <c r="K1295" i="1"/>
  <c r="K2061" i="1"/>
  <c r="K2062" i="1"/>
  <c r="K2060" i="1"/>
  <c r="K1426" i="1"/>
  <c r="K863" i="1"/>
  <c r="K864" i="1"/>
  <c r="K862" i="1"/>
  <c r="K1354" i="1" l="1"/>
  <c r="K1327" i="1"/>
  <c r="K1215" i="1"/>
  <c r="K2118" i="1"/>
  <c r="K2119" i="1"/>
  <c r="K192" i="1"/>
  <c r="K191" i="1"/>
  <c r="K2198" i="1" l="1"/>
  <c r="K2197" i="1"/>
  <c r="K2246" i="1" l="1"/>
  <c r="K2226" i="1"/>
  <c r="K2227" i="1"/>
  <c r="K2251" i="1"/>
  <c r="K2252" i="1"/>
  <c r="K2253" i="1"/>
  <c r="N1922" i="1" l="1"/>
  <c r="N1920" i="1"/>
  <c r="N1916" i="1"/>
  <c r="N1905" i="1"/>
  <c r="N1898" i="1"/>
  <c r="N1505" i="1"/>
  <c r="K373" i="1" l="1"/>
  <c r="K370" i="1"/>
  <c r="K324" i="1"/>
  <c r="K1680" i="1" l="1"/>
  <c r="K722" i="1"/>
  <c r="K727" i="1"/>
  <c r="K175" i="1" l="1"/>
  <c r="K890" i="1" l="1"/>
  <c r="K889" i="1"/>
  <c r="K887" i="1"/>
  <c r="K893" i="1"/>
  <c r="K197" i="1" l="1"/>
  <c r="K574" i="1"/>
  <c r="K1357" i="1" l="1"/>
  <c r="K1356" i="1"/>
  <c r="K1355" i="1"/>
  <c r="K1053" i="1"/>
  <c r="K330" i="1"/>
  <c r="K150" i="1"/>
  <c r="K1720" i="1" l="1"/>
  <c r="K1101" i="1" l="1"/>
  <c r="K1881" i="1"/>
  <c r="K1131" i="1" l="1"/>
  <c r="K1130" i="1"/>
  <c r="K1484" i="1" l="1"/>
  <c r="K1976" i="1" l="1"/>
  <c r="K2191" i="1" l="1"/>
  <c r="K1656" i="1" l="1"/>
  <c r="K1104" i="1"/>
  <c r="K1103" i="1"/>
  <c r="K1102" i="1"/>
  <c r="K1247" i="1" l="1"/>
  <c r="K1562" i="1" l="1"/>
  <c r="K305" i="1"/>
  <c r="K304" i="1"/>
  <c r="K124" i="1"/>
  <c r="K1936" i="1" l="1"/>
  <c r="K2230" i="1"/>
  <c r="K1935" i="1"/>
  <c r="K1938" i="1"/>
  <c r="K1934" i="1" l="1"/>
  <c r="K2219" i="1"/>
  <c r="K1928" i="1"/>
  <c r="K99" i="1"/>
  <c r="K2229" i="1"/>
  <c r="K1940" i="1"/>
  <c r="K1942" i="1"/>
  <c r="K2235" i="1"/>
  <c r="K789" i="1"/>
  <c r="K2004" i="1"/>
  <c r="K326" i="1"/>
  <c r="K1944" i="1"/>
  <c r="K2228" i="1"/>
  <c r="K429" i="1"/>
  <c r="K496" i="1"/>
  <c r="K327" i="1" l="1"/>
  <c r="O327" i="1" s="1"/>
  <c r="N327" i="1"/>
  <c r="K739" i="1"/>
  <c r="O739" i="1" s="1"/>
  <c r="N739" i="1"/>
  <c r="K740" i="1"/>
  <c r="K1841" i="1"/>
  <c r="O1841" i="1" s="1"/>
  <c r="N1841" i="1"/>
  <c r="K223" i="1"/>
  <c r="O223" i="1" s="1"/>
  <c r="N223" i="1"/>
  <c r="K280" i="1"/>
  <c r="O280" i="1" s="1"/>
  <c r="N280" i="1"/>
  <c r="K61" i="1" l="1"/>
  <c r="K60" i="1"/>
  <c r="K1790" i="1"/>
  <c r="K1789" i="1"/>
  <c r="K222" i="1" l="1"/>
  <c r="K221" i="1"/>
  <c r="K1396" i="1" l="1"/>
  <c r="K1419" i="1"/>
  <c r="K242" i="1"/>
  <c r="K196" i="1"/>
  <c r="K187" i="1"/>
  <c r="K1579" i="1" l="1"/>
  <c r="K824" i="1" l="1"/>
  <c r="K1281" i="1" l="1"/>
  <c r="K2255" i="1" l="1"/>
  <c r="K632" i="1" l="1"/>
  <c r="K495" i="1" l="1"/>
  <c r="K2222" i="1"/>
  <c r="K1932" i="1"/>
  <c r="K97" i="1"/>
  <c r="K693" i="1" l="1"/>
  <c r="K692" i="1"/>
  <c r="K211" i="1" l="1"/>
  <c r="K1495" i="1" l="1"/>
  <c r="K1563" i="1" l="1"/>
  <c r="K1663" i="1"/>
  <c r="K1671" i="1"/>
  <c r="K1662" i="1"/>
  <c r="K1661" i="1"/>
  <c r="K746" i="1"/>
  <c r="K738" i="1"/>
  <c r="K737" i="1"/>
  <c r="K704" i="1"/>
  <c r="K1719" i="1"/>
  <c r="K1718" i="1"/>
  <c r="K1717" i="1"/>
  <c r="K1716" i="1"/>
  <c r="K1700" i="1"/>
  <c r="K1699" i="1"/>
  <c r="K688" i="1"/>
  <c r="K1564" i="1"/>
  <c r="K1692" i="1"/>
  <c r="K1691" i="1"/>
  <c r="N1700" i="1"/>
  <c r="K2172" i="1" l="1"/>
  <c r="K2008" i="1" l="1"/>
  <c r="K1463" i="1" l="1"/>
  <c r="K114" i="1" l="1"/>
  <c r="K1995" i="1"/>
  <c r="K1595" i="1"/>
  <c r="K396" i="1"/>
  <c r="K1012" i="1" l="1"/>
  <c r="K638" i="1"/>
  <c r="K623" i="1"/>
  <c r="K622" i="1"/>
  <c r="K1496" i="1"/>
  <c r="K1264" i="1"/>
  <c r="K1797" i="1"/>
  <c r="K1796" i="1"/>
  <c r="K1795" i="1"/>
  <c r="K1054" i="1"/>
  <c r="K1052" i="1"/>
  <c r="K1051" i="1"/>
  <c r="K331" i="1"/>
  <c r="K329" i="1"/>
  <c r="K328" i="1"/>
  <c r="K1905" i="1" l="1"/>
  <c r="K1907" i="1"/>
  <c r="K27" i="1"/>
  <c r="K28" i="1"/>
  <c r="K1259" i="1" l="1"/>
  <c r="K1490" i="1"/>
  <c r="K1504" i="1" l="1"/>
  <c r="K2189" i="1" l="1"/>
  <c r="K2188" i="1"/>
  <c r="K505" i="1" l="1"/>
  <c r="K1001" i="1" l="1"/>
  <c r="K635" i="1" l="1"/>
  <c r="K2247" i="1"/>
  <c r="K1031" i="1" l="1"/>
  <c r="K1525" i="1" l="1"/>
  <c r="K1308" i="1"/>
  <c r="K966" i="1" l="1"/>
  <c r="K1524" i="1" l="1"/>
  <c r="K1519" i="1" l="1"/>
  <c r="K2022" i="1"/>
  <c r="K916" i="1" l="1"/>
  <c r="K1140" i="1" l="1"/>
  <c r="K1141" i="1"/>
  <c r="K1142" i="1"/>
  <c r="K1139" i="1"/>
  <c r="K1332" i="1" l="1"/>
  <c r="K1331" i="1"/>
  <c r="K1488" i="1" l="1"/>
  <c r="K1757" i="1" l="1"/>
  <c r="K134" i="1"/>
  <c r="K106" i="1" l="1"/>
  <c r="K269" i="1" l="1"/>
  <c r="K1917" i="1" l="1"/>
  <c r="K1916" i="1"/>
  <c r="K264" i="1" l="1"/>
  <c r="K1731" i="1"/>
  <c r="K2236" i="1"/>
  <c r="K275" i="1"/>
  <c r="K250" i="1"/>
  <c r="K251" i="1"/>
  <c r="K249" i="1"/>
  <c r="K2238" i="1"/>
  <c r="K415" i="1"/>
  <c r="K353" i="1"/>
  <c r="K1858" i="1"/>
  <c r="K1857" i="1"/>
  <c r="K1856" i="1"/>
  <c r="K2111" i="1" l="1"/>
  <c r="K291" i="1"/>
  <c r="K1491" i="1" l="1"/>
  <c r="K1494" i="1"/>
  <c r="K1493" i="1"/>
  <c r="K2071" i="1" l="1"/>
  <c r="O2071" i="1" s="1"/>
  <c r="K2070" i="1"/>
  <c r="K932" i="1" l="1"/>
  <c r="K2142" i="1"/>
  <c r="K1386" i="1" l="1"/>
  <c r="K1384" i="1"/>
  <c r="K1385" i="1"/>
  <c r="K612" i="1" l="1"/>
  <c r="K613" i="1"/>
  <c r="H49" i="3" l="1"/>
  <c r="I49" i="3" s="1"/>
  <c r="K49" i="3" s="1"/>
  <c r="L49" i="3" s="1"/>
  <c r="M49" i="3" s="1"/>
  <c r="K735" i="1" l="1"/>
  <c r="O735" i="1" s="1"/>
  <c r="N735" i="1"/>
  <c r="K868" i="1" l="1"/>
  <c r="K2063" i="1"/>
  <c r="K1475" i="1" l="1"/>
  <c r="K1476" i="1"/>
  <c r="K1477" i="1"/>
  <c r="K1478" i="1"/>
  <c r="K1479" i="1"/>
  <c r="K1480" i="1"/>
  <c r="K1481" i="1"/>
  <c r="K1482" i="1"/>
  <c r="K1483" i="1"/>
  <c r="K1485" i="1"/>
  <c r="K702" i="1"/>
  <c r="K1237" i="1"/>
  <c r="K1084" i="1"/>
  <c r="K1358" i="1"/>
  <c r="K1359" i="1"/>
  <c r="K1261" i="1"/>
  <c r="K1260" i="1"/>
  <c r="K258" i="1" l="1"/>
  <c r="K1901" i="1" l="1"/>
  <c r="K1555" i="1"/>
  <c r="K1554" i="1"/>
  <c r="K753" i="1"/>
  <c r="K830" i="1" l="1"/>
  <c r="K2113" i="1"/>
  <c r="K208" i="1" l="1"/>
  <c r="K1962" i="1"/>
  <c r="K1959" i="1"/>
  <c r="K1958" i="1"/>
  <c r="K1957" i="1"/>
  <c r="K1848" i="1"/>
  <c r="K1625" i="1"/>
  <c r="K781" i="1" l="1"/>
  <c r="K1489" i="1" l="1"/>
  <c r="K1497" i="1"/>
  <c r="K1492" i="1"/>
  <c r="K1058" i="1" l="1"/>
  <c r="K1057" i="1"/>
  <c r="K1056" i="1"/>
  <c r="K1055" i="1"/>
  <c r="K1333" i="1"/>
  <c r="K775" i="1"/>
  <c r="K1596" i="1"/>
  <c r="K1111" i="1" l="1"/>
  <c r="K1110" i="1"/>
  <c r="K1112" i="1"/>
  <c r="K1339" i="1"/>
  <c r="K1207" i="1"/>
  <c r="K1256" i="1"/>
  <c r="K794" i="1" l="1"/>
  <c r="K928" i="1" l="1"/>
  <c r="K386" i="1"/>
  <c r="K435" i="1"/>
  <c r="K347" i="1"/>
  <c r="K346" i="1"/>
  <c r="K345" i="1"/>
  <c r="K583" i="1" l="1"/>
  <c r="K167" i="1" l="1"/>
  <c r="K166" i="1"/>
  <c r="K165" i="1"/>
  <c r="K2217" i="1"/>
  <c r="K2218" i="1"/>
  <c r="K1937" i="1"/>
  <c r="K1931" i="1"/>
  <c r="K667" i="1"/>
  <c r="K2233" i="1"/>
  <c r="K1653" i="1" l="1"/>
  <c r="K1040" i="1"/>
  <c r="K1043" i="1"/>
  <c r="K834" i="1"/>
  <c r="K835" i="1"/>
  <c r="K836" i="1"/>
  <c r="K74" i="1"/>
  <c r="K1652" i="1"/>
  <c r="K1205" i="1"/>
  <c r="K499" i="1"/>
  <c r="K262" i="1"/>
  <c r="K261" i="1"/>
  <c r="K1006" i="1" l="1"/>
  <c r="K1473" i="1"/>
  <c r="K1472" i="1"/>
  <c r="K1145" i="1"/>
  <c r="K1144" i="1"/>
  <c r="K1030" i="1"/>
  <c r="K1459" i="1"/>
  <c r="K1458" i="1"/>
  <c r="K2115" i="1"/>
  <c r="O2115" i="1" s="1"/>
  <c r="N2115" i="1"/>
  <c r="K2168" i="1" l="1"/>
  <c r="K703" i="1" l="1"/>
  <c r="K1507" i="1" l="1"/>
  <c r="C325" i="2" l="1"/>
  <c r="K615" i="1" l="1"/>
  <c r="K1689" i="1" l="1"/>
  <c r="N1689" i="1"/>
  <c r="K1624" i="1" l="1"/>
  <c r="K2059" i="1" l="1"/>
  <c r="K923" i="1"/>
  <c r="K1649" i="1"/>
  <c r="K595" i="1"/>
  <c r="K1307" i="1"/>
  <c r="K2234" i="1"/>
  <c r="K755" i="1"/>
  <c r="K1654" i="1"/>
  <c r="K1655" i="1"/>
  <c r="K558" i="1"/>
  <c r="K1688" i="1" l="1"/>
  <c r="K102" i="1"/>
  <c r="K2010" i="1"/>
  <c r="K2181" i="1" l="1"/>
  <c r="K1533" i="1"/>
  <c r="K25" i="1"/>
  <c r="K24" i="1"/>
  <c r="K23" i="1"/>
  <c r="K21" i="1"/>
  <c r="K2091" i="1" l="1"/>
  <c r="K1204" i="1"/>
  <c r="K657" i="1"/>
  <c r="K79" i="1"/>
  <c r="K2183" i="1"/>
  <c r="K2180" i="1"/>
  <c r="K1629" i="1" l="1"/>
  <c r="K1666" i="1"/>
  <c r="K1710" i="1"/>
  <c r="K825" i="1"/>
  <c r="K1081" i="1"/>
  <c r="K734" i="1"/>
  <c r="K1512" i="1" l="1"/>
  <c r="K648" i="1" l="1"/>
  <c r="K649" i="1"/>
  <c r="K650" i="1"/>
  <c r="K1981" i="1"/>
  <c r="O1981" i="1" s="1"/>
  <c r="N1981" i="1"/>
  <c r="O1579" i="1" l="1"/>
  <c r="K2088" i="1" l="1"/>
  <c r="K1909" i="1" l="1"/>
  <c r="K1618" i="1"/>
  <c r="K1918" i="1"/>
  <c r="K1915" i="1"/>
  <c r="K1914" i="1"/>
  <c r="K1695" i="1" l="1"/>
  <c r="K696" i="1" l="1"/>
  <c r="K1221" i="1" l="1"/>
  <c r="K1696" i="1" l="1"/>
  <c r="K1457" i="1"/>
  <c r="K1011" i="1"/>
  <c r="K1010" i="1"/>
  <c r="K479" i="1" l="1"/>
  <c r="K1159" i="1" l="1"/>
  <c r="K309" i="1" l="1"/>
  <c r="K1506" i="1" l="1"/>
  <c r="K1908" i="1" l="1"/>
  <c r="K907" i="1" l="1"/>
  <c r="K909" i="1"/>
  <c r="K908" i="1"/>
  <c r="K1017" i="1"/>
  <c r="K1023" i="1"/>
  <c r="K1994" i="1" l="1"/>
  <c r="K822" i="1"/>
  <c r="K127" i="1" l="1"/>
  <c r="K322" i="1"/>
  <c r="K870" i="1" l="1"/>
  <c r="O870" i="1" s="1"/>
  <c r="N870" i="1"/>
  <c r="K1044" i="1"/>
  <c r="O1044" i="1" s="1"/>
  <c r="N1044" i="1"/>
  <c r="H48" i="3" l="1"/>
  <c r="K372" i="1" l="1"/>
  <c r="K367" i="1"/>
  <c r="K371" i="1"/>
  <c r="K1704" i="1" l="1"/>
  <c r="K1643" i="1"/>
  <c r="O1643" i="1" s="1"/>
  <c r="N1643" i="1"/>
  <c r="K897" i="1" l="1"/>
  <c r="O1719" i="1" l="1"/>
  <c r="N1719" i="1"/>
  <c r="K1567" i="1" l="1"/>
  <c r="K725" i="1" l="1"/>
  <c r="K1869" i="1" l="1"/>
  <c r="K1898" i="1"/>
  <c r="K1698" i="1" l="1"/>
  <c r="L368" i="1"/>
  <c r="K1748" i="1"/>
  <c r="K1206" i="1"/>
  <c r="K1443" i="1"/>
  <c r="K1676" i="1"/>
  <c r="K1675" i="1"/>
  <c r="K1674" i="1"/>
  <c r="K1673" i="1"/>
  <c r="K1672" i="1"/>
  <c r="K1572" i="1" l="1"/>
  <c r="K1279" i="1" l="1"/>
  <c r="K1282" i="1"/>
  <c r="K791" i="1"/>
  <c r="K1283" i="1"/>
  <c r="H69" i="3"/>
  <c r="I69" i="3" s="1"/>
  <c r="K69" i="3" s="1"/>
  <c r="L69" i="3" s="1"/>
  <c r="M69" i="3" s="1"/>
  <c r="K914" i="1" l="1"/>
  <c r="O914" i="1" s="1"/>
  <c r="N914" i="1"/>
  <c r="K393" i="1"/>
  <c r="O393" i="1" s="1"/>
  <c r="K599" i="1"/>
  <c r="K132" i="1"/>
  <c r="O132" i="1" s="1"/>
  <c r="K2150" i="1"/>
  <c r="O2150" i="1" s="1"/>
  <c r="N2150" i="1"/>
  <c r="K352" i="1" l="1"/>
  <c r="K478" i="1"/>
  <c r="K477" i="1"/>
  <c r="K476" i="1"/>
  <c r="K2056" i="1"/>
  <c r="K1770" i="1"/>
  <c r="K2055" i="1"/>
  <c r="K2054" i="1"/>
  <c r="K246" i="1"/>
  <c r="K348" i="1"/>
  <c r="K205" i="1" l="1"/>
  <c r="O205" i="1" s="1"/>
  <c r="K204" i="1"/>
  <c r="K902" i="1" l="1"/>
  <c r="K2076" i="1" l="1"/>
  <c r="K544" i="1"/>
  <c r="K1800" i="1" l="1"/>
  <c r="K1799" i="1"/>
  <c r="K1798" i="1"/>
  <c r="K1320" i="1"/>
  <c r="K1317" i="1"/>
  <c r="K951" i="1" l="1"/>
  <c r="K1536" i="1" l="1"/>
  <c r="K568" i="1"/>
  <c r="K567" i="1"/>
  <c r="K1760" i="1" l="1"/>
  <c r="K1759" i="1"/>
  <c r="K11" i="1"/>
  <c r="K624" i="1" l="1"/>
  <c r="K2164" i="1" l="1"/>
  <c r="K38" i="1"/>
  <c r="K760" i="1"/>
  <c r="K2187" i="1"/>
  <c r="K2075" i="1"/>
  <c r="K2074" i="1"/>
  <c r="K2082" i="1"/>
  <c r="K793" i="1" l="1"/>
  <c r="K1803" i="1" l="1"/>
  <c r="N1803" i="1"/>
  <c r="K1955" i="1" l="1"/>
  <c r="K1764" i="1"/>
  <c r="K1597" i="1" l="1"/>
  <c r="O1597" i="1" s="1"/>
  <c r="N1597" i="1"/>
  <c r="K969" i="1" l="1"/>
  <c r="K1657" i="1"/>
  <c r="K2033" i="1"/>
  <c r="K2032" i="1"/>
  <c r="K2031" i="1"/>
  <c r="K2030" i="1"/>
  <c r="K2029" i="1"/>
  <c r="K2028" i="1"/>
  <c r="K2021" i="1"/>
  <c r="K1893" i="1" l="1"/>
  <c r="K15" i="1"/>
  <c r="K1153" i="1"/>
  <c r="K1275" i="1"/>
  <c r="K1887" i="1"/>
  <c r="K1287" i="1"/>
  <c r="K1165" i="1" l="1"/>
  <c r="K1171" i="1"/>
  <c r="K1163" i="1"/>
  <c r="K1038" i="1"/>
  <c r="K116" i="1" l="1"/>
  <c r="K248" i="1"/>
  <c r="K922" i="1"/>
  <c r="K921" i="1"/>
  <c r="K920" i="1"/>
  <c r="K245" i="1"/>
  <c r="K1647" i="1"/>
  <c r="K406" i="1"/>
  <c r="K349" i="1"/>
  <c r="K354" i="1"/>
  <c r="K366" i="1" l="1"/>
  <c r="K644" i="1" l="1"/>
  <c r="K1920" i="1" l="1"/>
  <c r="K1750" i="1" l="1"/>
  <c r="K2205" i="1" l="1"/>
  <c r="K1016" i="1"/>
  <c r="O1016" i="1" s="1"/>
  <c r="N1016" i="1"/>
  <c r="K1015" i="1"/>
  <c r="O1015" i="1" s="1"/>
  <c r="N1015" i="1"/>
  <c r="K833" i="1" l="1"/>
  <c r="K2179" i="1"/>
  <c r="K1834" i="1" l="1"/>
  <c r="K1460" i="1"/>
  <c r="K1510" i="1" l="1"/>
  <c r="K1509" i="1"/>
  <c r="K2213" i="1" l="1"/>
  <c r="K37" i="1"/>
  <c r="K743" i="1"/>
  <c r="K2196" i="1"/>
  <c r="K450" i="1" l="1"/>
  <c r="K301" i="1"/>
  <c r="K458" i="1"/>
  <c r="K181" i="1" l="1"/>
  <c r="K180" i="1"/>
  <c r="K2254" i="1" l="1"/>
  <c r="K2103" i="1" l="1"/>
  <c r="K2104" i="1"/>
  <c r="K2105" i="1"/>
  <c r="K2106" i="1"/>
  <c r="K811" i="1"/>
  <c r="K810" i="1"/>
  <c r="K1693" i="1" l="1"/>
  <c r="K1677" i="1"/>
  <c r="O366" i="1" l="1"/>
  <c r="N366" i="1"/>
  <c r="K729" i="1" l="1"/>
  <c r="K1573" i="1" l="1"/>
  <c r="K170" i="1"/>
  <c r="K171" i="1"/>
  <c r="K998" i="1" l="1"/>
  <c r="O998" i="1" s="1"/>
  <c r="N998" i="1"/>
  <c r="K1229" i="1"/>
  <c r="O1229" i="1" s="1"/>
  <c r="N1229" i="1"/>
  <c r="K80" i="1" l="1"/>
  <c r="K1022" i="1"/>
  <c r="K445" i="1"/>
  <c r="O445" i="1" s="1"/>
  <c r="N445" i="1"/>
  <c r="K1988" i="1" l="1"/>
  <c r="K2141" i="1" l="1"/>
  <c r="K2051" i="1"/>
  <c r="K2053" i="1"/>
  <c r="K319" i="1" l="1"/>
  <c r="K2132" i="1"/>
  <c r="K1274" i="1" l="1"/>
  <c r="K1607" i="1" l="1"/>
  <c r="O1607" i="1" s="1"/>
  <c r="N1607" i="1"/>
  <c r="K1465" i="1" l="1"/>
  <c r="K439" i="1"/>
  <c r="K417" i="1"/>
  <c r="K1255" i="1"/>
  <c r="K1968" i="1" l="1"/>
  <c r="K1966" i="1"/>
  <c r="K2020" i="1" l="1"/>
  <c r="K1013" i="1"/>
  <c r="K2146" i="1" l="1"/>
  <c r="K1128" i="1" l="1"/>
  <c r="K1127" i="1"/>
  <c r="K1126" i="1"/>
  <c r="K1125" i="1"/>
  <c r="K1124" i="1"/>
  <c r="N1394" i="1"/>
  <c r="K318" i="1"/>
  <c r="O318" i="1" s="1"/>
  <c r="N318" i="1"/>
  <c r="K66" i="1"/>
  <c r="K860" i="1"/>
  <c r="O860" i="1" s="1"/>
  <c r="N860" i="1"/>
  <c r="K1338" i="1"/>
  <c r="K1337" i="1"/>
  <c r="K1336" i="1"/>
  <c r="K1335" i="1"/>
  <c r="K1174" i="1"/>
  <c r="O1174" i="1" s="1"/>
  <c r="N1174" i="1"/>
  <c r="K1334" i="1" l="1"/>
  <c r="K962" i="1"/>
  <c r="K1262" i="1" l="1"/>
  <c r="K765" i="1" l="1"/>
  <c r="K2130" i="1"/>
  <c r="K1851" i="1"/>
  <c r="K1511" i="1"/>
  <c r="K277" i="1" l="1"/>
  <c r="K351" i="1"/>
  <c r="K1648" i="1"/>
  <c r="K392" i="1"/>
  <c r="K757" i="1"/>
  <c r="K355" i="1"/>
  <c r="K1866" i="1"/>
  <c r="K444" i="1"/>
  <c r="K1082" i="1"/>
  <c r="K974" i="1"/>
  <c r="K1865" i="1"/>
  <c r="K509" i="1"/>
  <c r="K1583" i="1"/>
  <c r="K941" i="1"/>
  <c r="K933" i="1"/>
  <c r="K912" i="1"/>
  <c r="K911" i="1"/>
  <c r="K910" i="1"/>
  <c r="K474" i="1"/>
  <c r="K434" i="1"/>
  <c r="K1535" i="1"/>
  <c r="K401" i="1"/>
  <c r="K400" i="1"/>
  <c r="K1552" i="1"/>
  <c r="K847" i="1"/>
  <c r="K1420" i="1"/>
  <c r="K628" i="1"/>
  <c r="K149" i="1"/>
  <c r="K1545" i="1"/>
  <c r="K1868" i="1" l="1"/>
  <c r="K792" i="1" l="1"/>
  <c r="K133" i="1"/>
  <c r="O133" i="1" s="1"/>
  <c r="K1777" i="1" l="1"/>
  <c r="K671" i="1"/>
  <c r="O671" i="1" s="1"/>
  <c r="N671" i="1"/>
  <c r="K797" i="1" l="1"/>
  <c r="K1974" i="1"/>
  <c r="K550" i="1" l="1"/>
  <c r="K529" i="1" l="1"/>
  <c r="K528" i="1"/>
  <c r="K469" i="1"/>
  <c r="K468" i="1"/>
  <c r="K266" i="1"/>
  <c r="K653" i="1"/>
  <c r="K2019" i="1" l="1"/>
  <c r="K2015" i="1"/>
  <c r="K578" i="1" l="1"/>
  <c r="K579" i="1"/>
  <c r="K1882" i="1"/>
  <c r="K315" i="1" l="1"/>
  <c r="K2122" i="1"/>
  <c r="K2129" i="1"/>
  <c r="K584" i="1"/>
  <c r="K919" i="1"/>
  <c r="K918" i="1"/>
  <c r="K1978" i="1" l="1"/>
  <c r="O1978" i="1" s="1"/>
  <c r="N1978" i="1"/>
  <c r="L1457" i="1" l="1"/>
  <c r="L1695" i="1"/>
  <c r="L1696" i="1"/>
  <c r="L1462" i="1"/>
  <c r="L1917" i="1"/>
  <c r="K1462" i="1"/>
  <c r="L1886" i="1"/>
  <c r="K98" i="1" l="1"/>
  <c r="O98" i="1" s="1"/>
  <c r="N98" i="1"/>
  <c r="K2232" i="1"/>
  <c r="O2232" i="1" s="1"/>
  <c r="N2232" i="1"/>
  <c r="K2224" i="1"/>
  <c r="O2224" i="1" s="1"/>
  <c r="N2224" i="1"/>
  <c r="K769" i="1"/>
  <c r="O769" i="1" s="1"/>
  <c r="N769" i="1"/>
  <c r="K1616" i="1"/>
  <c r="O1616" i="1" s="1"/>
  <c r="N1616" i="1"/>
  <c r="K1615" i="1"/>
  <c r="O1615" i="1" s="1"/>
  <c r="N1615" i="1"/>
  <c r="K670" i="1"/>
  <c r="O670" i="1" s="1"/>
  <c r="N670" i="1"/>
  <c r="K669" i="1"/>
  <c r="O669" i="1" s="1"/>
  <c r="N669" i="1"/>
  <c r="K1815" i="1" l="1"/>
  <c r="O1815" i="1" s="1"/>
  <c r="N1815" i="1"/>
  <c r="K1888" i="1" l="1"/>
  <c r="K2174" i="1"/>
  <c r="K213" i="1" l="1"/>
  <c r="K214" i="1"/>
  <c r="K1878" i="1"/>
  <c r="K2143" i="1"/>
  <c r="K1155" i="1"/>
  <c r="K1341" i="1"/>
  <c r="K1285" i="1"/>
  <c r="K1257" i="1"/>
  <c r="K339" i="1"/>
  <c r="K1508" i="1"/>
  <c r="K795" i="1" l="1"/>
  <c r="K1919" i="1"/>
  <c r="K828" i="1" l="1"/>
  <c r="K1923" i="1" l="1"/>
  <c r="K1924" i="1" l="1"/>
  <c r="K1664" i="1" l="1"/>
  <c r="K1665" i="1"/>
  <c r="K276" i="1" l="1"/>
  <c r="H12" i="3" l="1"/>
  <c r="I12" i="3" s="1"/>
  <c r="K12" i="3" s="1"/>
  <c r="L12" i="3" s="1"/>
  <c r="M12" i="3" s="1"/>
  <c r="H28" i="3"/>
  <c r="I28" i="3" s="1"/>
  <c r="K28" i="3" s="1"/>
  <c r="L28" i="3" s="1"/>
  <c r="M28" i="3" s="1"/>
  <c r="K645" i="1" l="1"/>
  <c r="K475" i="1"/>
  <c r="K42" i="1"/>
  <c r="O42" i="1" s="1"/>
  <c r="K1561" i="1"/>
  <c r="K1926" i="1" l="1"/>
  <c r="K530" i="1"/>
  <c r="K1294" i="1" l="1"/>
  <c r="K1216" i="1"/>
  <c r="K1217" i="1"/>
  <c r="K767" i="1"/>
  <c r="K1442" i="1"/>
  <c r="K1286" i="1"/>
  <c r="K1158" i="1"/>
  <c r="K500" i="1"/>
  <c r="K238" i="1" l="1"/>
  <c r="K237" i="1"/>
  <c r="K236" i="1"/>
  <c r="K235" i="1"/>
  <c r="K115" i="1"/>
  <c r="K121" i="1"/>
  <c r="K120" i="1"/>
  <c r="K302" i="1" l="1"/>
  <c r="K292" i="1" l="1"/>
  <c r="K1600" i="1" l="1"/>
  <c r="K2095" i="1" l="1"/>
  <c r="O2095" i="1" s="1"/>
  <c r="N2095" i="1"/>
  <c r="K643" i="1"/>
  <c r="K51" i="1"/>
  <c r="N51" i="1"/>
  <c r="K16" i="1" l="1"/>
  <c r="K1636" i="1" l="1"/>
  <c r="K1635" i="1"/>
  <c r="K1773" i="1"/>
  <c r="K542" i="1" l="1"/>
  <c r="K541" i="1"/>
  <c r="K540" i="1"/>
  <c r="K539" i="1"/>
  <c r="K2112" i="1" l="1"/>
  <c r="K2151" i="1" l="1"/>
  <c r="K888" i="1" l="1"/>
  <c r="K1886" i="1" l="1"/>
  <c r="K1747" i="1" l="1"/>
  <c r="O1747" i="1" s="1"/>
  <c r="N1747" i="1"/>
  <c r="K5" i="1" l="1"/>
  <c r="K12" i="1"/>
  <c r="K799" i="1" l="1"/>
  <c r="K1546" i="1"/>
  <c r="K217" i="1" l="1"/>
  <c r="K1059" i="1" l="1"/>
  <c r="K1702" i="1" l="1"/>
  <c r="O1702" i="1" s="1"/>
  <c r="N1702" i="1"/>
  <c r="K1644" i="1"/>
  <c r="K744" i="1"/>
  <c r="K726" i="1" l="1"/>
  <c r="K298" i="1" l="1"/>
  <c r="K156" i="1" l="1"/>
  <c r="O156" i="1" s="1"/>
  <c r="N156" i="1"/>
  <c r="K1877" i="1"/>
  <c r="K466" i="1"/>
  <c r="K394" i="1"/>
  <c r="O394" i="1" s="1"/>
  <c r="K270" i="1"/>
  <c r="N270" i="1"/>
  <c r="K1157" i="1" l="1"/>
  <c r="K1253" i="1"/>
  <c r="K987" i="1"/>
  <c r="K986" i="1"/>
  <c r="K985" i="1"/>
  <c r="K1213" i="1"/>
  <c r="K1470" i="1"/>
  <c r="K1160" i="1"/>
  <c r="K1152" i="1"/>
  <c r="K869" i="1"/>
  <c r="K1220" i="1"/>
  <c r="K1440" i="1"/>
  <c r="K1222" i="1"/>
  <c r="K1444" i="1"/>
  <c r="K2145" i="1"/>
  <c r="K1254" i="1"/>
  <c r="K1212" i="1"/>
  <c r="K1120" i="1"/>
  <c r="K1211" i="1"/>
  <c r="K796" i="1" l="1"/>
  <c r="O796" i="1" s="1"/>
  <c r="N796" i="1"/>
  <c r="K782" i="1" l="1"/>
  <c r="K2000" i="1" l="1"/>
  <c r="K2073" i="1" l="1"/>
  <c r="K2072" i="1"/>
  <c r="K1474" i="1" l="1"/>
  <c r="O1474" i="1" s="1"/>
  <c r="N1474" i="1"/>
  <c r="K1228" i="1"/>
  <c r="O1228" i="1" s="1"/>
  <c r="N1228" i="1"/>
  <c r="K1227" i="1"/>
  <c r="O1227" i="1" s="1"/>
  <c r="N1227" i="1"/>
  <c r="K413" i="1"/>
  <c r="O413" i="1" s="1"/>
  <c r="N413" i="1"/>
  <c r="K1729" i="1" l="1"/>
  <c r="K871" i="1"/>
  <c r="K2194" i="1"/>
  <c r="K2193" i="1"/>
  <c r="K1517" i="1" l="1"/>
  <c r="K800" i="1"/>
  <c r="K1065" i="1"/>
  <c r="K1670" i="1"/>
  <c r="K808" i="1"/>
  <c r="K2125" i="1"/>
  <c r="K555" i="1" l="1"/>
  <c r="K1985" i="1"/>
  <c r="K2256" i="1"/>
  <c r="K1609" i="1"/>
  <c r="K1149" i="1"/>
  <c r="K947" i="1"/>
  <c r="K1148" i="1"/>
  <c r="K416" i="1"/>
  <c r="K1280" i="1"/>
  <c r="K1779" i="1" l="1"/>
  <c r="K1571" i="1"/>
  <c r="K1570" i="1"/>
  <c r="K1569" i="1"/>
  <c r="K742" i="1"/>
  <c r="K1568" i="1"/>
  <c r="N1568" i="1"/>
  <c r="K2248" i="1"/>
  <c r="O2248" i="1" s="1"/>
  <c r="N2248" i="1"/>
  <c r="K64" i="1"/>
  <c r="O64" i="1" s="1"/>
  <c r="N64" i="1"/>
  <c r="K1441" i="1"/>
  <c r="O1441" i="1" s="1"/>
  <c r="N1441" i="1"/>
  <c r="K1099" i="1"/>
  <c r="O1099" i="1" s="1"/>
  <c r="K1098" i="1"/>
  <c r="O1098" i="1" s="1"/>
  <c r="K1651" i="1"/>
  <c r="K1340" i="1" l="1"/>
  <c r="K1342" i="1"/>
  <c r="K520" i="1"/>
  <c r="K711" i="1"/>
  <c r="K498" i="1"/>
  <c r="K1218" i="1"/>
  <c r="K1343" i="1"/>
  <c r="K1219" i="1"/>
  <c r="K1223" i="1"/>
  <c r="K289" i="1"/>
  <c r="K1248" i="1"/>
  <c r="K1249" i="1"/>
  <c r="K288" i="1"/>
  <c r="K1250" i="1"/>
  <c r="K1252" i="1"/>
  <c r="K1251" i="1"/>
  <c r="K112" i="1"/>
  <c r="K829" i="1" l="1"/>
  <c r="K241" i="1" l="1"/>
  <c r="K2186" i="1"/>
  <c r="K169" i="1"/>
  <c r="H73" i="3" l="1"/>
  <c r="K617" i="1" l="1"/>
  <c r="K621" i="1"/>
  <c r="K620" i="1"/>
  <c r="K518" i="1" l="1"/>
  <c r="K22" i="1"/>
  <c r="K1080" i="1"/>
  <c r="K1079" i="1"/>
  <c r="K1078" i="1"/>
  <c r="O1078" i="1" s="1"/>
  <c r="N1078" i="1"/>
  <c r="K1391" i="1"/>
  <c r="N1391" i="1"/>
  <c r="K314" i="1"/>
  <c r="O314" i="1" s="1"/>
  <c r="N314" i="1"/>
  <c r="K1852" i="1"/>
  <c r="O1852" i="1" s="1"/>
  <c r="N1852" i="1"/>
  <c r="K812" i="1" l="1"/>
  <c r="K492" i="1"/>
  <c r="K826" i="1"/>
  <c r="K232" i="1"/>
  <c r="K532" i="1"/>
  <c r="K1714" i="1" l="1"/>
  <c r="K1709" i="1"/>
  <c r="K456" i="1" l="1"/>
  <c r="K452" i="1"/>
  <c r="K448" i="1"/>
  <c r="N448" i="1"/>
  <c r="K62" i="1" l="1"/>
  <c r="K489" i="1"/>
  <c r="K81" i="1"/>
  <c r="K2050" i="1"/>
  <c r="K589" i="1" l="1"/>
  <c r="K2052" i="1"/>
  <c r="K660" i="1"/>
  <c r="K2126" i="1"/>
  <c r="K1610" i="1"/>
  <c r="K1793" i="1"/>
  <c r="K1627" i="1"/>
  <c r="K609" i="1"/>
  <c r="K1982" i="1"/>
  <c r="K2077" i="1"/>
  <c r="K1417" i="1" l="1"/>
  <c r="K389" i="1" l="1"/>
  <c r="K388" i="1"/>
  <c r="K1541" i="1" l="1"/>
  <c r="K1542" i="1"/>
  <c r="K1540" i="1"/>
  <c r="K84" i="1"/>
  <c r="K556" i="1"/>
  <c r="K1813" i="1" l="1"/>
  <c r="O1813" i="1" s="1"/>
  <c r="N1813" i="1"/>
  <c r="H67" i="3" l="1"/>
  <c r="I67" i="3" s="1"/>
  <c r="K67" i="3" s="1"/>
  <c r="L67" i="3" s="1"/>
  <c r="M67" i="3" s="1"/>
  <c r="H24" i="3" l="1"/>
  <c r="I24" i="3" s="1"/>
  <c r="K24" i="3" s="1"/>
  <c r="L24" i="3" s="1"/>
  <c r="M24" i="3" s="1"/>
  <c r="H25" i="3"/>
  <c r="I25" i="3" s="1"/>
  <c r="K25" i="3" s="1"/>
  <c r="L25" i="3" s="1"/>
  <c r="M25" i="3" s="1"/>
  <c r="H63" i="3"/>
  <c r="I63" i="3" s="1"/>
  <c r="K63" i="3" s="1"/>
  <c r="L63" i="3" s="1"/>
  <c r="M63" i="3" s="1"/>
  <c r="K1416" i="1" l="1"/>
  <c r="K1594" i="1" l="1"/>
  <c r="K813" i="1"/>
  <c r="K553" i="1"/>
  <c r="O553" i="1" s="1"/>
  <c r="K228" i="1"/>
  <c r="O228" i="1" s="1"/>
  <c r="N228" i="1"/>
  <c r="K195" i="1" l="1"/>
  <c r="O195" i="1" s="1"/>
  <c r="N195" i="1"/>
  <c r="H42" i="3" l="1"/>
  <c r="I42" i="3" s="1"/>
  <c r="K42" i="3" s="1"/>
  <c r="L42" i="3" s="1"/>
  <c r="M42" i="3" s="1"/>
  <c r="K1063" i="1" l="1"/>
  <c r="O1063" i="1" s="1"/>
  <c r="K1064" i="1"/>
  <c r="K1097" i="1"/>
  <c r="K1095" i="1" l="1"/>
  <c r="K2153" i="1" l="1"/>
  <c r="K2167" i="1"/>
  <c r="K2080" i="1"/>
  <c r="K493" i="1"/>
  <c r="K2163" i="1"/>
  <c r="K2084" i="1"/>
  <c r="K2085" i="1"/>
  <c r="K2158" i="1"/>
  <c r="K2157" i="1"/>
  <c r="K2156" i="1"/>
  <c r="K2161" i="1" l="1"/>
  <c r="K2160" i="1"/>
  <c r="K2155" i="1"/>
  <c r="K2154" i="1"/>
  <c r="K2152" i="1"/>
  <c r="K2166" i="1"/>
  <c r="K1321" i="1"/>
  <c r="K1319" i="1"/>
  <c r="K1318" i="1"/>
  <c r="K1316" i="1"/>
  <c r="K2102" i="1"/>
  <c r="K2101" i="1"/>
  <c r="K2100" i="1"/>
  <c r="K2099" i="1"/>
  <c r="N1847" i="1" l="1"/>
  <c r="N124" i="1"/>
  <c r="K642" i="1"/>
  <c r="K2184" i="1"/>
  <c r="K2216" i="1"/>
  <c r="K2215" i="1"/>
  <c r="K1447" i="1"/>
  <c r="K559" i="1"/>
  <c r="K1847" i="1"/>
  <c r="K676" i="1" l="1"/>
  <c r="K675" i="1"/>
  <c r="K674" i="1"/>
  <c r="K1641" i="1" l="1"/>
  <c r="O1641" i="1" s="1"/>
  <c r="N1641" i="1"/>
  <c r="K1638" i="1"/>
  <c r="O1638" i="1" s="1"/>
  <c r="N1638" i="1"/>
  <c r="K2121" i="1" l="1"/>
  <c r="K1885" i="1"/>
  <c r="K483" i="1"/>
  <c r="K1993" i="1"/>
  <c r="K30" i="1"/>
  <c r="K31" i="1"/>
  <c r="K33" i="1"/>
  <c r="K36" i="1"/>
  <c r="K1553" i="1"/>
  <c r="K839" i="1"/>
  <c r="K855" i="1"/>
  <c r="K1712" i="1"/>
  <c r="K1992" i="1"/>
  <c r="K41" i="1"/>
  <c r="K491" i="1"/>
  <c r="K45" i="1"/>
  <c r="K47" i="1"/>
  <c r="K50" i="1"/>
  <c r="K713" i="1"/>
  <c r="K1604" i="1"/>
  <c r="K49" i="1"/>
  <c r="K2089" i="1"/>
  <c r="K57" i="1"/>
  <c r="K59" i="1"/>
  <c r="K1621" i="1"/>
  <c r="K1787" i="1"/>
  <c r="K67" i="1"/>
  <c r="K68" i="1"/>
  <c r="K1713" i="1"/>
  <c r="K76" i="1"/>
  <c r="K576" i="1"/>
  <c r="K768" i="1"/>
  <c r="K457" i="1"/>
  <c r="K1034" i="1"/>
  <c r="K83" i="1"/>
  <c r="K85" i="1"/>
  <c r="K935" i="1"/>
  <c r="K2116" i="1"/>
  <c r="K1556" i="1"/>
  <c r="K1061" i="1"/>
  <c r="K58" i="1"/>
  <c r="K945" i="1"/>
  <c r="K926" i="1"/>
  <c r="K938" i="1"/>
  <c r="K925" i="1"/>
  <c r="K937" i="1"/>
  <c r="K1736" i="1"/>
  <c r="K91" i="1"/>
  <c r="K92" i="1"/>
  <c r="K2114" i="1"/>
  <c r="K2117" i="1"/>
  <c r="K342" i="1"/>
  <c r="K378" i="1"/>
  <c r="K364" i="1"/>
  <c r="K365" i="1"/>
  <c r="K402" i="1"/>
  <c r="K390" i="1"/>
  <c r="K1612" i="1"/>
  <c r="K273" i="1"/>
  <c r="K639" i="1"/>
  <c r="K957" i="1"/>
  <c r="K651" i="1"/>
  <c r="K100" i="1"/>
  <c r="K2171" i="1"/>
  <c r="K103" i="1"/>
  <c r="K2087" i="1"/>
  <c r="K107" i="1"/>
  <c r="K814" i="1"/>
  <c r="K1972" i="1"/>
  <c r="K108" i="1"/>
  <c r="K109" i="1"/>
  <c r="K110" i="1"/>
  <c r="K111" i="1"/>
  <c r="K607" i="1"/>
  <c r="K32" i="1"/>
  <c r="K381" i="1"/>
  <c r="K113" i="1"/>
  <c r="K1977" i="1"/>
  <c r="K1209" i="1"/>
  <c r="K117" i="1"/>
  <c r="K118" i="1"/>
  <c r="K119" i="1"/>
  <c r="K1737" i="1"/>
  <c r="K128" i="1"/>
  <c r="K129" i="1"/>
  <c r="K130" i="1"/>
  <c r="K131" i="1"/>
  <c r="K2096" i="1"/>
  <c r="K254" i="1"/>
  <c r="K2049" i="1"/>
  <c r="K157" i="1"/>
  <c r="K2057" i="1"/>
  <c r="K1203" i="1"/>
  <c r="K152" i="1"/>
  <c r="K1344" i="1"/>
  <c r="K151" i="1"/>
  <c r="K147" i="1"/>
  <c r="K148" i="1"/>
  <c r="K1989" i="1"/>
  <c r="K627" i="1"/>
  <c r="K162" i="1"/>
  <c r="K159" i="1"/>
  <c r="K160" i="1"/>
  <c r="K161" i="1"/>
  <c r="K52" i="1"/>
  <c r="K168" i="1"/>
  <c r="K838" i="1"/>
  <c r="K172" i="1"/>
  <c r="K173" i="1"/>
  <c r="K174" i="1"/>
  <c r="K177" i="1"/>
  <c r="K178" i="1"/>
  <c r="K179" i="1"/>
  <c r="K629" i="1"/>
  <c r="K184" i="1"/>
  <c r="K185" i="1"/>
  <c r="K1062" i="1"/>
  <c r="K770" i="1"/>
  <c r="K193" i="1"/>
  <c r="K194" i="1"/>
  <c r="K1961" i="1"/>
  <c r="K202" i="1"/>
  <c r="K203" i="1"/>
  <c r="K201" i="1"/>
  <c r="K1325" i="1"/>
  <c r="K2068" i="1"/>
  <c r="K2069" i="1"/>
  <c r="K279" i="1"/>
  <c r="K786" i="1"/>
  <c r="K1630" i="1"/>
  <c r="K1446" i="1"/>
  <c r="K229" i="1"/>
  <c r="K230" i="1"/>
  <c r="K231" i="1"/>
  <c r="K233" i="1"/>
  <c r="K239" i="1"/>
  <c r="K1891" i="1"/>
  <c r="K718" i="1"/>
  <c r="K361" i="1"/>
  <c r="K391" i="1"/>
  <c r="K497" i="1"/>
  <c r="K244" i="1"/>
  <c r="K1996" i="1"/>
  <c r="K1983" i="1"/>
  <c r="K387" i="1"/>
  <c r="K259" i="1"/>
  <c r="K154" i="1"/>
  <c r="K1755" i="1"/>
  <c r="K1756" i="1"/>
  <c r="K1617" i="1"/>
  <c r="K252" i="1"/>
  <c r="K255" i="1"/>
  <c r="K256" i="1"/>
  <c r="K257" i="1"/>
  <c r="K227" i="1"/>
  <c r="K1678" i="1"/>
  <c r="K1956" i="1"/>
  <c r="K758" i="1"/>
  <c r="K1602" i="1"/>
  <c r="K265" i="1"/>
  <c r="K1632" i="1"/>
  <c r="K1633" i="1"/>
  <c r="K1963" i="1"/>
  <c r="K486" i="1"/>
  <c r="K260" i="1"/>
  <c r="K278" i="1"/>
  <c r="K1838" i="1"/>
  <c r="K716" i="1"/>
  <c r="K1705" i="1"/>
  <c r="K714" i="1"/>
  <c r="K881" i="1"/>
  <c r="K884" i="1"/>
  <c r="K141" i="1"/>
  <c r="K2185" i="1"/>
  <c r="K470" i="1"/>
  <c r="K1725" i="1"/>
  <c r="K325" i="1"/>
  <c r="K1539" i="1"/>
  <c r="K290" i="1"/>
  <c r="K293" i="1"/>
  <c r="K294" i="1"/>
  <c r="K296" i="1"/>
  <c r="K297" i="1"/>
  <c r="K299" i="1"/>
  <c r="K303" i="1"/>
  <c r="K63" i="1"/>
  <c r="K531" i="1"/>
  <c r="K146" i="1"/>
  <c r="K383" i="1"/>
  <c r="K384" i="1"/>
  <c r="K343" i="1"/>
  <c r="K1143" i="1"/>
  <c r="K316" i="1"/>
  <c r="K2109" i="1"/>
  <c r="K1836" i="1"/>
  <c r="K321" i="1"/>
  <c r="K323" i="1"/>
  <c r="K2009" i="1"/>
  <c r="K1967" i="1"/>
  <c r="K155" i="1"/>
  <c r="K756" i="1"/>
  <c r="K1631" i="1"/>
  <c r="K1707" i="1"/>
  <c r="K1468" i="1"/>
  <c r="K2108" i="1"/>
  <c r="K1611" i="1"/>
  <c r="K1743" i="1"/>
  <c r="K2140" i="1"/>
  <c r="K572" i="1"/>
  <c r="K344" i="1"/>
  <c r="K2012" i="1"/>
  <c r="K341" i="1"/>
  <c r="K848" i="1"/>
  <c r="K1452" i="1"/>
  <c r="K1033" i="1"/>
  <c r="K570" i="1"/>
  <c r="K569" i="1"/>
  <c r="K379" i="1"/>
  <c r="K1242" i="1"/>
  <c r="K2011" i="1"/>
  <c r="K358" i="1"/>
  <c r="K1864" i="1"/>
  <c r="K247" i="1"/>
  <c r="K2250" i="1"/>
  <c r="K243" i="1"/>
  <c r="K362" i="1"/>
  <c r="K363" i="1"/>
  <c r="K1243" i="1"/>
  <c r="K1258" i="1"/>
  <c r="K858" i="1"/>
  <c r="K369" i="1"/>
  <c r="K337" i="1"/>
  <c r="K382" i="1"/>
  <c r="K126" i="1"/>
  <c r="K125" i="1"/>
  <c r="K380" i="1"/>
  <c r="K721" i="1"/>
  <c r="K399" i="1"/>
  <c r="K803" i="1"/>
  <c r="K350" i="1"/>
  <c r="K405" i="1"/>
  <c r="K2173" i="1"/>
  <c r="K408" i="1"/>
  <c r="K409" i="1"/>
  <c r="K412" i="1"/>
  <c r="K295" i="1"/>
  <c r="K455" i="1"/>
  <c r="K410" i="1"/>
  <c r="K1863" i="1"/>
  <c r="K1867" i="1"/>
  <c r="K414" i="1"/>
  <c r="K1162" i="1"/>
  <c r="K101" i="1"/>
  <c r="K2237" i="1"/>
  <c r="K421" i="1"/>
  <c r="K419" i="1"/>
  <c r="K2149" i="1"/>
  <c r="K420" i="1"/>
  <c r="K422" i="1"/>
  <c r="K423" i="1"/>
  <c r="K425" i="1"/>
  <c r="K426" i="1"/>
  <c r="K271" i="1"/>
  <c r="K427" i="1"/>
  <c r="K633" i="1"/>
  <c r="K631" i="1"/>
  <c r="K224" i="1"/>
  <c r="K2131" i="1"/>
  <c r="K442" i="1"/>
  <c r="K443" i="1"/>
  <c r="K225" i="1"/>
  <c r="K1740" i="1"/>
  <c r="K1771" i="1"/>
  <c r="K1169" i="1"/>
  <c r="K1170" i="1"/>
  <c r="K1741" i="1"/>
  <c r="K1210" i="1"/>
  <c r="K268" i="1"/>
  <c r="K630" i="1"/>
  <c r="K449" i="1"/>
  <c r="K451" i="1"/>
  <c r="K453" i="1"/>
  <c r="K454" i="1"/>
  <c r="K463" i="1"/>
  <c r="K459" i="1"/>
  <c r="K819" i="1"/>
  <c r="K464" i="1"/>
  <c r="K465" i="1"/>
  <c r="K467" i="1"/>
  <c r="K1522" i="1"/>
  <c r="K1913" i="1"/>
  <c r="K472" i="1"/>
  <c r="K473" i="1"/>
  <c r="K913" i="1"/>
  <c r="K482" i="1"/>
  <c r="K1726" i="1" l="1"/>
  <c r="K1735" i="1"/>
  <c r="O1735" i="1" s="1"/>
  <c r="N1735" i="1"/>
  <c r="K1732" i="1"/>
  <c r="O1732" i="1" s="1"/>
  <c r="N1732" i="1"/>
  <c r="K1560" i="1"/>
  <c r="K1603" i="1" l="1"/>
  <c r="K1075" i="1" l="1"/>
  <c r="K1076" i="1"/>
  <c r="K1077" i="1"/>
  <c r="K1393" i="1"/>
  <c r="N1393" i="1"/>
  <c r="K1392" i="1"/>
  <c r="O1392" i="1" s="1"/>
  <c r="N1392" i="1"/>
  <c r="K1466" i="1" l="1"/>
  <c r="K2039" i="1" l="1"/>
  <c r="K517" i="1"/>
  <c r="K963" i="1"/>
  <c r="K1894" i="1"/>
  <c r="K2038" i="1"/>
  <c r="K664" i="1"/>
  <c r="K663" i="1"/>
  <c r="K662" i="1"/>
  <c r="K283" i="1"/>
  <c r="K2139" i="1"/>
  <c r="K1645" i="1"/>
  <c r="K706" i="1" l="1"/>
  <c r="K715" i="1"/>
  <c r="K717" i="1"/>
  <c r="K695" i="1"/>
  <c r="K705" i="1"/>
  <c r="G19" i="3" l="1"/>
  <c r="H19" i="3" s="1"/>
  <c r="I19" i="3" s="1"/>
  <c r="K19" i="3" s="1"/>
  <c r="L19" i="3" s="1"/>
  <c r="M19" i="3" s="1"/>
  <c r="G10" i="3"/>
  <c r="H10" i="3" s="1"/>
  <c r="I10" i="3" s="1"/>
  <c r="K10" i="3" s="1"/>
  <c r="L10" i="3" s="1"/>
  <c r="M10" i="3" s="1"/>
  <c r="K1390" i="1" l="1"/>
  <c r="O1390" i="1" s="1"/>
  <c r="N1390" i="1"/>
  <c r="K846" i="1"/>
  <c r="O846" i="1" s="1"/>
  <c r="N846" i="1"/>
  <c r="K843" i="1"/>
  <c r="O843" i="1" s="1"/>
  <c r="N843" i="1"/>
  <c r="K842" i="1"/>
  <c r="O842" i="1" s="1"/>
  <c r="N842" i="1"/>
  <c r="K2212" i="1"/>
  <c r="K1854" i="1" l="1"/>
  <c r="K1776" i="1" l="1"/>
  <c r="K1775" i="1"/>
  <c r="O1775" i="1" s="1"/>
  <c r="K1774" i="1"/>
  <c r="O1774" i="1" s="1"/>
  <c r="K2094" i="1"/>
  <c r="O2094" i="1" s="1"/>
  <c r="K1637" i="1"/>
  <c r="O1637" i="1" s="1"/>
  <c r="O139" i="1"/>
  <c r="N139" i="1"/>
  <c r="O52" i="1" l="1"/>
  <c r="N52" i="1"/>
  <c r="O161" i="1"/>
  <c r="N161" i="1"/>
  <c r="O160" i="1"/>
  <c r="N160" i="1"/>
  <c r="N56" i="1"/>
  <c r="N55" i="1"/>
  <c r="N54" i="1"/>
  <c r="K2195" i="1"/>
  <c r="O2195" i="1" s="1"/>
  <c r="K878" i="1" l="1"/>
  <c r="K837" i="1" l="1"/>
  <c r="O837" i="1" s="1"/>
  <c r="K1548" i="1" l="1"/>
  <c r="K827" i="1"/>
  <c r="K903" i="1" l="1"/>
  <c r="K1844" i="1"/>
  <c r="K1843" i="1"/>
  <c r="K1842" i="1"/>
  <c r="K802" i="1"/>
  <c r="K940" i="1"/>
  <c r="K510" i="1"/>
  <c r="K82" i="1"/>
  <c r="K891" i="1"/>
  <c r="K506" i="1"/>
  <c r="K534" i="1" l="1"/>
  <c r="K552" i="1"/>
  <c r="K1667" i="1" l="1"/>
  <c r="O1667" i="1" s="1"/>
  <c r="N1667" i="1"/>
  <c r="K1762" i="1" l="1"/>
  <c r="K1761" i="1"/>
  <c r="K1590" i="1"/>
  <c r="N421" i="1" l="1"/>
  <c r="O2237" i="1"/>
  <c r="N2237" i="1"/>
  <c r="K658" i="1" l="1"/>
  <c r="N658" i="1"/>
  <c r="N855" i="1" l="1"/>
  <c r="N839" i="1"/>
  <c r="K1659" i="1" l="1"/>
  <c r="N1659" i="1"/>
  <c r="K2007" i="1" l="1"/>
  <c r="O2007" i="1" s="1"/>
  <c r="N2005" i="1"/>
  <c r="K2005" i="1"/>
  <c r="O2005" i="1" s="1"/>
  <c r="N1977" i="1"/>
  <c r="N411" i="1"/>
  <c r="N1953" i="1"/>
  <c r="O1977" i="1"/>
  <c r="K411" i="1"/>
  <c r="O411" i="1" s="1"/>
  <c r="K1953" i="1"/>
  <c r="O1953" i="1" s="1"/>
  <c r="K1954" i="1"/>
  <c r="O1954" i="1" s="1"/>
  <c r="N1954" i="1"/>
  <c r="N1951" i="1"/>
  <c r="N898" i="1"/>
  <c r="K1951" i="1"/>
  <c r="O1951" i="1" s="1"/>
  <c r="H11" i="3" l="1"/>
  <c r="K11" i="3" s="1"/>
  <c r="L11" i="3" s="1"/>
  <c r="M11" i="3" s="1"/>
  <c r="K7" i="3"/>
  <c r="L7" i="3" s="1"/>
  <c r="M7" i="3" s="1"/>
  <c r="K1964" i="1" l="1"/>
  <c r="N1964" i="1"/>
  <c r="K1835" i="1" l="1"/>
  <c r="O1835" i="1" s="1"/>
  <c r="K1904" i="1" l="1"/>
  <c r="O1904" i="1" s="1"/>
  <c r="N1904" i="1"/>
  <c r="N297" i="1" l="1"/>
  <c r="K1708" i="1" l="1"/>
  <c r="K730" i="1"/>
  <c r="K1566" i="1" l="1"/>
  <c r="K527" i="1" l="1"/>
  <c r="K20" i="1" l="1"/>
  <c r="K1753" i="1" l="1"/>
  <c r="K728" i="1"/>
  <c r="K2134" i="1" l="1"/>
  <c r="K2138" i="1"/>
  <c r="K967" i="1" l="1"/>
  <c r="K661" i="1"/>
  <c r="K557" i="1"/>
  <c r="K672" i="1"/>
  <c r="K1467" i="1"/>
  <c r="K1558" i="1"/>
  <c r="K1941" i="1" l="1"/>
  <c r="O1941" i="1" s="1"/>
  <c r="O1556" i="1"/>
  <c r="O2109" i="1"/>
  <c r="K1782" i="1"/>
  <c r="O1782" i="1" s="1"/>
  <c r="K820" i="1"/>
  <c r="N1943" i="1"/>
  <c r="K1943" i="1"/>
  <c r="O1943" i="1" s="1"/>
  <c r="N1263" i="1"/>
  <c r="K1263" i="1"/>
  <c r="O1263" i="1" s="1"/>
  <c r="N1549" i="1"/>
  <c r="K1549" i="1"/>
  <c r="O1549" i="1" s="1"/>
  <c r="N2221" i="1"/>
  <c r="K2221" i="1"/>
  <c r="O2221" i="1" s="1"/>
  <c r="N2225" i="1"/>
  <c r="K2225" i="1"/>
  <c r="O2225" i="1" s="1"/>
  <c r="N1619" i="1"/>
  <c r="K1619" i="1"/>
  <c r="O1619" i="1" s="1"/>
  <c r="N1614" i="1"/>
  <c r="K1614" i="1"/>
  <c r="O1614" i="1" s="1"/>
  <c r="N2245" i="1"/>
  <c r="K2245" i="1"/>
  <c r="O2245" i="1" s="1"/>
  <c r="N801" i="1"/>
  <c r="K801" i="1"/>
  <c r="O801" i="1" s="1"/>
  <c r="K745" i="1" l="1"/>
  <c r="K1383" i="1" l="1"/>
  <c r="N1383" i="1"/>
  <c r="K4" i="1"/>
  <c r="K1640" i="1" l="1"/>
  <c r="O819" i="1" l="1"/>
  <c r="K790" i="1" l="1"/>
  <c r="N1738" i="1" l="1"/>
  <c r="K1738" i="1"/>
  <c r="O1738" i="1" s="1"/>
  <c r="K1970" i="1" l="1"/>
  <c r="O1970" i="1" s="1"/>
  <c r="N1914" i="1"/>
  <c r="N1915" i="1"/>
  <c r="N1909" i="1"/>
  <c r="K1268" i="1" l="1"/>
  <c r="K1119" i="1"/>
  <c r="O1119" i="1" s="1"/>
  <c r="N1119" i="1"/>
  <c r="K1118" i="1"/>
  <c r="O1118" i="1" s="1"/>
  <c r="N1118" i="1"/>
  <c r="N1438" i="1"/>
  <c r="N1437" i="1"/>
  <c r="N1436" i="1"/>
  <c r="N1435" i="1"/>
  <c r="K1438" i="1"/>
  <c r="K1437" i="1"/>
  <c r="K1436" i="1"/>
  <c r="K1435" i="1"/>
  <c r="O1961" i="1"/>
  <c r="N1961" i="1"/>
  <c r="K2064" i="1" l="1"/>
  <c r="O2064" i="1" s="1"/>
  <c r="N2064" i="1"/>
  <c r="K2065" i="1"/>
  <c r="O2065" i="1" s="1"/>
  <c r="N2065" i="1"/>
  <c r="K655" i="1" l="1"/>
  <c r="N713" i="1" l="1"/>
  <c r="N47" i="1" l="1"/>
  <c r="K1765" i="1"/>
  <c r="O1765" i="1" s="1"/>
  <c r="H59" i="3" l="1"/>
  <c r="I59" i="3" s="1"/>
  <c r="K59" i="3" s="1"/>
  <c r="L59" i="3" s="1"/>
  <c r="M59" i="3" s="1"/>
  <c r="K1628" i="1" l="1"/>
  <c r="O1628" i="1" s="1"/>
  <c r="N1628" i="1"/>
  <c r="K754" i="1" l="1"/>
  <c r="K698" i="1"/>
  <c r="N294" i="1" l="1"/>
  <c r="N296" i="1"/>
  <c r="N293" i="1" l="1"/>
  <c r="N1773" i="1" l="1"/>
  <c r="O1773" i="1"/>
  <c r="N1521" i="1"/>
  <c r="K1521" i="1"/>
  <c r="O1521" i="1" s="1"/>
  <c r="K485" i="1"/>
  <c r="O485" i="1" s="1"/>
  <c r="N485" i="1"/>
  <c r="K1650" i="1"/>
  <c r="O1650" i="1" s="1"/>
  <c r="N1650" i="1"/>
  <c r="K961" i="1"/>
  <c r="O961" i="1" s="1"/>
  <c r="N961" i="1"/>
  <c r="K1382" i="1" l="1"/>
  <c r="N1382" i="1"/>
  <c r="N1388" i="1"/>
  <c r="N1389" i="1"/>
  <c r="O1380" i="1"/>
  <c r="N269" i="1" l="1"/>
  <c r="N1575" i="1"/>
  <c r="K1575" i="1"/>
  <c r="O1575" i="1" s="1"/>
  <c r="K950" i="1" l="1"/>
  <c r="K1581" i="1"/>
  <c r="K507" i="1"/>
  <c r="N1246" i="1" l="1"/>
  <c r="K1246" i="1"/>
  <c r="O1246" i="1" s="1"/>
  <c r="K761" i="1" l="1"/>
  <c r="H33" i="3" l="1"/>
  <c r="I33" i="3" s="1"/>
  <c r="K33" i="3" s="1"/>
  <c r="L33" i="3" s="1"/>
  <c r="M33" i="3" s="1"/>
  <c r="K2013" i="1" l="1"/>
  <c r="O2013" i="1" s="1"/>
  <c r="I73" i="3" l="1"/>
  <c r="K1658" i="1" l="1"/>
  <c r="O1658" i="1" s="1"/>
  <c r="N1658" i="1"/>
  <c r="O244" i="1"/>
  <c r="N244" i="1"/>
  <c r="K176" i="1"/>
  <c r="N803" i="1" l="1"/>
  <c r="O803" i="1"/>
  <c r="N646" i="1"/>
  <c r="K646" i="1"/>
  <c r="O646" i="1" s="1"/>
  <c r="K1715" i="1" l="1"/>
  <c r="K1201" i="1" l="1"/>
  <c r="K1200" i="1"/>
  <c r="K1199" i="1"/>
  <c r="K1198" i="1"/>
  <c r="K1197" i="1"/>
  <c r="K1196" i="1"/>
  <c r="O1034" i="1" l="1"/>
  <c r="N1034" i="1"/>
  <c r="O457" i="1"/>
  <c r="N457" i="1"/>
  <c r="K1328" i="1" l="1"/>
  <c r="K1329" i="1"/>
  <c r="O1062" i="1"/>
  <c r="N1062" i="1"/>
  <c r="K2003" i="1"/>
  <c r="O2118" i="1"/>
  <c r="N2118" i="1"/>
  <c r="K1266" i="1"/>
  <c r="K1265" i="1"/>
  <c r="K857" i="1"/>
  <c r="O857" i="1" s="1"/>
  <c r="N857" i="1"/>
  <c r="K856" i="1"/>
  <c r="O856" i="1" s="1"/>
  <c r="N856" i="1"/>
  <c r="O1376" i="1"/>
  <c r="N1376" i="1"/>
  <c r="K1418" i="1"/>
  <c r="O1418" i="1" s="1"/>
  <c r="N1418" i="1"/>
  <c r="O1417" i="1"/>
  <c r="N1417" i="1"/>
  <c r="O1416" i="1"/>
  <c r="N1416" i="1"/>
  <c r="K1117" i="1"/>
  <c r="K984" i="1"/>
  <c r="O984" i="1" s="1"/>
  <c r="N984" i="1"/>
  <c r="K865" i="1" l="1"/>
  <c r="O865" i="1" s="1"/>
  <c r="N865" i="1"/>
  <c r="K866" i="1"/>
  <c r="O866" i="1" s="1"/>
  <c r="N866" i="1"/>
  <c r="K1245" i="1" l="1"/>
  <c r="O1245" i="1" s="1"/>
  <c r="N1245" i="1"/>
  <c r="K1845" i="1" l="1"/>
  <c r="O1845" i="1" s="1"/>
  <c r="N1845" i="1"/>
  <c r="N1921" i="1" l="1"/>
  <c r="O2247" i="1" l="1"/>
  <c r="K1772" i="1" l="1"/>
  <c r="O1772" i="1" s="1"/>
  <c r="N1772" i="1"/>
  <c r="N53" i="1"/>
  <c r="O258" i="1" l="1"/>
  <c r="N258" i="1"/>
  <c r="O231" i="1"/>
  <c r="O31" i="1"/>
  <c r="N31" i="1"/>
  <c r="K1048" i="1" l="1"/>
  <c r="O1048" i="1" s="1"/>
  <c r="N1048" i="1"/>
  <c r="O1387" i="1"/>
  <c r="N1387" i="1"/>
  <c r="K1381" i="1"/>
  <c r="O1381" i="1" s="1"/>
  <c r="N1381" i="1"/>
  <c r="O1377" i="1"/>
  <c r="N1377" i="1"/>
  <c r="O1379" i="1"/>
  <c r="N1379" i="1"/>
  <c r="K1421" i="1"/>
  <c r="O1421" i="1" s="1"/>
  <c r="N1421" i="1"/>
  <c r="O1407" i="1"/>
  <c r="N1407" i="1"/>
  <c r="O2003" i="1"/>
  <c r="N2003" i="1"/>
  <c r="K1531" i="1" l="1"/>
  <c r="O1531" i="1" s="1"/>
  <c r="N1531" i="1"/>
  <c r="O379" i="1" l="1"/>
  <c r="O2184" i="1" l="1"/>
  <c r="N2184" i="1"/>
  <c r="K1409" i="1" l="1"/>
  <c r="O1409" i="1" s="1"/>
  <c r="N1409" i="1"/>
  <c r="K1028" i="1" l="1"/>
  <c r="O1028" i="1" s="1"/>
  <c r="N1028" i="1"/>
  <c r="N431" i="1" l="1"/>
  <c r="N430" i="1"/>
  <c r="O1901" i="1" l="1"/>
  <c r="N1901" i="1"/>
  <c r="O59" i="1"/>
  <c r="N59" i="1"/>
  <c r="O1539" i="1" l="1"/>
  <c r="N1539" i="1"/>
  <c r="O449" i="1"/>
  <c r="N449" i="1"/>
  <c r="G20" i="3" l="1"/>
  <c r="H20" i="3" s="1"/>
  <c r="I20" i="3" s="1"/>
  <c r="K20" i="3" s="1"/>
  <c r="L20" i="3" s="1"/>
  <c r="M20" i="3" s="1"/>
  <c r="K1990" i="1" l="1"/>
  <c r="O506" i="1" l="1"/>
  <c r="N506" i="1"/>
  <c r="N1162" i="1" l="1"/>
  <c r="O1162" i="1"/>
  <c r="N1446" i="1"/>
  <c r="O1446" i="1"/>
  <c r="N336" i="1"/>
  <c r="K336" i="1"/>
  <c r="O336" i="1" s="1"/>
  <c r="N939" i="1"/>
  <c r="K939" i="1"/>
  <c r="O939" i="1" s="1"/>
  <c r="N141" i="1"/>
  <c r="O141" i="1"/>
  <c r="N1242" i="1"/>
  <c r="O1242" i="1"/>
  <c r="N2011" i="1"/>
  <c r="O2011" i="1"/>
  <c r="O1740" i="1"/>
  <c r="N1740" i="1"/>
  <c r="O1169" i="1" l="1"/>
  <c r="N1169" i="1"/>
  <c r="O443" i="1"/>
  <c r="N443" i="1"/>
  <c r="N471" i="1" l="1"/>
  <c r="N488" i="1"/>
  <c r="N1804" i="1"/>
  <c r="N103" i="1"/>
  <c r="N1696" i="1"/>
  <c r="K471" i="1"/>
  <c r="O471" i="1" s="1"/>
  <c r="K488" i="1"/>
  <c r="O488" i="1" s="1"/>
  <c r="K1804" i="1"/>
  <c r="O1804" i="1" s="1"/>
  <c r="O103" i="1"/>
  <c r="O1696" i="1"/>
  <c r="K1096" i="1" l="1"/>
  <c r="K1876" i="1" l="1"/>
  <c r="K1837" i="1"/>
  <c r="K1608" i="1"/>
  <c r="N257" i="1"/>
  <c r="O257" i="1"/>
  <c r="O157" i="1"/>
  <c r="N1550" i="1"/>
  <c r="K1550" i="1"/>
  <c r="O1550" i="1" s="1"/>
  <c r="N954" i="1"/>
  <c r="K954" i="1"/>
  <c r="O954" i="1" s="1"/>
  <c r="N2173" i="1"/>
  <c r="O2173" i="1"/>
  <c r="N45" i="1"/>
  <c r="O45" i="1"/>
  <c r="N1640" i="1"/>
  <c r="O1640" i="1"/>
  <c r="N1639" i="1"/>
  <c r="K1639" i="1"/>
  <c r="O1639" i="1" s="1"/>
  <c r="N736" i="1"/>
  <c r="K736" i="1"/>
  <c r="O736" i="1" s="1"/>
  <c r="N272" i="1"/>
  <c r="K272" i="1"/>
  <c r="O272" i="1" s="1"/>
  <c r="N708" i="1"/>
  <c r="K708" i="1"/>
  <c r="O708" i="1" s="1"/>
  <c r="N308" i="1"/>
  <c r="K308" i="1"/>
  <c r="O308" i="1" s="1"/>
  <c r="N894" i="1"/>
  <c r="K894" i="1"/>
  <c r="O894" i="1" s="1"/>
  <c r="N525" i="1"/>
  <c r="K525" i="1"/>
  <c r="O525" i="1" s="1"/>
  <c r="N569" i="1"/>
  <c r="O569" i="1"/>
  <c r="N570" i="1"/>
  <c r="O570" i="1"/>
  <c r="N1626" i="1"/>
  <c r="K1626" i="1"/>
  <c r="O1626" i="1" s="1"/>
  <c r="N949" i="1"/>
  <c r="K949" i="1"/>
  <c r="O949" i="1" s="1"/>
  <c r="N948" i="1"/>
  <c r="K948" i="1"/>
  <c r="O948" i="1" s="1"/>
  <c r="N147" i="1"/>
  <c r="O147" i="1"/>
  <c r="N158" i="1"/>
  <c r="K158" i="1"/>
  <c r="O158" i="1" s="1"/>
  <c r="N665" i="1"/>
  <c r="K665" i="1"/>
  <c r="O665" i="1" s="1"/>
  <c r="H57" i="3" l="1"/>
  <c r="I57" i="3" s="1"/>
  <c r="K57" i="3" s="1"/>
  <c r="L57" i="3" s="1"/>
  <c r="M57" i="3" s="1"/>
  <c r="H55" i="3"/>
  <c r="I55" i="3" s="1"/>
  <c r="K55" i="3" s="1"/>
  <c r="L55" i="3" s="1"/>
  <c r="M55" i="3" s="1"/>
  <c r="H31" i="3"/>
  <c r="I31" i="3" s="1"/>
  <c r="K31" i="3" s="1"/>
  <c r="L31" i="3" s="1"/>
  <c r="M31" i="3" s="1"/>
  <c r="H66" i="3"/>
  <c r="I66" i="3" s="1"/>
  <c r="K73" i="3"/>
  <c r="L73" i="3" s="1"/>
  <c r="M73" i="3" s="1"/>
  <c r="G18" i="3"/>
  <c r="H18" i="3" s="1"/>
  <c r="I18" i="3" s="1"/>
  <c r="K18" i="3" s="1"/>
  <c r="L18" i="3" s="1"/>
  <c r="M18" i="3" s="1"/>
  <c r="K66" i="3" l="1"/>
  <c r="L66" i="3" s="1"/>
  <c r="M66" i="3" s="1"/>
  <c r="N549" i="1" l="1"/>
  <c r="N208" i="1"/>
  <c r="N2239" i="1"/>
  <c r="N1590" i="1"/>
  <c r="N1589" i="1"/>
  <c r="N596" i="1"/>
  <c r="N901" i="1"/>
  <c r="N1060" i="1"/>
  <c r="N573" i="1"/>
  <c r="N547" i="1"/>
  <c r="N1976" i="1"/>
  <c r="N18" i="1"/>
  <c r="N501" i="1"/>
  <c r="N546" i="1"/>
  <c r="N694" i="1"/>
  <c r="N593" i="1"/>
  <c r="N587" i="1"/>
  <c r="N585" i="1"/>
  <c r="K549" i="1"/>
  <c r="O549" i="1" s="1"/>
  <c r="O208" i="1"/>
  <c r="K2239" i="1"/>
  <c r="O2239" i="1" s="1"/>
  <c r="O1590" i="1"/>
  <c r="K1589" i="1"/>
  <c r="O1589" i="1" s="1"/>
  <c r="K596" i="1"/>
  <c r="O596" i="1" s="1"/>
  <c r="K901" i="1"/>
  <c r="O901" i="1" s="1"/>
  <c r="K1060" i="1"/>
  <c r="O1060" i="1" s="1"/>
  <c r="K573" i="1"/>
  <c r="O573" i="1" s="1"/>
  <c r="K547" i="1"/>
  <c r="O547" i="1" s="1"/>
  <c r="O1976" i="1"/>
  <c r="K784" i="1"/>
  <c r="K93" i="1"/>
  <c r="O93" i="1" s="1"/>
  <c r="N93" i="1"/>
  <c r="O2119" i="1"/>
  <c r="N2119" i="1"/>
  <c r="K1965" i="1" l="1"/>
  <c r="K543" i="1" l="1"/>
  <c r="K7" i="1" l="1"/>
  <c r="K1297" i="1" l="1"/>
  <c r="K1296" i="1"/>
  <c r="K18" i="1"/>
  <c r="O18" i="1" s="1"/>
  <c r="K694" i="1"/>
  <c r="O694" i="1" s="1"/>
  <c r="K585" i="1"/>
  <c r="O585" i="1" s="1"/>
  <c r="K587" i="1"/>
  <c r="O587" i="1" s="1"/>
  <c r="K546" i="1"/>
  <c r="O546" i="1" s="1"/>
  <c r="K723" i="1"/>
  <c r="K1537" i="1"/>
  <c r="K1107" i="1"/>
  <c r="K1226" i="1"/>
  <c r="K1049" i="1"/>
  <c r="K1180" i="1"/>
  <c r="K673" i="1" l="1"/>
  <c r="O673" i="1" s="1"/>
  <c r="N673" i="1"/>
  <c r="O1344" i="1" l="1"/>
  <c r="N1344" i="1"/>
  <c r="K652" i="1"/>
  <c r="N590" i="1" l="1"/>
  <c r="K590" i="1"/>
  <c r="O590" i="1" s="1"/>
  <c r="N1786" i="1"/>
  <c r="O1786" i="1"/>
  <c r="N1785" i="1"/>
  <c r="K1785" i="1"/>
  <c r="O1785" i="1" s="1"/>
  <c r="N1784" i="1"/>
  <c r="K1784" i="1"/>
  <c r="O1784" i="1" s="1"/>
  <c r="N1783" i="1"/>
  <c r="K1783" i="1"/>
  <c r="O1783" i="1" s="1"/>
  <c r="N514" i="1"/>
  <c r="K514" i="1"/>
  <c r="O514" i="1" s="1"/>
  <c r="N1593" i="1"/>
  <c r="K1593" i="1"/>
  <c r="O1593" i="1" s="1"/>
  <c r="N508" i="1"/>
  <c r="K508" i="1"/>
  <c r="O508" i="1" s="1"/>
  <c r="N2006" i="1"/>
  <c r="K2006" i="1"/>
  <c r="O2006" i="1" s="1"/>
  <c r="K614" i="1" l="1"/>
  <c r="N641" i="1" l="1"/>
  <c r="K521" i="1"/>
  <c r="O521" i="1" s="1"/>
  <c r="N521" i="1"/>
  <c r="K40" i="1" l="1"/>
  <c r="N1717" i="1" l="1"/>
  <c r="N2190" i="1" l="1"/>
  <c r="N1999" i="1"/>
  <c r="N1853" i="1"/>
  <c r="K2190" i="1"/>
  <c r="O2190" i="1" s="1"/>
  <c r="N1880" i="1" l="1"/>
  <c r="K1880" i="1"/>
  <c r="O1880" i="1" s="1"/>
  <c r="N1919" i="1"/>
  <c r="O1919" i="1"/>
  <c r="N1879" i="1"/>
  <c r="K1879" i="1"/>
  <c r="O1879" i="1" s="1"/>
  <c r="K1853" i="1"/>
  <c r="O1853" i="1" s="1"/>
  <c r="N179" i="1"/>
  <c r="O179" i="1"/>
  <c r="N178" i="1"/>
  <c r="O178" i="1"/>
  <c r="N423" i="1"/>
  <c r="O423" i="1"/>
  <c r="N422" i="1"/>
  <c r="O422" i="1"/>
  <c r="N636" i="1"/>
  <c r="K636" i="1"/>
  <c r="O636" i="1" s="1"/>
  <c r="N634" i="1"/>
  <c r="K634" i="1"/>
  <c r="O634" i="1" s="1"/>
  <c r="N762" i="1"/>
  <c r="K762" i="1"/>
  <c r="O762" i="1" s="1"/>
  <c r="N177" i="1"/>
  <c r="O177" i="1"/>
  <c r="K1999" i="1"/>
  <c r="O1999" i="1" s="1"/>
  <c r="O1680" i="1" l="1"/>
  <c r="N1680" i="1"/>
  <c r="K513" i="1"/>
  <c r="O513" i="1" s="1"/>
  <c r="N513" i="1"/>
  <c r="N419" i="1" l="1"/>
  <c r="O419" i="1"/>
  <c r="K1811" i="1" l="1"/>
  <c r="O1718" i="1" l="1"/>
  <c r="N1718" i="1"/>
  <c r="G9" i="3" l="1"/>
  <c r="K600" i="1" l="1"/>
  <c r="K1456" i="1" l="1"/>
  <c r="K606" i="1"/>
  <c r="K989" i="1" l="1"/>
  <c r="O989" i="1" s="1"/>
  <c r="N989" i="1"/>
  <c r="K990" i="1"/>
  <c r="O990" i="1" s="1"/>
  <c r="N990" i="1"/>
  <c r="K992" i="1"/>
  <c r="O992" i="1" s="1"/>
  <c r="N992" i="1"/>
  <c r="O451" i="1" l="1"/>
  <c r="N451" i="1"/>
  <c r="O1989" i="1"/>
  <c r="N1989" i="1"/>
  <c r="K1547" i="1"/>
  <c r="N1547" i="1"/>
  <c r="O2149" i="1"/>
  <c r="N2149" i="1"/>
  <c r="O57" i="1"/>
  <c r="N57" i="1"/>
  <c r="N787" i="1" l="1"/>
  <c r="N1554" i="1" l="1"/>
  <c r="O1554" i="1"/>
  <c r="N1555" i="1"/>
  <c r="O1555" i="1"/>
  <c r="N1913" i="1"/>
  <c r="O1913" i="1"/>
  <c r="N239" i="1"/>
  <c r="O239" i="1"/>
  <c r="N1642" i="1" l="1"/>
  <c r="K1642" i="1"/>
  <c r="O1642" i="1" s="1"/>
  <c r="N785" i="1"/>
  <c r="K785" i="1"/>
  <c r="O785" i="1" s="1"/>
  <c r="N1886" i="1" l="1"/>
  <c r="O1886" i="1"/>
  <c r="K882" i="1" l="1"/>
  <c r="N882" i="1"/>
  <c r="N2072" i="1" l="1"/>
  <c r="O382" i="1" l="1"/>
  <c r="N382" i="1"/>
  <c r="K1947" i="1" l="1"/>
  <c r="O1947" i="1" s="1"/>
  <c r="N1947" i="1"/>
  <c r="K1326" i="1"/>
  <c r="O1326" i="1" s="1"/>
  <c r="N1326" i="1"/>
  <c r="O159" i="1" l="1"/>
  <c r="N159" i="1"/>
  <c r="K898" i="1"/>
  <c r="O898" i="1" s="1"/>
  <c r="O151" i="1"/>
  <c r="N151" i="1"/>
  <c r="K875" i="1"/>
  <c r="N1802" i="1" l="1"/>
  <c r="K1802" i="1"/>
  <c r="O1802" i="1" s="1"/>
  <c r="K1071" i="1" l="1"/>
  <c r="O2255" i="1"/>
  <c r="N2255" i="1"/>
  <c r="K1069" i="1"/>
  <c r="O1069" i="1" s="1"/>
  <c r="N1069" i="1"/>
  <c r="O1708" i="1"/>
  <c r="N1708" i="1"/>
  <c r="K1284" i="1"/>
  <c r="O1284" i="1" s="1"/>
  <c r="N1284" i="1"/>
  <c r="K1047" i="1"/>
  <c r="O1047" i="1" s="1"/>
  <c r="N1047" i="1"/>
  <c r="K1046" i="1"/>
  <c r="O1046" i="1" s="1"/>
  <c r="N1046" i="1"/>
  <c r="K1045" i="1"/>
  <c r="O1045" i="1" s="1"/>
  <c r="N1045" i="1"/>
  <c r="K1000" i="1"/>
  <c r="O1000" i="1" s="1"/>
  <c r="N1000" i="1"/>
  <c r="K999" i="1"/>
  <c r="O999" i="1" s="1"/>
  <c r="N999" i="1"/>
  <c r="K1014" i="1"/>
  <c r="O1014" i="1" s="1"/>
  <c r="N1014" i="1"/>
  <c r="K997" i="1"/>
  <c r="O997" i="1" s="1"/>
  <c r="N997" i="1"/>
  <c r="K996" i="1"/>
  <c r="O996" i="1" s="1"/>
  <c r="N996" i="1"/>
  <c r="K995" i="1"/>
  <c r="O995" i="1" s="1"/>
  <c r="N995" i="1"/>
  <c r="K994" i="1"/>
  <c r="O994" i="1" s="1"/>
  <c r="N994" i="1"/>
  <c r="K993" i="1"/>
  <c r="O993" i="1" s="1"/>
  <c r="N993" i="1"/>
  <c r="K991" i="1"/>
  <c r="O991" i="1" s="1"/>
  <c r="N991" i="1"/>
  <c r="K988" i="1"/>
  <c r="O988" i="1" s="1"/>
  <c r="N988" i="1"/>
  <c r="K724" i="1"/>
  <c r="K896" i="1"/>
  <c r="N896" i="1"/>
  <c r="K877" i="1"/>
  <c r="K873" i="1"/>
  <c r="K872" i="1"/>
  <c r="K164" i="1"/>
  <c r="N164" i="1"/>
  <c r="K1752" i="1"/>
  <c r="N1752" i="1"/>
  <c r="N893" i="1"/>
  <c r="N1876" i="1"/>
  <c r="K874" i="1"/>
  <c r="N874" i="1"/>
  <c r="K892" i="1"/>
  <c r="N892" i="1"/>
  <c r="K2214" i="1"/>
  <c r="K885" i="1"/>
  <c r="N709" i="1" l="1"/>
  <c r="K709" i="1"/>
  <c r="O709" i="1" s="1"/>
  <c r="K1722" i="1" l="1"/>
  <c r="N1722" i="1"/>
  <c r="K1565" i="1"/>
  <c r="N1565" i="1"/>
  <c r="K1971" i="1" l="1"/>
  <c r="O1971" i="1" s="1"/>
  <c r="N1971" i="1"/>
  <c r="H43" i="3" l="1"/>
  <c r="I43" i="3" s="1"/>
  <c r="K43" i="3" s="1"/>
  <c r="L43" i="3" s="1"/>
  <c r="M43" i="3" s="1"/>
  <c r="K2211" i="1" l="1"/>
  <c r="O2211" i="1" s="1"/>
  <c r="N2211" i="1"/>
  <c r="K2207" i="1"/>
  <c r="O369" i="1" l="1"/>
  <c r="N369" i="1"/>
  <c r="N2210" i="1" l="1"/>
  <c r="K2210" i="1"/>
  <c r="O2210" i="1" s="1"/>
  <c r="N1143" i="1"/>
  <c r="O1143" i="1"/>
  <c r="N1529" i="1"/>
  <c r="K1529" i="1"/>
  <c r="O1529" i="1" s="1"/>
  <c r="N2058" i="1"/>
  <c r="K2058" i="1"/>
  <c r="O2058" i="1" s="1"/>
  <c r="N1687" i="1"/>
  <c r="K1687" i="1"/>
  <c r="O1687" i="1" s="1"/>
  <c r="N1686" i="1"/>
  <c r="K1686" i="1"/>
  <c r="O1686" i="1" s="1"/>
  <c r="N1685" i="1"/>
  <c r="K1685" i="1"/>
  <c r="O1685" i="1" s="1"/>
  <c r="N1684" i="1"/>
  <c r="K1684" i="1"/>
  <c r="O1684" i="1" s="1"/>
  <c r="N1187" i="1"/>
  <c r="K1187" i="1"/>
  <c r="O1187" i="1" s="1"/>
  <c r="N1186" i="1"/>
  <c r="O1186" i="1"/>
  <c r="N1185" i="1"/>
  <c r="O1185" i="1"/>
  <c r="N1184" i="1"/>
  <c r="K1184" i="1"/>
  <c r="O1184" i="1" s="1"/>
  <c r="N1183" i="1"/>
  <c r="K1183" i="1"/>
  <c r="O1183" i="1" s="1"/>
  <c r="N1182" i="1"/>
  <c r="K1182" i="1"/>
  <c r="O1182" i="1" s="1"/>
  <c r="N1745" i="1"/>
  <c r="K1745" i="1"/>
  <c r="O1745" i="1" s="1"/>
  <c r="N1181" i="1"/>
  <c r="K1181" i="1"/>
  <c r="O1181" i="1" s="1"/>
  <c r="N867" i="1"/>
  <c r="K867" i="1"/>
  <c r="O867" i="1" s="1"/>
  <c r="N1151" i="1"/>
  <c r="K1151" i="1"/>
  <c r="O1151" i="1" s="1"/>
  <c r="O269" i="1"/>
  <c r="N1050" i="1" l="1"/>
  <c r="K1050" i="1"/>
  <c r="O1050" i="1" s="1"/>
  <c r="N1150" i="1"/>
  <c r="K1150" i="1"/>
  <c r="O1150" i="1" s="1"/>
  <c r="N1486" i="1"/>
  <c r="K1486" i="1"/>
  <c r="O1486" i="1" s="1"/>
  <c r="N935" i="1"/>
  <c r="O935" i="1"/>
  <c r="N883" i="1"/>
  <c r="K883" i="1"/>
  <c r="O883" i="1" s="1"/>
  <c r="N895" i="1"/>
  <c r="K895" i="1"/>
  <c r="O895" i="1" s="1"/>
  <c r="N2175" i="1"/>
  <c r="K2175" i="1"/>
  <c r="O2175" i="1" s="1"/>
  <c r="N464" i="1"/>
  <c r="O464" i="1"/>
  <c r="N410" i="1"/>
  <c r="O410" i="1"/>
  <c r="N1912" i="1"/>
  <c r="K1912" i="1"/>
  <c r="O1912" i="1" s="1"/>
  <c r="N1791" i="1"/>
  <c r="K1791" i="1"/>
  <c r="O1791" i="1" s="1"/>
  <c r="N1788" i="1"/>
  <c r="K1788" i="1"/>
  <c r="O1788" i="1" s="1"/>
  <c r="N861" i="1"/>
  <c r="K861" i="1"/>
  <c r="O861" i="1" s="1"/>
  <c r="N1115" i="1"/>
  <c r="K1115" i="1"/>
  <c r="O1115" i="1" s="1"/>
  <c r="N753" i="1"/>
  <c r="O753" i="1"/>
  <c r="N1737" i="1"/>
  <c r="O1737" i="1"/>
  <c r="N131" i="1"/>
  <c r="O131" i="1"/>
  <c r="N130" i="1"/>
  <c r="O130" i="1"/>
  <c r="N63" i="1"/>
  <c r="O63" i="1"/>
  <c r="N531" i="1"/>
  <c r="O531" i="1"/>
  <c r="N1993" i="1"/>
  <c r="O1993" i="1"/>
  <c r="N656" i="1"/>
  <c r="K656" i="1"/>
  <c r="O656" i="1" s="1"/>
  <c r="N110" i="1"/>
  <c r="O110" i="1"/>
  <c r="N2023" i="1"/>
  <c r="K2023" i="1"/>
  <c r="O2023" i="1" s="1"/>
  <c r="N1957" i="1"/>
  <c r="O1957" i="1"/>
  <c r="N2147" i="1"/>
  <c r="O2147" i="1"/>
  <c r="N727" i="1"/>
  <c r="O727" i="1"/>
  <c r="N2146" i="1"/>
  <c r="O2146" i="1"/>
  <c r="N844" i="1"/>
  <c r="K844" i="1"/>
  <c r="O844" i="1" s="1"/>
  <c r="N845" i="1"/>
  <c r="K845" i="1"/>
  <c r="O845" i="1" s="1"/>
  <c r="N566" i="1"/>
  <c r="K566" i="1"/>
  <c r="O566" i="1" s="1"/>
  <c r="N832" i="1"/>
  <c r="K832" i="1"/>
  <c r="O832" i="1" s="1"/>
  <c r="N746" i="1"/>
  <c r="O746" i="1"/>
  <c r="N631" i="1"/>
  <c r="O631" i="1"/>
  <c r="N633" i="1"/>
  <c r="O633" i="1"/>
  <c r="N1592" i="1"/>
  <c r="K1592" i="1"/>
  <c r="O1592" i="1" s="1"/>
  <c r="N255" i="1"/>
  <c r="O255" i="1"/>
  <c r="N904" i="1"/>
  <c r="K904" i="1"/>
  <c r="O904" i="1" s="1"/>
  <c r="N337" i="1" l="1"/>
  <c r="O337" i="1"/>
  <c r="O858" i="1"/>
  <c r="N858" i="1"/>
  <c r="N1546" i="1" l="1"/>
  <c r="O1546" i="1"/>
  <c r="N309" i="1"/>
  <c r="K697" i="1" l="1"/>
  <c r="O697" i="1" s="1"/>
  <c r="N697" i="1"/>
  <c r="O814" i="1"/>
  <c r="N814" i="1"/>
  <c r="N469" i="1" l="1"/>
  <c r="O469" i="1"/>
  <c r="N528" i="1"/>
  <c r="O528" i="1"/>
  <c r="N529" i="1"/>
  <c r="O529" i="1"/>
  <c r="N1962" i="1"/>
  <c r="O1962" i="1"/>
  <c r="N1959" i="1"/>
  <c r="O1959" i="1"/>
  <c r="N606" i="1"/>
  <c r="O606" i="1"/>
  <c r="N1751" i="1"/>
  <c r="K1751" i="1"/>
  <c r="O1751" i="1" s="1"/>
  <c r="N795" i="1"/>
  <c r="O795" i="1"/>
  <c r="N1690" i="1"/>
  <c r="K1690" i="1"/>
  <c r="O1690" i="1" s="1"/>
  <c r="N483" i="1"/>
  <c r="O483" i="1"/>
  <c r="O1908" i="1"/>
  <c r="N322" i="1" l="1"/>
  <c r="O322" i="1"/>
  <c r="N841" i="1"/>
  <c r="K841" i="1"/>
  <c r="O841" i="1" s="1"/>
  <c r="N1728" i="1"/>
  <c r="K1728" i="1"/>
  <c r="O1728" i="1" s="1"/>
  <c r="N913" i="1"/>
  <c r="O913" i="1"/>
  <c r="N230" i="1"/>
  <c r="O230" i="1"/>
  <c r="N1980" i="1"/>
  <c r="K1980" i="1"/>
  <c r="O1980" i="1" s="1"/>
  <c r="N1693" i="1"/>
  <c r="O1693" i="1"/>
  <c r="N1445" i="1"/>
  <c r="K1445" i="1"/>
  <c r="O1445" i="1" s="1"/>
  <c r="N1471" i="1"/>
  <c r="K1471" i="1"/>
  <c r="O1471" i="1" s="1"/>
  <c r="N1697" i="1"/>
  <c r="K1697" i="1"/>
  <c r="O1697" i="1" s="1"/>
  <c r="N1694" i="1"/>
  <c r="K1694" i="1"/>
  <c r="O1694" i="1" s="1"/>
  <c r="N1698" i="1"/>
  <c r="O1698" i="1"/>
  <c r="N523" i="1" l="1"/>
  <c r="N1837" i="1"/>
  <c r="N562" i="1"/>
  <c r="N563" i="1"/>
  <c r="N564" i="1"/>
  <c r="N565" i="1"/>
  <c r="N1679" i="1"/>
  <c r="N581" i="1"/>
  <c r="N17" i="1"/>
  <c r="N818" i="1"/>
  <c r="N1838" i="1"/>
  <c r="N2171" i="1"/>
  <c r="N1739" i="1"/>
  <c r="N1998" i="1"/>
  <c r="N304" i="1"/>
  <c r="N1534" i="1"/>
  <c r="N799" i="1"/>
  <c r="N695" i="1"/>
  <c r="N1037" i="1"/>
  <c r="N1746" i="1"/>
  <c r="N359" i="1"/>
  <c r="N1918" i="1"/>
  <c r="N1509" i="1"/>
  <c r="N1230" i="1"/>
  <c r="N1233" i="1"/>
  <c r="N1234" i="1"/>
  <c r="N1235" i="1"/>
  <c r="N1236" i="1"/>
  <c r="N1231" i="1"/>
  <c r="N1990" i="1"/>
  <c r="N545" i="1"/>
  <c r="N958" i="1"/>
  <c r="N639" i="1"/>
  <c r="N651" i="1"/>
  <c r="N2114" i="1"/>
  <c r="N957" i="1"/>
  <c r="N390" i="1"/>
  <c r="N2117" i="1"/>
  <c r="N273" i="1"/>
  <c r="N402" i="1"/>
  <c r="N365" i="1"/>
  <c r="N364" i="1"/>
  <c r="N378" i="1"/>
  <c r="N342" i="1"/>
  <c r="N1612" i="1"/>
  <c r="N1530" i="1"/>
  <c r="N519" i="1"/>
  <c r="N749" i="1"/>
  <c r="N1939" i="1"/>
  <c r="N526" i="1"/>
  <c r="N467" i="1"/>
  <c r="N2220" i="1"/>
  <c r="N209" i="1"/>
  <c r="N2116" i="1"/>
  <c r="N1498" i="1"/>
  <c r="N1500" i="1"/>
  <c r="N1499" i="1"/>
  <c r="N511" i="1"/>
  <c r="N1929" i="1"/>
  <c r="N1780" i="1"/>
  <c r="N1350" i="1"/>
  <c r="N522" i="1"/>
  <c r="N484" i="1"/>
  <c r="N2170" i="1"/>
  <c r="K523" i="1"/>
  <c r="O523" i="1" s="1"/>
  <c r="O1837" i="1"/>
  <c r="K562" i="1"/>
  <c r="O562" i="1" s="1"/>
  <c r="K563" i="1"/>
  <c r="O563" i="1" s="1"/>
  <c r="K564" i="1"/>
  <c r="O564" i="1" s="1"/>
  <c r="K565" i="1"/>
  <c r="O565" i="1" s="1"/>
  <c r="K1679" i="1"/>
  <c r="O1679" i="1" s="1"/>
  <c r="K581" i="1"/>
  <c r="O581" i="1" s="1"/>
  <c r="K17" i="1"/>
  <c r="O17" i="1" s="1"/>
  <c r="K818" i="1"/>
  <c r="O818" i="1" s="1"/>
  <c r="O1838" i="1"/>
  <c r="O2171" i="1"/>
  <c r="K1739" i="1"/>
  <c r="O1739" i="1" s="1"/>
  <c r="K1998" i="1"/>
  <c r="O1998" i="1" s="1"/>
  <c r="K1534" i="1"/>
  <c r="O1534" i="1" s="1"/>
  <c r="O174" i="1"/>
  <c r="O799" i="1"/>
  <c r="O695" i="1"/>
  <c r="K1749" i="1"/>
  <c r="O1749" i="1" s="1"/>
  <c r="K1037" i="1"/>
  <c r="O1037" i="1" s="1"/>
  <c r="K1746" i="1"/>
  <c r="O1746" i="1" s="1"/>
  <c r="K359" i="1"/>
  <c r="O359" i="1" s="1"/>
  <c r="O1914" i="1"/>
  <c r="O1918" i="1"/>
  <c r="O1509" i="1"/>
  <c r="O1717" i="1"/>
  <c r="K1230" i="1"/>
  <c r="O1230" i="1" s="1"/>
  <c r="K1233" i="1"/>
  <c r="O1233" i="1" s="1"/>
  <c r="K1234" i="1"/>
  <c r="O1234" i="1" s="1"/>
  <c r="K1235" i="1"/>
  <c r="O1235" i="1" s="1"/>
  <c r="K1236" i="1"/>
  <c r="O1236" i="1" s="1"/>
  <c r="K1231" i="1"/>
  <c r="O1231" i="1" s="1"/>
  <c r="O1990" i="1"/>
  <c r="K545" i="1"/>
  <c r="O545" i="1" s="1"/>
  <c r="K958" i="1"/>
  <c r="O958" i="1" s="1"/>
  <c r="O639" i="1"/>
  <c r="O651" i="1"/>
  <c r="O2114" i="1"/>
  <c r="O957" i="1"/>
  <c r="O390" i="1"/>
  <c r="O2117" i="1"/>
  <c r="O273" i="1"/>
  <c r="O402" i="1"/>
  <c r="O365" i="1"/>
  <c r="O364" i="1"/>
  <c r="O378" i="1"/>
  <c r="O342" i="1"/>
  <c r="O1612" i="1"/>
  <c r="K1530" i="1"/>
  <c r="O1530" i="1" s="1"/>
  <c r="K519" i="1"/>
  <c r="O519" i="1" s="1"/>
  <c r="K749" i="1"/>
  <c r="O749" i="1" s="1"/>
  <c r="K1939" i="1"/>
  <c r="O1939" i="1" s="1"/>
  <c r="K526" i="1"/>
  <c r="O526" i="1" s="1"/>
  <c r="O467" i="1"/>
  <c r="K2220" i="1"/>
  <c r="O2220" i="1" s="1"/>
  <c r="K209" i="1"/>
  <c r="O209" i="1" s="1"/>
  <c r="O2116" i="1"/>
  <c r="K1498" i="1"/>
  <c r="O1498" i="1" s="1"/>
  <c r="K1500" i="1"/>
  <c r="O1500" i="1" s="1"/>
  <c r="K1499" i="1"/>
  <c r="O1499" i="1" s="1"/>
  <c r="K511" i="1"/>
  <c r="O511" i="1" s="1"/>
  <c r="K1929" i="1"/>
  <c r="O1929" i="1" s="1"/>
  <c r="K1780" i="1"/>
  <c r="O1780" i="1" s="1"/>
  <c r="K1350" i="1"/>
  <c r="O1350" i="1" s="1"/>
  <c r="K522" i="1"/>
  <c r="O522" i="1" s="1"/>
  <c r="K484" i="1"/>
  <c r="O484" i="1" s="1"/>
  <c r="K2170" i="1"/>
  <c r="O2170" i="1" s="1"/>
  <c r="O304" i="1" l="1"/>
  <c r="O309" i="1"/>
  <c r="N979" i="1"/>
  <c r="O979" i="1"/>
  <c r="N1863" i="1" l="1"/>
  <c r="O1863" i="1"/>
  <c r="N1867" i="1"/>
  <c r="O1867" i="1"/>
  <c r="N216" i="1"/>
  <c r="K216" i="1"/>
  <c r="O216" i="1" s="1"/>
  <c r="K501" i="1"/>
  <c r="O501" i="1" s="1"/>
  <c r="N30" i="1" l="1"/>
  <c r="O30" i="1"/>
  <c r="N880" i="1"/>
  <c r="K880" i="1"/>
  <c r="O880" i="1" s="1"/>
  <c r="N640" i="1"/>
  <c r="K640" i="1"/>
  <c r="O640" i="1" s="1"/>
  <c r="N1634" i="1"/>
  <c r="K1634" i="1"/>
  <c r="O1634" i="1" s="1"/>
  <c r="N36" i="1"/>
  <c r="O36" i="1"/>
  <c r="O1909" i="1" l="1"/>
  <c r="N1677" i="1"/>
  <c r="O1677" i="1"/>
  <c r="N1676" i="1"/>
  <c r="O1676" i="1"/>
  <c r="N1674" i="1"/>
  <c r="O1674" i="1"/>
  <c r="N1673" i="1"/>
  <c r="O1673" i="1"/>
  <c r="N1663" i="1"/>
  <c r="O1663" i="1"/>
  <c r="N1671" i="1"/>
  <c r="O1671" i="1"/>
  <c r="N554" i="1"/>
  <c r="K554" i="1"/>
  <c r="O554" i="1" s="1"/>
  <c r="N556" i="1"/>
  <c r="O556" i="1"/>
  <c r="N1541" i="1"/>
  <c r="N1668" i="1"/>
  <c r="K1668" i="1"/>
  <c r="O1668" i="1" s="1"/>
  <c r="N2169" i="1"/>
  <c r="K2169" i="1"/>
  <c r="O2169" i="1" s="1"/>
  <c r="K787" i="1"/>
  <c r="O787" i="1" s="1"/>
  <c r="N748" i="1"/>
  <c r="K748" i="1"/>
  <c r="O748" i="1" s="1"/>
  <c r="N745" i="1"/>
  <c r="O745" i="1"/>
  <c r="N1701" i="1"/>
  <c r="K1701" i="1"/>
  <c r="O1701" i="1" s="1"/>
  <c r="N731" i="1"/>
  <c r="K731" i="1"/>
  <c r="O731" i="1" s="1"/>
  <c r="N1703" i="1"/>
  <c r="K1703" i="1"/>
  <c r="O1703" i="1" s="1"/>
  <c r="N741" i="1"/>
  <c r="K741" i="1"/>
  <c r="O741" i="1" s="1"/>
  <c r="N738" i="1"/>
  <c r="O738" i="1"/>
  <c r="N479" i="1"/>
  <c r="N720" i="1"/>
  <c r="K720" i="1"/>
  <c r="O720" i="1" s="1"/>
  <c r="N719" i="1"/>
  <c r="K719" i="1"/>
  <c r="O719" i="1" s="1"/>
  <c r="N1172" i="1"/>
  <c r="K1172" i="1"/>
  <c r="N561" i="1"/>
  <c r="K561" i="1"/>
  <c r="O561" i="1" s="1"/>
  <c r="N560" i="1"/>
  <c r="K560" i="1"/>
  <c r="O560" i="1" s="1"/>
  <c r="N681" i="1"/>
  <c r="K681" i="1"/>
  <c r="O681" i="1" s="1"/>
  <c r="N680" i="1"/>
  <c r="K680" i="1"/>
  <c r="O680" i="1" s="1"/>
  <c r="N679" i="1"/>
  <c r="K679" i="1"/>
  <c r="O679" i="1" s="1"/>
  <c r="N659" i="1"/>
  <c r="K659" i="1"/>
  <c r="O659" i="1" s="1"/>
  <c r="N879" i="1"/>
  <c r="K879" i="1"/>
  <c r="O879" i="1" s="1"/>
  <c r="N900" i="1"/>
  <c r="K900" i="1"/>
  <c r="O900" i="1" s="1"/>
  <c r="N1027" i="1"/>
  <c r="K1027" i="1"/>
  <c r="O1027" i="1" s="1"/>
  <c r="N1455" i="1"/>
  <c r="K1455" i="1"/>
  <c r="O1455" i="1" s="1"/>
  <c r="N1507" i="1"/>
  <c r="O1507" i="1"/>
  <c r="N91" i="1"/>
  <c r="O91" i="1"/>
  <c r="N2087" i="1"/>
  <c r="O2087" i="1"/>
  <c r="N612" i="1"/>
  <c r="O612" i="1"/>
  <c r="N613" i="1"/>
  <c r="O613" i="1"/>
  <c r="N524" i="1"/>
  <c r="K524" i="1"/>
  <c r="O524" i="1" s="1"/>
  <c r="N1669" i="1"/>
  <c r="K1669" i="1"/>
  <c r="O1669" i="1" s="1"/>
  <c r="N290" i="1"/>
  <c r="O290" i="1"/>
  <c r="N1312" i="1"/>
  <c r="K1312" i="1"/>
  <c r="O1312" i="1" s="1"/>
  <c r="N1510" i="1"/>
  <c r="O1510" i="1"/>
  <c r="N303" i="1"/>
  <c r="O303" i="1"/>
  <c r="N1646" i="1"/>
  <c r="K1646" i="1"/>
  <c r="O1646" i="1" s="1"/>
  <c r="N946" i="1"/>
  <c r="K946" i="1"/>
  <c r="O946" i="1" s="1"/>
  <c r="N1591" i="1"/>
  <c r="K1591" i="1"/>
  <c r="O1591" i="1" s="1"/>
  <c r="N1846" i="1"/>
  <c r="K1846" i="1"/>
  <c r="O1846" i="1" s="1"/>
  <c r="N831" i="1"/>
  <c r="K831" i="1"/>
  <c r="O831" i="1" s="1"/>
  <c r="N752" i="1"/>
  <c r="K752" i="1"/>
  <c r="O752" i="1" s="1"/>
  <c r="N1819" i="1"/>
  <c r="O1819" i="1"/>
  <c r="N2108" i="1"/>
  <c r="O2108" i="1"/>
  <c r="N1468" i="1"/>
  <c r="O1468" i="1"/>
  <c r="N211" i="1"/>
  <c r="O211" i="1"/>
  <c r="N1301" i="1"/>
  <c r="K1301" i="1"/>
  <c r="O1301" i="1" s="1"/>
  <c r="N1300" i="1"/>
  <c r="K1300" i="1"/>
  <c r="O1300" i="1" s="1"/>
  <c r="N1298" i="1"/>
  <c r="K1298" i="1"/>
  <c r="O1298" i="1" s="1"/>
  <c r="N1232" i="1"/>
  <c r="K1232" i="1"/>
  <c r="O1232" i="1" s="1"/>
  <c r="N1070" i="1"/>
  <c r="K1070" i="1"/>
  <c r="O1070" i="1" s="1"/>
  <c r="O1172" i="1" l="1"/>
  <c r="O465" i="1"/>
  <c r="N465" i="1"/>
  <c r="N758" i="1"/>
  <c r="O758" i="1"/>
  <c r="K1969" i="1"/>
  <c r="O1969" i="1" s="1"/>
  <c r="N1969" i="1"/>
  <c r="O1408" i="1"/>
  <c r="N1408" i="1"/>
  <c r="K677" i="1"/>
  <c r="O677" i="1" s="1"/>
  <c r="N677" i="1"/>
  <c r="O1170" i="1"/>
  <c r="N1170" i="1"/>
  <c r="O1210" i="1"/>
  <c r="N1210" i="1"/>
  <c r="O268" i="1"/>
  <c r="N268" i="1"/>
  <c r="O1569" i="1"/>
  <c r="N1569" i="1"/>
  <c r="O1779" i="1"/>
  <c r="N1779" i="1"/>
  <c r="O1611" i="1"/>
  <c r="N1611" i="1"/>
  <c r="K1997" i="1"/>
  <c r="O1997" i="1" s="1"/>
  <c r="N1997" i="1"/>
  <c r="O1532" i="1"/>
  <c r="N1532" i="1"/>
  <c r="K1587" i="1"/>
  <c r="O1587" i="1" s="1"/>
  <c r="N1587" i="1"/>
  <c r="K142" i="1"/>
  <c r="O142" i="1" s="1"/>
  <c r="N142" i="1"/>
  <c r="K1588" i="1"/>
  <c r="O1588" i="1" s="1"/>
  <c r="N1588" i="1"/>
  <c r="K144" i="1"/>
  <c r="O144" i="1" s="1"/>
  <c r="N144" i="1"/>
  <c r="K1580" i="1"/>
  <c r="O1580" i="1" s="1"/>
  <c r="N1580" i="1"/>
  <c r="K1585" i="1"/>
  <c r="O1585" i="1" s="1"/>
  <c r="N1585" i="1"/>
  <c r="K1805" i="1"/>
  <c r="O1805" i="1" s="1"/>
  <c r="N1805" i="1"/>
  <c r="K1810" i="1"/>
  <c r="O1810" i="1" s="1"/>
  <c r="N1810" i="1"/>
  <c r="O1165" i="1"/>
  <c r="N1165" i="1"/>
  <c r="K1817" i="1"/>
  <c r="O1817" i="1" s="1"/>
  <c r="N1817" i="1"/>
  <c r="K1831" i="1"/>
  <c r="O1831" i="1" s="1"/>
  <c r="N1831" i="1"/>
  <c r="K1830" i="1"/>
  <c r="O1830" i="1" s="1"/>
  <c r="N1830" i="1"/>
  <c r="K1829" i="1"/>
  <c r="O1829" i="1" s="1"/>
  <c r="N1829" i="1"/>
  <c r="O1191" i="1"/>
  <c r="N1191" i="1"/>
  <c r="O1192" i="1"/>
  <c r="N1192" i="1"/>
  <c r="O1193" i="1"/>
  <c r="N1193" i="1"/>
  <c r="O1194" i="1"/>
  <c r="N1194" i="1"/>
  <c r="O1195" i="1"/>
  <c r="N1195" i="1"/>
  <c r="K1299" i="1"/>
  <c r="O1299" i="1" s="1"/>
  <c r="N1299" i="1"/>
  <c r="O193" i="1"/>
  <c r="N193" i="1"/>
  <c r="O964" i="1"/>
  <c r="N964" i="1"/>
  <c r="O194" i="1"/>
  <c r="N194" i="1"/>
  <c r="K535" i="1"/>
  <c r="O535" i="1" s="1"/>
  <c r="N535" i="1"/>
  <c r="K515" i="1"/>
  <c r="O515" i="1" s="1"/>
  <c r="N515" i="1"/>
  <c r="K516" i="1"/>
  <c r="O516" i="1" s="1"/>
  <c r="N516" i="1"/>
  <c r="K1073" i="1"/>
  <c r="O1073" i="1" s="1"/>
  <c r="N1073" i="1"/>
  <c r="N976" i="1"/>
  <c r="O976" i="1"/>
  <c r="O2207" i="1"/>
  <c r="N2207" i="1"/>
  <c r="O148" i="1"/>
  <c r="N148" i="1"/>
  <c r="K1072" i="1"/>
  <c r="O1072" i="1" s="1"/>
  <c r="N1072" i="1"/>
  <c r="K1544" i="1" l="1"/>
  <c r="K6" i="1"/>
  <c r="K1833" i="1"/>
  <c r="H72" i="3" l="1"/>
  <c r="I72" i="3" s="1"/>
  <c r="K72" i="3" s="1"/>
  <c r="L72" i="3" s="1"/>
  <c r="M72" i="3" s="1"/>
  <c r="H71" i="3"/>
  <c r="I71" i="3" s="1"/>
  <c r="K71" i="3" s="1"/>
  <c r="L71" i="3" s="1"/>
  <c r="M71" i="3" s="1"/>
  <c r="H26" i="3"/>
  <c r="H70" i="3"/>
  <c r="I70" i="3" s="1"/>
  <c r="K70" i="3" s="1"/>
  <c r="L70" i="3" s="1"/>
  <c r="M70" i="3" s="1"/>
  <c r="H62" i="3"/>
  <c r="I62" i="3" s="1"/>
  <c r="K62" i="3" s="1"/>
  <c r="L62" i="3" s="1"/>
  <c r="M62" i="3" s="1"/>
  <c r="H64" i="3" l="1"/>
  <c r="I64" i="3" s="1"/>
  <c r="K64" i="3" s="1"/>
  <c r="L64" i="3" s="1"/>
  <c r="M64" i="3" s="1"/>
  <c r="I26" i="3"/>
  <c r="K26" i="3" s="1"/>
  <c r="L26" i="3" s="1"/>
  <c r="M26" i="3" s="1"/>
  <c r="G8" i="3"/>
  <c r="H65" i="3" l="1"/>
  <c r="I65" i="3" s="1"/>
  <c r="K65" i="3" s="1"/>
  <c r="L65" i="3" s="1"/>
  <c r="M65" i="3" s="1"/>
  <c r="G4" i="3"/>
  <c r="H4" i="3" s="1"/>
  <c r="I4" i="3" s="1"/>
  <c r="K4" i="3" s="1"/>
  <c r="L4" i="3" s="1"/>
  <c r="M4" i="3" s="1"/>
  <c r="H5" i="3"/>
  <c r="I5" i="3" s="1"/>
  <c r="K5" i="3" s="1"/>
  <c r="L5" i="3" s="1"/>
  <c r="M5" i="3" s="1"/>
  <c r="H8" i="3"/>
  <c r="I8" i="3" s="1"/>
  <c r="K8" i="3" s="1"/>
  <c r="L8" i="3" s="1"/>
  <c r="M8" i="3" s="1"/>
  <c r="H9" i="3"/>
  <c r="I9" i="3" s="1"/>
  <c r="K9" i="3" s="1"/>
  <c r="L9" i="3" s="1"/>
  <c r="M9" i="3" s="1"/>
  <c r="G14" i="3"/>
  <c r="H14" i="3" s="1"/>
  <c r="I14" i="3" s="1"/>
  <c r="K14" i="3" s="1"/>
  <c r="L14" i="3" s="1"/>
  <c r="M14" i="3" s="1"/>
  <c r="G16" i="3"/>
  <c r="H16" i="3" s="1"/>
  <c r="I16" i="3" s="1"/>
  <c r="K16" i="3" s="1"/>
  <c r="L16" i="3" s="1"/>
  <c r="M16" i="3" s="1"/>
  <c r="G17" i="3"/>
  <c r="H17" i="3" s="1"/>
  <c r="I17" i="3" s="1"/>
  <c r="K17" i="3" s="1"/>
  <c r="L17" i="3" s="1"/>
  <c r="M17" i="3" s="1"/>
  <c r="H21" i="3"/>
  <c r="I21" i="3" s="1"/>
  <c r="K21" i="3" s="1"/>
  <c r="L21" i="3" s="1"/>
  <c r="M21" i="3" s="1"/>
  <c r="G15" i="3"/>
  <c r="H15" i="3" s="1"/>
  <c r="H23" i="3"/>
  <c r="K23" i="3" s="1"/>
  <c r="L23" i="3" s="1"/>
  <c r="M23" i="3" s="1"/>
  <c r="H27" i="3"/>
  <c r="I27" i="3" s="1"/>
  <c r="K27" i="3" s="1"/>
  <c r="L27" i="3" s="1"/>
  <c r="M27" i="3" s="1"/>
  <c r="G6" i="3"/>
  <c r="H6" i="3" s="1"/>
  <c r="I6" i="3" s="1"/>
  <c r="K6" i="3" s="1"/>
  <c r="L6" i="3" s="1"/>
  <c r="M6" i="3" s="1"/>
  <c r="H30" i="3"/>
  <c r="I30" i="3" s="1"/>
  <c r="K30" i="3" s="1"/>
  <c r="L30" i="3" s="1"/>
  <c r="M30" i="3" s="1"/>
  <c r="H22" i="3"/>
  <c r="I22" i="3" s="1"/>
  <c r="K22" i="3" s="1"/>
  <c r="L22" i="3" s="1"/>
  <c r="M22" i="3" s="1"/>
  <c r="H29" i="3"/>
  <c r="I29" i="3" s="1"/>
  <c r="K29" i="3" s="1"/>
  <c r="L29" i="3" s="1"/>
  <c r="M29" i="3" s="1"/>
  <c r="H34" i="3"/>
  <c r="I34" i="3" s="1"/>
  <c r="K34" i="3" s="1"/>
  <c r="L34" i="3" s="1"/>
  <c r="M34" i="3" s="1"/>
  <c r="H35" i="3"/>
  <c r="I35" i="3" s="1"/>
  <c r="K35" i="3" s="1"/>
  <c r="L35" i="3" s="1"/>
  <c r="M35" i="3" s="1"/>
  <c r="H32" i="3"/>
  <c r="I32" i="3" s="1"/>
  <c r="K32" i="3" s="1"/>
  <c r="L32" i="3" s="1"/>
  <c r="M32" i="3" s="1"/>
  <c r="H37" i="3"/>
  <c r="I37" i="3" s="1"/>
  <c r="K37" i="3" s="1"/>
  <c r="L37" i="3" s="1"/>
  <c r="M37" i="3" s="1"/>
  <c r="H38" i="3"/>
  <c r="I38" i="3" s="1"/>
  <c r="K38" i="3" s="1"/>
  <c r="L38" i="3" s="1"/>
  <c r="M38" i="3" s="1"/>
  <c r="H39" i="3"/>
  <c r="I39" i="3" s="1"/>
  <c r="K39" i="3" s="1"/>
  <c r="L39" i="3" s="1"/>
  <c r="M39" i="3" s="1"/>
  <c r="H41" i="3"/>
  <c r="I41" i="3" s="1"/>
  <c r="L41" i="3" s="1"/>
  <c r="M41" i="3" s="1"/>
  <c r="I48" i="3"/>
  <c r="K48" i="3" s="1"/>
  <c r="L48" i="3" s="1"/>
  <c r="M48" i="3" s="1"/>
  <c r="H44" i="3"/>
  <c r="I44" i="3" s="1"/>
  <c r="K44" i="3" s="1"/>
  <c r="L44" i="3" s="1"/>
  <c r="M44" i="3" s="1"/>
  <c r="H53" i="3"/>
  <c r="K53" i="3" s="1"/>
  <c r="L53" i="3" s="1"/>
  <c r="M53" i="3" s="1"/>
  <c r="H54" i="3"/>
  <c r="I54" i="3" s="1"/>
  <c r="K54" i="3" s="1"/>
  <c r="L54" i="3" s="1"/>
  <c r="M54" i="3" s="1"/>
  <c r="H56" i="3"/>
  <c r="I56" i="3" s="1"/>
  <c r="K56" i="3" s="1"/>
  <c r="L56" i="3" s="1"/>
  <c r="M56" i="3" s="1"/>
  <c r="H58" i="3"/>
  <c r="I58" i="3" s="1"/>
  <c r="K58" i="3" s="1"/>
  <c r="L58" i="3" s="1"/>
  <c r="M58" i="3" s="1"/>
  <c r="H60" i="3"/>
  <c r="K60" i="3" s="1"/>
  <c r="L60" i="3" s="1"/>
  <c r="M60" i="3" s="1"/>
  <c r="H61" i="3"/>
  <c r="I61" i="3" s="1"/>
  <c r="K61" i="3" s="1"/>
  <c r="L61" i="3" s="1"/>
  <c r="M61" i="3" s="1"/>
  <c r="G2" i="3"/>
  <c r="H2" i="3" s="1"/>
  <c r="H45" i="3" l="1"/>
  <c r="I45" i="3" s="1"/>
  <c r="K45" i="3" s="1"/>
  <c r="L45" i="3" s="1"/>
  <c r="M45" i="3" s="1"/>
  <c r="H52" i="3"/>
  <c r="I52" i="3" s="1"/>
  <c r="K52" i="3" s="1"/>
  <c r="L52" i="3" s="1"/>
  <c r="M52" i="3" s="1"/>
  <c r="I15" i="3"/>
  <c r="K15" i="3" s="1"/>
  <c r="L15" i="3" s="1"/>
  <c r="M15" i="3" s="1"/>
  <c r="I2" i="3"/>
  <c r="K2" i="3" s="1"/>
  <c r="L2" i="3" s="1"/>
  <c r="M2" i="3" s="1"/>
  <c r="O1443" i="1"/>
  <c r="N1443" i="1"/>
  <c r="O1206" i="1"/>
  <c r="N1206" i="1"/>
  <c r="O368" i="1"/>
  <c r="N368" i="1"/>
  <c r="O1839" i="1"/>
  <c r="N1839" i="1"/>
  <c r="O1840" i="1"/>
  <c r="O1748" i="1"/>
  <c r="N1748" i="1"/>
  <c r="O155" i="1"/>
  <c r="N155" i="1"/>
  <c r="O1631" i="1"/>
  <c r="N1631" i="1"/>
  <c r="O1707" i="1"/>
  <c r="N1707" i="1"/>
  <c r="K1911" i="1"/>
  <c r="O1911" i="1" s="1"/>
  <c r="N1911" i="1"/>
  <c r="K446" i="1"/>
  <c r="O446" i="1" s="1"/>
  <c r="N446" i="1"/>
  <c r="K1605" i="1"/>
  <c r="O1605" i="1" s="1"/>
  <c r="N1605" i="1"/>
  <c r="K2024" i="1"/>
  <c r="O2024" i="1" s="1"/>
  <c r="N2024" i="1"/>
  <c r="K593" i="1"/>
  <c r="O593" i="1" s="1"/>
  <c r="K551" i="1"/>
  <c r="O551" i="1" s="1"/>
  <c r="N551" i="1"/>
  <c r="K601" i="1"/>
  <c r="O601" i="1" s="1"/>
  <c r="N601" i="1"/>
  <c r="K1083" i="1"/>
  <c r="O1083" i="1" s="1"/>
  <c r="N1083" i="1"/>
  <c r="K604" i="1"/>
  <c r="O604" i="1" s="1"/>
  <c r="N604" i="1"/>
  <c r="O552" i="1"/>
  <c r="N552" i="1"/>
  <c r="K588" i="1"/>
  <c r="O588" i="1" s="1"/>
  <c r="N588" i="1"/>
  <c r="N938" i="1"/>
  <c r="O938" i="1"/>
  <c r="N1833" i="1"/>
  <c r="O1833" i="1"/>
  <c r="N184" i="1"/>
  <c r="O184" i="1"/>
  <c r="N1544" i="1"/>
  <c r="O1544" i="1"/>
  <c r="N6" i="1"/>
  <c r="O6" i="1"/>
  <c r="N128" i="1"/>
  <c r="O128" i="1"/>
  <c r="O7" i="1"/>
  <c r="N7" i="1"/>
  <c r="O129" i="1"/>
  <c r="N129" i="1"/>
  <c r="O1630" i="1"/>
  <c r="N1630" i="1"/>
  <c r="O100" i="1"/>
  <c r="N100" i="1"/>
  <c r="O106" i="1"/>
  <c r="N106" i="1"/>
  <c r="K943" i="1"/>
  <c r="O943" i="1" s="1"/>
  <c r="N943" i="1"/>
  <c r="O224" i="1"/>
  <c r="N224" i="1"/>
  <c r="K807" i="1"/>
  <c r="O807" i="1" s="1"/>
  <c r="N807" i="1"/>
  <c r="K927" i="1"/>
  <c r="O927" i="1" s="1"/>
  <c r="N927" i="1"/>
  <c r="O591" i="1"/>
  <c r="N591" i="1"/>
  <c r="K1086" i="1"/>
  <c r="O1086" i="1" s="1"/>
  <c r="N1086" i="1"/>
  <c r="K2203" i="1"/>
  <c r="O2203" i="1" s="1"/>
  <c r="N2203" i="1"/>
  <c r="K1730" i="1"/>
  <c r="O1730" i="1" s="1"/>
  <c r="N1730" i="1"/>
  <c r="K1927" i="1"/>
  <c r="O1927" i="1" s="1"/>
  <c r="N1927" i="1"/>
  <c r="K504" i="1"/>
  <c r="O504" i="1" s="1"/>
  <c r="N504" i="1"/>
  <c r="K934" i="1"/>
  <c r="O934" i="1" s="1"/>
  <c r="N934" i="1"/>
  <c r="K936" i="1"/>
  <c r="O936" i="1" s="1"/>
  <c r="N936" i="1"/>
  <c r="K804" i="1"/>
  <c r="O804" i="1" s="1"/>
  <c r="N804" i="1"/>
  <c r="K143" i="1"/>
  <c r="O143" i="1" s="1"/>
  <c r="N143" i="1"/>
  <c r="K145" i="1"/>
  <c r="O145" i="1" s="1"/>
  <c r="N145" i="1"/>
  <c r="O1" i="1"/>
  <c r="N1" i="1"/>
  <c r="K944" i="1"/>
  <c r="O944" i="1" s="1"/>
  <c r="N944" i="1"/>
  <c r="O227" i="1"/>
  <c r="N227" i="1"/>
  <c r="K959" i="1"/>
  <c r="O959" i="1" s="1"/>
  <c r="N959" i="1"/>
  <c r="K1902" i="1"/>
  <c r="O1902" i="1" s="1"/>
  <c r="N1902" i="1"/>
  <c r="K960" i="1"/>
  <c r="O960" i="1" s="1"/>
  <c r="N960" i="1"/>
  <c r="O1787" i="1"/>
  <c r="N1787" i="1"/>
  <c r="K1794" i="1"/>
  <c r="O1794" i="1" s="1"/>
  <c r="N1794" i="1"/>
  <c r="K338" i="1"/>
  <c r="O338" i="1" s="1"/>
  <c r="N338" i="1"/>
  <c r="O463" i="1"/>
  <c r="N463" i="1"/>
  <c r="K1505" i="1"/>
  <c r="O1505" i="1" s="1"/>
  <c r="K788" i="1"/>
  <c r="O788" i="1" s="1"/>
  <c r="N788" i="1"/>
  <c r="O730" i="1"/>
  <c r="N730" i="1"/>
  <c r="K1543" i="1"/>
  <c r="O1543" i="1" s="1"/>
  <c r="N1543" i="1"/>
  <c r="K1577" i="1"/>
  <c r="O1577" i="1" s="1"/>
  <c r="N1577" i="1"/>
  <c r="O1506" i="1"/>
  <c r="N1506" i="1"/>
  <c r="O1600" i="1"/>
  <c r="N1600" i="1"/>
  <c r="K2110" i="1"/>
  <c r="O2110" i="1" s="1"/>
  <c r="N2110" i="1"/>
  <c r="K502" i="1"/>
  <c r="O502" i="1" s="1"/>
  <c r="N502" i="1"/>
  <c r="O2072" i="1"/>
  <c r="O2073" i="1"/>
  <c r="N2073" i="1"/>
  <c r="O653" i="1"/>
  <c r="N653" i="1"/>
  <c r="K1173" i="1"/>
  <c r="O1173" i="1" s="1"/>
  <c r="N1173" i="1"/>
  <c r="K647" i="1"/>
  <c r="O647" i="1" s="1"/>
  <c r="N647" i="1"/>
  <c r="K418" i="1"/>
  <c r="O418" i="1" s="1"/>
  <c r="N418" i="1"/>
  <c r="K1895" i="1"/>
  <c r="O1895" i="1" s="1"/>
  <c r="N1895" i="1"/>
  <c r="K1896" i="1"/>
  <c r="O1896" i="1" s="1"/>
  <c r="N1896" i="1"/>
  <c r="K1008" i="1"/>
  <c r="O1008" i="1" s="1"/>
  <c r="N1008" i="1"/>
  <c r="O1921" i="1"/>
  <c r="K1410" i="1"/>
  <c r="O1410" i="1" s="1"/>
  <c r="N1410" i="1"/>
  <c r="O1564" i="1"/>
  <c r="N1564" i="1"/>
  <c r="K1164" i="1"/>
  <c r="O1164" i="1" s="1"/>
  <c r="N1164" i="1"/>
  <c r="K1167" i="1"/>
  <c r="O1167" i="1" s="1"/>
  <c r="N1167" i="1"/>
  <c r="K1448" i="1"/>
  <c r="O1448" i="1" s="1"/>
  <c r="N1448" i="1"/>
  <c r="K1449" i="1"/>
  <c r="O1449" i="1" s="1"/>
  <c r="N1449" i="1"/>
  <c r="K1450" i="1"/>
  <c r="O1450" i="1" s="1"/>
  <c r="N1450" i="1"/>
  <c r="K1451" i="1"/>
  <c r="O1451" i="1" s="1"/>
  <c r="N1451" i="1"/>
  <c r="K1875" i="1"/>
  <c r="O1875" i="1" s="1"/>
  <c r="N1875" i="1"/>
  <c r="K1135" i="1"/>
  <c r="O1135" i="1" s="1"/>
  <c r="N1135" i="1"/>
  <c r="K1068" i="1"/>
  <c r="O1068" i="1" s="1"/>
  <c r="N1068" i="1"/>
  <c r="K2208" i="1"/>
  <c r="O2208" i="1" s="1"/>
  <c r="N2208" i="1"/>
  <c r="K2209" i="1"/>
  <c r="O2209" i="1" s="1"/>
  <c r="N2209" i="1"/>
  <c r="K1166" i="1"/>
  <c r="O1166" i="1" s="1"/>
  <c r="N1166" i="1"/>
  <c r="K750" i="1"/>
  <c r="O750" i="1" s="1"/>
  <c r="N750" i="1"/>
  <c r="K751" i="1"/>
  <c r="O751" i="1" s="1"/>
  <c r="N751" i="1"/>
  <c r="O1136" i="1"/>
  <c r="N1136" i="1"/>
  <c r="K1806" i="1"/>
  <c r="O1806" i="1" s="1"/>
  <c r="N1806" i="1"/>
  <c r="K1807" i="1"/>
  <c r="O1807" i="1" s="1"/>
  <c r="N1807" i="1"/>
  <c r="K1808" i="1"/>
  <c r="O1808" i="1" s="1"/>
  <c r="N1808" i="1"/>
  <c r="K1809" i="1"/>
  <c r="O1809" i="1" s="1"/>
  <c r="N1809" i="1"/>
  <c r="O1811" i="1"/>
  <c r="N1811" i="1"/>
  <c r="K1812" i="1"/>
  <c r="O1812" i="1" s="1"/>
  <c r="N1812" i="1"/>
  <c r="K1814" i="1"/>
  <c r="O1814" i="1" s="1"/>
  <c r="N1814" i="1"/>
  <c r="K1816" i="1"/>
  <c r="O1816" i="1" s="1"/>
  <c r="N1816" i="1"/>
  <c r="O2057" i="1" l="1"/>
  <c r="N2057" i="1"/>
  <c r="O412" i="1"/>
  <c r="N412" i="1"/>
  <c r="O1847" i="1"/>
  <c r="O162" i="1"/>
  <c r="N162" i="1"/>
  <c r="O295" i="1"/>
  <c r="N295" i="1"/>
  <c r="O152" i="1"/>
  <c r="N152" i="1"/>
  <c r="O455" i="1"/>
  <c r="N455" i="1"/>
  <c r="K1423" i="1"/>
  <c r="N1423" i="1"/>
  <c r="K1424" i="1"/>
  <c r="O1424" i="1" s="1"/>
  <c r="N1424" i="1"/>
  <c r="O459" i="1"/>
  <c r="N459" i="1"/>
  <c r="K1425" i="1"/>
  <c r="O1425" i="1" s="1"/>
  <c r="N1425" i="1"/>
  <c r="K1682" i="1"/>
  <c r="O1682" i="1" s="1"/>
  <c r="N1682" i="1"/>
  <c r="O154" i="1"/>
  <c r="N154" i="1"/>
  <c r="O770" i="1"/>
  <c r="N770" i="1"/>
  <c r="O1625" i="1"/>
  <c r="N1625" i="1"/>
  <c r="O202" i="1"/>
  <c r="N202" i="1"/>
  <c r="O203" i="1"/>
  <c r="N203" i="1"/>
  <c r="O204" i="1"/>
  <c r="N204" i="1"/>
  <c r="O201" i="1"/>
  <c r="N201" i="1"/>
  <c r="O1325" i="1"/>
  <c r="N1325" i="1"/>
  <c r="O2069" i="1"/>
  <c r="N2069" i="1"/>
  <c r="O2068" i="1"/>
  <c r="N2068" i="1"/>
  <c r="O279" i="1"/>
  <c r="N279" i="1"/>
  <c r="O92" i="1"/>
  <c r="N92" i="1"/>
  <c r="O786" i="1"/>
  <c r="N786" i="1"/>
  <c r="O1966" i="1"/>
  <c r="N1966" i="1"/>
  <c r="O1447" i="1"/>
  <c r="N1447" i="1"/>
  <c r="O1891" i="1"/>
  <c r="N1891" i="1"/>
  <c r="K312" i="1"/>
  <c r="O312" i="1" s="1"/>
  <c r="N312" i="1"/>
  <c r="O361" i="1"/>
  <c r="N361" i="1"/>
  <c r="O2215" i="1"/>
  <c r="N2215" i="1"/>
  <c r="O642" i="1"/>
  <c r="N642" i="1"/>
  <c r="O391" i="1"/>
  <c r="N391" i="1"/>
  <c r="O2216" i="1"/>
  <c r="N2216" i="1"/>
  <c r="K1801" i="1"/>
  <c r="O1801" i="1" s="1"/>
  <c r="N1801" i="1"/>
  <c r="O1996" i="1"/>
  <c r="N1996" i="1"/>
  <c r="O1617" i="1"/>
  <c r="N1617" i="1"/>
  <c r="K215" i="1"/>
  <c r="O215" i="1" s="1"/>
  <c r="N215" i="1"/>
  <c r="K575" i="1"/>
  <c r="O575" i="1" s="1"/>
  <c r="N575" i="1"/>
  <c r="O1553" i="1"/>
  <c r="N1553" i="1"/>
  <c r="O256" i="1"/>
  <c r="N256" i="1"/>
  <c r="O1061" i="1"/>
  <c r="N1061" i="1"/>
  <c r="O1678" i="1"/>
  <c r="N1678" i="1"/>
  <c r="O1956" i="1"/>
  <c r="N1956" i="1"/>
  <c r="O1602" i="1"/>
  <c r="N1602" i="1"/>
  <c r="O265" i="1"/>
  <c r="N265" i="1"/>
  <c r="O266" i="1"/>
  <c r="N266" i="1"/>
  <c r="O1881" i="1"/>
  <c r="N1881" i="1"/>
  <c r="O2070" i="1"/>
  <c r="N2070" i="1"/>
  <c r="O1820" i="1"/>
  <c r="N1820" i="1"/>
  <c r="O126" i="1"/>
  <c r="N126" i="1"/>
  <c r="O125" i="1"/>
  <c r="N125" i="1"/>
  <c r="O380" i="1"/>
  <c r="N380" i="1"/>
  <c r="O2250" i="1"/>
  <c r="N2250" i="1"/>
  <c r="O243" i="1"/>
  <c r="N243" i="1"/>
  <c r="O2012" i="1"/>
  <c r="N2012" i="1"/>
  <c r="O344" i="1"/>
  <c r="N344" i="1"/>
  <c r="O2140" i="1"/>
  <c r="N2140" i="1"/>
  <c r="O1743" i="1"/>
  <c r="N1743" i="1"/>
  <c r="O1755" i="1"/>
  <c r="N1755" i="1"/>
  <c r="O572" i="1"/>
  <c r="N572" i="1"/>
  <c r="O1756" i="1"/>
  <c r="N1756" i="1"/>
  <c r="K1742" i="1"/>
  <c r="O1742" i="1" s="1"/>
  <c r="N1742" i="1"/>
  <c r="O350" i="1"/>
  <c r="N350" i="1"/>
  <c r="O405" i="1"/>
  <c r="N405" i="1"/>
  <c r="O409" i="1"/>
  <c r="N409" i="1"/>
  <c r="O414" i="1"/>
  <c r="N414" i="1"/>
  <c r="O101" i="1"/>
  <c r="N101" i="1"/>
  <c r="O420" i="1"/>
  <c r="N420" i="1"/>
  <c r="O225" i="1"/>
  <c r="N225" i="1"/>
  <c r="O442" i="1"/>
  <c r="N442" i="1"/>
  <c r="O408" i="1"/>
  <c r="N408" i="1"/>
  <c r="O260" i="1"/>
  <c r="N260" i="1"/>
  <c r="O1963" i="1"/>
  <c r="N1963" i="1"/>
  <c r="O486" i="1"/>
  <c r="N486" i="1"/>
  <c r="K1349" i="1"/>
  <c r="O1349" i="1" s="1"/>
  <c r="N1349" i="1"/>
  <c r="O1621" i="1"/>
  <c r="N1621" i="1"/>
  <c r="K1422" i="1"/>
  <c r="O1422" i="1" s="1"/>
  <c r="N1422" i="1"/>
  <c r="O881" i="1"/>
  <c r="N881" i="1"/>
  <c r="K1123" i="1"/>
  <c r="O1123" i="1" s="1"/>
  <c r="N1123" i="1"/>
  <c r="O381" i="1"/>
  <c r="N381" i="1"/>
  <c r="K886" i="1"/>
  <c r="O886" i="1" s="1"/>
  <c r="N886" i="1"/>
  <c r="K1681" i="1"/>
  <c r="O1681" i="1" s="1"/>
  <c r="N1681" i="1"/>
  <c r="K2014" i="1"/>
  <c r="O725" i="1" s="1"/>
  <c r="N2014" i="1"/>
  <c r="O1691" i="1"/>
  <c r="N1691" i="1"/>
  <c r="K2120" i="1"/>
  <c r="O2120" i="1" s="1"/>
  <c r="N2120" i="1"/>
  <c r="O427" i="1"/>
  <c r="N427" i="1"/>
  <c r="K210" i="1"/>
  <c r="O210" i="1" s="1"/>
  <c r="N210" i="1"/>
  <c r="O1462" i="1"/>
  <c r="N1462" i="1"/>
  <c r="O728" i="1"/>
  <c r="N728" i="1"/>
  <c r="O1753" i="1"/>
  <c r="N1753" i="1"/>
  <c r="O729" i="1"/>
  <c r="N729" i="1"/>
  <c r="K906" i="1"/>
  <c r="O906" i="1" s="1"/>
  <c r="N906" i="1"/>
  <c r="K35" i="1"/>
  <c r="O35" i="1" s="1"/>
  <c r="N35" i="1"/>
  <c r="O75" i="1"/>
  <c r="N75" i="1"/>
  <c r="O76" i="1"/>
  <c r="N76" i="1"/>
  <c r="O838" i="1"/>
  <c r="N838" i="1"/>
  <c r="K1146" i="1"/>
  <c r="N1146" i="1"/>
  <c r="K537" i="1"/>
  <c r="O537" i="1" s="1"/>
  <c r="N537" i="1"/>
  <c r="K594" i="1"/>
  <c r="O594" i="1" s="1"/>
  <c r="N594" i="1"/>
  <c r="K1066" i="1"/>
  <c r="O1066" i="1" s="1"/>
  <c r="N1066" i="1"/>
  <c r="O616" i="1"/>
  <c r="N616" i="1"/>
  <c r="O615" i="1"/>
  <c r="N615" i="1"/>
  <c r="O229" i="1"/>
  <c r="N229" i="1"/>
  <c r="O1917" i="1"/>
  <c r="N1917" i="1"/>
  <c r="O1512" i="1"/>
  <c r="N1512" i="1"/>
  <c r="K538" i="1"/>
  <c r="O538" i="1" s="1"/>
  <c r="N538" i="1"/>
  <c r="K776" i="1"/>
  <c r="O776" i="1" s="1"/>
  <c r="N776" i="1"/>
  <c r="K1100" i="1"/>
  <c r="O1100" i="1" s="1"/>
  <c r="N1100" i="1"/>
  <c r="O387" i="1"/>
  <c r="N387" i="1"/>
  <c r="O1983" i="1"/>
  <c r="N1983" i="1"/>
  <c r="O259" i="1"/>
  <c r="N259" i="1"/>
  <c r="O271" i="1"/>
  <c r="N271" i="1"/>
  <c r="K690" i="1"/>
  <c r="O690" i="1" s="1"/>
  <c r="N690" i="1"/>
  <c r="O278" i="1"/>
  <c r="N278" i="1"/>
  <c r="O1699" i="1"/>
  <c r="O1700" i="1"/>
  <c r="O1563" i="1"/>
  <c r="N1563" i="1"/>
  <c r="O1715" i="1"/>
  <c r="N1715" i="1"/>
  <c r="O1716" i="1"/>
  <c r="N1716" i="1"/>
  <c r="O1661" i="1"/>
  <c r="N1661" i="1"/>
  <c r="O1662" i="1"/>
  <c r="N1662" i="1"/>
  <c r="O704" i="1"/>
  <c r="N704" i="1"/>
  <c r="O737" i="1"/>
  <c r="N737" i="1"/>
  <c r="O688" i="1"/>
  <c r="N688" i="1"/>
  <c r="O1692" i="1"/>
  <c r="N1692" i="1"/>
  <c r="K1067" i="1"/>
  <c r="O1067" i="1" s="1"/>
  <c r="N1067" i="1"/>
  <c r="K1903" i="1"/>
  <c r="O1903" i="1" s="1"/>
  <c r="N1903" i="1"/>
  <c r="O1457" i="1"/>
  <c r="N1457" i="1"/>
  <c r="O1695" i="1"/>
  <c r="N1695" i="1"/>
  <c r="O1645" i="1"/>
  <c r="N1645" i="1"/>
  <c r="O1675" i="1"/>
  <c r="N1675" i="1"/>
  <c r="O1672" i="1"/>
  <c r="N1672" i="1"/>
  <c r="O1035" i="1"/>
  <c r="N1035" i="1"/>
  <c r="O781" i="1"/>
  <c r="N781" i="1"/>
  <c r="O1604" i="1"/>
  <c r="N1604" i="1"/>
  <c r="O777" i="1"/>
  <c r="N777" i="1"/>
  <c r="K783" i="1"/>
  <c r="O783" i="1" s="1"/>
  <c r="N783" i="1"/>
  <c r="O798" i="1"/>
  <c r="N798" i="1"/>
  <c r="O40" i="1"/>
  <c r="N40" i="1"/>
  <c r="K1578" i="1"/>
  <c r="O1578" i="1" s="1"/>
  <c r="N1578" i="1"/>
  <c r="K915" i="1"/>
  <c r="O915" i="1" s="1"/>
  <c r="N915" i="1"/>
  <c r="K654" i="1"/>
  <c r="O654" i="1" s="1"/>
  <c r="N654" i="1"/>
  <c r="N725" i="1"/>
  <c r="N726" i="1"/>
  <c r="K1683" i="1"/>
  <c r="O1683" i="1" s="1"/>
  <c r="N1683" i="1"/>
  <c r="O715" i="1"/>
  <c r="N715" i="1"/>
  <c r="O717" i="1"/>
  <c r="N717" i="1"/>
  <c r="K1778" i="1"/>
  <c r="O1778" i="1" s="1"/>
  <c r="N1778" i="1"/>
  <c r="K512" i="1"/>
  <c r="O512" i="1" s="1"/>
  <c r="N512" i="1"/>
  <c r="K1520" i="1"/>
  <c r="O1520" i="1" s="1"/>
  <c r="N1520" i="1"/>
  <c r="K1009" i="1"/>
  <c r="O1009" i="1" s="1"/>
  <c r="N1009" i="1"/>
  <c r="K699" i="1"/>
  <c r="O699" i="1" s="1"/>
  <c r="N699" i="1"/>
  <c r="K700" i="1"/>
  <c r="O700" i="1" s="1"/>
  <c r="N700" i="1"/>
  <c r="O1709" i="1"/>
  <c r="N1709" i="1"/>
  <c r="K1744" i="1"/>
  <c r="O1744" i="1" s="1"/>
  <c r="N1744" i="1"/>
  <c r="O1618" i="1"/>
  <c r="N1618" i="1"/>
  <c r="O85" i="1"/>
  <c r="N85" i="1"/>
  <c r="K608" i="1"/>
  <c r="O608" i="1" s="1"/>
  <c r="N608" i="1"/>
  <c r="O1540" i="1"/>
  <c r="N1540" i="1"/>
  <c r="K733" i="1"/>
  <c r="O733" i="1" s="1"/>
  <c r="N733" i="1"/>
  <c r="K2098" i="1"/>
  <c r="O2098" i="1" s="1"/>
  <c r="N2098" i="1"/>
  <c r="O2185" i="1"/>
  <c r="N2185" i="1"/>
  <c r="O470" i="1"/>
  <c r="N470" i="1"/>
  <c r="O324" i="1"/>
  <c r="N324" i="1"/>
  <c r="O1834" i="1"/>
  <c r="N1834" i="1"/>
  <c r="K2178" i="1"/>
  <c r="O2178" i="1" s="1"/>
  <c r="N2178" i="1"/>
  <c r="O580" i="1"/>
  <c r="N580" i="1"/>
  <c r="O2015" i="1"/>
  <c r="N2015" i="1"/>
  <c r="K666" i="1"/>
  <c r="O666" i="1" s="1"/>
  <c r="N666" i="1"/>
  <c r="O1836" i="1"/>
  <c r="N1836" i="1"/>
  <c r="O323" i="1"/>
  <c r="N323" i="1"/>
  <c r="O2009" i="1"/>
  <c r="N2009" i="1"/>
  <c r="K732" i="1"/>
  <c r="O732" i="1" s="1"/>
  <c r="N732" i="1"/>
  <c r="O1967" i="1"/>
  <c r="N1967" i="1"/>
  <c r="O1423" i="1" l="1"/>
  <c r="O1541" i="1"/>
  <c r="O1146" i="1"/>
  <c r="O479" i="1"/>
  <c r="O2014" i="1"/>
  <c r="O726" i="1"/>
  <c r="N840" i="1" l="1"/>
  <c r="N1613" i="1"/>
  <c r="N41" i="1"/>
  <c r="N491" i="1"/>
  <c r="N1832" i="1"/>
  <c r="N884" i="1"/>
  <c r="N49" i="1"/>
  <c r="N1763" i="1"/>
  <c r="N707" i="1"/>
  <c r="N2089" i="1"/>
  <c r="N1203" i="1"/>
  <c r="N50" i="1"/>
  <c r="N1713" i="1"/>
  <c r="N718" i="1"/>
  <c r="N83" i="1"/>
  <c r="N768" i="1"/>
  <c r="N2083" i="1"/>
  <c r="N937" i="1"/>
  <c r="N926" i="1"/>
  <c r="N925" i="1"/>
  <c r="N1736" i="1"/>
  <c r="N325" i="1"/>
  <c r="N447" i="1"/>
  <c r="N111" i="1"/>
  <c r="N108" i="1"/>
  <c r="N109" i="1"/>
  <c r="N607" i="1"/>
  <c r="N1972" i="1"/>
  <c r="N321" i="1"/>
  <c r="N113" i="1"/>
  <c r="N119" i="1"/>
  <c r="N1209" i="1"/>
  <c r="N118" i="1"/>
  <c r="N559" i="1"/>
  <c r="N1975" i="1"/>
  <c r="N2096" i="1"/>
  <c r="N254" i="1"/>
  <c r="N629" i="1"/>
  <c r="N2049" i="1"/>
  <c r="K840" i="1"/>
  <c r="O840" i="1" s="1"/>
  <c r="O2251" i="1"/>
  <c r="K1613" i="1"/>
  <c r="O1613" i="1" s="1"/>
  <c r="O41" i="1"/>
  <c r="O491" i="1"/>
  <c r="K1832" i="1"/>
  <c r="O1832" i="1" s="1"/>
  <c r="O884" i="1"/>
  <c r="O49" i="1"/>
  <c r="K1763" i="1"/>
  <c r="O1763" i="1" s="1"/>
  <c r="K707" i="1"/>
  <c r="O707" i="1" s="1"/>
  <c r="O2089" i="1"/>
  <c r="O1203" i="1"/>
  <c r="O50" i="1"/>
  <c r="O2252" i="1"/>
  <c r="O1713" i="1"/>
  <c r="O718" i="1"/>
  <c r="O83" i="1"/>
  <c r="O768" i="1"/>
  <c r="K2083" i="1"/>
  <c r="O2083" i="1" s="1"/>
  <c r="O937" i="1"/>
  <c r="O926" i="1"/>
  <c r="O925" i="1"/>
  <c r="O1736" i="1"/>
  <c r="O325" i="1"/>
  <c r="K447" i="1"/>
  <c r="O447" i="1" s="1"/>
  <c r="O111" i="1"/>
  <c r="O108" i="1"/>
  <c r="O109" i="1"/>
  <c r="O607" i="1"/>
  <c r="O1972" i="1"/>
  <c r="O321" i="1"/>
  <c r="O113" i="1"/>
  <c r="O119" i="1"/>
  <c r="O1209" i="1"/>
  <c r="O118" i="1"/>
  <c r="O124" i="1"/>
  <c r="O559" i="1"/>
  <c r="K1975" i="1"/>
  <c r="O1975" i="1" s="1"/>
  <c r="O2096" i="1"/>
  <c r="O254" i="1"/>
  <c r="O629" i="1"/>
  <c r="O2049" i="1"/>
  <c r="N8" i="1"/>
  <c r="N9" i="1"/>
  <c r="N10" i="1"/>
  <c r="N887" i="1"/>
  <c r="N1958" i="1"/>
  <c r="N1948" i="1"/>
  <c r="N1950" i="1"/>
  <c r="N1949" i="1"/>
  <c r="N626" i="1"/>
  <c r="N2097" i="1"/>
  <c r="N899" i="1"/>
  <c r="N4" i="1"/>
  <c r="N689" i="1"/>
  <c r="N468" i="1"/>
  <c r="N1504" i="1"/>
  <c r="N1885" i="1"/>
  <c r="N482" i="1"/>
  <c r="N1514" i="1"/>
  <c r="N1454" i="1"/>
  <c r="N1992" i="1"/>
  <c r="N1706" i="1"/>
  <c r="O468" i="1"/>
  <c r="O1504" i="1"/>
  <c r="O1885" i="1"/>
  <c r="O482" i="1"/>
  <c r="O1514" i="1"/>
  <c r="K1454" i="1"/>
  <c r="O1454" i="1" s="1"/>
  <c r="O1992" i="1"/>
  <c r="K8" i="1" l="1"/>
  <c r="O8" i="1" s="1"/>
  <c r="K9" i="1"/>
  <c r="O9" i="1" s="1"/>
  <c r="K10" i="1"/>
  <c r="O10" i="1" s="1"/>
  <c r="O887" i="1"/>
  <c r="O1958" i="1"/>
  <c r="O1948" i="1"/>
  <c r="O1950" i="1"/>
  <c r="O1949" i="1"/>
  <c r="O626" i="1"/>
  <c r="K2097" i="1"/>
  <c r="O2097" i="1" s="1"/>
  <c r="K899" i="1"/>
  <c r="O899" i="1" s="1"/>
  <c r="O4" i="1"/>
  <c r="K689" i="1"/>
  <c r="O689" i="1" s="1"/>
  <c r="K1706" i="1"/>
  <c r="O1706" i="1" s="1"/>
</calcChain>
</file>

<file path=xl/comments1.xml><?xml version="1.0" encoding="utf-8"?>
<comments xmlns="http://schemas.openxmlformats.org/spreadsheetml/2006/main">
  <authors>
    <author>Usuario</author>
  </authors>
  <commentList>
    <comment ref="B191" authorId="0" shape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<sst xmlns="http://schemas.openxmlformats.org/spreadsheetml/2006/main" count="8462" uniqueCount="4597">
  <si>
    <t xml:space="preserve">MEDIDA </t>
  </si>
  <si>
    <t>IVA</t>
  </si>
  <si>
    <t>$</t>
  </si>
  <si>
    <t>$ (*)</t>
  </si>
  <si>
    <t>CREDITO</t>
  </si>
  <si>
    <t>PORC</t>
  </si>
  <si>
    <t>STOCK</t>
  </si>
  <si>
    <t>volpe</t>
  </si>
  <si>
    <t>aceite</t>
  </si>
  <si>
    <t>1lt</t>
  </si>
  <si>
    <t>copagran</t>
  </si>
  <si>
    <t>100 cc</t>
  </si>
  <si>
    <t>20lt</t>
  </si>
  <si>
    <t>100gr</t>
  </si>
  <si>
    <t>agraciada</t>
  </si>
  <si>
    <t>c/u</t>
  </si>
  <si>
    <t>facundo</t>
  </si>
  <si>
    <t>uruquim</t>
  </si>
  <si>
    <t>san francisco</t>
  </si>
  <si>
    <t>cousa</t>
  </si>
  <si>
    <t>kg</t>
  </si>
  <si>
    <t>COTIZACION</t>
  </si>
  <si>
    <t>1kg</t>
  </si>
  <si>
    <t>beltrame</t>
  </si>
  <si>
    <t>10gr</t>
  </si>
  <si>
    <t>50gr</t>
  </si>
  <si>
    <t>alimento gammarus</t>
  </si>
  <si>
    <t>v0845</t>
  </si>
  <si>
    <t>500gr</t>
  </si>
  <si>
    <t>alpiste</t>
  </si>
  <si>
    <t>25kg</t>
  </si>
  <si>
    <t>mundo verde</t>
  </si>
  <si>
    <t>25cm</t>
  </si>
  <si>
    <t>30cm</t>
  </si>
  <si>
    <t>parque trebol</t>
  </si>
  <si>
    <t xml:space="preserve">baboxan pellets </t>
  </si>
  <si>
    <t>baboxan polvo</t>
  </si>
  <si>
    <t>casino</t>
  </si>
  <si>
    <t>50cm</t>
  </si>
  <si>
    <t>bandeja plastico c/escamas</t>
  </si>
  <si>
    <t>141 cristal</t>
  </si>
  <si>
    <t>empack</t>
  </si>
  <si>
    <t>v4226</t>
  </si>
  <si>
    <t>v4162</t>
  </si>
  <si>
    <t>bañera plastica chica</t>
  </si>
  <si>
    <t>barrera antihormigas</t>
  </si>
  <si>
    <t>mts</t>
  </si>
  <si>
    <t>v4617</t>
  </si>
  <si>
    <t>bebedero plastico punta metal</t>
  </si>
  <si>
    <t>bio-fertilizantes</t>
  </si>
  <si>
    <t>maceta</t>
  </si>
  <si>
    <t>24cm</t>
  </si>
  <si>
    <t>18cm</t>
  </si>
  <si>
    <t>12cm</t>
  </si>
  <si>
    <t>20cm</t>
  </si>
  <si>
    <t>22cm</t>
  </si>
  <si>
    <t>472-37492</t>
  </si>
  <si>
    <t>C/u</t>
  </si>
  <si>
    <t>70mm</t>
  </si>
  <si>
    <t xml:space="preserve">caldo bordoles </t>
  </si>
  <si>
    <t>100 grs</t>
  </si>
  <si>
    <t>caño p/pecera</t>
  </si>
  <si>
    <t>mtr</t>
  </si>
  <si>
    <t>caracolicida</t>
  </si>
  <si>
    <t>100 grs,</t>
  </si>
  <si>
    <t>30x14</t>
  </si>
  <si>
    <t>collar doble cocido</t>
  </si>
  <si>
    <t xml:space="preserve">collar </t>
  </si>
  <si>
    <t>45x17</t>
  </si>
  <si>
    <t>55x30</t>
  </si>
  <si>
    <t>60 cm</t>
  </si>
  <si>
    <t>60x35</t>
  </si>
  <si>
    <t>23x12x3</t>
  </si>
  <si>
    <t>comedero doble p/gato</t>
  </si>
  <si>
    <t>comedero interior</t>
  </si>
  <si>
    <t>comedero plastico</t>
  </si>
  <si>
    <t>comedero tubo tolva</t>
  </si>
  <si>
    <t>50 cm</t>
  </si>
  <si>
    <t>correa n 1</t>
  </si>
  <si>
    <t>500 grs</t>
  </si>
  <si>
    <t>d</t>
  </si>
  <si>
    <t>enraizador</t>
  </si>
  <si>
    <t>50 grs</t>
  </si>
  <si>
    <t xml:space="preserve">perro conni adulto </t>
  </si>
  <si>
    <t>22 kg</t>
  </si>
  <si>
    <t>bonanza</t>
  </si>
  <si>
    <t>perro fridy</t>
  </si>
  <si>
    <t>7 kg</t>
  </si>
  <si>
    <t>conexiom t</t>
  </si>
  <si>
    <t>superlate</t>
  </si>
  <si>
    <t>10 ltr</t>
  </si>
  <si>
    <t>1 ltr</t>
  </si>
  <si>
    <t>gato pelusa</t>
  </si>
  <si>
    <t>1 kg</t>
  </si>
  <si>
    <t>500 gr</t>
  </si>
  <si>
    <t>jimo-gas</t>
  </si>
  <si>
    <t>2 tarro</t>
  </si>
  <si>
    <t>oasis-ladrillo de espuma floral</t>
  </si>
  <si>
    <t>25 kg</t>
  </si>
  <si>
    <t>3 grs</t>
  </si>
  <si>
    <t>appril antiparasitario</t>
  </si>
  <si>
    <t>fermar</t>
  </si>
  <si>
    <t>escobilla de plastico naranja</t>
  </si>
  <si>
    <t>chip de pino</t>
  </si>
  <si>
    <t>5 ltr</t>
  </si>
  <si>
    <t xml:space="preserve">cascada </t>
  </si>
  <si>
    <t>perro ny dog</t>
  </si>
  <si>
    <t>8 kg</t>
  </si>
  <si>
    <t>7 kgr</t>
  </si>
  <si>
    <t>20 kg</t>
  </si>
  <si>
    <t>perro pro 21</t>
  </si>
  <si>
    <t xml:space="preserve">perro pro 21 </t>
  </si>
  <si>
    <t>15 kg</t>
  </si>
  <si>
    <t>8 kgr</t>
  </si>
  <si>
    <t>perro bandido</t>
  </si>
  <si>
    <t>gato prot cat</t>
  </si>
  <si>
    <t>25 kgr</t>
  </si>
  <si>
    <t>perro cannel mix</t>
  </si>
  <si>
    <t>18 kg</t>
  </si>
  <si>
    <t>intor</t>
  </si>
  <si>
    <t>perro cannel</t>
  </si>
  <si>
    <t>herbicida</t>
  </si>
  <si>
    <t>100 c,c</t>
  </si>
  <si>
    <t>maiz</t>
  </si>
  <si>
    <t>gato gati</t>
  </si>
  <si>
    <t>1/2 kg</t>
  </si>
  <si>
    <t>perro dogui cachorro</t>
  </si>
  <si>
    <t xml:space="preserve">gato cat chow </t>
  </si>
  <si>
    <t>gallinol</t>
  </si>
  <si>
    <t>blister</t>
  </si>
  <si>
    <t>chica</t>
  </si>
  <si>
    <t>grande</t>
  </si>
  <si>
    <t>trampa de ratas</t>
  </si>
  <si>
    <t>100 gr</t>
  </si>
  <si>
    <t>semilla de flores</t>
  </si>
  <si>
    <t>cipermetrina</t>
  </si>
  <si>
    <t>cipermetrina ectosules</t>
  </si>
  <si>
    <t>1 lts</t>
  </si>
  <si>
    <t>cloraqua liq anticloro</t>
  </si>
  <si>
    <t>30 ml</t>
  </si>
  <si>
    <t>comun</t>
  </si>
  <si>
    <t>30 cm</t>
  </si>
  <si>
    <t>escobilla de jardin</t>
  </si>
  <si>
    <t>espinillo</t>
  </si>
  <si>
    <t>esterilla</t>
  </si>
  <si>
    <t>1x2 mt</t>
  </si>
  <si>
    <t>PLANTA</t>
  </si>
  <si>
    <t>VARIEDAD</t>
  </si>
  <si>
    <t>ENVASE</t>
  </si>
  <si>
    <t>U$S/KG</t>
  </si>
  <si>
    <t>COTIZ</t>
  </si>
  <si>
    <t>KG</t>
  </si>
  <si>
    <t>PORC 50 GR</t>
  </si>
  <si>
    <t>ACELGA</t>
  </si>
  <si>
    <t>blanca de lyon</t>
  </si>
  <si>
    <t>achicoria</t>
  </si>
  <si>
    <t>albahaca</t>
  </si>
  <si>
    <t>profumo</t>
  </si>
  <si>
    <t>apio</t>
  </si>
  <si>
    <t>verde de pascal</t>
  </si>
  <si>
    <t>arveja</t>
  </si>
  <si>
    <t xml:space="preserve">berenjena </t>
  </si>
  <si>
    <t>long pupo</t>
  </si>
  <si>
    <t>brocoli</t>
  </si>
  <si>
    <t>cicco/calabresse</t>
  </si>
  <si>
    <t>cebolla</t>
  </si>
  <si>
    <t>coliflor</t>
  </si>
  <si>
    <t>bola de nive</t>
  </si>
  <si>
    <t>escarola</t>
  </si>
  <si>
    <t>pancalieri</t>
  </si>
  <si>
    <t>espinaca</t>
  </si>
  <si>
    <t>habas</t>
  </si>
  <si>
    <t>superaguadulce</t>
  </si>
  <si>
    <t>lechuga</t>
  </si>
  <si>
    <t>morada 4 estaciones</t>
  </si>
  <si>
    <t>prime pack</t>
  </si>
  <si>
    <t>melon</t>
  </si>
  <si>
    <t>planter-jumbo</t>
  </si>
  <si>
    <t>morron</t>
  </si>
  <si>
    <t>keystone</t>
  </si>
  <si>
    <t>mostaza</t>
  </si>
  <si>
    <t>nabo</t>
  </si>
  <si>
    <t>pepino</t>
  </si>
  <si>
    <t>perejil</t>
  </si>
  <si>
    <t>gigante de italia</t>
  </si>
  <si>
    <t>poroto</t>
  </si>
  <si>
    <t xml:space="preserve">poroto  </t>
  </si>
  <si>
    <t>enano roma</t>
  </si>
  <si>
    <t>super marconi-enrame</t>
  </si>
  <si>
    <t>puerro</t>
  </si>
  <si>
    <t>rabanito</t>
  </si>
  <si>
    <t>remolacha</t>
  </si>
  <si>
    <t>early-wonder</t>
  </si>
  <si>
    <t>repollo</t>
  </si>
  <si>
    <t>corazon de buey grande</t>
  </si>
  <si>
    <t>rucula</t>
  </si>
  <si>
    <t>crewson</t>
  </si>
  <si>
    <t>sandia</t>
  </si>
  <si>
    <t>tomate</t>
  </si>
  <si>
    <t>cherry</t>
  </si>
  <si>
    <t>marglobe</t>
  </si>
  <si>
    <t>zapallito</t>
  </si>
  <si>
    <t>redondo de tronco</t>
  </si>
  <si>
    <t>zapallo</t>
  </si>
  <si>
    <t>zuccini-de alger</t>
  </si>
  <si>
    <t>250 c.c.</t>
  </si>
  <si>
    <t>50 gr</t>
  </si>
  <si>
    <t>merlin</t>
  </si>
  <si>
    <t>Bokashi</t>
  </si>
  <si>
    <t>250cc</t>
  </si>
  <si>
    <t>Melaza</t>
  </si>
  <si>
    <t>10litr</t>
  </si>
  <si>
    <t>Abono de mar</t>
  </si>
  <si>
    <t>Bat Guano</t>
  </si>
  <si>
    <t xml:space="preserve">Abono de mar </t>
  </si>
  <si>
    <t>250 gr</t>
  </si>
  <si>
    <t>CIUDAD</t>
  </si>
  <si>
    <t>TELEFONO</t>
  </si>
  <si>
    <t>FAX</t>
  </si>
  <si>
    <t>VINC</t>
  </si>
  <si>
    <t>R.U.C</t>
  </si>
  <si>
    <t>accesa</t>
  </si>
  <si>
    <t>leandro gomez-alejandro-luis</t>
  </si>
  <si>
    <t>accesa-215511000015</t>
  </si>
  <si>
    <t>alejandro fiol de parada 1432</t>
  </si>
  <si>
    <t>acevedo hugo</t>
  </si>
  <si>
    <t>2rts. 26 km 124</t>
  </si>
  <si>
    <t xml:space="preserve">acevez virginia </t>
  </si>
  <si>
    <t>2-E Guichón</t>
  </si>
  <si>
    <t>acosta lautaro</t>
  </si>
  <si>
    <t>4-E- camino a la virgen</t>
  </si>
  <si>
    <t>CELULAR</t>
  </si>
  <si>
    <t>099729921</t>
  </si>
  <si>
    <t>acosta walter</t>
  </si>
  <si>
    <t>4-E barrio J-4-A-Apto. 101</t>
  </si>
  <si>
    <t xml:space="preserve">Paysandú </t>
  </si>
  <si>
    <t>Montevideo</t>
  </si>
  <si>
    <t>Guichón</t>
  </si>
  <si>
    <t>Young</t>
  </si>
  <si>
    <t>prov</t>
  </si>
  <si>
    <t>agencia central</t>
  </si>
  <si>
    <t>1717*-terminal 499-encomiendas 493</t>
  </si>
  <si>
    <t>av.agraciada 3783</t>
  </si>
  <si>
    <t>099112084</t>
  </si>
  <si>
    <t>agro-semillería</t>
  </si>
  <si>
    <t>l.gomez</t>
  </si>
  <si>
    <t>472-23615</t>
  </si>
  <si>
    <t>agrobolsas-laura oliviere</t>
  </si>
  <si>
    <t>1-arquimedes 1113</t>
  </si>
  <si>
    <t>09968108</t>
  </si>
  <si>
    <t>agrofeed</t>
  </si>
  <si>
    <t>luis popelka</t>
  </si>
  <si>
    <t>095674806</t>
  </si>
  <si>
    <t>099283244</t>
  </si>
  <si>
    <t>C/U</t>
  </si>
  <si>
    <t>07402704</t>
  </si>
  <si>
    <t>0742-2312</t>
  </si>
  <si>
    <t>0720-2121</t>
  </si>
  <si>
    <t>0567-2847</t>
  </si>
  <si>
    <t>agropradera</t>
  </si>
  <si>
    <t>cecilia-lurdes</t>
  </si>
  <si>
    <t>098550385</t>
  </si>
  <si>
    <t>091467709</t>
  </si>
  <si>
    <t>107</t>
  </si>
  <si>
    <t>agropunto</t>
  </si>
  <si>
    <t>1-cta.cte. Brou 003-23165 gustavo gomez</t>
  </si>
  <si>
    <t>Bella Unión</t>
  </si>
  <si>
    <t>0779-2992</t>
  </si>
  <si>
    <t>paradicloro</t>
  </si>
  <si>
    <t>ajo-p/semilla-chacra marco lopez</t>
  </si>
  <si>
    <t>raul jomeda -rio negro 2321</t>
  </si>
  <si>
    <t>,098,515,557</t>
  </si>
  <si>
    <t>anaisabel</t>
  </si>
  <si>
    <t>ayacucho 1066</t>
  </si>
  <si>
    <t>472-37075</t>
  </si>
  <si>
    <t>,098,496,501</t>
  </si>
  <si>
    <t>anda</t>
  </si>
  <si>
    <t>24021856</t>
  </si>
  <si>
    <t>andrea-b,aires</t>
  </si>
  <si>
    <t>,004,474,249,951,41</t>
  </si>
  <si>
    <t>andres piaggio</t>
  </si>
  <si>
    <t>soriano</t>
  </si>
  <si>
    <t>472-27286</t>
  </si>
  <si>
    <t>,099,950,945</t>
  </si>
  <si>
    <t>antonio</t>
  </si>
  <si>
    <t>desarmadero</t>
  </si>
  <si>
    <t>piedras coloradas</t>
  </si>
  <si>
    <t>anunciato</t>
  </si>
  <si>
    <t>vivero-rincon de toledo</t>
  </si>
  <si>
    <t>montevideo</t>
  </si>
  <si>
    <t>292,496,37</t>
  </si>
  <si>
    <t>apiarios martinez-batovi 2332</t>
  </si>
  <si>
    <t>brou c,a, 181-5706-envia martes y jueves</t>
  </si>
  <si>
    <t>juego de jardin 3 piezas</t>
  </si>
  <si>
    <t>juguete cubierta vinilo</t>
  </si>
  <si>
    <t>juguete pelota 4 puntas caritas</t>
  </si>
  <si>
    <t>juguete pelota con puntos</t>
  </si>
  <si>
    <t>Kactus</t>
  </si>
  <si>
    <t>35 cm</t>
  </si>
  <si>
    <t>lavandina</t>
  </si>
  <si>
    <t>1 lt</t>
  </si>
  <si>
    <t>limpiador antigrasa</t>
  </si>
  <si>
    <t>9 cm</t>
  </si>
  <si>
    <t>neen super</t>
  </si>
  <si>
    <t>30 c.c.</t>
  </si>
  <si>
    <t>5 kg</t>
  </si>
  <si>
    <t>pluviometros</t>
  </si>
  <si>
    <t>sulfato de hierro</t>
  </si>
  <si>
    <t>barraca erro</t>
  </si>
  <si>
    <t>dolores</t>
  </si>
  <si>
    <t>4534-5439</t>
  </si>
  <si>
    <t>barreto daniel</t>
  </si>
  <si>
    <t>talleracedor</t>
  </si>
  <si>
    <t>26015713</t>
  </si>
  <si>
    <t>barreto horacio</t>
  </si>
  <si>
    <t>33 orientales 1636</t>
  </si>
  <si>
    <t>472-21615</t>
  </si>
  <si>
    <t>barreto roxana</t>
  </si>
  <si>
    <t>san felix</t>
  </si>
  <si>
    <t>bastian-estacion de servicio</t>
  </si>
  <si>
    <t>,098,708,029</t>
  </si>
  <si>
    <t>47241432</t>
  </si>
  <si>
    <t>constancia</t>
  </si>
  <si>
    <t>47202102</t>
  </si>
  <si>
    <t>bazar religioso</t>
  </si>
  <si>
    <t>uruguay 1866</t>
  </si>
  <si>
    <t>4098060</t>
  </si>
  <si>
    <t>belbeder yamandu</t>
  </si>
  <si>
    <t>casa blanca</t>
  </si>
  <si>
    <t>098,707,018</t>
  </si>
  <si>
    <t>0</t>
  </si>
  <si>
    <t>26131189</t>
  </si>
  <si>
    <t>,099,645,674</t>
  </si>
  <si>
    <t>belenda german</t>
  </si>
  <si>
    <t>,099681,080</t>
  </si>
  <si>
    <t>bentancour</t>
  </si>
  <si>
    <t>felipe argento 1141</t>
  </si>
  <si>
    <t>vivero-</t>
  </si>
  <si>
    <t>47241292</t>
  </si>
  <si>
    <t>099,723,467</t>
  </si>
  <si>
    <t>berestov basilio</t>
  </si>
  <si>
    <t>san javier</t>
  </si>
  <si>
    <t>4560,9102</t>
  </si>
  <si>
    <t>berestov  feodor</t>
  </si>
  <si>
    <t>,099,850,699</t>
  </si>
  <si>
    <t>bernando tevenhet</t>
  </si>
  <si>
    <t>,099,720,424</t>
  </si>
  <si>
    <t>bertinat-repuesto</t>
  </si>
  <si>
    <t>bicicleta -winan</t>
  </si>
  <si>
    <t>sarandi y setembrino</t>
  </si>
  <si>
    <t>472,43638</t>
  </si>
  <si>
    <t>billi sala de extraccion</t>
  </si>
  <si>
    <t>caja de ahorro 36,336744</t>
  </si>
  <si>
    <t>bolsas de nylon j y c</t>
  </si>
  <si>
    <t>472,25597</t>
  </si>
  <si>
    <t>ayacucho y cerrito</t>
  </si>
  <si>
    <t>,092,315,610</t>
  </si>
  <si>
    <t xml:space="preserve">boniato mudas </t>
  </si>
  <si>
    <t>mirta benitez</t>
  </si>
  <si>
    <t>472,43157</t>
  </si>
  <si>
    <t>472,27595</t>
  </si>
  <si>
    <t>paysandu</t>
  </si>
  <si>
    <t>borjas juana</t>
  </si>
  <si>
    <t>472,31584</t>
  </si>
  <si>
    <t>carlos martinez</t>
  </si>
  <si>
    <t>099,561,842</t>
  </si>
  <si>
    <t>bps</t>
  </si>
  <si>
    <t>int 7752 , bonbim</t>
  </si>
  <si>
    <t>brou</t>
  </si>
  <si>
    <t>eduardo perez -int, 685</t>
  </si>
  <si>
    <t>lucia santana-int, 676</t>
  </si>
  <si>
    <t>suc,rio de los pajaros</t>
  </si>
  <si>
    <t>472,22187</t>
  </si>
  <si>
    <t>brutten</t>
  </si>
  <si>
    <t>centro del grabado</t>
  </si>
  <si>
    <t>472-26952</t>
  </si>
  <si>
    <t>bulbos de nardo</t>
  </si>
  <si>
    <t>aide clavijo</t>
  </si>
  <si>
    <t>099,272,964</t>
  </si>
  <si>
    <t>burlete de puerta</t>
  </si>
  <si>
    <t>rosita zardo</t>
  </si>
  <si>
    <t>472-20450</t>
  </si>
  <si>
    <t>caif los indiecitos</t>
  </si>
  <si>
    <t>pinilla 480</t>
  </si>
  <si>
    <t>472-31747</t>
  </si>
  <si>
    <t>cabras</t>
  </si>
  <si>
    <t>pablo silchenko</t>
  </si>
  <si>
    <t>091,227,018</t>
  </si>
  <si>
    <t>cabrera carlos</t>
  </si>
  <si>
    <t>472-20606</t>
  </si>
  <si>
    <t>caif sonricitas</t>
  </si>
  <si>
    <t>lucas piriz 1393</t>
  </si>
  <si>
    <t>120,173,770,011</t>
  </si>
  <si>
    <t>472,22984</t>
  </si>
  <si>
    <t>caif enanitos verdes</t>
  </si>
  <si>
    <t>ciudad de young y washintong</t>
  </si>
  <si>
    <t>472,36726</t>
  </si>
  <si>
    <t xml:space="preserve">caif nuestr señora de fatima </t>
  </si>
  <si>
    <t>andrecito y joaquin suarez</t>
  </si>
  <si>
    <t>160,163,370,017</t>
  </si>
  <si>
    <t>472,39655</t>
  </si>
  <si>
    <t>caif san jose obrero</t>
  </si>
  <si>
    <t>33 y tacuarembo</t>
  </si>
  <si>
    <t>472,36699</t>
  </si>
  <si>
    <t>caja de ahorro</t>
  </si>
  <si>
    <t>36-500,403</t>
  </si>
  <si>
    <t>caja de auxilio soen</t>
  </si>
  <si>
    <t>472,26175</t>
  </si>
  <si>
    <t>calapis</t>
  </si>
  <si>
    <t>472,28333</t>
  </si>
  <si>
    <t>oscar fernandez</t>
  </si>
  <si>
    <t>099,544,204</t>
  </si>
  <si>
    <t xml:space="preserve">camping </t>
  </si>
  <si>
    <t>laguna de los cuervos</t>
  </si>
  <si>
    <t>minas</t>
  </si>
  <si>
    <t>4440-8746</t>
  </si>
  <si>
    <t>099,912,596</t>
  </si>
  <si>
    <t>camping las flores</t>
  </si>
  <si>
    <t>villalasflores@outlook</t>
  </si>
  <si>
    <t>maldonado</t>
  </si>
  <si>
    <t>campopiano</t>
  </si>
  <si>
    <t>ituzango 1174</t>
  </si>
  <si>
    <t>472-30549</t>
  </si>
  <si>
    <t>canarios acru</t>
  </si>
  <si>
    <t>rivera 3066</t>
  </si>
  <si>
    <t>26227169</t>
  </si>
  <si>
    <t>,091,076,802,</t>
  </si>
  <si>
    <t>269648,10</t>
  </si>
  <si>
    <t>cañedo ernesto</t>
  </si>
  <si>
    <t>ruta 3</t>
  </si>
  <si>
    <t>482-26006</t>
  </si>
  <si>
    <t>capillera</t>
  </si>
  <si>
    <t>tacuarembo 1196</t>
  </si>
  <si>
    <t>capurro</t>
  </si>
  <si>
    <t>19 de abril 607</t>
  </si>
  <si>
    <t>caracio gustabo</t>
  </si>
  <si>
    <t>472-28864</t>
  </si>
  <si>
    <t xml:space="preserve">carniceria </t>
  </si>
  <si>
    <t>independencia y ituzango</t>
  </si>
  <si>
    <t>472-37011</t>
  </si>
  <si>
    <t>carniceria pelado</t>
  </si>
  <si>
    <t>l,gomez y montecasero</t>
  </si>
  <si>
    <t>472-31669</t>
  </si>
  <si>
    <t>carpinteria fleitas</t>
  </si>
  <si>
    <t>exodo y misiones</t>
  </si>
  <si>
    <t>472-20427</t>
  </si>
  <si>
    <t>099,500,300</t>
  </si>
  <si>
    <t>carpintero rodas</t>
  </si>
  <si>
    <t>b,berres 511</t>
  </si>
  <si>
    <t>472-20770</t>
  </si>
  <si>
    <t>mosqueton c/destorcedor</t>
  </si>
  <si>
    <t>damian macetas</t>
  </si>
  <si>
    <t>maceta cuadrada N35</t>
  </si>
  <si>
    <t>M835</t>
  </si>
  <si>
    <t>M245</t>
  </si>
  <si>
    <t>M235</t>
  </si>
  <si>
    <t>plato para maceta 16</t>
  </si>
  <si>
    <t>plato para maceta 18</t>
  </si>
  <si>
    <t>plato para maceta 20</t>
  </si>
  <si>
    <t>plato para maceta 22</t>
  </si>
  <si>
    <t>plato para maceta 26</t>
  </si>
  <si>
    <t>plato para maceta 28</t>
  </si>
  <si>
    <t>plato para maceta 32</t>
  </si>
  <si>
    <t>plato para maceta 40</t>
  </si>
  <si>
    <t>N18</t>
  </si>
  <si>
    <t>N16</t>
  </si>
  <si>
    <t>N20</t>
  </si>
  <si>
    <t>N23</t>
  </si>
  <si>
    <t>N26</t>
  </si>
  <si>
    <t>N30</t>
  </si>
  <si>
    <t>maceta pl</t>
  </si>
  <si>
    <t>N24</t>
  </si>
  <si>
    <t>N22</t>
  </si>
  <si>
    <t>N28</t>
  </si>
  <si>
    <t>N35</t>
  </si>
  <si>
    <t>N40</t>
  </si>
  <si>
    <t>tutores metal</t>
  </si>
  <si>
    <t>grde</t>
  </si>
  <si>
    <t>45 cm</t>
  </si>
  <si>
    <t>pulverizador</t>
  </si>
  <si>
    <t xml:space="preserve"> </t>
  </si>
  <si>
    <t>4 kg</t>
  </si>
  <si>
    <t>a</t>
  </si>
  <si>
    <t>jacaranda</t>
  </si>
  <si>
    <t>pomelos</t>
  </si>
  <si>
    <t>nogales europeo</t>
  </si>
  <si>
    <t>kiwis</t>
  </si>
  <si>
    <t>pelones</t>
  </si>
  <si>
    <t>nuñez</t>
  </si>
  <si>
    <t>V5004</t>
  </si>
  <si>
    <t>jaula hamster rued/cas/beb 2 pisos</t>
  </si>
  <si>
    <t>30*23*41</t>
  </si>
  <si>
    <t>V1300</t>
  </si>
  <si>
    <t>aireador 1 salida 3w</t>
  </si>
  <si>
    <t>V5045</t>
  </si>
  <si>
    <t>P014A</t>
  </si>
  <si>
    <t>fert urea</t>
  </si>
  <si>
    <t xml:space="preserve">flor de pajarito </t>
  </si>
  <si>
    <t>flores aleli</t>
  </si>
  <si>
    <t>flores astromelias</t>
  </si>
  <si>
    <t>15 varas</t>
  </si>
  <si>
    <t>flores astromelias c/arreglo</t>
  </si>
  <si>
    <t>1v</t>
  </si>
  <si>
    <t>paquete</t>
  </si>
  <si>
    <t>20kg</t>
  </si>
  <si>
    <t>gato salsa whiskas carne</t>
  </si>
  <si>
    <t>85grs</t>
  </si>
  <si>
    <t>gato whiskas pescado-pollo y leche-carne</t>
  </si>
  <si>
    <t>10kg</t>
  </si>
  <si>
    <t>girasol</t>
  </si>
  <si>
    <t>girasol pelado</t>
  </si>
  <si>
    <t>perlita</t>
  </si>
  <si>
    <t>perro birbo cachorro</t>
  </si>
  <si>
    <t>7kg</t>
  </si>
  <si>
    <t>perro burny</t>
  </si>
  <si>
    <t>8kg</t>
  </si>
  <si>
    <t>pancho</t>
  </si>
  <si>
    <t>maiz quebrado</t>
  </si>
  <si>
    <t>45 kg</t>
  </si>
  <si>
    <t>racion ponedora grano</t>
  </si>
  <si>
    <t>pte 10</t>
  </si>
  <si>
    <t>paq.</t>
  </si>
  <si>
    <t>400 grs caja</t>
  </si>
  <si>
    <t>gato 7 vidas</t>
  </si>
  <si>
    <t>MEDIDA P/ SOBRE</t>
  </si>
  <si>
    <t>3/4</t>
  </si>
  <si>
    <t>1/4</t>
  </si>
  <si>
    <t>1/8</t>
  </si>
  <si>
    <t>1</t>
  </si>
  <si>
    <t>1/2</t>
  </si>
  <si>
    <t>costo $</t>
  </si>
  <si>
    <t>pioner</t>
  </si>
  <si>
    <t>50 cc</t>
  </si>
  <si>
    <t>cesped mezcla estándar disp caja</t>
  </si>
  <si>
    <t>mercaptothion</t>
  </si>
  <si>
    <t>50 ml</t>
  </si>
  <si>
    <t>perro especial dog</t>
  </si>
  <si>
    <t>racion parrillero</t>
  </si>
  <si>
    <t>25 cm</t>
  </si>
  <si>
    <t>40 cm</t>
  </si>
  <si>
    <t>maceta nacional A</t>
  </si>
  <si>
    <t>12 cm</t>
  </si>
  <si>
    <t>14 cm</t>
  </si>
  <si>
    <t>16 cm</t>
  </si>
  <si>
    <t>18 cm</t>
  </si>
  <si>
    <t>20 cm</t>
  </si>
  <si>
    <t>7 cm</t>
  </si>
  <si>
    <t>10 cm</t>
  </si>
  <si>
    <t>guayabos 638</t>
  </si>
  <si>
    <t>099,726,190</t>
  </si>
  <si>
    <t>raticida brumoline</t>
  </si>
  <si>
    <t>flor de pajaro</t>
  </si>
  <si>
    <t>collar dominal grande</t>
  </si>
  <si>
    <t>200 gr</t>
  </si>
  <si>
    <t>piriz</t>
  </si>
  <si>
    <t>maceta s/p</t>
  </si>
  <si>
    <t>24 cm</t>
  </si>
  <si>
    <t>rando</t>
  </si>
  <si>
    <t>distribuidora</t>
  </si>
  <si>
    <t>098,825,907</t>
  </si>
  <si>
    <t>30 c,c</t>
  </si>
  <si>
    <t>perro mimos plus</t>
  </si>
  <si>
    <t>jaula pagoda</t>
  </si>
  <si>
    <t>mercedes</t>
  </si>
  <si>
    <t>1717</t>
  </si>
  <si>
    <t>761-762</t>
  </si>
  <si>
    <t xml:space="preserve">raticida brumoline </t>
  </si>
  <si>
    <t>raticida fulmoline</t>
  </si>
  <si>
    <t>200 grs</t>
  </si>
  <si>
    <t>cucarachicida fulmolini</t>
  </si>
  <si>
    <t>maceta redonda europea</t>
  </si>
  <si>
    <t xml:space="preserve">fray bentos </t>
  </si>
  <si>
    <t>intendencia</t>
  </si>
  <si>
    <t>4562,7246</t>
  </si>
  <si>
    <t>4562,2233</t>
  </si>
  <si>
    <t>hotel paysandu gran</t>
  </si>
  <si>
    <t>raticida panic</t>
  </si>
  <si>
    <t>N45</t>
  </si>
  <si>
    <t>maceta eden C/plato</t>
  </si>
  <si>
    <t>N25</t>
  </si>
  <si>
    <t>N55</t>
  </si>
  <si>
    <t>intor carmelo @gemeil,com</t>
  </si>
  <si>
    <t>carmelo</t>
  </si>
  <si>
    <t>caif pasitos</t>
  </si>
  <si>
    <t>pinilla 839</t>
  </si>
  <si>
    <t>120,178,119,015</t>
  </si>
  <si>
    <t>472,35980</t>
  </si>
  <si>
    <t>1/2 ltr</t>
  </si>
  <si>
    <t>tutores plastico</t>
  </si>
  <si>
    <t>21 kg</t>
  </si>
  <si>
    <t>perro dogui cer,car,arroz</t>
  </si>
  <si>
    <t>soda crisatal</t>
  </si>
  <si>
    <t>collar dominal gato</t>
  </si>
  <si>
    <t>alejandra</t>
  </si>
  <si>
    <t>charrua 1695</t>
  </si>
  <si>
    <t>098,074,099</t>
  </si>
  <si>
    <t>mudas-carroci</t>
  </si>
  <si>
    <t>098,000,971</t>
  </si>
  <si>
    <t>098,396,412</t>
  </si>
  <si>
    <t>eugenia menta</t>
  </si>
  <si>
    <t>galo</t>
  </si>
  <si>
    <t>quebracho</t>
  </si>
  <si>
    <t>099,855,752</t>
  </si>
  <si>
    <t>098,338,208</t>
  </si>
  <si>
    <t>julio caballero</t>
  </si>
  <si>
    <t>099,230,260</t>
  </si>
  <si>
    <t>lezama</t>
  </si>
  <si>
    <t>liset guilleminot</t>
  </si>
  <si>
    <t>098,821,800</t>
  </si>
  <si>
    <t>099,576,875</t>
  </si>
  <si>
    <t>mauslera</t>
  </si>
  <si>
    <t>myreya</t>
  </si>
  <si>
    <t>099,410,501</t>
  </si>
  <si>
    <t>mudas marcelo chispen</t>
  </si>
  <si>
    <t>098,773,757</t>
  </si>
  <si>
    <t>pablo</t>
  </si>
  <si>
    <t>098,685,941</t>
  </si>
  <si>
    <t>reparto padre</t>
  </si>
  <si>
    <t>094,310,043</t>
  </si>
  <si>
    <t>dentista</t>
  </si>
  <si>
    <t>florida y 19de abril</t>
  </si>
  <si>
    <t>mirian nuñez</t>
  </si>
  <si>
    <t>cerrito 1484</t>
  </si>
  <si>
    <t>472-29170</t>
  </si>
  <si>
    <t>2 lt</t>
  </si>
  <si>
    <t>maceta tuna cuadrada</t>
  </si>
  <si>
    <t>gde</t>
  </si>
  <si>
    <t>maceta tuna redonda</t>
  </si>
  <si>
    <t>manta de coco</t>
  </si>
  <si>
    <t>20 ltr</t>
  </si>
  <si>
    <t>enano roma II</t>
  </si>
  <si>
    <t>yessica alvez</t>
  </si>
  <si>
    <t>091,807,893</t>
  </si>
  <si>
    <t>472-22279</t>
  </si>
  <si>
    <t>25 de mayo 761</t>
  </si>
  <si>
    <t>bresolir  S,A,  rut 215569570019</t>
  </si>
  <si>
    <t>l,gomez y bulevar</t>
  </si>
  <si>
    <t>maceta cilindrica barro</t>
  </si>
  <si>
    <t>conejo de la valle</t>
  </si>
  <si>
    <t>Av. Soriano 2133</t>
  </si>
  <si>
    <t>volpe veterinaria</t>
  </si>
  <si>
    <t>sauce del queguay</t>
  </si>
  <si>
    <t>volpe daniel</t>
  </si>
  <si>
    <t>25 gr</t>
  </si>
  <si>
    <t>600 ml</t>
  </si>
  <si>
    <t>calapis maida</t>
  </si>
  <si>
    <t>099,720,316</t>
  </si>
  <si>
    <t>099,113,449</t>
  </si>
  <si>
    <t>chapui</t>
  </si>
  <si>
    <t>lager conni,</t>
  </si>
  <si>
    <t>fletes -noel</t>
  </si>
  <si>
    <t>091,778,824</t>
  </si>
  <si>
    <t>Marcos Chappuis</t>
  </si>
  <si>
    <t>099113449</t>
  </si>
  <si>
    <t>098,077,780</t>
  </si>
  <si>
    <t>maceta cuadrada N33</t>
  </si>
  <si>
    <t>lamarca-escritorio-natalia</t>
  </si>
  <si>
    <t>472-23371</t>
  </si>
  <si>
    <t>098827431</t>
  </si>
  <si>
    <t>INDRE</t>
  </si>
  <si>
    <t>Presidente Viera 1048</t>
  </si>
  <si>
    <t>Paysandu</t>
  </si>
  <si>
    <t>DW97065</t>
  </si>
  <si>
    <t>45*35*55</t>
  </si>
  <si>
    <t>472-28705</t>
  </si>
  <si>
    <t>pulgarpioj-talco</t>
  </si>
  <si>
    <t>90 cm</t>
  </si>
  <si>
    <t xml:space="preserve">tutores de coco </t>
  </si>
  <si>
    <t>german-electricista</t>
  </si>
  <si>
    <t>099748013</t>
  </si>
  <si>
    <t>jardinera de colores</t>
  </si>
  <si>
    <t>30x23x39</t>
  </si>
  <si>
    <t>jaula rectangular</t>
  </si>
  <si>
    <t>jaula techo recto</t>
  </si>
  <si>
    <t>jaula conejo</t>
  </si>
  <si>
    <t>1mx60x60</t>
  </si>
  <si>
    <t>jaula conejo alambre</t>
  </si>
  <si>
    <t>jaulón p/amazónico</t>
  </si>
  <si>
    <t>maceta barro</t>
  </si>
  <si>
    <t>10cm</t>
  </si>
  <si>
    <t>16cm</t>
  </si>
  <si>
    <t>26cm</t>
  </si>
  <si>
    <t>28cm</t>
  </si>
  <si>
    <t>5cm</t>
  </si>
  <si>
    <t>7cm</t>
  </si>
  <si>
    <t>8cm</t>
  </si>
  <si>
    <t>maceta bonsai ovalada</t>
  </si>
  <si>
    <t>maceta bonsai rectangular</t>
  </si>
  <si>
    <t>15cm</t>
  </si>
  <si>
    <t>67cm</t>
  </si>
  <si>
    <t>1,5 lt</t>
  </si>
  <si>
    <t>62x39x</t>
  </si>
  <si>
    <t>472-02182</t>
  </si>
  <si>
    <t>472-40317</t>
  </si>
  <si>
    <t>098,871,875</t>
  </si>
  <si>
    <t>intruciones del año xiii y verocay</t>
  </si>
  <si>
    <t>girasol-tijon</t>
  </si>
  <si>
    <t>4560-9224</t>
  </si>
  <si>
    <t>098,928,594</t>
  </si>
  <si>
    <t>bicicleta en hierro</t>
  </si>
  <si>
    <t>malla sombra 50 %</t>
  </si>
  <si>
    <t>472-37022-37023</t>
  </si>
  <si>
    <t>pantalla bulevar</t>
  </si>
  <si>
    <t>esteban giraldi</t>
  </si>
  <si>
    <t>V5047</t>
  </si>
  <si>
    <t>v5025</t>
  </si>
  <si>
    <t>80 ml</t>
  </si>
  <si>
    <t>racion perro</t>
  </si>
  <si>
    <t>472-22178/47224678/24992</t>
  </si>
  <si>
    <t>loros australianos fernando</t>
  </si>
  <si>
    <t>collar dominal mediano</t>
  </si>
  <si>
    <t>chinazo enrique</t>
  </si>
  <si>
    <t>472-26481</t>
  </si>
  <si>
    <t>int 1-2</t>
  </si>
  <si>
    <t>2309-3336</t>
  </si>
  <si>
    <t>vermiculita</t>
  </si>
  <si>
    <t>denucio</t>
  </si>
  <si>
    <t>60 c,c</t>
  </si>
  <si>
    <t>650 c,c</t>
  </si>
  <si>
    <t>pablo-- herrero</t>
  </si>
  <si>
    <t>progreso</t>
  </si>
  <si>
    <t>pàrque trebol lurdes</t>
  </si>
  <si>
    <t>lima- distribuidora</t>
  </si>
  <si>
    <t>v0844</t>
  </si>
  <si>
    <t>v5067</t>
  </si>
  <si>
    <t>jaula conejos grande</t>
  </si>
  <si>
    <t>85x49x38</t>
  </si>
  <si>
    <t>e</t>
  </si>
  <si>
    <t>36 x 35</t>
  </si>
  <si>
    <t>jaula de conejo piso madera</t>
  </si>
  <si>
    <t>v1304</t>
  </si>
  <si>
    <t>jaula loro alambre</t>
  </si>
  <si>
    <t xml:space="preserve">delta </t>
  </si>
  <si>
    <t>33 orientales 1026</t>
  </si>
  <si>
    <t>6gr</t>
  </si>
  <si>
    <t>intor-marcelo chofer</t>
  </si>
  <si>
    <t>098687328</t>
  </si>
  <si>
    <t>heladera-ceballo</t>
  </si>
  <si>
    <t>099,769,250</t>
  </si>
  <si>
    <t>099,725,840</t>
  </si>
  <si>
    <t>copelo -cabeza</t>
  </si>
  <si>
    <t>color flex</t>
  </si>
  <si>
    <t>santiago valori-fertilizante durascop</t>
  </si>
  <si>
    <t>473-79112</t>
  </si>
  <si>
    <t>fertilizante granos azules act. Flores y frutos</t>
  </si>
  <si>
    <t>tierra</t>
  </si>
  <si>
    <t>095,489,342</t>
  </si>
  <si>
    <t>esperanza</t>
  </si>
  <si>
    <t>472-28280</t>
  </si>
  <si>
    <t>espasio verde</t>
  </si>
  <si>
    <t>33 y san bautista</t>
  </si>
  <si>
    <t>canelones</t>
  </si>
  <si>
    <t>099,331,410</t>
  </si>
  <si>
    <t>conejo</t>
  </si>
  <si>
    <t>negley-cno,magmanga 8090</t>
  </si>
  <si>
    <t>472-25202</t>
  </si>
  <si>
    <t>perro pedrigree</t>
  </si>
  <si>
    <t>echenique</t>
  </si>
  <si>
    <t>pin-celular</t>
  </si>
  <si>
    <t>091,031,900</t>
  </si>
  <si>
    <t>laborde</t>
  </si>
  <si>
    <t>4720-2380</t>
  </si>
  <si>
    <t>098,578,396</t>
  </si>
  <si>
    <t>gmail</t>
  </si>
  <si>
    <t>carlosrivoir1955@gmail-kentiaplantas</t>
  </si>
  <si>
    <t>pim</t>
  </si>
  <si>
    <t>99721800-5701</t>
  </si>
  <si>
    <t>credito de la casa</t>
  </si>
  <si>
    <t>472-43240</t>
  </si>
  <si>
    <t>cucarachicida fulmoline</t>
  </si>
  <si>
    <t>racion ponedora molida</t>
  </si>
  <si>
    <t>jardinera retomoldeada JFQM780</t>
  </si>
  <si>
    <t>73 CN</t>
  </si>
  <si>
    <t>CARRAU-dogui-gati</t>
  </si>
  <si>
    <t>098,643,626</t>
  </si>
  <si>
    <t>Merlin grow</t>
  </si>
  <si>
    <t>099054406</t>
  </si>
  <si>
    <t>bat guano</t>
  </si>
  <si>
    <t>1,8 ltr</t>
  </si>
  <si>
    <t>500 c,c,</t>
  </si>
  <si>
    <t>2 plat</t>
  </si>
  <si>
    <t>platillos cebo nosca</t>
  </si>
  <si>
    <t>creolina concentrada</t>
  </si>
  <si>
    <t>rodriguez</t>
  </si>
  <si>
    <t>ituzango 869</t>
  </si>
  <si>
    <t>vivero dacombe</t>
  </si>
  <si>
    <t>099,138,157</t>
  </si>
  <si>
    <t>stiker-cesar gonzalez</t>
  </si>
  <si>
    <t>artigas 1063</t>
  </si>
  <si>
    <t>alimento peleteado floatin green p/peces</t>
  </si>
  <si>
    <t>v5011</t>
  </si>
  <si>
    <t>30x23x21</t>
  </si>
  <si>
    <t>v1327</t>
  </si>
  <si>
    <t>bomba de agua 40 w 2000 ltr, hr 2 mtr h</t>
  </si>
  <si>
    <t>RS-4100-A</t>
  </si>
  <si>
    <t>martinez omar</t>
  </si>
  <si>
    <t>099262584</t>
  </si>
  <si>
    <t>2322-9000</t>
  </si>
  <si>
    <t>v5009</t>
  </si>
  <si>
    <t>v1321</t>
  </si>
  <si>
    <t>093,425,855</t>
  </si>
  <si>
    <t>472-40977</t>
  </si>
  <si>
    <t>Corona grande claveles</t>
  </si>
  <si>
    <t>perro pro 27</t>
  </si>
  <si>
    <t>pa</t>
  </si>
  <si>
    <t>ferrazan-bicicleta</t>
  </si>
  <si>
    <t>472-37274</t>
  </si>
  <si>
    <t>des</t>
  </si>
  <si>
    <t>lama</t>
  </si>
  <si>
    <t>rimar raciones</t>
  </si>
  <si>
    <t>racion canario</t>
  </si>
  <si>
    <t>ratixan liquido</t>
  </si>
  <si>
    <t>v4164</t>
  </si>
  <si>
    <t>v0632</t>
  </si>
  <si>
    <t>plantas artf plasticas</t>
  </si>
  <si>
    <t>v0634</t>
  </si>
  <si>
    <t>nutricion p/canarios</t>
  </si>
  <si>
    <t>esfera hamster mediana</t>
  </si>
  <si>
    <t>V5098</t>
  </si>
  <si>
    <t>cartel-lagrima</t>
  </si>
  <si>
    <t>radio</t>
  </si>
  <si>
    <t>tagliani mudas</t>
  </si>
  <si>
    <t>TRUJILLO</t>
  </si>
  <si>
    <t>racion hanster</t>
  </si>
  <si>
    <t>472-29050</t>
  </si>
  <si>
    <t>jardinera c/soporte</t>
  </si>
  <si>
    <t>50 cn</t>
  </si>
  <si>
    <t>palitas plasticos</t>
  </si>
  <si>
    <t>macetas diamond</t>
  </si>
  <si>
    <t>maceta de colgar</t>
  </si>
  <si>
    <t>18 cn</t>
  </si>
  <si>
    <t>macetas 3 unidas</t>
  </si>
  <si>
    <t>maceta transparente</t>
  </si>
  <si>
    <t>maceta c/tijeras</t>
  </si>
  <si>
    <t>machado-abogado</t>
  </si>
  <si>
    <t>099,725,715</t>
  </si>
  <si>
    <t>472-35719</t>
  </si>
  <si>
    <t>perro pedrighe cachorro</t>
  </si>
  <si>
    <t>4 doc claveles</t>
  </si>
  <si>
    <t>Corona chica</t>
  </si>
  <si>
    <t>2 doc claveles</t>
  </si>
  <si>
    <t>gato birbo</t>
  </si>
  <si>
    <t>10 kg</t>
  </si>
  <si>
    <t>maceta elegant S/plato</t>
  </si>
  <si>
    <t xml:space="preserve">maceta cilindrica negra </t>
  </si>
  <si>
    <t>maceta cilindrica negra</t>
  </si>
  <si>
    <t>herreria rogelio gallardo</t>
  </si>
  <si>
    <t>sarandi 267</t>
  </si>
  <si>
    <t>472-35156</t>
  </si>
  <si>
    <t>099,389,413</t>
  </si>
  <si>
    <t>472,29467</t>
  </si>
  <si>
    <t>472-23146</t>
  </si>
  <si>
    <t>perro intor cachorro</t>
  </si>
  <si>
    <t>v0512</t>
  </si>
  <si>
    <t>red 5</t>
  </si>
  <si>
    <t>v1323</t>
  </si>
  <si>
    <t>bomba de agua 5 w350 ltr /h0,65 hrs-901</t>
  </si>
  <si>
    <t>v1340</t>
  </si>
  <si>
    <t>verde</t>
  </si>
  <si>
    <t>cilantro</t>
  </si>
  <si>
    <t>coriandro</t>
  </si>
  <si>
    <t>maurisio-seguro</t>
  </si>
  <si>
    <t>472-20061</t>
  </si>
  <si>
    <t>tarjeta brou-kentia</t>
  </si>
  <si>
    <t>01,039,158,990,036</t>
  </si>
  <si>
    <t>capas de perro</t>
  </si>
  <si>
    <t>098,730,167</t>
  </si>
  <si>
    <t>bianchesi</t>
  </si>
  <si>
    <t>345 c,c,</t>
  </si>
  <si>
    <t>codornis y conejo enano</t>
  </si>
  <si>
    <t>Mayans</t>
  </si>
  <si>
    <t>frigorifico casa blanca</t>
  </si>
  <si>
    <t>120,048,180,018</t>
  </si>
  <si>
    <t>091-467-709</t>
  </si>
  <si>
    <t>merelo</t>
  </si>
  <si>
    <t>098,729,928</t>
  </si>
  <si>
    <t>agroinsumos-NILDEMAR-marcelo bonavita-attac</t>
  </si>
  <si>
    <t>industrial paysandu</t>
  </si>
  <si>
    <t>l,gomez</t>
  </si>
  <si>
    <t>472-27448</t>
  </si>
  <si>
    <t>098,809,775</t>
  </si>
  <si>
    <t>follaje antonio</t>
  </si>
  <si>
    <t>comedero tipo rancho</t>
  </si>
  <si>
    <t>45cm lata</t>
  </si>
  <si>
    <t>V4175</t>
  </si>
  <si>
    <t>piedras de calcio</t>
  </si>
  <si>
    <t>acj</t>
  </si>
  <si>
    <t>int,261/272</t>
  </si>
  <si>
    <t>4550-7004</t>
  </si>
  <si>
    <t>acuario martin</t>
  </si>
  <si>
    <t>18 dejulio 1730 local 11</t>
  </si>
  <si>
    <t>4906-45</t>
  </si>
  <si>
    <t>bastian-estacion servicio</t>
  </si>
  <si>
    <t>4720-2101</t>
  </si>
  <si>
    <t>colonia</t>
  </si>
  <si>
    <t>455,21286-099,361,613</t>
  </si>
  <si>
    <t>continental plastic</t>
  </si>
  <si>
    <t>chapista</t>
  </si>
  <si>
    <t>bulevar y salto</t>
  </si>
  <si>
    <t>099,034,176</t>
  </si>
  <si>
    <t>chaves acerradero</t>
  </si>
  <si>
    <t>s,martin y e,chplin</t>
  </si>
  <si>
    <t>099,722,823</t>
  </si>
  <si>
    <t>davila</t>
  </si>
  <si>
    <t>098,772,254</t>
  </si>
  <si>
    <t>ruiseñor</t>
  </si>
  <si>
    <t>j,batlle y ordoñes 4741</t>
  </si>
  <si>
    <t>23365354</t>
  </si>
  <si>
    <t>elena</t>
  </si>
  <si>
    <t>c,i,2869406-5 comepa 75737</t>
  </si>
  <si>
    <t>eliot susana</t>
  </si>
  <si>
    <t>sarandi 532</t>
  </si>
  <si>
    <t xml:space="preserve">enjambres </t>
  </si>
  <si>
    <t>guillermo gonzales</t>
  </si>
  <si>
    <t>4569-2580</t>
  </si>
  <si>
    <t>099,297,154</t>
  </si>
  <si>
    <t>equipamiento p/gallineros</t>
  </si>
  <si>
    <t>ruta 8 km 23,500</t>
  </si>
  <si>
    <t>4330-3810</t>
  </si>
  <si>
    <t>099,210,083</t>
  </si>
  <si>
    <t>bottino</t>
  </si>
  <si>
    <t>automotora</t>
  </si>
  <si>
    <t>472-34844</t>
  </si>
  <si>
    <t>472-40749</t>
  </si>
  <si>
    <t>verocay 1374</t>
  </si>
  <si>
    <t>escobas silvestre</t>
  </si>
  <si>
    <t>escribano -griselda bombin</t>
  </si>
  <si>
    <t>montecasero 914</t>
  </si>
  <si>
    <t>472-34465</t>
  </si>
  <si>
    <t>espindola -maquinas</t>
  </si>
  <si>
    <t>472-26213-43678</t>
  </si>
  <si>
    <t>esquina del repuesto</t>
  </si>
  <si>
    <t>ferrazan -maquinas de cesped</t>
  </si>
  <si>
    <t>florida 1996</t>
  </si>
  <si>
    <t>472-36923</t>
  </si>
  <si>
    <t>magnu</t>
  </si>
  <si>
    <t>472-22759</t>
  </si>
  <si>
    <t>machado abogado</t>
  </si>
  <si>
    <t>malaro</t>
  </si>
  <si>
    <t>099,722,312</t>
  </si>
  <si>
    <t>o</t>
  </si>
  <si>
    <t>nuevo paysandu</t>
  </si>
  <si>
    <t>mati</t>
  </si>
  <si>
    <t>cedula 4,899,068,5</t>
  </si>
  <si>
    <t>098,256,587</t>
  </si>
  <si>
    <t>medina -imprente</t>
  </si>
  <si>
    <t>artigas y s,fernandez</t>
  </si>
  <si>
    <t>merrcado papelero</t>
  </si>
  <si>
    <t>santa fe 1165</t>
  </si>
  <si>
    <t>nely diagostini</t>
  </si>
  <si>
    <t>472-27407</t>
  </si>
  <si>
    <t>oneto marianela</t>
  </si>
  <si>
    <t>472-24557</t>
  </si>
  <si>
    <t>098,546,875</t>
  </si>
  <si>
    <t>montecasero 3141 casi l,alberto herera</t>
  </si>
  <si>
    <t>orejas sebastian</t>
  </si>
  <si>
    <t>floreria ferreiro</t>
  </si>
  <si>
    <t>tacuarembo</t>
  </si>
  <si>
    <t>floreria conrado alonso</t>
  </si>
  <si>
    <t>trinidad</t>
  </si>
  <si>
    <t>35133068- 43643535</t>
  </si>
  <si>
    <t>floreria alisa</t>
  </si>
  <si>
    <t>pando</t>
  </si>
  <si>
    <t>floreria avenida</t>
  </si>
  <si>
    <t>las piedras</t>
  </si>
  <si>
    <t>23642116- 098456881</t>
  </si>
  <si>
    <t>floreria mana (adriana barrios)</t>
  </si>
  <si>
    <t>floreria pampillon</t>
  </si>
  <si>
    <t>094374021</t>
  </si>
  <si>
    <t>fleitas ricardo</t>
  </si>
  <si>
    <t>099726458</t>
  </si>
  <si>
    <t>jardinero rosano</t>
  </si>
  <si>
    <t>472-38118</t>
  </si>
  <si>
    <t>091,682,910</t>
  </si>
  <si>
    <t>la barraca</t>
  </si>
  <si>
    <t>1-THOMPSON 3166</t>
  </si>
  <si>
    <t>langone</t>
  </si>
  <si>
    <t>cobrador</t>
  </si>
  <si>
    <t>099,727,399</t>
  </si>
  <si>
    <t>lauria roque</t>
  </si>
  <si>
    <t>salto</t>
  </si>
  <si>
    <t>473,25005</t>
  </si>
  <si>
    <t>lo de jorge-pesca</t>
  </si>
  <si>
    <t>bicudo 902</t>
  </si>
  <si>
    <t>472-28772</t>
  </si>
  <si>
    <t xml:space="preserve">floreria eli </t>
  </si>
  <si>
    <t>maceta rocca</t>
  </si>
  <si>
    <t>lagomar frente a tienda inglesa</t>
  </si>
  <si>
    <t>26958018-26962022</t>
  </si>
  <si>
    <t>zanahoria</t>
  </si>
  <si>
    <t>de raiz</t>
  </si>
  <si>
    <t>sapporo-garden</t>
  </si>
  <si>
    <t>grl, urquiza 472</t>
  </si>
  <si>
    <t>semilleria la siembra</t>
  </si>
  <si>
    <t>472-27034</t>
  </si>
  <si>
    <t>sheila</t>
  </si>
  <si>
    <t>gallinal</t>
  </si>
  <si>
    <t>099,,441,600</t>
  </si>
  <si>
    <t>096,233,532</t>
  </si>
  <si>
    <t>targetta machado</t>
  </si>
  <si>
    <t>carmelo de arzadum 4846</t>
  </si>
  <si>
    <t>plomero-geimonat</t>
  </si>
  <si>
    <t>eduardo</t>
  </si>
  <si>
    <t>piedras de gel</t>
  </si>
  <si>
    <t>099,169,459</t>
  </si>
  <si>
    <t>tatu-intendencia</t>
  </si>
  <si>
    <t>098,992,524</t>
  </si>
  <si>
    <t>colmenas-torta</t>
  </si>
  <si>
    <t>martin alvarez</t>
  </si>
  <si>
    <t>099,142627</t>
  </si>
  <si>
    <t>urgencias toxicologica</t>
  </si>
  <si>
    <t>vivero alvarez</t>
  </si>
  <si>
    <t>camino de las rosas</t>
  </si>
  <si>
    <t>426-62844</t>
  </si>
  <si>
    <t>valle eden</t>
  </si>
  <si>
    <t>raquel martinez</t>
  </si>
  <si>
    <t>472-32301</t>
  </si>
  <si>
    <t xml:space="preserve">maceta rotomoldeada </t>
  </si>
  <si>
    <t>plato para maceta 14</t>
  </si>
  <si>
    <t>plato para maceta 24</t>
  </si>
  <si>
    <t>cocheria del norte</t>
  </si>
  <si>
    <t>472-34590</t>
  </si>
  <si>
    <t>cerveceria y malteria -cympay</t>
  </si>
  <si>
    <t>instrucciones del año xiii</t>
  </si>
  <si>
    <t>1896-5036</t>
  </si>
  <si>
    <t>pte, c/u</t>
  </si>
  <si>
    <t>pala de jardin</t>
  </si>
  <si>
    <t>escardillo p/jardin</t>
  </si>
  <si>
    <t>d185</t>
  </si>
  <si>
    <t>margarita</t>
  </si>
  <si>
    <t>bioterra</t>
  </si>
  <si>
    <t>600 ml,</t>
  </si>
  <si>
    <t>472-44100</t>
  </si>
  <si>
    <t>terminal-paysandu</t>
  </si>
  <si>
    <t>biorepelente</t>
  </si>
  <si>
    <t>guano-rojoo</t>
  </si>
  <si>
    <t>fibra de coco</t>
  </si>
  <si>
    <t>50 ltr</t>
  </si>
  <si>
    <t>compost premiun</t>
  </si>
  <si>
    <t>20 lt,</t>
  </si>
  <si>
    <t>7lt</t>
  </si>
  <si>
    <t>biosustrato</t>
  </si>
  <si>
    <t>potting mix</t>
  </si>
  <si>
    <t>7 ltr</t>
  </si>
  <si>
    <t>sanitaria</t>
  </si>
  <si>
    <t>perro lage</t>
  </si>
  <si>
    <t>099,290,768</t>
  </si>
  <si>
    <t>termas san nicanor</t>
  </si>
  <si>
    <t>4730-2209</t>
  </si>
  <si>
    <t>papeleria garotas</t>
  </si>
  <si>
    <t>arenal grande 2498</t>
  </si>
  <si>
    <t>kinnur</t>
  </si>
  <si>
    <t>098199804-099536487</t>
  </si>
  <si>
    <t>banda oriental -libros</t>
  </si>
  <si>
    <t>099,449,524</t>
  </si>
  <si>
    <t>17x15</t>
  </si>
  <si>
    <t>jardinera chica</t>
  </si>
  <si>
    <t>garcia-aromaticas</t>
  </si>
  <si>
    <t>472-34838</t>
  </si>
  <si>
    <t>maceta descartable canadience</t>
  </si>
  <si>
    <t>60x36x32</t>
  </si>
  <si>
    <t>099,711,725</t>
  </si>
  <si>
    <t>rivera</t>
  </si>
  <si>
    <t>vivero merladett-leonardo</t>
  </si>
  <si>
    <t>uruquim -alejandro canales</t>
  </si>
  <si>
    <t>099,885,441</t>
  </si>
  <si>
    <t>091,259,232</t>
  </si>
  <si>
    <t>comepa</t>
  </si>
  <si>
    <t>ciboulet</t>
  </si>
  <si>
    <t>broad leaf-lata 100 grs</t>
  </si>
  <si>
    <t>perita -rio grande</t>
  </si>
  <si>
    <t>hora 1440</t>
  </si>
  <si>
    <t>472-32100</t>
  </si>
  <si>
    <t>sal marina p. 180l de agua</t>
  </si>
  <si>
    <t>para 180L agua</t>
  </si>
  <si>
    <t>metilaqua azul</t>
  </si>
  <si>
    <t>V0690</t>
  </si>
  <si>
    <t>aireador 2 salida 5w</t>
  </si>
  <si>
    <t>florero vidrio color cilindrico</t>
  </si>
  <si>
    <t>2 kg</t>
  </si>
  <si>
    <t>7,5 kg</t>
  </si>
  <si>
    <t>500 ml</t>
  </si>
  <si>
    <t>echenique-montevideo</t>
  </si>
  <si>
    <t>chismnosas</t>
  </si>
  <si>
    <t>camino casavalle 4387</t>
  </si>
  <si>
    <t>escardillo largo</t>
  </si>
  <si>
    <t>escardillo corto</t>
  </si>
  <si>
    <t>fumigadora</t>
  </si>
  <si>
    <t>musgo</t>
  </si>
  <si>
    <t>tierra preparada</t>
  </si>
  <si>
    <t>8 lt</t>
  </si>
  <si>
    <t>092,834,988</t>
  </si>
  <si>
    <t>sanitario-plomero</t>
  </si>
  <si>
    <t>098-567-875</t>
  </si>
  <si>
    <t>212441620015</t>
  </si>
  <si>
    <t>4747-2080</t>
  </si>
  <si>
    <t>bolsa plastillera-</t>
  </si>
  <si>
    <t>eduardo firpo</t>
  </si>
  <si>
    <t>098,393,948</t>
  </si>
  <si>
    <t>mafalda</t>
  </si>
  <si>
    <t>juncal-sarandi</t>
  </si>
  <si>
    <t>frascos</t>
  </si>
  <si>
    <t>pamela-hermana</t>
  </si>
  <si>
    <t>099,555,812</t>
  </si>
  <si>
    <t>verdeo</t>
  </si>
  <si>
    <t>agencia central de cargas</t>
  </si>
  <si>
    <t>V0982</t>
  </si>
  <si>
    <t xml:space="preserve">planta silicona </t>
  </si>
  <si>
    <t>110*100*112</t>
  </si>
  <si>
    <t>V0987</t>
  </si>
  <si>
    <t>90*75*30</t>
  </si>
  <si>
    <t>V0986</t>
  </si>
  <si>
    <t>V0985</t>
  </si>
  <si>
    <t>35*35*200</t>
  </si>
  <si>
    <t>V0647</t>
  </si>
  <si>
    <t>x metro</t>
  </si>
  <si>
    <t>Lamina 40cm ancho simple faz</t>
  </si>
  <si>
    <t xml:space="preserve">10cm </t>
  </si>
  <si>
    <t>V4003</t>
  </si>
  <si>
    <t>V4004</t>
  </si>
  <si>
    <t>jaula volado</t>
  </si>
  <si>
    <t>30*23*39</t>
  </si>
  <si>
    <t>RS-600B LT</t>
  </si>
  <si>
    <t>pecera acrilico 60*30*49</t>
  </si>
  <si>
    <t>V1482</t>
  </si>
  <si>
    <t>V1477</t>
  </si>
  <si>
    <t>pecera acrilico curva 48*30*56</t>
  </si>
  <si>
    <t>53 LT RS-480C</t>
  </si>
  <si>
    <t>V0694</t>
  </si>
  <si>
    <t>V4000</t>
  </si>
  <si>
    <t>jaula hamster R/ beb/ com</t>
  </si>
  <si>
    <t>plantas artf. chicas</t>
  </si>
  <si>
    <t>V1428</t>
  </si>
  <si>
    <t>lampara 42 led 4w</t>
  </si>
  <si>
    <t>40-60 CMS RS-68l</t>
  </si>
  <si>
    <t>JVMO38C</t>
  </si>
  <si>
    <t>mudas de boniato</t>
  </si>
  <si>
    <t>agustin</t>
  </si>
  <si>
    <t>094,119,108</t>
  </si>
  <si>
    <t>serrano</t>
  </si>
  <si>
    <t>097,952,223</t>
  </si>
  <si>
    <t>raid cebo</t>
  </si>
  <si>
    <t>barraca arenera bulevar</t>
  </si>
  <si>
    <t>472-26081</t>
  </si>
  <si>
    <t>11x60</t>
  </si>
  <si>
    <t>florero metal conico</t>
  </si>
  <si>
    <t>JARDINERA</t>
  </si>
  <si>
    <t>15 cm</t>
  </si>
  <si>
    <t xml:space="preserve">azufre mojable </t>
  </si>
  <si>
    <t>plato para maceta 12</t>
  </si>
  <si>
    <t>maximiliano-092,141,357</t>
  </si>
  <si>
    <t>nix</t>
  </si>
  <si>
    <t>472-21700</t>
  </si>
  <si>
    <t>cesped axonopus</t>
  </si>
  <si>
    <t>tortorela</t>
  </si>
  <si>
    <t>18 de julio y b, brum</t>
  </si>
  <si>
    <t>472-24272</t>
  </si>
  <si>
    <t>472-28886</t>
  </si>
  <si>
    <t>bulevar y sarandi</t>
  </si>
  <si>
    <t>1,20 largo x50 mm</t>
  </si>
  <si>
    <t>80 mm largo30x35</t>
  </si>
  <si>
    <t>juguete pelota de goma maciza</t>
  </si>
  <si>
    <t>44 mm multicolor</t>
  </si>
  <si>
    <t>tejido en hilo</t>
  </si>
  <si>
    <t>cordero poggi</t>
  </si>
  <si>
    <t>472-37761</t>
  </si>
  <si>
    <t>durazno 1472-jorge periro</t>
  </si>
  <si>
    <t>472-40949</t>
  </si>
  <si>
    <t>472-30778</t>
  </si>
  <si>
    <t>enrique-albañil</t>
  </si>
  <si>
    <t>099,720,519</t>
  </si>
  <si>
    <t>aireador 2,5lm  sl-2800</t>
  </si>
  <si>
    <t>v5330</t>
  </si>
  <si>
    <t>v5325</t>
  </si>
  <si>
    <t>calcio-p/tortugas</t>
  </si>
  <si>
    <t>30 grs</t>
  </si>
  <si>
    <t>093,793,922</t>
  </si>
  <si>
    <t>conejos silveira</t>
  </si>
  <si>
    <t>melaza</t>
  </si>
  <si>
    <t>tierra diatomeas</t>
  </si>
  <si>
    <t>mursa</t>
  </si>
  <si>
    <t>alonso</t>
  </si>
  <si>
    <t>pollos-padre 099-688-451</t>
  </si>
  <si>
    <t>azomite</t>
  </si>
  <si>
    <t>tetrmit oral</t>
  </si>
  <si>
    <t>120 gr</t>
  </si>
  <si>
    <t>tetramit oral</t>
  </si>
  <si>
    <t>472-26775</t>
  </si>
  <si>
    <t>099-725-781</t>
  </si>
  <si>
    <t>arenera de los santos</t>
  </si>
  <si>
    <t>edu gomez</t>
  </si>
  <si>
    <t>sanitario -p/gatos</t>
  </si>
  <si>
    <t>099-169-459</t>
  </si>
  <si>
    <t>472-41551</t>
  </si>
  <si>
    <t>098-161-912</t>
  </si>
  <si>
    <t>1,1 kg</t>
  </si>
  <si>
    <t>v5304</t>
  </si>
  <si>
    <t>099,328,077</t>
  </si>
  <si>
    <t>agencia central nueva helvecia</t>
  </si>
  <si>
    <t>nueva helvecia</t>
  </si>
  <si>
    <t>4554-7369</t>
  </si>
  <si>
    <t>moha-trigo</t>
  </si>
  <si>
    <t>099,723,165</t>
  </si>
  <si>
    <t>murialdo</t>
  </si>
  <si>
    <t>washintong nuñez 1496542-8</t>
  </si>
  <si>
    <t>mudas -maria</t>
  </si>
  <si>
    <t>091,728,309</t>
  </si>
  <si>
    <t>jeringa p/cucaracha raid max</t>
  </si>
  <si>
    <t>crespa-romana-parris island</t>
  </si>
  <si>
    <t>colorado-di verona</t>
  </si>
  <si>
    <t xml:space="preserve">cebolla </t>
  </si>
  <si>
    <t>Ttexas</t>
  </si>
  <si>
    <t>CASERA</t>
  </si>
  <si>
    <t>gladiolos-bulbos</t>
  </si>
  <si>
    <t>barraca residencial</t>
  </si>
  <si>
    <t>avd,ferreira alunate</t>
  </si>
  <si>
    <t>472,26879-28994</t>
  </si>
  <si>
    <t>coronilla esq, carlos m,de pena</t>
  </si>
  <si>
    <t>crece mas alimento para cactus</t>
  </si>
  <si>
    <t>300 cc</t>
  </si>
  <si>
    <t>giuliaan</t>
  </si>
  <si>
    <t>chapista-menesse</t>
  </si>
  <si>
    <t>tacuarembo y varela</t>
  </si>
  <si>
    <t>098,604,550</t>
  </si>
  <si>
    <t>mussaco</t>
  </si>
  <si>
    <t>26042704/26042804</t>
  </si>
  <si>
    <t>flores</t>
  </si>
  <si>
    <t>pecera</t>
  </si>
  <si>
    <t>cotrali</t>
  </si>
  <si>
    <t>av,las americas 1642</t>
  </si>
  <si>
    <t>099,722,193</t>
  </si>
  <si>
    <t>p037</t>
  </si>
  <si>
    <t>alimento tortugas tartafood</t>
  </si>
  <si>
    <t>francisco</t>
  </si>
  <si>
    <t xml:space="preserve">paysandu natural </t>
  </si>
  <si>
    <t>472-40786</t>
  </si>
  <si>
    <t>2508-1260</t>
  </si>
  <si>
    <t>vivero los helechos</t>
  </si>
  <si>
    <t>gaston</t>
  </si>
  <si>
    <t>cocheria san jose</t>
  </si>
  <si>
    <t>ratixan trigo</t>
  </si>
  <si>
    <t>IVQM36</t>
  </si>
  <si>
    <t>vivero berciano-vivero</t>
  </si>
  <si>
    <t>computacion-gargano</t>
  </si>
  <si>
    <t>098,555,608</t>
  </si>
  <si>
    <t>distribuidora del sol</t>
  </si>
  <si>
    <t>gato primogato</t>
  </si>
  <si>
    <t>termas-tacuabe</t>
  </si>
  <si>
    <t>4755-2478</t>
  </si>
  <si>
    <t>4755-2023</t>
  </si>
  <si>
    <t>termas-imp</t>
  </si>
  <si>
    <t>93 grs</t>
  </si>
  <si>
    <t>vida sana</t>
  </si>
  <si>
    <t>veronica</t>
  </si>
  <si>
    <t>098,645,041</t>
  </si>
  <si>
    <t>472-41710</t>
  </si>
  <si>
    <t>geocom</t>
  </si>
  <si>
    <t>2487-0808</t>
  </si>
  <si>
    <t>conejos veronica</t>
  </si>
  <si>
    <t>096,282,185</t>
  </si>
  <si>
    <t>v0605</t>
  </si>
  <si>
    <t>calagualas miguel</t>
  </si>
  <si>
    <t>cta brou 399558-00001</t>
  </si>
  <si>
    <t>ileana clavarino</t>
  </si>
  <si>
    <t>floreria-atlantida</t>
  </si>
  <si>
    <t>atlantida</t>
  </si>
  <si>
    <t>093,770,436</t>
  </si>
  <si>
    <t>20 lts</t>
  </si>
  <si>
    <t>IVIP 34</t>
  </si>
  <si>
    <t xml:space="preserve">MACETA ROTOMOLDEADA </t>
  </si>
  <si>
    <t>IVIP 43</t>
  </si>
  <si>
    <t>MACETA ROTOMOLDEALA</t>
  </si>
  <si>
    <t>IVOM 30</t>
  </si>
  <si>
    <t>MACETA ROTOMOLDEADA</t>
  </si>
  <si>
    <t>IVPM 25</t>
  </si>
  <si>
    <t>JVEO 55</t>
  </si>
  <si>
    <t>sustrato organico</t>
  </si>
  <si>
    <t>2,5 kg</t>
  </si>
  <si>
    <t>500 c.c.</t>
  </si>
  <si>
    <t>brillo p/hojas</t>
  </si>
  <si>
    <t>230 c.c</t>
  </si>
  <si>
    <t>crece mas p/helechos</t>
  </si>
  <si>
    <t>activador de  flores</t>
  </si>
  <si>
    <t>1,200 ltr</t>
  </si>
  <si>
    <t>300 c,c,</t>
  </si>
  <si>
    <t>cero plaga 3 en 1</t>
  </si>
  <si>
    <t>650 c,c,</t>
  </si>
  <si>
    <t>7,5 cn</t>
  </si>
  <si>
    <t>comedero p/loro n1 acero inoxidable</t>
  </si>
  <si>
    <t>pina joselo</t>
  </si>
  <si>
    <t>arregla guitarras</t>
  </si>
  <si>
    <t>099,400,405</t>
  </si>
  <si>
    <t>diego</t>
  </si>
  <si>
    <t>gt2961</t>
  </si>
  <si>
    <t>gt3235</t>
  </si>
  <si>
    <t>pegamento p/rata</t>
  </si>
  <si>
    <t>19x26</t>
  </si>
  <si>
    <t>tio bazar</t>
  </si>
  <si>
    <t>arenal grande 2194</t>
  </si>
  <si>
    <t>2925-0375</t>
  </si>
  <si>
    <t>092,128,929</t>
  </si>
  <si>
    <t xml:space="preserve">                                       </t>
  </si>
  <si>
    <t>2,5L/mmrs-RS510</t>
  </si>
  <si>
    <t>RS 290</t>
  </si>
  <si>
    <t>V1309</t>
  </si>
  <si>
    <t>V13356</t>
  </si>
  <si>
    <t>BOMBA DE AGUA AQUARIUM</t>
  </si>
  <si>
    <t>RS730</t>
  </si>
  <si>
    <t>500  GR</t>
  </si>
  <si>
    <t>100 GR</t>
  </si>
  <si>
    <t xml:space="preserve">harina de hueso </t>
  </si>
  <si>
    <t>humus</t>
  </si>
  <si>
    <t>nitro sulfa aviar</t>
  </si>
  <si>
    <t>1 tr</t>
  </si>
  <si>
    <t>domenech</t>
  </si>
  <si>
    <t>zorrilla 1121</t>
  </si>
  <si>
    <t>472-23975</t>
  </si>
  <si>
    <t>rojo gigante</t>
  </si>
  <si>
    <t>zzz</t>
  </si>
  <si>
    <t>pablo -buenos aires</t>
  </si>
  <si>
    <t>avd,marque -2 do puente rotonda izquierda 1er semaforo</t>
  </si>
  <si>
    <t>005,411,484,20,199</t>
  </si>
  <si>
    <t xml:space="preserve">belsir </t>
  </si>
  <si>
    <t>MONTEIDEO</t>
  </si>
  <si>
    <t>2525,1426-2525,7455</t>
  </si>
  <si>
    <t>celular</t>
  </si>
  <si>
    <t>099,723,035</t>
  </si>
  <si>
    <t>l,gomez 1400</t>
  </si>
  <si>
    <t>porta cebo ratas y ratones</t>
  </si>
  <si>
    <t>472-51409</t>
  </si>
  <si>
    <t>100c,c,</t>
  </si>
  <si>
    <t>caru</t>
  </si>
  <si>
    <t>julia sacco</t>
  </si>
  <si>
    <t>arrozin</t>
  </si>
  <si>
    <t>kale</t>
  </si>
  <si>
    <t>kale di toscana</t>
  </si>
  <si>
    <t>MUDAS DA SILVA</t>
  </si>
  <si>
    <t>vasijas de ceramicas</t>
  </si>
  <si>
    <t>rs610</t>
  </si>
  <si>
    <t>mudas silva</t>
  </si>
  <si>
    <t>frc,bicudo 1200</t>
  </si>
  <si>
    <t>jardinera rotomoldeada</t>
  </si>
  <si>
    <t>JVPM 25</t>
  </si>
  <si>
    <t>JVPM 50</t>
  </si>
  <si>
    <t>MACETA BARRIL</t>
  </si>
  <si>
    <t xml:space="preserve">MACETA CONO </t>
  </si>
  <si>
    <t>JVRE 37</t>
  </si>
  <si>
    <t>MACETA ROTOMOLDEADA OCRE</t>
  </si>
  <si>
    <t>JVRE 46</t>
  </si>
  <si>
    <t>JVRE 57</t>
  </si>
  <si>
    <t>JARDINERA OCRE</t>
  </si>
  <si>
    <t>67 CM</t>
  </si>
  <si>
    <t>77 CM</t>
  </si>
  <si>
    <t>MACETA ORQUIDEA TRANSPARENTE</t>
  </si>
  <si>
    <t>20 LT</t>
  </si>
  <si>
    <t>12 CM</t>
  </si>
  <si>
    <t>22 cm</t>
  </si>
  <si>
    <t>34 cm</t>
  </si>
  <si>
    <t>38 cm</t>
  </si>
  <si>
    <t>43 cm</t>
  </si>
  <si>
    <t>37AC</t>
  </si>
  <si>
    <t>46 AC</t>
  </si>
  <si>
    <t>57 AC</t>
  </si>
  <si>
    <t>GATO-sushi cat</t>
  </si>
  <si>
    <t>roticeria flopi</t>
  </si>
  <si>
    <t>b,chain</t>
  </si>
  <si>
    <t>472-25390</t>
  </si>
  <si>
    <t>24 blister</t>
  </si>
  <si>
    <t>V1341</t>
  </si>
  <si>
    <t>bicicleteria yhony</t>
  </si>
  <si>
    <t>19 de abril 1091</t>
  </si>
  <si>
    <t>098,519,982</t>
  </si>
  <si>
    <t xml:space="preserve">bioterra </t>
  </si>
  <si>
    <t>092,347,529</t>
  </si>
  <si>
    <t>472,21287</t>
  </si>
  <si>
    <t>jimo mata cucaracha</t>
  </si>
  <si>
    <t>472-29544</t>
  </si>
  <si>
    <t>50 lt</t>
  </si>
  <si>
    <t>5 lt</t>
  </si>
  <si>
    <t>cactus mix</t>
  </si>
  <si>
    <t>7 lt</t>
  </si>
  <si>
    <t>sedave transporte</t>
  </si>
  <si>
    <t xml:space="preserve">verocay 630     </t>
  </si>
  <si>
    <t>semilla alfalfa</t>
  </si>
  <si>
    <t>472-21287</t>
  </si>
  <si>
    <t>pedir hora1-INFORMES-2,fechas</t>
  </si>
  <si>
    <t>214,110,350,017</t>
  </si>
  <si>
    <t>s,fernandez 734</t>
  </si>
  <si>
    <t>teatro-cuarto telon</t>
  </si>
  <si>
    <t>099-315-457</t>
  </si>
  <si>
    <t>ziram</t>
  </si>
  <si>
    <t>1L</t>
  </si>
  <si>
    <t>guannabis</t>
  </si>
  <si>
    <t>20L</t>
  </si>
  <si>
    <t>bokashi</t>
  </si>
  <si>
    <t>RIVOIR NILDA</t>
  </si>
  <si>
    <t>young</t>
  </si>
  <si>
    <t>4567-2002</t>
  </si>
  <si>
    <t>maceta negra cilindrica</t>
  </si>
  <si>
    <t xml:space="preserve">tubo sumergible led </t>
  </si>
  <si>
    <t>V1420a</t>
  </si>
  <si>
    <t>v4319</t>
  </si>
  <si>
    <t>v4168</t>
  </si>
  <si>
    <t>nido de canario alambre y cuerda</t>
  </si>
  <si>
    <t>v0648</t>
  </si>
  <si>
    <t>lamina 40cm doble faz</t>
  </si>
  <si>
    <t>15MT</t>
  </si>
  <si>
    <t>vidrios-no trabaja los sabado-peceras **</t>
  </si>
  <si>
    <t>imprenta continus life</t>
  </si>
  <si>
    <t>felipe medina</t>
  </si>
  <si>
    <t>120158480016</t>
  </si>
  <si>
    <t>australianos</t>
  </si>
  <si>
    <t>091,601,651</t>
  </si>
  <si>
    <t>-</t>
  </si>
  <si>
    <t>1,50cm</t>
  </si>
  <si>
    <t>15gr</t>
  </si>
  <si>
    <t>maceta colores</t>
  </si>
  <si>
    <t>IVOM 38</t>
  </si>
  <si>
    <t>IVQM20</t>
  </si>
  <si>
    <t>JVHR33</t>
  </si>
  <si>
    <t>JVHR 42</t>
  </si>
  <si>
    <t xml:space="preserve">flit dezenur </t>
  </si>
  <si>
    <t>V4631</t>
  </si>
  <si>
    <t>bebedero picaflor beija flor gold</t>
  </si>
  <si>
    <t>bebedero picaflor beija flor premium</t>
  </si>
  <si>
    <t>V4632</t>
  </si>
  <si>
    <t>maceta cilindrica S/plato</t>
  </si>
  <si>
    <t>v0491</t>
  </si>
  <si>
    <t>limpiador magnetico mediano</t>
  </si>
  <si>
    <t>iman</t>
  </si>
  <si>
    <t>v5066</t>
  </si>
  <si>
    <t>jaula conejo mediana</t>
  </si>
  <si>
    <t>69x45x36</t>
  </si>
  <si>
    <t>099,724,491</t>
  </si>
  <si>
    <t>movilcar</t>
  </si>
  <si>
    <t>472-32020</t>
  </si>
  <si>
    <t>vivero quebracho</t>
  </si>
  <si>
    <t>CERO PLAGA CARACOLICIDA</t>
  </si>
  <si>
    <t>300 CC</t>
  </si>
  <si>
    <t>=</t>
  </si>
  <si>
    <t>cero plaga hormiguicida</t>
  </si>
  <si>
    <t>cebo 50 gr</t>
  </si>
  <si>
    <t>constructor jose gutierrez</t>
  </si>
  <si>
    <t>098699117</t>
  </si>
  <si>
    <t>50 lt-11kg</t>
  </si>
  <si>
    <t xml:space="preserve">FUYI AEREO MMM </t>
  </si>
  <si>
    <t>360 ML</t>
  </si>
  <si>
    <t>GLD AEREO+LIQ LIMPIADOR</t>
  </si>
  <si>
    <t>25083423-25089191</t>
  </si>
  <si>
    <t>099112257</t>
  </si>
  <si>
    <t>cabutia tetsukabuto patron</t>
  </si>
  <si>
    <t>Bnew Kuroda</t>
  </si>
  <si>
    <t>electricista 098603707</t>
  </si>
  <si>
    <t>vivero ferreira</t>
  </si>
  <si>
    <t>placa nacional</t>
  </si>
  <si>
    <t>bañera grande</t>
  </si>
  <si>
    <t>tarjeta visa</t>
  </si>
  <si>
    <t>4662-4010-4016-5327</t>
  </si>
  <si>
    <t>carola tienda</t>
  </si>
  <si>
    <t>472-43865</t>
  </si>
  <si>
    <t>maceta SURA</t>
  </si>
  <si>
    <t>maceta contrapared</t>
  </si>
  <si>
    <t>maceta paila 35</t>
  </si>
  <si>
    <t>farmacia inglesa ll</t>
  </si>
  <si>
    <t>472-25959</t>
  </si>
  <si>
    <t>oxicloruro de cobre-fanavid</t>
  </si>
  <si>
    <t xml:space="preserve">drogueria paysandu </t>
  </si>
  <si>
    <t>1550132-00001</t>
  </si>
  <si>
    <t>lucia</t>
  </si>
  <si>
    <t>floreria trouville</t>
  </si>
  <si>
    <t>21 de setiembre 3041</t>
  </si>
  <si>
    <t>mont</t>
  </si>
  <si>
    <t>floreria esmeralda</t>
  </si>
  <si>
    <t>floreria interflora cordoba</t>
  </si>
  <si>
    <t>argentina</t>
  </si>
  <si>
    <t>floreria rivera</t>
  </si>
  <si>
    <t>00,54,3514725074</t>
  </si>
  <si>
    <t>floreria musso</t>
  </si>
  <si>
    <t>fernando musso</t>
  </si>
  <si>
    <t>florida</t>
  </si>
  <si>
    <t>forbel</t>
  </si>
  <si>
    <t>472-25676</t>
  </si>
  <si>
    <t>fausto ferrari</t>
  </si>
  <si>
    <t>099,022,722</t>
  </si>
  <si>
    <t>099,729,533</t>
  </si>
  <si>
    <t>l,piriz 1282</t>
  </si>
  <si>
    <t>472-28394</t>
  </si>
  <si>
    <t>marcos-la barraca</t>
  </si>
  <si>
    <t>453-30543-053-20048</t>
  </si>
  <si>
    <t>hojalateria silva</t>
  </si>
  <si>
    <t>099351385</t>
  </si>
  <si>
    <t>nutrapet</t>
  </si>
  <si>
    <t>hiploclorito</t>
  </si>
  <si>
    <t>garcia lagos y camino al paso hondo-colonia nicolich</t>
  </si>
  <si>
    <t>matosas</t>
  </si>
  <si>
    <t>091,970,501</t>
  </si>
  <si>
    <t>siet</t>
  </si>
  <si>
    <t>472-23228-29844</t>
  </si>
  <si>
    <t>6 grs</t>
  </si>
  <si>
    <t>nueva era-pelusa</t>
  </si>
  <si>
    <t>092,843,843</t>
  </si>
  <si>
    <t>1,7kg</t>
  </si>
  <si>
    <t xml:space="preserve">baygon jorge </t>
  </si>
  <si>
    <t>emes</t>
  </si>
  <si>
    <t>veinte 11-semanario</t>
  </si>
  <si>
    <t>099,326,150</t>
  </si>
  <si>
    <t>cabal</t>
  </si>
  <si>
    <t>2481-2099</t>
  </si>
  <si>
    <t>visa</t>
  </si>
  <si>
    <t>2908-9080</t>
  </si>
  <si>
    <t>creditel</t>
  </si>
  <si>
    <t>2908-0000</t>
  </si>
  <si>
    <t>2400-0714</t>
  </si>
  <si>
    <t>pascard</t>
  </si>
  <si>
    <t>2901-8965</t>
  </si>
  <si>
    <t>visanet,com,uy</t>
  </si>
  <si>
    <t>jimo</t>
  </si>
  <si>
    <t>alimento tortuga reptolife balde1,100 kg</t>
  </si>
  <si>
    <t>v4618</t>
  </si>
  <si>
    <t>JVEO 41</t>
  </si>
  <si>
    <t>maceta rotomoldeada</t>
  </si>
  <si>
    <t>60 c,,c</t>
  </si>
  <si>
    <t>crece mas enraizador sachett</t>
  </si>
  <si>
    <t>ne</t>
  </si>
  <si>
    <t>moha -peraza</t>
  </si>
  <si>
    <t>099,938,674</t>
  </si>
  <si>
    <t>puntas de arroyo negro</t>
  </si>
  <si>
    <t>alimento grano mediano marron-verde</t>
  </si>
  <si>
    <t>platos para colgar</t>
  </si>
  <si>
    <t>Mira 098891801</t>
  </si>
  <si>
    <t>v5313</t>
  </si>
  <si>
    <t>472-22990</t>
  </si>
  <si>
    <t>sanchez-remates</t>
  </si>
  <si>
    <t>incienso</t>
  </si>
  <si>
    <t>hornito chico</t>
  </si>
  <si>
    <t>velas 5 gr blanca</t>
  </si>
  <si>
    <t xml:space="preserve">palo santo </t>
  </si>
  <si>
    <t>bolsita 5 gr</t>
  </si>
  <si>
    <t>vara rosa eva</t>
  </si>
  <si>
    <t>vara ilusion silicona</t>
  </si>
  <si>
    <t>vara gerbera</t>
  </si>
  <si>
    <t>mini bola</t>
  </si>
  <si>
    <t>maceta orquidea grande</t>
  </si>
  <si>
    <t>ramo rosa oferta</t>
  </si>
  <si>
    <t>planta pincho</t>
  </si>
  <si>
    <t>ramo rosa eva x 10</t>
  </si>
  <si>
    <t>iva si</t>
  </si>
  <si>
    <t>molinete flor</t>
  </si>
  <si>
    <t>bicicleta adorno</t>
  </si>
  <si>
    <t>maceta xaxim con cadena ch</t>
  </si>
  <si>
    <t>florero vidrio caja</t>
  </si>
  <si>
    <t>caja anzuelos</t>
  </si>
  <si>
    <t>boyas con 3 tanzas</t>
  </si>
  <si>
    <t>conector de manguera</t>
  </si>
  <si>
    <t>gt 2605</t>
  </si>
  <si>
    <t>tl32987</t>
  </si>
  <si>
    <t>conector p manguera</t>
  </si>
  <si>
    <t>fl11430</t>
  </si>
  <si>
    <t>flor goma eva</t>
  </si>
  <si>
    <t>hw61966</t>
  </si>
  <si>
    <t>escobilla metal</t>
  </si>
  <si>
    <t>A1847</t>
  </si>
  <si>
    <t>MANZANILLA</t>
  </si>
  <si>
    <t>T61</t>
  </si>
  <si>
    <t>T 39</t>
  </si>
  <si>
    <t xml:space="preserve">RAMO NACIZO X 9 </t>
  </si>
  <si>
    <t>W2045-1</t>
  </si>
  <si>
    <t>W2651</t>
  </si>
  <si>
    <t>CROTON 65 CM</t>
  </si>
  <si>
    <t>VA916</t>
  </si>
  <si>
    <t>VARA GERBERA</t>
  </si>
  <si>
    <t>B232</t>
  </si>
  <si>
    <t>MACETERO COLGAR RATAN CH</t>
  </si>
  <si>
    <t>M1980</t>
  </si>
  <si>
    <t>MACETERO COLGAR RATAN MED</t>
  </si>
  <si>
    <t>MACETERO COLGAR RATAN GDE</t>
  </si>
  <si>
    <t>M1981</t>
  </si>
  <si>
    <t>M1982</t>
  </si>
  <si>
    <t>B540</t>
  </si>
  <si>
    <t>RAMO DALIA CENTRO BLANCOX 5</t>
  </si>
  <si>
    <t>W2896</t>
  </si>
  <si>
    <t>PLANTA PHILODENDRO 90 CM</t>
  </si>
  <si>
    <t>B376</t>
  </si>
  <si>
    <t>MACETA REDONDA SIMIL PETRE 10 CM</t>
  </si>
  <si>
    <t xml:space="preserve">D122 </t>
  </si>
  <si>
    <t>T51</t>
  </si>
  <si>
    <t>W2045</t>
  </si>
  <si>
    <t>vengance aerosol</t>
  </si>
  <si>
    <t>415 ml</t>
  </si>
  <si>
    <t>fumigator</t>
  </si>
  <si>
    <t>410 ml</t>
  </si>
  <si>
    <t>moscaxan</t>
  </si>
  <si>
    <t>baboxan organico pellet</t>
  </si>
  <si>
    <t>ferro expres</t>
  </si>
  <si>
    <t>arenal grande 2190</t>
  </si>
  <si>
    <t>crece mas p/ todas las plantas</t>
  </si>
  <si>
    <t>1,2lt</t>
  </si>
  <si>
    <t>aalvez@denucio.com</t>
  </si>
  <si>
    <t>creolina</t>
  </si>
  <si>
    <t xml:space="preserve">    </t>
  </si>
  <si>
    <t>beltrame extra</t>
  </si>
  <si>
    <t>pastolit</t>
  </si>
  <si>
    <t>092-360-993</t>
  </si>
  <si>
    <t>casino importaciones</t>
  </si>
  <si>
    <t>waldemar</t>
  </si>
  <si>
    <t>abamectina100 c,c,</t>
  </si>
  <si>
    <t>5 lts</t>
  </si>
  <si>
    <t>copay</t>
  </si>
  <si>
    <t>472-22094</t>
  </si>
  <si>
    <t>hojalatero marsico</t>
  </si>
  <si>
    <t>de corte</t>
  </si>
  <si>
    <t>maccio</t>
  </si>
  <si>
    <t>superbo genovesa</t>
  </si>
  <si>
    <t>millacar</t>
  </si>
  <si>
    <t>golden clause</t>
  </si>
  <si>
    <t>echecopar</t>
  </si>
  <si>
    <t>rascador gato conico c/ apliques</t>
  </si>
  <si>
    <t>rascador sisal c/pelota</t>
  </si>
  <si>
    <t>rascador ondulado chico</t>
  </si>
  <si>
    <t>chico</t>
  </si>
  <si>
    <t xml:space="preserve"> 2,5lm  sl-2800</t>
  </si>
  <si>
    <t>bañera plastica gigante</t>
  </si>
  <si>
    <t>gigante</t>
  </si>
  <si>
    <t xml:space="preserve">sal marina </t>
  </si>
  <si>
    <t>pote</t>
  </si>
  <si>
    <t>098,133,294</t>
  </si>
  <si>
    <t>099,268,880</t>
  </si>
  <si>
    <t>pescados-vasconcellos</t>
  </si>
  <si>
    <t xml:space="preserve">almaciguera 50 cavidades </t>
  </si>
  <si>
    <t>50 cavidades</t>
  </si>
  <si>
    <t>250 cc</t>
  </si>
  <si>
    <t>099664410</t>
  </si>
  <si>
    <t>center-can</t>
  </si>
  <si>
    <t>472-39633</t>
  </si>
  <si>
    <t>hamster roberto</t>
  </si>
  <si>
    <t xml:space="preserve">         </t>
  </si>
  <si>
    <t>SET DE JARDIN</t>
  </si>
  <si>
    <t>3 PIEZAS</t>
  </si>
  <si>
    <t>maceta estampada blanca lineasc/p</t>
  </si>
  <si>
    <t>JFQF</t>
  </si>
  <si>
    <t>pipetas frontline</t>
  </si>
  <si>
    <t>20 a 40 kg</t>
  </si>
  <si>
    <t>VET ANIMALITOS PIEDRAS SANIT</t>
  </si>
  <si>
    <t>12 PASTILLAS</t>
  </si>
  <si>
    <t>CERO PLAGA INSECT ORG CONCENTRADO</t>
  </si>
  <si>
    <t>jaula para conejo</t>
  </si>
  <si>
    <t>madera</t>
  </si>
  <si>
    <t>31 cmx10mm con piedritas</t>
  </si>
  <si>
    <t>collar con huellita</t>
  </si>
  <si>
    <t>cuerda</t>
  </si>
  <si>
    <t>26 cm 2 nudos 2 pelotas</t>
  </si>
  <si>
    <t>juguete pollo</t>
  </si>
  <si>
    <t>33 cm</t>
  </si>
  <si>
    <t>hueso con chifle</t>
  </si>
  <si>
    <t>collar p/gatosperro chico</t>
  </si>
  <si>
    <t>polera polar</t>
  </si>
  <si>
    <t>80 cm</t>
  </si>
  <si>
    <t>raton con chifle</t>
  </si>
  <si>
    <t>cuerda con agasrre</t>
  </si>
  <si>
    <t>jhaula hamster</t>
  </si>
  <si>
    <t>jabon potasico</t>
  </si>
  <si>
    <t>microvita</t>
  </si>
  <si>
    <t>15 gr</t>
  </si>
  <si>
    <t>cindy Lamarca</t>
  </si>
  <si>
    <t>099636796</t>
  </si>
  <si>
    <t>JARDINERA BULCANICA</t>
  </si>
  <si>
    <t>DOBLE balcon</t>
  </si>
  <si>
    <t>v5007</t>
  </si>
  <si>
    <t>jaula hamster grande</t>
  </si>
  <si>
    <t>3 pisos</t>
  </si>
  <si>
    <t>300 lt/hr</t>
  </si>
  <si>
    <t>v1301</t>
  </si>
  <si>
    <t>tubo sumerjibleled RS-A46</t>
  </si>
  <si>
    <t>con burbujeador</t>
  </si>
  <si>
    <t>V1421</t>
  </si>
  <si>
    <t>v5028</t>
  </si>
  <si>
    <t>v5027</t>
  </si>
  <si>
    <t>V4652</t>
  </si>
  <si>
    <t>bebedero jaula pajaro</t>
  </si>
  <si>
    <t>v1221</t>
  </si>
  <si>
    <t>v1224</t>
  </si>
  <si>
    <t>planta artificial pecera</t>
  </si>
  <si>
    <t>frondosa9x6x25</t>
  </si>
  <si>
    <t>envases plasticos</t>
  </si>
  <si>
    <t>alumnos s.a.</t>
  </si>
  <si>
    <t>23093782-23070892</t>
  </si>
  <si>
    <t>Gdor. Del Pino 3926</t>
  </si>
  <si>
    <t>nicolplast</t>
  </si>
  <si>
    <t>20 lt</t>
  </si>
  <si>
    <t>23124544-23138086-095453011-095803920</t>
  </si>
  <si>
    <t>099,058,688</t>
  </si>
  <si>
    <t>chialvo</t>
  </si>
  <si>
    <t>caccia</t>
  </si>
  <si>
    <t>,,,,,,,,,,,,,,,,,,,,,,,,,,,,,,,,,,,,,,,,,,,,,,,,,,,,,,,,,,,,,,,,,,,,,,,,,,,,,,,,,,,,,,,,,,,,,,,,,,,,,,,,,,,,,,,,,,,,,,,,,,,,,,,,,,,,,,,,,+</t>
  </si>
  <si>
    <t>ratixan grano trigo (caja 24 sobres)</t>
  </si>
  <si>
    <t>ultravin</t>
  </si>
  <si>
    <t>señalador</t>
  </si>
  <si>
    <t>JVER 33</t>
  </si>
  <si>
    <t>JVUM 30 S</t>
  </si>
  <si>
    <t>sintetica 14 sobre 100 gr</t>
  </si>
  <si>
    <t>,,,</t>
  </si>
  <si>
    <t>saul cicilia</t>
  </si>
  <si>
    <t>098,380,400</t>
  </si>
  <si>
    <t>1Lt</t>
  </si>
  <si>
    <t>yerba</t>
  </si>
  <si>
    <t>casiato</t>
  </si>
  <si>
    <t>BELTRAME</t>
  </si>
  <si>
    <t>V4118</t>
  </si>
  <si>
    <t>comedero exterior</t>
  </si>
  <si>
    <t>v4180</t>
  </si>
  <si>
    <t>huevos p/canarios</t>
  </si>
  <si>
    <t>pte. 5 huevos</t>
  </si>
  <si>
    <t>v4554b</t>
  </si>
  <si>
    <t>450 grs,</t>
  </si>
  <si>
    <t>150 grs</t>
  </si>
  <si>
    <t>v4555</t>
  </si>
  <si>
    <t>325 grs</t>
  </si>
  <si>
    <t>v0601</t>
  </si>
  <si>
    <t>alimento godlfish flakes</t>
  </si>
  <si>
    <t>099,866,118</t>
  </si>
  <si>
    <t>tanques</t>
  </si>
  <si>
    <t>n 7 entre 5 y 4</t>
  </si>
  <si>
    <t>fer10d</t>
  </si>
  <si>
    <t>bio-fertilizante</t>
  </si>
  <si>
    <t xml:space="preserve">alimento goldfish flakes </t>
  </si>
  <si>
    <t>p014a</t>
  </si>
  <si>
    <t>1 litro suelto</t>
  </si>
  <si>
    <t>TIJERA MANGO MADERA PODAR</t>
  </si>
  <si>
    <t>TL34026</t>
  </si>
  <si>
    <t>FLORERO</t>
  </si>
  <si>
    <t>GF34012</t>
  </si>
  <si>
    <t>GF34013</t>
  </si>
  <si>
    <t>GF34009</t>
  </si>
  <si>
    <t>GT2959</t>
  </si>
  <si>
    <t>cinta aisladora</t>
  </si>
  <si>
    <t>tl10466</t>
  </si>
  <si>
    <t>set de jardin</t>
  </si>
  <si>
    <t>tl33990</t>
  </si>
  <si>
    <t>cebollin richard silva</t>
  </si>
  <si>
    <t>ruta 90 cale k y 27</t>
  </si>
  <si>
    <t>payusandu</t>
  </si>
  <si>
    <t>091069638</t>
  </si>
  <si>
    <t>maceta xaxim con cadena med</t>
  </si>
  <si>
    <t>JFQF 67</t>
  </si>
  <si>
    <t>JFQF 77</t>
  </si>
  <si>
    <t>JVIP 34</t>
  </si>
  <si>
    <t>almaciguera 288 cavidades</t>
  </si>
  <si>
    <t>288 cavidades</t>
  </si>
  <si>
    <t>magric</t>
  </si>
  <si>
    <t>set ceramica</t>
  </si>
  <si>
    <t>vivero toledo chico</t>
  </si>
  <si>
    <t>l,gomez 1013-fabiana</t>
  </si>
  <si>
    <t>v0451</t>
  </si>
  <si>
    <t>piedra porosa azul</t>
  </si>
  <si>
    <t>10"</t>
  </si>
  <si>
    <t>piedra porosa redonda</t>
  </si>
  <si>
    <t>pico de placa nacional</t>
  </si>
  <si>
    <t>bicudo 1200 esq zorrilla</t>
  </si>
  <si>
    <t>V1476</t>
  </si>
  <si>
    <t>RS 380 C</t>
  </si>
  <si>
    <t>PECERA ACRILICO 39X26X49</t>
  </si>
  <si>
    <t>V1468A</t>
  </si>
  <si>
    <t>PECERA ACRILICO38X22X41</t>
  </si>
  <si>
    <t>30 LTRS380A</t>
  </si>
  <si>
    <t>472-28805-28806-3301</t>
  </si>
  <si>
    <t>v4121b</t>
  </si>
  <si>
    <t>v1457</t>
  </si>
  <si>
    <t>uniones</t>
  </si>
  <si>
    <t>v0608</t>
  </si>
  <si>
    <t>TPU025</t>
  </si>
  <si>
    <t>TPU050</t>
  </si>
  <si>
    <t>TPU070</t>
  </si>
  <si>
    <t>TPU150</t>
  </si>
  <si>
    <t>25 LT</t>
  </si>
  <si>
    <t>TEXPOR URBAN (color arena)</t>
  </si>
  <si>
    <t>70 lt</t>
  </si>
  <si>
    <t>150 lt</t>
  </si>
  <si>
    <t>mac 20</t>
  </si>
  <si>
    <t>mac11</t>
  </si>
  <si>
    <t>mac 7</t>
  </si>
  <si>
    <t>mac 3</t>
  </si>
  <si>
    <t>maceta plastico cuadrada</t>
  </si>
  <si>
    <t>11 lts</t>
  </si>
  <si>
    <t>7 lts</t>
  </si>
  <si>
    <t>3 lts</t>
  </si>
  <si>
    <t>top veg</t>
  </si>
  <si>
    <t>tctv5</t>
  </si>
  <si>
    <t xml:space="preserve"> 5 lts</t>
  </si>
  <si>
    <t>tcmb5</t>
  </si>
  <si>
    <t>top bloom</t>
  </si>
  <si>
    <t>tcb1</t>
  </si>
  <si>
    <t>tcbu1</t>
  </si>
  <si>
    <t>top bud</t>
  </si>
  <si>
    <t>tcbu250</t>
  </si>
  <si>
    <t>tcbu100</t>
  </si>
  <si>
    <t>tcbu5</t>
  </si>
  <si>
    <t>tctc1</t>
  </si>
  <si>
    <t>top candy</t>
  </si>
  <si>
    <t>sustrato profesional cultivador</t>
  </si>
  <si>
    <t>50 lts</t>
  </si>
  <si>
    <t>250 ml</t>
  </si>
  <si>
    <t>100 cc suelto</t>
  </si>
  <si>
    <t>100 ml envasado</t>
  </si>
  <si>
    <t>BBVA 994203700</t>
  </si>
  <si>
    <t>OREGANO</t>
  </si>
  <si>
    <t>carlos</t>
  </si>
  <si>
    <t>472-5701</t>
  </si>
  <si>
    <t>acuario vasconsellos</t>
  </si>
  <si>
    <t>ICTIO ML LABCON</t>
  </si>
  <si>
    <t>V0953</t>
  </si>
  <si>
    <t>5 KG</t>
  </si>
  <si>
    <t>vivero del campo sholdere</t>
  </si>
  <si>
    <t>floradade</t>
  </si>
  <si>
    <t>star F1</t>
  </si>
  <si>
    <t>telecable</t>
  </si>
  <si>
    <t>vivero mizuki-andres firpo</t>
  </si>
  <si>
    <t>colmar</t>
  </si>
  <si>
    <t>099,694,366</t>
  </si>
  <si>
    <t>plato para maceta 30</t>
  </si>
  <si>
    <t>plato para maceta 42</t>
  </si>
  <si>
    <t>blanco bola de nievelata 50 gr</t>
  </si>
  <si>
    <t>blister de 10 comp</t>
  </si>
  <si>
    <t>medroxi</t>
  </si>
  <si>
    <t>pastilla</t>
  </si>
  <si>
    <t>no tiene mas</t>
  </si>
  <si>
    <t xml:space="preserve">colza </t>
  </si>
  <si>
    <t>calle 18 a 800 mts virgen</t>
  </si>
  <si>
    <t>cebollines antunes</t>
  </si>
  <si>
    <t>n 3</t>
  </si>
  <si>
    <t>AKITO</t>
  </si>
  <si>
    <t>30 CC</t>
  </si>
  <si>
    <t>FERT FERROSO</t>
  </si>
  <si>
    <t>450 GR</t>
  </si>
  <si>
    <t>PLANTIFLOR</t>
  </si>
  <si>
    <t>160 CC</t>
  </si>
  <si>
    <t>PALITA METALICA</t>
  </si>
  <si>
    <t>TIJERA DE PODA ECINOMICA</t>
  </si>
  <si>
    <t>FLOR DE REGADERA PARA BOTELLA</t>
  </si>
  <si>
    <t>SHAMPOO GRAN AMOR</t>
  </si>
  <si>
    <t>40 CC</t>
  </si>
  <si>
    <t>alimentos p/plantas CRECE MAS</t>
  </si>
  <si>
    <t>400 CC</t>
  </si>
  <si>
    <t>crece mas alim p/ todas plantas</t>
  </si>
  <si>
    <t>345 cc</t>
  </si>
  <si>
    <t>crece mas jardin y huerta</t>
  </si>
  <si>
    <t>crece mas todas plantas FOLIAR</t>
  </si>
  <si>
    <t>650 cc</t>
  </si>
  <si>
    <t>regadera</t>
  </si>
  <si>
    <t>leonardo</t>
  </si>
  <si>
    <t>composteras</t>
  </si>
  <si>
    <t>gato primogato  blend</t>
  </si>
  <si>
    <t>gato primogato castrado</t>
  </si>
  <si>
    <t>360 cc</t>
  </si>
  <si>
    <t>insecticida mata todo</t>
  </si>
  <si>
    <t>ibnsecticida mata cucaracha sapolio</t>
  </si>
  <si>
    <t>10 lts</t>
  </si>
  <si>
    <t>chip de coco</t>
  </si>
  <si>
    <t>JVUM 38</t>
  </si>
  <si>
    <t>MACETA CIOTOLA</t>
  </si>
  <si>
    <t>alvarez</t>
  </si>
  <si>
    <t>099705372</t>
  </si>
  <si>
    <t>fertilizante AKAFOS ROSADO 18-18-18</t>
  </si>
  <si>
    <t>tomates calvo andre</t>
  </si>
  <si>
    <t>big one floraCION</t>
  </si>
  <si>
    <t>250 CC</t>
  </si>
  <si>
    <t>GRISPIX</t>
  </si>
  <si>
    <t xml:space="preserve">BALDE ACERO INOX </t>
  </si>
  <si>
    <t>21 LTS</t>
  </si>
  <si>
    <t>MACETA NEGRA FLOR C/ PLATO</t>
  </si>
  <si>
    <t>15X12,5</t>
  </si>
  <si>
    <t>18X14,5</t>
  </si>
  <si>
    <t>31,5X25</t>
  </si>
  <si>
    <t>MACETA NEGRA CUADRADA RALLADA</t>
  </si>
  <si>
    <t>MACETA TERRACOTA</t>
  </si>
  <si>
    <t>21X17X12</t>
  </si>
  <si>
    <t>30X23X17,5</t>
  </si>
  <si>
    <t>25X20</t>
  </si>
  <si>
    <t>39X29</t>
  </si>
  <si>
    <t>32X24</t>
  </si>
  <si>
    <t>37X30</t>
  </si>
  <si>
    <t>MACETA RAYADA TERRACOTA</t>
  </si>
  <si>
    <t>MACETA PLASTICA COPA</t>
  </si>
  <si>
    <t>098685941</t>
  </si>
  <si>
    <t>472-46156</t>
  </si>
  <si>
    <t>pelota vinilo erizo con luz</t>
  </si>
  <si>
    <t>50 mm</t>
  </si>
  <si>
    <t>80 mm</t>
  </si>
  <si>
    <t>90 mm</t>
  </si>
  <si>
    <t>jaulas-alejandro</t>
  </si>
  <si>
    <t>091*937-090</t>
  </si>
  <si>
    <t>talcobal</t>
  </si>
  <si>
    <t>abilene</t>
  </si>
  <si>
    <t>098674828</t>
  </si>
  <si>
    <t>comedero rancho plastico</t>
  </si>
  <si>
    <t>Maceta de cococ/ plato</t>
  </si>
  <si>
    <t>5 lt c/roseta</t>
  </si>
  <si>
    <t>10 lt</t>
  </si>
  <si>
    <t xml:space="preserve">bebedero </t>
  </si>
  <si>
    <t>TIJERA DE PODA  naranja y negra</t>
  </si>
  <si>
    <t xml:space="preserve">2 lt </t>
  </si>
  <si>
    <t>mancoceb</t>
  </si>
  <si>
    <t>mudas hernandez</t>
  </si>
  <si>
    <t>tomate y lechuga</t>
  </si>
  <si>
    <t>codigo 22</t>
  </si>
  <si>
    <t>BOLSA CAMISETA-</t>
  </si>
  <si>
    <t>deribal</t>
  </si>
  <si>
    <t>raticida storm</t>
  </si>
  <si>
    <t>v1420a</t>
  </si>
  <si>
    <t>tubo sumergible led rs-a26</t>
  </si>
  <si>
    <t>v1422a</t>
  </si>
  <si>
    <t>tubo sumergible ledrs-a69</t>
  </si>
  <si>
    <t>v0510</t>
  </si>
  <si>
    <t>red 3</t>
  </si>
  <si>
    <t>JVQM30</t>
  </si>
  <si>
    <t>comedero pajaro</t>
  </si>
  <si>
    <t>maceta N3 color c/plato</t>
  </si>
  <si>
    <t>maceta N4 color c/plato</t>
  </si>
  <si>
    <t>macetas bombe c/ plato</t>
  </si>
  <si>
    <t>colores brillosos</t>
  </si>
  <si>
    <t>adis</t>
  </si>
  <si>
    <t>098,674,828</t>
  </si>
  <si>
    <t>grispix</t>
  </si>
  <si>
    <t>v5301</t>
  </si>
  <si>
    <t>tortuga  alcon</t>
  </si>
  <si>
    <t xml:space="preserve">revitalizador </t>
  </si>
  <si>
    <t>visa-jose maria</t>
  </si>
  <si>
    <t>099288367</t>
  </si>
  <si>
    <t>soriano 791-piso 3-patricia</t>
  </si>
  <si>
    <t>wave-taller</t>
  </si>
  <si>
    <t>099,337,392</t>
  </si>
  <si>
    <t>4722-5178/-4724-3459</t>
  </si>
  <si>
    <t>aceite de neem</t>
  </si>
  <si>
    <t>BUD PACK top crop</t>
  </si>
  <si>
    <t>MACETA JARDINERA S/PLATO</t>
  </si>
  <si>
    <t>37X17X13</t>
  </si>
  <si>
    <t>45X20X14</t>
  </si>
  <si>
    <t>MACETA NEGRA LABRADA</t>
  </si>
  <si>
    <t>25X19,5</t>
  </si>
  <si>
    <t>35X27</t>
  </si>
  <si>
    <t>MACETA BARRIL NEGRA</t>
  </si>
  <si>
    <t>25X16,5</t>
  </si>
  <si>
    <t>30X20</t>
  </si>
  <si>
    <t>35X23,5</t>
  </si>
  <si>
    <t>MACETA JARDINERA TERRACOTA</t>
  </si>
  <si>
    <t>MACETA DE COLGAR CON CADENA</t>
  </si>
  <si>
    <t>MACETA DE PLASTICO DE PARED</t>
  </si>
  <si>
    <t>23X12X11</t>
  </si>
  <si>
    <t>MACETA DE COLGAR C/ CADENA</t>
  </si>
  <si>
    <t>40X30</t>
  </si>
  <si>
    <t>16X13X9</t>
  </si>
  <si>
    <t>GR294</t>
  </si>
  <si>
    <t>GR1312</t>
  </si>
  <si>
    <t>GR1323</t>
  </si>
  <si>
    <t>GR1325</t>
  </si>
  <si>
    <t>GR1326</t>
  </si>
  <si>
    <t>GR1327</t>
  </si>
  <si>
    <t>GR1328</t>
  </si>
  <si>
    <t>BR280</t>
  </si>
  <si>
    <t>GR285</t>
  </si>
  <si>
    <t>GR282</t>
  </si>
  <si>
    <t>GR1289</t>
  </si>
  <si>
    <t>GR1288</t>
  </si>
  <si>
    <t>GR1287</t>
  </si>
  <si>
    <t>GR1283</t>
  </si>
  <si>
    <t>RAID MMM AZUL</t>
  </si>
  <si>
    <t>10 GR</t>
  </si>
  <si>
    <t>v5029a</t>
  </si>
  <si>
    <t>comedero acero inox loro  grande</t>
  </si>
  <si>
    <t>v4096</t>
  </si>
  <si>
    <t>mediano</t>
  </si>
  <si>
    <t>v4093</t>
  </si>
  <si>
    <t>modista</t>
  </si>
  <si>
    <t>098,028,258</t>
  </si>
  <si>
    <t>GRAN AMOR cannabis abono organico</t>
  </si>
  <si>
    <t>180 cc</t>
  </si>
  <si>
    <t>CERO PLAGA spray organico</t>
  </si>
  <si>
    <t>CERO PLAGA ins org 4 en 1</t>
  </si>
  <si>
    <t>piedra sanitaria animalitos sanipel</t>
  </si>
  <si>
    <t>pedigree razas pequeñas</t>
  </si>
  <si>
    <t>alejandra-victor</t>
  </si>
  <si>
    <t>1 LT</t>
  </si>
  <si>
    <t>ACEITE DE NEEM</t>
  </si>
  <si>
    <t>ABATOP(abamectina)</t>
  </si>
  <si>
    <t>MAYORPET</t>
  </si>
  <si>
    <t>COMEDERO CON PATITAS</t>
  </si>
  <si>
    <t>moha</t>
  </si>
  <si>
    <t>piperacina</t>
  </si>
  <si>
    <t>pulverizador Guarany g5l altapresion</t>
  </si>
  <si>
    <t>tijera</t>
  </si>
  <si>
    <t>250 grs</t>
  </si>
  <si>
    <t>V4017</t>
  </si>
  <si>
    <t>jaula pajaro alta doble campanario</t>
  </si>
  <si>
    <t>TOP AUTO</t>
  </si>
  <si>
    <t>250 ML</t>
  </si>
  <si>
    <t>bols s/plato VICENZA</t>
  </si>
  <si>
    <t>SOPORTE NEGRO CHICO</t>
  </si>
  <si>
    <t>soporte negro GRANDE</t>
  </si>
  <si>
    <t>bols COLOR c/plato</t>
  </si>
  <si>
    <t>5 a 10 kg</t>
  </si>
  <si>
    <t>10 a 20 kg</t>
  </si>
  <si>
    <t>40 a 60 kg</t>
  </si>
  <si>
    <t>hora italianos</t>
  </si>
  <si>
    <t>098,968,887</t>
  </si>
  <si>
    <t>vacacional 15 dias x 2 alcon</t>
  </si>
  <si>
    <t>vacacional weekend x 4 alcon</t>
  </si>
  <si>
    <t>v1455</t>
  </si>
  <si>
    <t>filtro bioesponja</t>
  </si>
  <si>
    <t>v4010</t>
  </si>
  <si>
    <t>jaula pajarera median</t>
  </si>
  <si>
    <t>76x46x46,d610</t>
  </si>
  <si>
    <t>valagua</t>
  </si>
  <si>
    <t>76,46,46,d610</t>
  </si>
  <si>
    <t>38x20x16</t>
  </si>
  <si>
    <t>33x30x17</t>
  </si>
  <si>
    <t>40x27x16</t>
  </si>
  <si>
    <t>distribuidora int,105</t>
  </si>
  <si>
    <t>094445193</t>
  </si>
  <si>
    <t xml:space="preserve">activador </t>
  </si>
  <si>
    <t>600 cc</t>
  </si>
  <si>
    <t>v1458</t>
  </si>
  <si>
    <t>test PH</t>
  </si>
  <si>
    <t>V0920</t>
  </si>
  <si>
    <t>15 ml</t>
  </si>
  <si>
    <t>sustrato complete mix TOP CROP</t>
  </si>
  <si>
    <t>SUSTRATO TOP COCO 50 LTS</t>
  </si>
  <si>
    <t>CERO PLAGA RECAMBIO INSECTICIDA</t>
  </si>
  <si>
    <t>CITRONELLA cero plaga</t>
  </si>
  <si>
    <t>098,800,890</t>
  </si>
  <si>
    <t>zz</t>
  </si>
  <si>
    <t>bozal plastico</t>
  </si>
  <si>
    <t>CR 1344</t>
  </si>
  <si>
    <t>GR10528</t>
  </si>
  <si>
    <t>GR1332</t>
  </si>
  <si>
    <t>GR1294</t>
  </si>
  <si>
    <t>MACETA PISO C/ PLATO</t>
  </si>
  <si>
    <t>16X21</t>
  </si>
  <si>
    <t>GR1292</t>
  </si>
  <si>
    <t>GR1296</t>
  </si>
  <si>
    <t>GR1298</t>
  </si>
  <si>
    <t>GR1285</t>
  </si>
  <si>
    <t>GR10530</t>
  </si>
  <si>
    <t>GR1346</t>
  </si>
  <si>
    <t>MACETA MARRON CUADRADA</t>
  </si>
  <si>
    <t>G1338</t>
  </si>
  <si>
    <t>G1339</t>
  </si>
  <si>
    <t>raid cocina aerosol</t>
  </si>
  <si>
    <t>B2936</t>
  </si>
  <si>
    <t>cuna 3 piezas</t>
  </si>
  <si>
    <t>V1370</t>
  </si>
  <si>
    <t xml:space="preserve">filtro humedo seco </t>
  </si>
  <si>
    <t>RS188 12w 800lt hr</t>
  </si>
  <si>
    <t>jaula p/cria</t>
  </si>
  <si>
    <t>093,396,149</t>
  </si>
  <si>
    <t>extra</t>
  </si>
  <si>
    <t>ultrillo</t>
  </si>
  <si>
    <t>he215</t>
  </si>
  <si>
    <t>juego collar correa multicolor</t>
  </si>
  <si>
    <t>38x1,5</t>
  </si>
  <si>
    <t>HE220</t>
  </si>
  <si>
    <t>45X2</t>
  </si>
  <si>
    <t>34X1</t>
  </si>
  <si>
    <t>HE210</t>
  </si>
  <si>
    <t>CK4</t>
  </si>
  <si>
    <t>JUGUETE PATA DE POLLO</t>
  </si>
  <si>
    <t>13 CM</t>
  </si>
  <si>
    <t>HE1111</t>
  </si>
  <si>
    <t>JUGUETE POLLO AMARILLO MED</t>
  </si>
  <si>
    <t>30 CM</t>
  </si>
  <si>
    <t>HE7510</t>
  </si>
  <si>
    <t>PRETAL GATO CORREA</t>
  </si>
  <si>
    <t>120*1</t>
  </si>
  <si>
    <t>1,2*120</t>
  </si>
  <si>
    <t>MEDIANIO</t>
  </si>
  <si>
    <t>A13181</t>
  </si>
  <si>
    <t>CORREA CINTA LISA GALV</t>
  </si>
  <si>
    <t>grupo culturaL CHARRUA</t>
  </si>
  <si>
    <t>Tancredo</t>
  </si>
  <si>
    <t>raid anticucarachas</t>
  </si>
  <si>
    <t>360cc</t>
  </si>
  <si>
    <t>raid aereo max cucaracha sin olor</t>
  </si>
  <si>
    <t xml:space="preserve">caja ahorro ITAU 9776407 ignacio terzaGUI </t>
  </si>
  <si>
    <t>POR ABITAT</t>
  </si>
  <si>
    <t>neodip</t>
  </si>
  <si>
    <t>20c,c,</t>
  </si>
  <si>
    <t>098381169</t>
  </si>
  <si>
    <t>maiz entero</t>
  </si>
  <si>
    <t>cta brou 000481785-00001</t>
  </si>
  <si>
    <t>malbitraz</t>
  </si>
  <si>
    <t>20 ml</t>
  </si>
  <si>
    <t>collar dominal cachorro</t>
  </si>
  <si>
    <t>gr1331</t>
  </si>
  <si>
    <t>22x22</t>
  </si>
  <si>
    <t>gr1295</t>
  </si>
  <si>
    <t>GR1297</t>
  </si>
  <si>
    <t>36X26</t>
  </si>
  <si>
    <t>GR281</t>
  </si>
  <si>
    <t>plato para maceta 35</t>
  </si>
  <si>
    <t>florero vidrio</t>
  </si>
  <si>
    <t>panel pasto hoja larga</t>
  </si>
  <si>
    <t>panel pasto trebol</t>
  </si>
  <si>
    <t>guia de flores</t>
  </si>
  <si>
    <t>vara ilusion</t>
  </si>
  <si>
    <t>atado rosa</t>
  </si>
  <si>
    <t>U$S</t>
  </si>
  <si>
    <t>RED 4</t>
  </si>
  <si>
    <t>juego palitas mini acero inox</t>
  </si>
  <si>
    <t xml:space="preserve">juego palitas mini </t>
  </si>
  <si>
    <t>pala ancha /fina de jardineria</t>
  </si>
  <si>
    <t xml:space="preserve">ESCARDILLA DOBLE </t>
  </si>
  <si>
    <t>tijera cerco y cesped</t>
  </si>
  <si>
    <t>escobilla plastica sin cabo</t>
  </si>
  <si>
    <t>pulverizador 1,5 lt</t>
  </si>
  <si>
    <t>embudo mediano chico</t>
  </si>
  <si>
    <t>embudo grande</t>
  </si>
  <si>
    <t>semillas de huerta beltrame</t>
  </si>
  <si>
    <t>rs-230</t>
  </si>
  <si>
    <t>cebollines si</t>
  </si>
  <si>
    <t>091889649</t>
  </si>
  <si>
    <t>091383689</t>
  </si>
  <si>
    <t>091,889,649</t>
  </si>
  <si>
    <t>091,383,689</t>
  </si>
  <si>
    <t>pastorini marcelo cajones,herrero</t>
  </si>
  <si>
    <t>30 c,c,</t>
  </si>
  <si>
    <t>barrisan</t>
  </si>
  <si>
    <t>sc-01</t>
  </si>
  <si>
    <t>planta chica x 2 unidades</t>
  </si>
  <si>
    <t>terminal-8-12  14-18</t>
  </si>
  <si>
    <t>6 lt</t>
  </si>
  <si>
    <t>primocao cachorro premiun filhotes</t>
  </si>
  <si>
    <t>correa retractil 5mts</t>
  </si>
  <si>
    <t>Pretal gato correa c/correa</t>
  </si>
  <si>
    <t>120cm</t>
  </si>
  <si>
    <t>mayorpet</t>
  </si>
  <si>
    <t xml:space="preserve">collar cinta lisa </t>
  </si>
  <si>
    <t>40cm</t>
  </si>
  <si>
    <t>GR 1307</t>
  </si>
  <si>
    <t>PORTA MACETA C/PLATO LOZA</t>
  </si>
  <si>
    <t>9X9,5</t>
  </si>
  <si>
    <t>GR3050</t>
  </si>
  <si>
    <t>TIJERA DE PODAR</t>
  </si>
  <si>
    <t>GR880</t>
  </si>
  <si>
    <t>20 CM</t>
  </si>
  <si>
    <t>GUANTE DE TRABAJO</t>
  </si>
  <si>
    <t>salazar</t>
  </si>
  <si>
    <t>leña salto y montevideo</t>
  </si>
  <si>
    <t>MACETA ORQUIDEA COLOR FLUOR</t>
  </si>
  <si>
    <t>7 cmx7</t>
  </si>
  <si>
    <t>lingas</t>
  </si>
  <si>
    <t>maceta cilindrica TEJA con plato</t>
  </si>
  <si>
    <t>MACETA PRISMA CODIGO</t>
  </si>
  <si>
    <t>MACETA DIAMANTE</t>
  </si>
  <si>
    <t>MACETA PUNTO 1</t>
  </si>
  <si>
    <t>MACETA PUNTO 2</t>
  </si>
  <si>
    <t>MACETA PUNTO 3</t>
  </si>
  <si>
    <t>MACETA PUNTO 4</t>
  </si>
  <si>
    <t>,75 LT</t>
  </si>
  <si>
    <t>1,6 LT</t>
  </si>
  <si>
    <t>4,3 LT</t>
  </si>
  <si>
    <t>JARDINERA PUNTO</t>
  </si>
  <si>
    <t xml:space="preserve">ALMACIGUERA </t>
  </si>
  <si>
    <t xml:space="preserve"> 105 CAVIDADES</t>
  </si>
  <si>
    <t>CINTA ATAR</t>
  </si>
  <si>
    <t>JVQM20</t>
  </si>
  <si>
    <t>JVER 24</t>
  </si>
  <si>
    <t>MACETA CRAQUELADA</t>
  </si>
  <si>
    <t>CERO PLAGA BIO insc polvo diat</t>
  </si>
  <si>
    <t>enraizador 345</t>
  </si>
  <si>
    <t>tolva</t>
  </si>
  <si>
    <t>casa angelito celulares</t>
  </si>
  <si>
    <t>472-20103</t>
  </si>
  <si>
    <t>Calaguala MINAS Wilson</t>
  </si>
  <si>
    <t>raticida ultra plus grano</t>
  </si>
  <si>
    <t>MT720</t>
  </si>
  <si>
    <t>CORREA CON MANIJA Y RESORTE</t>
  </si>
  <si>
    <t>PE439</t>
  </si>
  <si>
    <t>pala sanitaria</t>
  </si>
  <si>
    <t>B0070</t>
  </si>
  <si>
    <t>26 cm</t>
  </si>
  <si>
    <t>maceta pared</t>
  </si>
  <si>
    <t>GR1321</t>
  </si>
  <si>
    <t>13X16X14</t>
  </si>
  <si>
    <t>TRAMPA DE RATON</t>
  </si>
  <si>
    <t>GR3284</t>
  </si>
  <si>
    <t>12,5 CM</t>
  </si>
  <si>
    <t xml:space="preserve">ch 8 cm </t>
  </si>
  <si>
    <t>JVER 42</t>
  </si>
  <si>
    <t>i</t>
  </si>
  <si>
    <t>trampa para insectos</t>
  </si>
  <si>
    <t>hw61789</t>
  </si>
  <si>
    <t>trampa raton</t>
  </si>
  <si>
    <t>cinta para insectos</t>
  </si>
  <si>
    <t>hw66622</t>
  </si>
  <si>
    <t>v1389</t>
  </si>
  <si>
    <t>filtro-cabeza de poder</t>
  </si>
  <si>
    <t>rs-4500</t>
  </si>
  <si>
    <t>Martin cousa</t>
  </si>
  <si>
    <t>trigo-lichero</t>
  </si>
  <si>
    <t>099,720,241</t>
  </si>
  <si>
    <t>v4167</t>
  </si>
  <si>
    <t>CHANCHITOS INDIA</t>
  </si>
  <si>
    <t>libros-libros</t>
  </si>
  <si>
    <t>472-44115</t>
  </si>
  <si>
    <t>097-254-530</t>
  </si>
  <si>
    <t>veterinaria benedetti</t>
  </si>
  <si>
    <t>punta blanca-sparkler</t>
  </si>
  <si>
    <t>chantenay</t>
  </si>
  <si>
    <t>shampoo sachet</t>
  </si>
  <si>
    <t>shampoo pote</t>
  </si>
  <si>
    <t>200 cc</t>
  </si>
  <si>
    <t>tijera poda vendimia</t>
  </si>
  <si>
    <t>regador de pincho</t>
  </si>
  <si>
    <t>corteza pino</t>
  </si>
  <si>
    <t>bolsa</t>
  </si>
  <si>
    <t>maceta barro legsino</t>
  </si>
  <si>
    <t>maceta N5 color c/plato</t>
  </si>
  <si>
    <t>bio insecticida</t>
  </si>
  <si>
    <t>bio funguicida</t>
  </si>
  <si>
    <t>Mulch sol</t>
  </si>
  <si>
    <t>110175244-00001</t>
  </si>
  <si>
    <t>gr113758</t>
  </si>
  <si>
    <t>gr1909</t>
  </si>
  <si>
    <t>pecera de vidrio</t>
  </si>
  <si>
    <t>4 lts</t>
  </si>
  <si>
    <t>humus de lombriz</t>
  </si>
  <si>
    <t>thricodermas liquidas</t>
  </si>
  <si>
    <t>120 ml</t>
  </si>
  <si>
    <t>bebedero plastico</t>
  </si>
  <si>
    <t>v4610a</t>
  </si>
  <si>
    <t>comedero oval 2agujeros c/gancho</t>
  </si>
  <si>
    <t>v1456</t>
  </si>
  <si>
    <t>v5099</t>
  </si>
  <si>
    <t>estrobal</t>
  </si>
  <si>
    <t>zapper</t>
  </si>
  <si>
    <t>20 gr</t>
  </si>
  <si>
    <t>biscrok</t>
  </si>
  <si>
    <t>crece mas arboles y frutales</t>
  </si>
  <si>
    <t>600 grs</t>
  </si>
  <si>
    <t>cero plaga jabon potasico spray</t>
  </si>
  <si>
    <t>rs-901</t>
  </si>
  <si>
    <t>recria</t>
  </si>
  <si>
    <t>malla negra n 4</t>
  </si>
  <si>
    <t>malla negra n2</t>
  </si>
  <si>
    <t>LEITES LETICIA</t>
  </si>
  <si>
    <t>472-27248</t>
  </si>
  <si>
    <t>OSMOCOTE fertilizante</t>
  </si>
  <si>
    <t>850 gr</t>
  </si>
  <si>
    <t>a guichon 6 hr y 11 hr</t>
  </si>
  <si>
    <t>pincho</t>
  </si>
  <si>
    <t>091,394,161</t>
  </si>
  <si>
    <t>v0455</t>
  </si>
  <si>
    <t>v0452</t>
  </si>
  <si>
    <t xml:space="preserve">piedra  porosa </t>
  </si>
  <si>
    <t>270 grs</t>
  </si>
  <si>
    <t>1000 ml</t>
  </si>
  <si>
    <t>v0456</t>
  </si>
  <si>
    <t>V0706</t>
  </si>
  <si>
    <t>MACETA NEGRA+B1896 CUADRADA RALLADA</t>
  </si>
  <si>
    <t>18x15x10</t>
  </si>
  <si>
    <t>gr1284</t>
  </si>
  <si>
    <t>gr11370</t>
  </si>
  <si>
    <t>puntero p/manguera de plastico</t>
  </si>
  <si>
    <t>GR 3852</t>
  </si>
  <si>
    <t>31X16X12</t>
  </si>
  <si>
    <t>florero labrado</t>
  </si>
  <si>
    <t>maceta barro icono</t>
  </si>
  <si>
    <t>120 cm</t>
  </si>
  <si>
    <t>maceta descartable vivero</t>
  </si>
  <si>
    <t>heladera-mendieta</t>
  </si>
  <si>
    <t>099,721,329</t>
  </si>
  <si>
    <t>heladera-mendez</t>
  </si>
  <si>
    <t>472-31405</t>
  </si>
  <si>
    <t>098,934,389</t>
  </si>
  <si>
    <t>099,724,910</t>
  </si>
  <si>
    <t>heladera marcos mendieta</t>
  </si>
  <si>
    <t>humus silvia</t>
  </si>
  <si>
    <t xml:space="preserve">                                                                                             </t>
  </si>
  <si>
    <t>filtro externo mochila</t>
  </si>
  <si>
    <t>v1347</t>
  </si>
  <si>
    <t>RS-1000 600 LT/HR</t>
  </si>
  <si>
    <t xml:space="preserve">sopping </t>
  </si>
  <si>
    <t>herrera y l,gomez</t>
  </si>
  <si>
    <t>098,130,185</t>
  </si>
  <si>
    <t>loros austrlianos</t>
  </si>
  <si>
    <t>099,215,429</t>
  </si>
  <si>
    <t>1,5 lts</t>
  </si>
  <si>
    <t>durazno</t>
  </si>
  <si>
    <t>manteca-blanca de boston-regina</t>
  </si>
  <si>
    <t>1cm</t>
  </si>
  <si>
    <t>1*29cm</t>
  </si>
  <si>
    <t>HE1920</t>
  </si>
  <si>
    <t>cadena c/mauser y manija antides</t>
  </si>
  <si>
    <t>2mm 120cm</t>
  </si>
  <si>
    <t>HE6420</t>
  </si>
  <si>
    <t>juego pretal c/correa poliester</t>
  </si>
  <si>
    <t>HE6415</t>
  </si>
  <si>
    <t>1,5cm</t>
  </si>
  <si>
    <t>HE6410</t>
  </si>
  <si>
    <t>HE1217</t>
  </si>
  <si>
    <t>CRECE MAS ACTIVADOR de flores sachet</t>
  </si>
  <si>
    <t>V4002</t>
  </si>
  <si>
    <t>Jaula pajaro rancho chica</t>
  </si>
  <si>
    <t>V4001</t>
  </si>
  <si>
    <t>Jaula pajaro curva chica</t>
  </si>
  <si>
    <t>2-4 kg</t>
  </si>
  <si>
    <t>472-23817-28703</t>
  </si>
  <si>
    <t>20lts</t>
  </si>
  <si>
    <t>maceta descatable canadience</t>
  </si>
  <si>
    <t>15lts</t>
  </si>
  <si>
    <t>5lt</t>
  </si>
  <si>
    <t>3lt</t>
  </si>
  <si>
    <t>2lt</t>
  </si>
  <si>
    <t>29x22</t>
  </si>
  <si>
    <t>GR1293</t>
  </si>
  <si>
    <t>23x18cm</t>
  </si>
  <si>
    <t>Pulverizador, fumigador plastico c/pico metal</t>
  </si>
  <si>
    <t>GR286</t>
  </si>
  <si>
    <t>maceta pared plastico</t>
  </si>
  <si>
    <t>GR279</t>
  </si>
  <si>
    <t>maceta de colgar c/cadena</t>
  </si>
  <si>
    <t>GR11371</t>
  </si>
  <si>
    <t>acoples plastico p/manguera</t>
  </si>
  <si>
    <t>GR11372</t>
  </si>
  <si>
    <t>puntero plastico c/acoples para manguera</t>
  </si>
  <si>
    <t>4pcs</t>
  </si>
  <si>
    <t>GR284</t>
  </si>
  <si>
    <t>maceta plastico jardinera s/</t>
  </si>
  <si>
    <t>gr284</t>
  </si>
  <si>
    <t>gr9620</t>
  </si>
  <si>
    <t>98162075</t>
  </si>
  <si>
    <t>472-40297</t>
  </si>
  <si>
    <t>romero-parrillada</t>
  </si>
  <si>
    <t>472-37357</t>
  </si>
  <si>
    <t>Nº10</t>
  </si>
  <si>
    <t>Nº13</t>
  </si>
  <si>
    <t>VT-11530</t>
  </si>
  <si>
    <t>VT-11565</t>
  </si>
  <si>
    <t>125dm3</t>
  </si>
  <si>
    <t xml:space="preserve">maceta A teja </t>
  </si>
  <si>
    <t>wilson anibali 3473445-5</t>
  </si>
  <si>
    <t>granja hepa s,r,l,brou001531730-00001</t>
  </si>
  <si>
    <t>098,483,449</t>
  </si>
  <si>
    <t>098.483.449</t>
  </si>
  <si>
    <t>tijera cerco mango de goma</t>
  </si>
  <si>
    <t>kentiap@adinet.com.uy</t>
  </si>
  <si>
    <t>kentia1</t>
  </si>
  <si>
    <t>pistola naranja puntero de bronce</t>
  </si>
  <si>
    <t>rastrillo 5 dientes de jardinera</t>
  </si>
  <si>
    <t>Los helechos</t>
  </si>
  <si>
    <t>099251744</t>
  </si>
  <si>
    <t>plato para jardinera N45</t>
  </si>
  <si>
    <t>raticida brumoline parafinado</t>
  </si>
  <si>
    <t>099771743 whatsap</t>
  </si>
  <si>
    <t>flit dezenur envasado</t>
  </si>
  <si>
    <t>250 c,c</t>
  </si>
  <si>
    <t>flit dezenur 1/4250 c,c</t>
  </si>
  <si>
    <t>ieg</t>
  </si>
  <si>
    <t>tijera de podar</t>
  </si>
  <si>
    <t>tl31172</t>
  </si>
  <si>
    <t>escoba de jardin</t>
  </si>
  <si>
    <t>40x45</t>
  </si>
  <si>
    <t>gt3616</t>
  </si>
  <si>
    <t>molino</t>
  </si>
  <si>
    <t>45 cn</t>
  </si>
  <si>
    <t xml:space="preserve">sustrato Heavy mix </t>
  </si>
  <si>
    <t xml:space="preserve">super guano </t>
  </si>
  <si>
    <t>tri poack auto crop</t>
  </si>
  <si>
    <t>green explosion</t>
  </si>
  <si>
    <t>1/2lt</t>
  </si>
  <si>
    <t xml:space="preserve">mata polillas </t>
  </si>
  <si>
    <t>099111076</t>
  </si>
  <si>
    <t xml:space="preserve">1m </t>
  </si>
  <si>
    <t>19 lts</t>
  </si>
  <si>
    <t>14 lts</t>
  </si>
  <si>
    <t>plato cuadrado negro</t>
  </si>
  <si>
    <t>15x15</t>
  </si>
  <si>
    <t>20x20</t>
  </si>
  <si>
    <t>27x27</t>
  </si>
  <si>
    <t>REGADERA DE JARDIN</t>
  </si>
  <si>
    <t>SUPER PALITA</t>
  </si>
  <si>
    <t>3gr</t>
  </si>
  <si>
    <t>reparto caballero</t>
  </si>
  <si>
    <t>hija</t>
  </si>
  <si>
    <t>092,716,024</t>
  </si>
  <si>
    <t>cadena soldada para perro</t>
  </si>
  <si>
    <t>siso goldy color rojo 20gr sachet</t>
  </si>
  <si>
    <t>SE90</t>
  </si>
  <si>
    <t>SE70</t>
  </si>
  <si>
    <t>siso goldy color spirulina 20gr sachet</t>
  </si>
  <si>
    <t>se6</t>
  </si>
  <si>
    <t>siso goldy fish escama sachet</t>
  </si>
  <si>
    <t>840D</t>
  </si>
  <si>
    <t>3cm *60cm doble cinta</t>
  </si>
  <si>
    <t>tolva comedero p/pollo</t>
  </si>
  <si>
    <t>800gr</t>
  </si>
  <si>
    <t>800ml</t>
  </si>
  <si>
    <t>v4623</t>
  </si>
  <si>
    <t>4236-18</t>
  </si>
  <si>
    <t>esfera acrilica de hamster</t>
  </si>
  <si>
    <t>v4103</t>
  </si>
  <si>
    <t>comedero acero inox</t>
  </si>
  <si>
    <t>new kuroda</t>
  </si>
  <si>
    <t>29 cm</t>
  </si>
  <si>
    <t>la heroica</t>
  </si>
  <si>
    <t xml:space="preserve">mulch </t>
  </si>
  <si>
    <t>reparto caballro</t>
  </si>
  <si>
    <t>mujer</t>
  </si>
  <si>
    <t>091,042,068</t>
  </si>
  <si>
    <t>pesca-marcos y cia</t>
  </si>
  <si>
    <t>j,manuel blanes 296</t>
  </si>
  <si>
    <t>098,659,010</t>
  </si>
  <si>
    <t xml:space="preserve">  1570045-00002 caja de ahorro brou</t>
  </si>
  <si>
    <t>gato adulto equilibrio</t>
  </si>
  <si>
    <t xml:space="preserve">gato adulto equilibrio </t>
  </si>
  <si>
    <t>plomero perez</t>
  </si>
  <si>
    <t>098,567,875</t>
  </si>
  <si>
    <t>salto y libertad</t>
  </si>
  <si>
    <t>perro primocao premiun raza pequeña</t>
  </si>
  <si>
    <t>bomba de agua</t>
  </si>
  <si>
    <t>rs-003 15w 1hr/1mts</t>
  </si>
  <si>
    <t>v4060</t>
  </si>
  <si>
    <t>comedero bebedero p/pajaro-resorte externo</t>
  </si>
  <si>
    <t>gr1310</t>
  </si>
  <si>
    <t>tanza p/bordeadora15 mt</t>
  </si>
  <si>
    <t>2,4 mm</t>
  </si>
  <si>
    <t>gr1308</t>
  </si>
  <si>
    <t>maceta flor c/plato</t>
  </si>
  <si>
    <t>21,5x 18 cm</t>
  </si>
  <si>
    <t>gr1299</t>
  </si>
  <si>
    <t>maceta rayadaterracota</t>
  </si>
  <si>
    <t>43 x31</t>
  </si>
  <si>
    <t>gr201</t>
  </si>
  <si>
    <t>regador giratorio 4 puntas</t>
  </si>
  <si>
    <t>gr14027</t>
  </si>
  <si>
    <t>collar perro doble filas de ojales</t>
  </si>
  <si>
    <t>72 cm</t>
  </si>
  <si>
    <t>gr6284</t>
  </si>
  <si>
    <t>23x23x72</t>
  </si>
  <si>
    <t>moscaxan platillos</t>
  </si>
  <si>
    <t>2 unidades</t>
  </si>
  <si>
    <t>jeringa cucarachicida vigilante</t>
  </si>
  <si>
    <t>maceta clasica c/plato</t>
  </si>
  <si>
    <t>maceta transparente p/orquidia</t>
  </si>
  <si>
    <t>pollos granja peon</t>
  </si>
  <si>
    <t>099,677,698</t>
  </si>
  <si>
    <t>rs-130 k</t>
  </si>
  <si>
    <t>rs-280</t>
  </si>
  <si>
    <t>biopellet compomite</t>
  </si>
  <si>
    <t>biopellet componite</t>
  </si>
  <si>
    <t>nican</t>
  </si>
  <si>
    <t>f-113</t>
  </si>
  <si>
    <t>calcio p/tortuga</t>
  </si>
  <si>
    <t>5 cm</t>
  </si>
  <si>
    <t>destorcedor galvanizado n8</t>
  </si>
  <si>
    <t>pb35</t>
  </si>
  <si>
    <t>pb33</t>
  </si>
  <si>
    <t>destorcedor galvanizado n4</t>
  </si>
  <si>
    <t>he1766</t>
  </si>
  <si>
    <t>pretal gato</t>
  </si>
  <si>
    <t>he356</t>
  </si>
  <si>
    <t>3,5x1,5 mtr,</t>
  </si>
  <si>
    <t>mh5</t>
  </si>
  <si>
    <t>hueso digerible</t>
  </si>
  <si>
    <t>juego collar y correa</t>
  </si>
  <si>
    <t>cucarachicida talquera</t>
  </si>
  <si>
    <t>identificadores c/marco</t>
  </si>
  <si>
    <t>raton c/hierba gatera</t>
  </si>
  <si>
    <t>collar dominal extra grande</t>
  </si>
  <si>
    <t>maceta bonsai elegance</t>
  </si>
  <si>
    <t>jardineras</t>
  </si>
  <si>
    <t>insecticida dezenur(rogor)</t>
  </si>
  <si>
    <t>maceta campana color con plato</t>
  </si>
  <si>
    <t>maceta campana negra sin plato</t>
  </si>
  <si>
    <t>maceta barro nido paloma</t>
  </si>
  <si>
    <t>juego ceramica n23</t>
  </si>
  <si>
    <t>juego ceramica n6</t>
  </si>
  <si>
    <t>juego ceramica n12</t>
  </si>
  <si>
    <t>425,25,00</t>
  </si>
  <si>
    <t>pulverizadora mochila-a13</t>
  </si>
  <si>
    <t>queguay</t>
  </si>
  <si>
    <t>092,764,140</t>
  </si>
  <si>
    <t>pulverizador fumigador plastico c/pico de metal</t>
  </si>
  <si>
    <t>gr10306</t>
  </si>
  <si>
    <t>39 cm</t>
  </si>
  <si>
    <t>gr10308</t>
  </si>
  <si>
    <t>pala anchamango de madera</t>
  </si>
  <si>
    <t>67 cn</t>
  </si>
  <si>
    <t>gr920</t>
  </si>
  <si>
    <t>guante multiuso</t>
  </si>
  <si>
    <t>gr2871</t>
  </si>
  <si>
    <t>juguete pelota c/chifle</t>
  </si>
  <si>
    <t>gr2873</t>
  </si>
  <si>
    <t>juguete chuleta c/chifle</t>
  </si>
  <si>
    <t>10 x2,5</t>
  </si>
  <si>
    <t>gr2868</t>
  </si>
  <si>
    <t>juguete pelota de goma c/pincho</t>
  </si>
  <si>
    <t>gr4804</t>
  </si>
  <si>
    <t>juguete 2 salchichas c/cuerda</t>
  </si>
  <si>
    <t>40x4 cn</t>
  </si>
  <si>
    <t>gr4820</t>
  </si>
  <si>
    <t>juguete pelota cuerda</t>
  </si>
  <si>
    <t>8 cm</t>
  </si>
  <si>
    <t>gr14026</t>
  </si>
  <si>
    <t>collar nylondoble fila ojales</t>
  </si>
  <si>
    <t>63 cn</t>
  </si>
  <si>
    <t>collar doble fila de ojales</t>
  </si>
  <si>
    <t>mt97</t>
  </si>
  <si>
    <t>mochila plastico</t>
  </si>
  <si>
    <t>34x25x42</t>
  </si>
  <si>
    <t>pe300</t>
  </si>
  <si>
    <t xml:space="preserve">comedero </t>
  </si>
  <si>
    <t xml:space="preserve">300 ml </t>
  </si>
  <si>
    <t>pe109</t>
  </si>
  <si>
    <t>pe1003</t>
  </si>
  <si>
    <t>1100 ml</t>
  </si>
  <si>
    <t>securita</t>
  </si>
  <si>
    <t>28480000-7905</t>
  </si>
  <si>
    <t>adriana -cobranza</t>
  </si>
  <si>
    <t xml:space="preserve">80 cm </t>
  </si>
  <si>
    <t>piedra sanitaria</t>
  </si>
  <si>
    <t>2,12ps2</t>
  </si>
  <si>
    <t>2,12ps4</t>
  </si>
  <si>
    <t>099,687,835</t>
  </si>
  <si>
    <t>humus-tierra,suarez</t>
  </si>
  <si>
    <t>american exprees</t>
  </si>
  <si>
    <t>vivero manfredi</t>
  </si>
  <si>
    <t>sñalador grande</t>
  </si>
  <si>
    <t>am</t>
  </si>
  <si>
    <t>l,gomez y zorrilla-pablo</t>
  </si>
  <si>
    <t>c</t>
  </si>
  <si>
    <t>escardillo tridente de jardineria</t>
  </si>
  <si>
    <t>35 cm x 1 cm</t>
  </si>
  <si>
    <t>he7110</t>
  </si>
  <si>
    <t>collar doble ojalillo</t>
  </si>
  <si>
    <t>65x4</t>
  </si>
  <si>
    <t>he7150</t>
  </si>
  <si>
    <t>80x5</t>
  </si>
  <si>
    <t>comedero doble</t>
  </si>
  <si>
    <t>27x14,5</t>
  </si>
  <si>
    <t>c f211</t>
  </si>
  <si>
    <t>he3301</t>
  </si>
  <si>
    <t>comeder doble</t>
  </si>
  <si>
    <t>25 x9</t>
  </si>
  <si>
    <t>palita sanitaria c/cara de gato</t>
  </si>
  <si>
    <t>he0522</t>
  </si>
  <si>
    <t>e125</t>
  </si>
  <si>
    <t>e128</t>
  </si>
  <si>
    <t>v1431</t>
  </si>
  <si>
    <t>lampara rs-308 13w largo 40-50 cm</t>
  </si>
  <si>
    <t>092,900,393</t>
  </si>
  <si>
    <t>094983354</t>
  </si>
  <si>
    <t>caramelode miel</t>
  </si>
  <si>
    <t>90 grs,</t>
  </si>
  <si>
    <t>maplets de huevos</t>
  </si>
  <si>
    <t>garcia</t>
  </si>
  <si>
    <t>472-24128</t>
  </si>
  <si>
    <t>casa angelito</t>
  </si>
  <si>
    <t>chanchito de la india</t>
  </si>
  <si>
    <t>099983001</t>
  </si>
  <si>
    <t>,092,513,307</t>
  </si>
  <si>
    <t>638b</t>
  </si>
  <si>
    <t>1 carbon-2esponja</t>
  </si>
  <si>
    <t>filtro  638 b</t>
  </si>
  <si>
    <t>filtro mochila 3000</t>
  </si>
  <si>
    <t>gr2538</t>
  </si>
  <si>
    <t>colgante n 1</t>
  </si>
  <si>
    <t>colgante n2</t>
  </si>
  <si>
    <t>colgante n 3</t>
  </si>
  <si>
    <t>maceta ecologica n 2</t>
  </si>
  <si>
    <t>negra</t>
  </si>
  <si>
    <t>maceta bonsai terracota</t>
  </si>
  <si>
    <t>maceta mini c/plat</t>
  </si>
  <si>
    <t>maceta de orquidea</t>
  </si>
  <si>
    <t>n 15</t>
  </si>
  <si>
    <t>maceta plastico n8</t>
  </si>
  <si>
    <t>maceta plastico n11</t>
  </si>
  <si>
    <t>tordon p/3 ltr agua</t>
  </si>
  <si>
    <t>1 litros</t>
  </si>
  <si>
    <t>semilla de alfalfa</t>
  </si>
  <si>
    <t>cable vision</t>
  </si>
  <si>
    <t>fum600d</t>
  </si>
  <si>
    <t>ins600d</t>
  </si>
  <si>
    <t>pot7dav</t>
  </si>
  <si>
    <t>pot20dav</t>
  </si>
  <si>
    <t>sus7dav</t>
  </si>
  <si>
    <t>sus20dav</t>
  </si>
  <si>
    <t>472-24318-472-24521</t>
  </si>
  <si>
    <t>,094,721,824</t>
  </si>
  <si>
    <t>22219737-99662375</t>
  </si>
  <si>
    <t>loros-canarios</t>
  </si>
  <si>
    <t>091-405-807</t>
  </si>
  <si>
    <t>098-286-359</t>
  </si>
  <si>
    <t>maceta ceramica cruda</t>
  </si>
  <si>
    <t>maceta cerramica chata azul</t>
  </si>
  <si>
    <t>maceta negra c/blanco</t>
  </si>
  <si>
    <t>maceta negto c/blanco</t>
  </si>
  <si>
    <t>maceta ceramica blanca</t>
  </si>
  <si>
    <t>cuna oval</t>
  </si>
  <si>
    <t>50v29x15</t>
  </si>
  <si>
    <t>se500</t>
  </si>
  <si>
    <t>alimento de tortuga</t>
  </si>
  <si>
    <t>z181</t>
  </si>
  <si>
    <t>hierba gatuna</t>
  </si>
  <si>
    <t>5 grs</t>
  </si>
  <si>
    <t>reparto-mensajeria</t>
  </si>
  <si>
    <t>martin</t>
  </si>
  <si>
    <t>092,943,693</t>
  </si>
  <si>
    <t>001541049-00001-escando S,A,</t>
  </si>
  <si>
    <t>473,41821</t>
  </si>
  <si>
    <t>092,542,812</t>
  </si>
  <si>
    <t>pollas</t>
  </si>
  <si>
    <t>parrilleros</t>
  </si>
  <si>
    <t>mixtos</t>
  </si>
  <si>
    <t>maceta piramidal con luz  N67</t>
  </si>
  <si>
    <t>racion de conejo</t>
  </si>
  <si>
    <t>n 12</t>
  </si>
  <si>
    <t>n 7</t>
  </si>
  <si>
    <t>lata cobre</t>
  </si>
  <si>
    <t>jardinera</t>
  </si>
  <si>
    <t>n 1</t>
  </si>
  <si>
    <t>maceta barro redentor</t>
  </si>
  <si>
    <t>n 2</t>
  </si>
  <si>
    <t>maceta barro comun</t>
  </si>
  <si>
    <t>n 5</t>
  </si>
  <si>
    <t>n 6</t>
  </si>
  <si>
    <t>n 8</t>
  </si>
  <si>
    <t>plato de barro</t>
  </si>
  <si>
    <t>n 11</t>
  </si>
  <si>
    <t>n 14</t>
  </si>
  <si>
    <t>maceta de barro aerea</t>
  </si>
  <si>
    <t>maceta vaso negro</t>
  </si>
  <si>
    <t>gr283</t>
  </si>
  <si>
    <t>maceta de colgar c/ cadena</t>
  </si>
  <si>
    <t>jardinera s/´lat</t>
  </si>
  <si>
    <t xml:space="preserve">37x17x13 </t>
  </si>
  <si>
    <t>gr5296</t>
  </si>
  <si>
    <t>pinza de corte</t>
  </si>
  <si>
    <t>1835 cm</t>
  </si>
  <si>
    <t>intendencia guichon</t>
  </si>
  <si>
    <t>guichon</t>
  </si>
  <si>
    <t>lb-311</t>
  </si>
  <si>
    <t>pe358</t>
  </si>
  <si>
    <t>Z175</t>
  </si>
  <si>
    <t>1,8*4</t>
  </si>
  <si>
    <t>BE21</t>
  </si>
  <si>
    <t>comedero rect,hamster</t>
  </si>
  <si>
    <t>12x8x3,5 cm</t>
  </si>
  <si>
    <t xml:space="preserve">collar cinta lisa 1,5 cm </t>
  </si>
  <si>
    <t>collar cinta lisa 2 cm</t>
  </si>
  <si>
    <t>s</t>
  </si>
  <si>
    <t xml:space="preserve">soportes p/plantas </t>
  </si>
  <si>
    <t>gallardo</t>
  </si>
  <si>
    <t>099-389-413</t>
  </si>
  <si>
    <t>FUNGOXAN</t>
  </si>
  <si>
    <t>perro lager</t>
  </si>
  <si>
    <t>jeringa para cucaracha</t>
  </si>
  <si>
    <t>racion p/caballo</t>
  </si>
  <si>
    <t>distribuidora la martina</t>
  </si>
  <si>
    <t>vizconde 1126</t>
  </si>
  <si>
    <t>472-21182</t>
  </si>
  <si>
    <t>marcelo-agencia venuezuela y cuareim</t>
  </si>
  <si>
    <t>097,977,769</t>
  </si>
  <si>
    <t>v1420</t>
  </si>
  <si>
    <t>tubo sumergible c/burbujeador</t>
  </si>
  <si>
    <t>rs-a36</t>
  </si>
  <si>
    <t>v4008</t>
  </si>
  <si>
    <t xml:space="preserve">jaula </t>
  </si>
  <si>
    <t>34,5x28x46</t>
  </si>
  <si>
    <t>brou cut-crt 110505445-00001</t>
  </si>
  <si>
    <t>098,852,937</t>
  </si>
  <si>
    <t>franmar s,a</t>
  </si>
  <si>
    <t>ruc 120,392,770,017</t>
  </si>
  <si>
    <t>maples de huevo</t>
  </si>
  <si>
    <t>092,488,663</t>
  </si>
  <si>
    <t>esteban de la vega</t>
  </si>
  <si>
    <t>richar tagliani</t>
  </si>
  <si>
    <t>092,273,185</t>
  </si>
  <si>
    <t>trampa adhesiva p/rata</t>
  </si>
  <si>
    <t>x2</t>
  </si>
  <si>
    <t>trampa adhesiva p/ratones</t>
  </si>
  <si>
    <t xml:space="preserve"> x4</t>
  </si>
  <si>
    <t>096201691</t>
  </si>
  <si>
    <t>lucas piriz, entre bulevar y verocay</t>
  </si>
  <si>
    <t>mudas de huerta</t>
  </si>
  <si>
    <t>ramona--zorrilla y</t>
  </si>
  <si>
    <t>097.683.216</t>
  </si>
  <si>
    <t>electricidad auto</t>
  </si>
  <si>
    <t>099.198.145</t>
  </si>
  <si>
    <t>ituzango</t>
  </si>
  <si>
    <t>v1419a</t>
  </si>
  <si>
    <t>CALEFACTOR100 W</t>
  </si>
  <si>
    <t>100 w rs-688</t>
  </si>
  <si>
    <t>albañil</t>
  </si>
  <si>
    <t>099.193.098</t>
  </si>
  <si>
    <t>caja 250 grs</t>
  </si>
  <si>
    <t>091-998-772</t>
  </si>
  <si>
    <t>choca-conejo</t>
  </si>
  <si>
    <t>*</t>
  </si>
  <si>
    <t>jardinera c/plato</t>
  </si>
  <si>
    <t>jardinera c/plat</t>
  </si>
  <si>
    <t xml:space="preserve">35 cm </t>
  </si>
  <si>
    <t>210,00168,00,13</t>
  </si>
  <si>
    <t>act600d</t>
  </si>
  <si>
    <t>rev500d</t>
  </si>
  <si>
    <t>conejos</t>
  </si>
  <si>
    <t>mirian  inela</t>
  </si>
  <si>
    <t>098,809,424</t>
  </si>
  <si>
    <t xml:space="preserve">quasar </t>
  </si>
  <si>
    <t>18 de julio y independencia</t>
  </si>
  <si>
    <t>099,128,549</t>
  </si>
  <si>
    <t>fertilizante orquidea</t>
  </si>
  <si>
    <t>uruquin</t>
  </si>
  <si>
    <t>racion amarilla-iniciador parr,</t>
  </si>
  <si>
    <t>racion amarilla-iniciado parr</t>
  </si>
  <si>
    <t>insumo cultivador</t>
  </si>
  <si>
    <t>32,5 sobre</t>
  </si>
  <si>
    <t>092.567.483</t>
  </si>
  <si>
    <t>alquiler de autos</t>
  </si>
  <si>
    <t>conejo-cabaña roda</t>
  </si>
  <si>
    <t>inau</t>
  </si>
  <si>
    <t>18 de julio galeria giosa</t>
  </si>
  <si>
    <t>472-23280</t>
  </si>
  <si>
    <t>alimento p/tortugas alcon</t>
  </si>
  <si>
    <t>V5303</t>
  </si>
  <si>
    <t>v5302</t>
  </si>
  <si>
    <t>alimento tortugaalcon</t>
  </si>
  <si>
    <t>75 gr</t>
  </si>
  <si>
    <t>v4606</t>
  </si>
  <si>
    <t>v4607</t>
  </si>
  <si>
    <t>v4608</t>
  </si>
  <si>
    <t>bebedero plastico grande</t>
  </si>
  <si>
    <t>cta,santander 0021suc,001202832969</t>
  </si>
  <si>
    <t>bicifan</t>
  </si>
  <si>
    <t>galarza 652</t>
  </si>
  <si>
    <t>4362-9000</t>
  </si>
  <si>
    <t>auto encendido</t>
  </si>
  <si>
    <t>rep argentina 1807</t>
  </si>
  <si>
    <t>472-28870</t>
  </si>
  <si>
    <t>092682919</t>
  </si>
  <si>
    <t>conejo-de la valle</t>
  </si>
  <si>
    <t>472-29427</t>
  </si>
  <si>
    <t>gr1306</t>
  </si>
  <si>
    <t>gr1283</t>
  </si>
  <si>
    <t>maceta marron lisa c/plato</t>
  </si>
  <si>
    <t>17x13</t>
  </si>
  <si>
    <t>gr1286</t>
  </si>
  <si>
    <t>MACETAlisa</t>
  </si>
  <si>
    <t>26x20</t>
  </si>
  <si>
    <t>MACETA marron lisa redonda</t>
  </si>
  <si>
    <t>MACETA marron lisa c/plato</t>
  </si>
  <si>
    <t>42x29</t>
  </si>
  <si>
    <t>gr10281</t>
  </si>
  <si>
    <t>electricista-leo</t>
  </si>
  <si>
    <t>098-603-707</t>
  </si>
  <si>
    <t>resiste 15kg aprox,</t>
  </si>
  <si>
    <t>a11269</t>
  </si>
  <si>
    <t>NIDO jute CANARIO</t>
  </si>
  <si>
    <t>3 cm-60 cm</t>
  </si>
  <si>
    <t>collar cinta lisa doble cinta</t>
  </si>
  <si>
    <t>un</t>
  </si>
  <si>
    <t>puime luis</t>
  </si>
  <si>
    <t>servicio tecnico Gargano</t>
  </si>
  <si>
    <t>13/1022</t>
  </si>
  <si>
    <t>subtrato de orquidia</t>
  </si>
  <si>
    <t>subtrato helechos</t>
  </si>
  <si>
    <t>cascara de pino</t>
  </si>
  <si>
    <t>perro wits</t>
  </si>
  <si>
    <t>CERVECERIA(E-BUYPLACE)</t>
  </si>
  <si>
    <t>CLIENTE: RUT, USUARIO:ADMIN</t>
  </si>
  <si>
    <t xml:space="preserve"> CONTRASEÑA: 458216</t>
  </si>
  <si>
    <t>PEDIDOS</t>
  </si>
  <si>
    <t>flaco</t>
  </si>
  <si>
    <t>pollas recriadas</t>
  </si>
  <si>
    <t>092,057,893</t>
  </si>
  <si>
    <t>clorada furia</t>
  </si>
  <si>
    <t>092,558,426</t>
  </si>
  <si>
    <t>talco dermec</t>
  </si>
  <si>
    <t>curabichera fibrusules</t>
  </si>
  <si>
    <t>451 c,c</t>
  </si>
  <si>
    <t>laborde juan</t>
  </si>
  <si>
    <t>repelente perros y gatos</t>
  </si>
  <si>
    <t>31,5X18</t>
  </si>
  <si>
    <t>gr1313</t>
  </si>
  <si>
    <t>57x22x14</t>
  </si>
  <si>
    <t>jardinera s-plato</t>
  </si>
  <si>
    <t>31x16x13</t>
  </si>
  <si>
    <t>comedero silvestre automatico</t>
  </si>
  <si>
    <t>carlo lopez 6729</t>
  </si>
  <si>
    <t>093572065</t>
  </si>
  <si>
    <t>2227,5482-092310652</t>
  </si>
  <si>
    <t>hormiguicida polvo</t>
  </si>
  <si>
    <t>florida 1217-cta.cte. 36-23399-NATALIA</t>
  </si>
  <si>
    <t>jaulas p/australianos</t>
  </si>
  <si>
    <t xml:space="preserve">jaula p/australiabno </t>
  </si>
  <si>
    <t>gato equilibrio filote</t>
  </si>
  <si>
    <t>25 KG</t>
  </si>
  <si>
    <t>z174</t>
  </si>
  <si>
    <t>180*3,5</t>
  </si>
  <si>
    <t>he4012</t>
  </si>
  <si>
    <t>cipermic</t>
  </si>
  <si>
    <t>caja 12</t>
  </si>
  <si>
    <t>000541353-00002</t>
  </si>
  <si>
    <t>094,731,983</t>
  </si>
  <si>
    <t>bols s/plato vicenza</t>
  </si>
  <si>
    <t>095,200,974</t>
  </si>
  <si>
    <t>matias bertinat-vendedor</t>
  </si>
  <si>
    <t>la paz y democracia 097,414,944</t>
  </si>
  <si>
    <t>axiilio china sura</t>
  </si>
  <si>
    <t>richard seguro</t>
  </si>
  <si>
    <t>floreria milflores</t>
  </si>
  <si>
    <t>emiliano</t>
  </si>
  <si>
    <t>092,155,205</t>
  </si>
  <si>
    <t>la paz 2020</t>
  </si>
  <si>
    <t>red 6</t>
  </si>
  <si>
    <t>filtro interno 3w  rs 072</t>
  </si>
  <si>
    <t>350 lt / hr</t>
  </si>
  <si>
    <t>filtro interno 6w450 rs 082A</t>
  </si>
  <si>
    <t>450 lt / hr</t>
  </si>
  <si>
    <t>600 lt/hr</t>
  </si>
  <si>
    <t>1000 lt/hr</t>
  </si>
  <si>
    <t>filtro interno rs 201 8W</t>
  </si>
  <si>
    <t>filtro interno rs 2001 8 W</t>
  </si>
  <si>
    <t>092,277,925</t>
  </si>
  <si>
    <t>raciones galpon-genolet</t>
  </si>
  <si>
    <t>098,100,472</t>
  </si>
  <si>
    <t>enrique chaplin 1375</t>
  </si>
  <si>
    <t>472-34002</t>
  </si>
  <si>
    <t>caja 240 comp</t>
  </si>
  <si>
    <t>v1313</t>
  </si>
  <si>
    <t>aireador 1 salida rs-160</t>
  </si>
  <si>
    <t>rs-160</t>
  </si>
  <si>
    <t>v1341</t>
  </si>
  <si>
    <t>v1343</t>
  </si>
  <si>
    <t xml:space="preserve">filtro interno rs-062A2W </t>
  </si>
  <si>
    <t>v1342</t>
  </si>
  <si>
    <t>numero de provedor 10236</t>
  </si>
  <si>
    <t xml:space="preserve">vendedor </t>
  </si>
  <si>
    <t>2601-9095</t>
  </si>
  <si>
    <t>099,631,796</t>
  </si>
  <si>
    <t>crece ms organico p/plantas</t>
  </si>
  <si>
    <t xml:space="preserve">CRECE MAS ACTIVADOR de flores </t>
  </si>
  <si>
    <t>345 c,c</t>
  </si>
  <si>
    <t xml:space="preserve">regadera </t>
  </si>
  <si>
    <t>80 x25x 40 h</t>
  </si>
  <si>
    <t>tierra p/catus</t>
  </si>
  <si>
    <t>1,5 kg</t>
  </si>
  <si>
    <t>tierra orquides</t>
  </si>
  <si>
    <t>tierra p/helecho-sambaias</t>
  </si>
  <si>
    <t>antorcha</t>
  </si>
  <si>
    <t>flor artificial</t>
  </si>
  <si>
    <t>tarjeta corazon</t>
  </si>
  <si>
    <t>bolsos montevideo</t>
  </si>
  <si>
    <t>arenal grande 2421</t>
  </si>
  <si>
    <t>mdeo</t>
  </si>
  <si>
    <t>adorno mica</t>
  </si>
  <si>
    <t>adorno pecera</t>
  </si>
  <si>
    <t>maquina de flit</t>
  </si>
  <si>
    <t>trampa pegajosa cucaracha</t>
  </si>
  <si>
    <t>SALSA PEDIGREE</t>
  </si>
  <si>
    <t>FLORERO VIDRIO LABRADO</t>
  </si>
  <si>
    <t>9,5X19</t>
  </si>
  <si>
    <t>13X23,5</t>
  </si>
  <si>
    <t>6X18,5</t>
  </si>
  <si>
    <t>7,5 KG</t>
  </si>
  <si>
    <r>
      <t>PIEDRAS</t>
    </r>
    <r>
      <rPr>
        <sz val="14"/>
        <rFont val="Calibri"/>
        <family val="2"/>
        <scheme val="minor"/>
      </rPr>
      <t xml:space="preserve"> COLORES</t>
    </r>
  </si>
  <si>
    <t>500 GR</t>
  </si>
  <si>
    <t>839X19</t>
  </si>
  <si>
    <t>MACETA COCO CUADRADA COLGAR</t>
  </si>
  <si>
    <t>peluche perro corazon te amo</t>
  </si>
  <si>
    <t>peluche oso corazon te amo grande</t>
  </si>
  <si>
    <t>vara rosa goma eva</t>
  </si>
  <si>
    <t>maceta plastica</t>
  </si>
  <si>
    <t>16x13</t>
  </si>
  <si>
    <t>escobilla jardin</t>
  </si>
  <si>
    <t>pelota soga</t>
  </si>
  <si>
    <t>juegos con pinchitos</t>
  </si>
  <si>
    <t>soga hueso</t>
  </si>
  <si>
    <t>fuente cascada</t>
  </si>
  <si>
    <t>guia hojas x 12</t>
  </si>
  <si>
    <t>guia hojas x2</t>
  </si>
  <si>
    <t>vara lluvia atado pimpollo x 12</t>
  </si>
  <si>
    <t>vara lavanda</t>
  </si>
  <si>
    <t>ramo helecho</t>
  </si>
  <si>
    <t>ramo girasol</t>
  </si>
  <si>
    <t>insecticida mata pulgas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</si>
  <si>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</si>
  <si>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floreria edison</t>
  </si>
  <si>
    <t>099,185,283</t>
  </si>
  <si>
    <t>098,011,252</t>
  </si>
  <si>
    <t>tordon piclomic</t>
  </si>
  <si>
    <t>096,319,152</t>
  </si>
  <si>
    <t>e120</t>
  </si>
  <si>
    <t>perro equilibrio raza pequeña</t>
  </si>
  <si>
    <t>con,carrasco 7371-brou,001549201-00001</t>
  </si>
  <si>
    <t>racion bb</t>
  </si>
  <si>
    <t>av, 8 de octubre 3973-nicolas-120</t>
  </si>
  <si>
    <t>472-26199-24877</t>
  </si>
  <si>
    <t>92113123</t>
  </si>
  <si>
    <t>001567583-00002</t>
  </si>
  <si>
    <t>incesan oil</t>
  </si>
  <si>
    <t>500 c,c</t>
  </si>
  <si>
    <t>pesca en salto</t>
  </si>
  <si>
    <t>097,099,360</t>
  </si>
  <si>
    <t>fletes</t>
  </si>
  <si>
    <t>098,494,536</t>
  </si>
  <si>
    <t>430 k</t>
  </si>
  <si>
    <t>v4555a</t>
  </si>
  <si>
    <t>vo404</t>
  </si>
  <si>
    <t>termometro de vidrio con ventosa</t>
  </si>
  <si>
    <t>vo851</t>
  </si>
  <si>
    <t>alimento para estanque</t>
  </si>
  <si>
    <t>gato castrados wiskas</t>
  </si>
  <si>
    <t>TRI PACK top crop</t>
  </si>
  <si>
    <t>salsa salmon</t>
  </si>
  <si>
    <t>85 grs</t>
  </si>
  <si>
    <t>salsa pedrigree cachorros</t>
  </si>
  <si>
    <t>perro pedrigree carne pollos y cereales</t>
  </si>
  <si>
    <t>gato whiskas gatitos</t>
  </si>
  <si>
    <t>perro pedrigue razas pequeñas</t>
  </si>
  <si>
    <t>flores secas--javier soria</t>
  </si>
  <si>
    <t>c,i 3852,468,4</t>
  </si>
  <si>
    <t>097,454,370</t>
  </si>
  <si>
    <t>do</t>
  </si>
  <si>
    <t>pipa lainez</t>
  </si>
  <si>
    <t>099,727,223</t>
  </si>
  <si>
    <t>maceta vaso redondo</t>
  </si>
  <si>
    <t>maceta barro suculkenta</t>
  </si>
  <si>
    <t>maceta de barro</t>
  </si>
  <si>
    <t>macetas barro cilindro alto</t>
  </si>
  <si>
    <t>maceta barro cilindro bajo</t>
  </si>
  <si>
    <t>racion de conejo-14,15</t>
  </si>
  <si>
    <t>aros y buche</t>
  </si>
  <si>
    <t>091,788,938</t>
  </si>
  <si>
    <t>rta, 5 km 21,500</t>
  </si>
  <si>
    <t>vivero firpo</t>
  </si>
  <si>
    <t>camino la espiga 5020</t>
  </si>
  <si>
    <t>094,722,000</t>
  </si>
  <si>
    <t>vivero -toledo chico</t>
  </si>
  <si>
    <t>vivero</t>
  </si>
  <si>
    <t>rta, 6 km 21,200</t>
  </si>
  <si>
    <t>094,345,067-099,662,375</t>
  </si>
  <si>
    <t>ciudad del plata</t>
  </si>
  <si>
    <t>091,788,930</t>
  </si>
  <si>
    <t>dylan-aros</t>
  </si>
  <si>
    <t>092,724,442</t>
  </si>
  <si>
    <t>reel-arreglo</t>
  </si>
  <si>
    <t>cama mascota rayada</t>
  </si>
  <si>
    <t>29x29x33</t>
  </si>
  <si>
    <t>34x34x36</t>
  </si>
  <si>
    <t>maceta hexagonal</t>
  </si>
  <si>
    <t>almohadon corazon</t>
  </si>
  <si>
    <t>peluche conejo con corazon</t>
  </si>
  <si>
    <t>35X14</t>
  </si>
  <si>
    <t>44,5X14</t>
  </si>
  <si>
    <t>57X22</t>
  </si>
  <si>
    <t>MACETA BLANCA CUADRADA</t>
  </si>
  <si>
    <t>MACETA BLANXA CILINDRICA</t>
  </si>
  <si>
    <t>VARA ROSA EVA</t>
  </si>
  <si>
    <t>FLORERO PECERA</t>
  </si>
  <si>
    <t>RAMO GIRASOL CHICO</t>
  </si>
  <si>
    <t>RAMO MARGTARITA SURTIDO</t>
  </si>
  <si>
    <t>VARA CRISANTEMO</t>
  </si>
  <si>
    <t>VARA CALA</t>
  </si>
  <si>
    <t>BICI METAL</t>
  </si>
  <si>
    <t>BICI METAL MINI</t>
  </si>
  <si>
    <t>BICI METAL GRANDE</t>
  </si>
  <si>
    <t>u</t>
  </si>
  <si>
    <t xml:space="preserve">raticida fulmoline </t>
  </si>
  <si>
    <t>80x40x25en 4 mm</t>
  </si>
  <si>
    <t>40x40x25 en 4 mm</t>
  </si>
  <si>
    <t>equipex</t>
  </si>
  <si>
    <t>32,5 gr</t>
  </si>
  <si>
    <t>24 kg</t>
  </si>
  <si>
    <t>gato cat chow adulto</t>
  </si>
  <si>
    <t>gato cat chow gatito</t>
  </si>
  <si>
    <t>gato beny</t>
  </si>
  <si>
    <t>perro beny</t>
  </si>
  <si>
    <t>85 gr</t>
  </si>
  <si>
    <t>salsa gato carne</t>
  </si>
  <si>
    <t>pate de carne</t>
  </si>
  <si>
    <t>23148491</t>
  </si>
  <si>
    <t>crespa bionda parig-gran rapid</t>
  </si>
  <si>
    <t>fertilizante blaukorn classic</t>
  </si>
  <si>
    <t>minimo 8 kg/ 25 lt</t>
  </si>
  <si>
    <t>collar cinta lisa</t>
  </si>
  <si>
    <t>2,5x50cm</t>
  </si>
  <si>
    <t>2,5x55 cm</t>
  </si>
  <si>
    <t>2 cmx45cm</t>
  </si>
  <si>
    <t>1,5x120</t>
  </si>
  <si>
    <t>MT104</t>
  </si>
  <si>
    <t>COLLAR REGULABLECON GALON</t>
  </si>
  <si>
    <t>MT459</t>
  </si>
  <si>
    <t>JUGUETE GATO PELOTA CON RATON</t>
  </si>
  <si>
    <t>YERBA GATERA</t>
  </si>
  <si>
    <t>HE642</t>
  </si>
  <si>
    <t>TUBO 14 CM</t>
  </si>
  <si>
    <t>centro comercial</t>
  </si>
  <si>
    <t>472-28903-29084</t>
  </si>
  <si>
    <t>set de jardin 3 pzas plastico y metal</t>
  </si>
  <si>
    <t>gr11375</t>
  </si>
  <si>
    <t>GR1324</t>
  </si>
  <si>
    <t>MACETA NEGRA LABRADA CON PLATO</t>
  </si>
  <si>
    <t>30,5/23,5</t>
  </si>
  <si>
    <t>GR10545</t>
  </si>
  <si>
    <t>MACETA JARDINERA CON PLATO</t>
  </si>
  <si>
    <t>35X19,5X14,5</t>
  </si>
  <si>
    <t>GR1291</t>
  </si>
  <si>
    <t>MACETA RAYADA PLASTICO</t>
  </si>
  <si>
    <t>16X13</t>
  </si>
  <si>
    <t>GR10512</t>
  </si>
  <si>
    <t>MACETA COLGAR CON CADENA</t>
  </si>
  <si>
    <t>20X12</t>
  </si>
  <si>
    <t>GR280</t>
  </si>
  <si>
    <t>24X15</t>
  </si>
  <si>
    <t>20X13</t>
  </si>
  <si>
    <t>belsir-vendedor</t>
  </si>
  <si>
    <t>098,651,317</t>
  </si>
  <si>
    <t>estudio nadia-sarandi</t>
  </si>
  <si>
    <t>1 doc clavel 2 ilusion 2 rosas</t>
  </si>
  <si>
    <t>corona mediana</t>
  </si>
  <si>
    <t>2,5 doc claveles ilusion flpilla</t>
  </si>
  <si>
    <t>3,5 cmx65 cm</t>
  </si>
  <si>
    <t>3,5 cmx75 cm</t>
  </si>
  <si>
    <t xml:space="preserve">marmolina </t>
  </si>
  <si>
    <t>1,2 kg</t>
  </si>
  <si>
    <t>he189</t>
  </si>
  <si>
    <t>cuerde 3 nudos-pelotas de goma</t>
  </si>
  <si>
    <t>mt620</t>
  </si>
  <si>
    <t>pelota maciza</t>
  </si>
  <si>
    <t>caja 24 unidades</t>
  </si>
  <si>
    <t>he453</t>
  </si>
  <si>
    <t>cuna de tela</t>
  </si>
  <si>
    <t>mediana</t>
  </si>
  <si>
    <t>oasis biodegradable</t>
  </si>
  <si>
    <t>harina de hueso</t>
  </si>
  <si>
    <t xml:space="preserve">maceta premiun redonda blanca </t>
  </si>
  <si>
    <t>maceta campana con plato</t>
  </si>
  <si>
    <t>jfqm78</t>
  </si>
  <si>
    <t>11 lt</t>
  </si>
  <si>
    <t>8,5 lt</t>
  </si>
  <si>
    <t>macetas nutriplant negra</t>
  </si>
  <si>
    <t>cebollines-eliseo</t>
  </si>
  <si>
    <t>,099,269,341</t>
  </si>
  <si>
    <t>com7DB</t>
  </si>
  <si>
    <t>cac7DB</t>
  </si>
  <si>
    <t>fc50DB</t>
  </si>
  <si>
    <t>emes-ditribuidora</t>
  </si>
  <si>
    <t>25 de mayo</t>
  </si>
  <si>
    <t>472-34508</t>
  </si>
  <si>
    <t>konig uruguay s.a</t>
  </si>
  <si>
    <t>konig uruguay s,a</t>
  </si>
  <si>
    <t>500 GRS</t>
  </si>
  <si>
    <t>v0505</t>
  </si>
  <si>
    <t>piedra de calcio</t>
  </si>
  <si>
    <t>22 gr</t>
  </si>
  <si>
    <t>v4582</t>
  </si>
  <si>
    <t>47 gr</t>
  </si>
  <si>
    <t>tierra -mercado</t>
  </si>
  <si>
    <t>40pte,25 gr</t>
  </si>
  <si>
    <t>V1326</t>
  </si>
  <si>
    <t xml:space="preserve">Bomba de agua </t>
  </si>
  <si>
    <t>RS-3400,12W,8801/H,1,2 MTR</t>
  </si>
  <si>
    <t>V2691A</t>
  </si>
  <si>
    <t>BEBEDERO</t>
  </si>
  <si>
    <t>3,5 LTR</t>
  </si>
  <si>
    <t>herbicida gliseb sum</t>
  </si>
  <si>
    <t>gr16107</t>
  </si>
  <si>
    <t>brou-001528328-00002</t>
  </si>
  <si>
    <t>099-679-317</t>
  </si>
  <si>
    <t>2364-4646</t>
  </si>
  <si>
    <t>piedra sanitaria c/gel silica</t>
  </si>
  <si>
    <t>3,800 litros</t>
  </si>
  <si>
    <t>,</t>
  </si>
  <si>
    <t>125 grs(250cc)</t>
  </si>
  <si>
    <t xml:space="preserve"> 500 grs1 ltr</t>
  </si>
  <si>
    <t>099089187</t>
  </si>
  <si>
    <t>jaulas herreria gallardo nelson</t>
  </si>
  <si>
    <t>lider-repuesto</t>
  </si>
  <si>
    <t>472-32191</t>
  </si>
  <si>
    <t>jas</t>
  </si>
  <si>
    <t>472-26147</t>
  </si>
  <si>
    <t>97826504-099899761</t>
  </si>
  <si>
    <t>v1411</t>
  </si>
  <si>
    <t>calecfator30w</t>
  </si>
  <si>
    <t>30 w</t>
  </si>
  <si>
    <t>hormiguicida folimur polvo60</t>
  </si>
  <si>
    <t>hormiguicida polvo-caja 120,precio x50</t>
  </si>
  <si>
    <t>maceta orquidea</t>
  </si>
  <si>
    <t>gatillos</t>
  </si>
  <si>
    <t>jardinera sampa</t>
  </si>
  <si>
    <t>platos cuadrados</t>
  </si>
  <si>
    <t xml:space="preserve">platos cuadrado </t>
  </si>
  <si>
    <t>platos cuadrado</t>
  </si>
  <si>
    <t>4,5 x4,5-</t>
  </si>
  <si>
    <t>6 cn</t>
  </si>
  <si>
    <t>6 cm</t>
  </si>
  <si>
    <t>maceta biodegradable-( 600 macetas)</t>
  </si>
  <si>
    <t>maceta biodegradable 4,5 x4,5</t>
  </si>
  <si>
    <t>maceta biodegradable olivo</t>
  </si>
  <si>
    <t>maceta biodegradable (120maceta)</t>
  </si>
  <si>
    <t>11 cm</t>
  </si>
  <si>
    <t>maceta biodegradable (300 maceta)</t>
  </si>
  <si>
    <t>cedula carlos</t>
  </si>
  <si>
    <t>3847321-3</t>
  </si>
  <si>
    <t>GR5270</t>
  </si>
  <si>
    <t>gr16171</t>
  </si>
  <si>
    <t>guante de trabajo tela y cuero</t>
  </si>
  <si>
    <t>gr1290</t>
  </si>
  <si>
    <t>MACETA piso MARRON c/plat</t>
  </si>
  <si>
    <t>18 x13</t>
  </si>
  <si>
    <t>pcn15</t>
  </si>
  <si>
    <t>pcn20</t>
  </si>
  <si>
    <t>tcdu1</t>
  </si>
  <si>
    <t>deeper under groun</t>
  </si>
  <si>
    <t>cuarentan</t>
  </si>
  <si>
    <t>soporte mediano</t>
  </si>
  <si>
    <t>40x19</t>
  </si>
  <si>
    <t>perez</t>
  </si>
  <si>
    <t>rizado</t>
  </si>
  <si>
    <t>ratoxan</t>
  </si>
  <si>
    <t>25 grs</t>
  </si>
  <si>
    <t>097-215585</t>
  </si>
  <si>
    <t xml:space="preserve">richard </t>
  </si>
  <si>
    <t>feria</t>
  </si>
  <si>
    <t>100 ltr</t>
  </si>
  <si>
    <t>JVEF 34</t>
  </si>
  <si>
    <t>JVEF 42</t>
  </si>
  <si>
    <t>IVEC 33</t>
  </si>
  <si>
    <t>purin-cola de caballo</t>
  </si>
  <si>
    <t>gato whiskas</t>
  </si>
  <si>
    <t>472-26220</t>
  </si>
  <si>
    <t>com20db</t>
  </si>
  <si>
    <t>gua500d</t>
  </si>
  <si>
    <t>472-22885</t>
  </si>
  <si>
    <t>club pescadores</t>
  </si>
  <si>
    <t>15 SEMILLA PT,</t>
  </si>
  <si>
    <t>crece mas rosas y flores</t>
  </si>
  <si>
    <t>096,707,668</t>
  </si>
  <si>
    <t>repartidor de mañana de pedidos ya</t>
  </si>
  <si>
    <t>repartor pedido ya</t>
  </si>
  <si>
    <t>2,03,dom4</t>
  </si>
  <si>
    <t>13 gr</t>
  </si>
  <si>
    <t>096-392-212</t>
  </si>
  <si>
    <t>472-22146</t>
  </si>
  <si>
    <t>tijera podar</t>
  </si>
  <si>
    <t>gr11377</t>
  </si>
  <si>
    <t>gr2881</t>
  </si>
  <si>
    <t>juguete para mascota pelota tenis por 3 unid</t>
  </si>
  <si>
    <t>gr3287</t>
  </si>
  <si>
    <t>cable alambre forrado de atar</t>
  </si>
  <si>
    <t>sulfato de cobre</t>
  </si>
  <si>
    <t>bolsa 4,250kg</t>
  </si>
  <si>
    <t>18 lt</t>
  </si>
  <si>
    <t>14,3 lt</t>
  </si>
  <si>
    <t>azufre en polvo industrial</t>
  </si>
  <si>
    <t>bicarbonato de sodio</t>
  </si>
  <si>
    <t>carbon activado polvo</t>
  </si>
  <si>
    <t>pretal cinta N 5</t>
  </si>
  <si>
    <t>pretal cinta N 7</t>
  </si>
  <si>
    <t>pretal cinta N 11</t>
  </si>
  <si>
    <t>1,2x25 cm</t>
  </si>
  <si>
    <t>he138</t>
  </si>
  <si>
    <t>varita para gatos</t>
  </si>
  <si>
    <t>21/3/02023</t>
  </si>
  <si>
    <t>Z174</t>
  </si>
  <si>
    <t>Z173</t>
  </si>
  <si>
    <t>z172</t>
  </si>
  <si>
    <t>180x2,5</t>
  </si>
  <si>
    <t>180x3,5</t>
  </si>
  <si>
    <t>ac21</t>
  </si>
  <si>
    <t>carbon activado</t>
  </si>
  <si>
    <t>mt444</t>
  </si>
  <si>
    <t>he541</t>
  </si>
  <si>
    <t>varita con libelul</t>
  </si>
  <si>
    <t>PIEDRA DE CALCIO</t>
  </si>
  <si>
    <t>CANTO RODADO</t>
  </si>
  <si>
    <t>matias/ julia</t>
  </si>
  <si>
    <t>caracolicida cara-ba pellets -caja de 24-</t>
  </si>
  <si>
    <t>copagran-gustabo</t>
  </si>
  <si>
    <t>verocay y25 de mayo--gustabo</t>
  </si>
  <si>
    <t>renacimiento</t>
  </si>
  <si>
    <t>472-22481</t>
  </si>
  <si>
    <t>babocol</t>
  </si>
  <si>
    <t>125 grs</t>
  </si>
  <si>
    <t>MARIANA JOYAS</t>
  </si>
  <si>
    <t>centro $70- S. feliz , b.Norte . N.Pdu $90</t>
  </si>
  <si>
    <t>mensajeria tiara</t>
  </si>
  <si>
    <t>1L/285 gr</t>
  </si>
  <si>
    <t>4 lt/1kg 150</t>
  </si>
  <si>
    <t>250 c,c,/75 gr</t>
  </si>
  <si>
    <t>2 ltr</t>
  </si>
  <si>
    <t>pipeta gato  pulgout</t>
  </si>
  <si>
    <t>hasta 4 kg</t>
  </si>
  <si>
    <t>mas de 4 kg</t>
  </si>
  <si>
    <t>pipeta perro pulgout</t>
  </si>
  <si>
    <t>3,6 lt</t>
  </si>
  <si>
    <t>MACETA PREMIUN clasica</t>
  </si>
  <si>
    <t>maceta cuia 1,5</t>
  </si>
  <si>
    <t>maceta cuia 2</t>
  </si>
  <si>
    <t>maceta cuia 3</t>
  </si>
  <si>
    <t>maceta cuia 4</t>
  </si>
  <si>
    <t>23 cm</t>
  </si>
  <si>
    <t>36 cm</t>
  </si>
  <si>
    <t>mancozeb</t>
  </si>
  <si>
    <t>tl35395</t>
  </si>
  <si>
    <t>gt3045</t>
  </si>
  <si>
    <t>manguera extensible</t>
  </si>
  <si>
    <t>15 mt</t>
  </si>
  <si>
    <t>hw54082</t>
  </si>
  <si>
    <t xml:space="preserve">maceta </t>
  </si>
  <si>
    <t>16,5x13,5</t>
  </si>
  <si>
    <t>jgt88003</t>
  </si>
  <si>
    <t>set jardineria</t>
  </si>
  <si>
    <t>maceta biodegradable</t>
  </si>
  <si>
    <t>maceta biodegradable olivos-</t>
  </si>
  <si>
    <t>4,5x4,5</t>
  </si>
  <si>
    <t>maceta barro acuarium</t>
  </si>
  <si>
    <t>No 3</t>
  </si>
  <si>
    <t>maceta paula c/plato</t>
  </si>
  <si>
    <t>maceta paula  c/plato</t>
  </si>
  <si>
    <t>palita angosta cabo de madera</t>
  </si>
  <si>
    <t>trigo</t>
  </si>
  <si>
    <t>maceta piso c/ PLATO</t>
  </si>
  <si>
    <t>gr1346</t>
  </si>
  <si>
    <t>maceta copa</t>
  </si>
  <si>
    <t>37x29</t>
  </si>
  <si>
    <t>MACETA marrron lisac/plato</t>
  </si>
  <si>
    <t>gr3852</t>
  </si>
  <si>
    <t>maceta jardinera plstico s/plato</t>
  </si>
  <si>
    <t>25 lts</t>
  </si>
  <si>
    <t>20 cn</t>
  </si>
  <si>
    <t>hormiguicida polvo folimur-caja20 pte</t>
  </si>
  <si>
    <t xml:space="preserve">racion cerdo </t>
  </si>
  <si>
    <t>res</t>
  </si>
  <si>
    <t>coco bols 40</t>
  </si>
  <si>
    <t>coco bols 25</t>
  </si>
  <si>
    <t>coco bols 15</t>
  </si>
  <si>
    <t>plato cuadrado gris</t>
  </si>
  <si>
    <t>39,5 lt</t>
  </si>
  <si>
    <t>900 gr</t>
  </si>
  <si>
    <t>fertilizante bleu korn</t>
  </si>
  <si>
    <t>fibra de coco expandido</t>
  </si>
  <si>
    <t>n 0</t>
  </si>
  <si>
    <t>caracolicida metazon</t>
  </si>
  <si>
    <t>dispersona</t>
  </si>
  <si>
    <t>caja</t>
  </si>
  <si>
    <t>474-22318</t>
  </si>
  <si>
    <t>474-22004</t>
  </si>
  <si>
    <t>horario de 7 hr a 12 y30</t>
  </si>
  <si>
    <t>v4227</t>
  </si>
  <si>
    <t>comedero automatico premier</t>
  </si>
  <si>
    <t>v4554</t>
  </si>
  <si>
    <t>150 gr</t>
  </si>
  <si>
    <t>reptocal alcon</t>
  </si>
  <si>
    <t>calciox2</t>
  </si>
  <si>
    <t>bandeja sanitaria</t>
  </si>
  <si>
    <t>v3965</t>
  </si>
  <si>
    <t>46x32x10</t>
  </si>
  <si>
    <t>perro champmix de carne</t>
  </si>
  <si>
    <t>r</t>
  </si>
  <si>
    <t>parroquia sagrado corazon</t>
  </si>
  <si>
    <t>472-23683</t>
  </si>
  <si>
    <t>juego de jardin 3 piezas-wantok</t>
  </si>
  <si>
    <t>girasol confitero</t>
  </si>
  <si>
    <t>jeringa fulmoline p/cucaracha</t>
  </si>
  <si>
    <t>salsa gatitos</t>
  </si>
  <si>
    <t xml:space="preserve">peluche oso c/enterito smile 70 cm-4 colores </t>
  </si>
  <si>
    <t>raticida jimo</t>
  </si>
  <si>
    <t>chw00937</t>
  </si>
  <si>
    <t>b20</t>
  </si>
  <si>
    <t>chw00946</t>
  </si>
  <si>
    <t>maceta  plastica</t>
  </si>
  <si>
    <t>bhw7200</t>
  </si>
  <si>
    <t>33 lts</t>
  </si>
  <si>
    <t>jardinera nutriplant c/plato</t>
  </si>
  <si>
    <t>afrechillo molido de trigo</t>
  </si>
  <si>
    <t xml:space="preserve">afrechillo molido de trigo </t>
  </si>
  <si>
    <t>472-22178</t>
  </si>
  <si>
    <t>fumigador</t>
  </si>
  <si>
    <t>1,9 lt</t>
  </si>
  <si>
    <t>atado ilusion</t>
  </si>
  <si>
    <t>RAMO GIRASOL grande</t>
  </si>
  <si>
    <t>vara girasol x 2</t>
  </si>
  <si>
    <t>maceta cua</t>
  </si>
  <si>
    <t xml:space="preserve">fertilizantes helechos samambaias </t>
  </si>
  <si>
    <t>k002</t>
  </si>
  <si>
    <t>10-25 kg</t>
  </si>
  <si>
    <t>k003</t>
  </si>
  <si>
    <t>10-kg</t>
  </si>
  <si>
    <t>insecticida mata mosca</t>
  </si>
  <si>
    <t>JVRE 34</t>
  </si>
  <si>
    <t>JVOM 30</t>
  </si>
  <si>
    <t>JVEC 33</t>
  </si>
  <si>
    <t>JURT 45</t>
  </si>
  <si>
    <t>JUMB 34</t>
  </si>
  <si>
    <t>JPRD 25</t>
  </si>
  <si>
    <t>JVRH33</t>
  </si>
  <si>
    <t>VERONICA</t>
  </si>
  <si>
    <t>valagu</t>
  </si>
  <si>
    <t>musaco</t>
  </si>
  <si>
    <t>agroinsumos</t>
  </si>
  <si>
    <t>maestro</t>
  </si>
  <si>
    <t>yaques</t>
  </si>
  <si>
    <t>insumos cultivador</t>
  </si>
  <si>
    <t>rimart</t>
  </si>
  <si>
    <t>fermara</t>
  </si>
  <si>
    <t>animalitos</t>
  </si>
  <si>
    <t>negley</t>
  </si>
  <si>
    <t>drogueria paysandu</t>
  </si>
  <si>
    <t>carrau</t>
  </si>
  <si>
    <t>meril</t>
  </si>
  <si>
    <t>tejido plastico</t>
  </si>
  <si>
    <t>1 mt ancho</t>
  </si>
  <si>
    <t>baldivia</t>
  </si>
  <si>
    <t>14x23 1 lt</t>
  </si>
  <si>
    <t>bolsa vivero/kg</t>
  </si>
  <si>
    <t>20x24 2 lt</t>
  </si>
  <si>
    <t>collar dominal gatos</t>
  </si>
  <si>
    <t>collar domiunal mediano</t>
  </si>
  <si>
    <t>v0633</t>
  </si>
  <si>
    <t>bolsa 20 cm x 2 unidades</t>
  </si>
  <si>
    <t>10 gr</t>
  </si>
  <si>
    <t>pin</t>
  </si>
  <si>
    <t>ds</t>
  </si>
  <si>
    <t xml:space="preserve">valagu </t>
  </si>
  <si>
    <t>belsir</t>
  </si>
  <si>
    <t>hormiguicida grano lampo-caja 15 pte,</t>
  </si>
  <si>
    <t>delta</t>
  </si>
  <si>
    <t>corazon espuma</t>
  </si>
  <si>
    <t>6 unidades</t>
  </si>
  <si>
    <t>50 c/u</t>
  </si>
  <si>
    <t>vara mini bola</t>
  </si>
  <si>
    <t>ramo rosita con margarita</t>
  </si>
  <si>
    <t>clavel grande</t>
  </si>
  <si>
    <t>rosa silvestre</t>
  </si>
  <si>
    <t>hoja jazmin</t>
  </si>
  <si>
    <t>vara rosa tela</t>
  </si>
  <si>
    <t>ramo rosa inglesa</t>
  </si>
  <si>
    <t>ramo pimpollo x12</t>
  </si>
  <si>
    <t>vara orquidea</t>
  </si>
  <si>
    <t>atado x 6 cala</t>
  </si>
  <si>
    <t>ramo calitas</t>
  </si>
  <si>
    <t>vara gardenia</t>
  </si>
  <si>
    <t>ramo hibiscus y azucena</t>
  </si>
  <si>
    <t>RAMO MINI HOJA</t>
  </si>
  <si>
    <t>RAMO LAVANDA</t>
  </si>
  <si>
    <t>VARA PEQUEÑA FLOR</t>
  </si>
  <si>
    <t>RAMO LAVANDA NEVADO</t>
  </si>
  <si>
    <t>cementerio</t>
  </si>
  <si>
    <t>472-22242</t>
  </si>
  <si>
    <t>porta cebo hormiga</t>
  </si>
  <si>
    <t>top-auto</t>
  </si>
  <si>
    <t>botica</t>
  </si>
  <si>
    <t>heroica</t>
  </si>
  <si>
    <t>gato  castrado wiskas</t>
  </si>
  <si>
    <t>gato salmon</t>
  </si>
  <si>
    <t>lima -</t>
  </si>
  <si>
    <t>vendedor-patricia</t>
  </si>
  <si>
    <t>098,255,380</t>
  </si>
  <si>
    <t>maceta negra cilindricaC/PLATO</t>
  </si>
  <si>
    <t>lima</t>
  </si>
  <si>
    <t>maceta colgar</t>
  </si>
  <si>
    <t>C13</t>
  </si>
  <si>
    <t>C18</t>
  </si>
  <si>
    <t>C21</t>
  </si>
  <si>
    <t>PERCHAS</t>
  </si>
  <si>
    <t>konig</t>
  </si>
  <si>
    <t>jeringa p/hormiga</t>
  </si>
  <si>
    <t>flit derribador</t>
  </si>
  <si>
    <t>250,c,c</t>
  </si>
  <si>
    <t>hormiguicida grano lampo30</t>
  </si>
  <si>
    <t>hormiguicida grano lampo40</t>
  </si>
  <si>
    <t>hormiguicida fomilur 40</t>
  </si>
  <si>
    <t>hormiguicida grano lampo65</t>
  </si>
  <si>
    <t>v0920</t>
  </si>
  <si>
    <t>test ph tropical alcon</t>
  </si>
  <si>
    <t>096,218,695</t>
  </si>
  <si>
    <t>d751200</t>
  </si>
  <si>
    <t>pote t/bisagra 120z</t>
  </si>
  <si>
    <t>14x12,5x5-360ml</t>
  </si>
  <si>
    <t>bolsa 20x30</t>
  </si>
  <si>
    <t>3 kg</t>
  </si>
  <si>
    <t>bolsa 28x40</t>
  </si>
  <si>
    <t>bolsa 35x50</t>
  </si>
  <si>
    <t>99,916,808</t>
  </si>
  <si>
    <t>droqueria paysandu</t>
  </si>
  <si>
    <t>maceta rocio de colores</t>
  </si>
  <si>
    <t>macetas clasicas blancas</t>
  </si>
  <si>
    <t>habitat deposito a nombre de belsir-llevar numero de factura</t>
  </si>
  <si>
    <t>santader 1472712 suc73</t>
  </si>
  <si>
    <t>fungoxan mixto-caja  36 fc,</t>
  </si>
  <si>
    <t>grspix</t>
  </si>
  <si>
    <t>gr1339</t>
  </si>
  <si>
    <t>maceta cuadrada c/plat</t>
  </si>
  <si>
    <t>gr1338</t>
  </si>
  <si>
    <t>18x18x14,5</t>
  </si>
  <si>
    <t>administracion</t>
  </si>
  <si>
    <t>mcetero colgante</t>
  </si>
  <si>
    <t>30x52</t>
  </si>
  <si>
    <t xml:space="preserve">maceta plastica </t>
  </si>
  <si>
    <t>25x20</t>
  </si>
  <si>
    <t>maceta colgante</t>
  </si>
  <si>
    <t>16,5x12,5x51</t>
  </si>
  <si>
    <t>8 gr</t>
  </si>
  <si>
    <t>bebedero picaflor chico</t>
  </si>
  <si>
    <t>coco bols 35</t>
  </si>
  <si>
    <t>q</t>
  </si>
  <si>
    <t xml:space="preserve">maceta rocio </t>
  </si>
  <si>
    <t xml:space="preserve">maceta nacional A </t>
  </si>
  <si>
    <t>ecovaso con plato y linga</t>
  </si>
  <si>
    <t>maple vila</t>
  </si>
  <si>
    <t>maple vila-macetas biodegradable-NATALY-ECHENIQUE</t>
  </si>
  <si>
    <t>bolsa p/semilla p/p</t>
  </si>
  <si>
    <t>8x15</t>
  </si>
  <si>
    <t>attack</t>
  </si>
  <si>
    <t>atack</t>
  </si>
  <si>
    <t>v5312</t>
  </si>
  <si>
    <t>casita trampa p/cucarachas</t>
  </si>
  <si>
    <t>coronilla esq carlos maria de pena</t>
  </si>
  <si>
    <t>IBRFL101</t>
  </si>
  <si>
    <t>7 KG</t>
  </si>
  <si>
    <t>REMIPLAT</t>
  </si>
  <si>
    <t>CRIOGT001</t>
  </si>
  <si>
    <t>GATO CRIOLLA ADULTO</t>
  </si>
  <si>
    <t>1 KG</t>
  </si>
  <si>
    <t>8 KG</t>
  </si>
  <si>
    <t>CRIOAD07</t>
  </si>
  <si>
    <t>PERRO CRIOLLA ADULTO</t>
  </si>
  <si>
    <t>ILRCM005</t>
  </si>
  <si>
    <t>GATO LE ROY COCKTAIL</t>
  </si>
  <si>
    <t>08/04/024</t>
  </si>
  <si>
    <t>PERRO BRAVO FRANGO E LEGUMES</t>
  </si>
  <si>
    <t>IBRBY01</t>
  </si>
  <si>
    <t>PERRO BRABO BABY</t>
  </si>
  <si>
    <t>10,1 KG</t>
  </si>
  <si>
    <t>CHARGT001</t>
  </si>
  <si>
    <t>CHARGT008</t>
  </si>
  <si>
    <t>GATO CHARRUA ADULTO</t>
  </si>
  <si>
    <t>CHARAD08</t>
  </si>
  <si>
    <t>PERRO CHARRUA ADULTO</t>
  </si>
  <si>
    <t>maquinas registradoras</t>
  </si>
  <si>
    <t>25 de mayo 914</t>
  </si>
  <si>
    <t>turba</t>
  </si>
  <si>
    <t>250 lt</t>
  </si>
  <si>
    <t>maceta jardinera plasticos/plato</t>
  </si>
  <si>
    <t>19x15</t>
  </si>
  <si>
    <t>gr1324</t>
  </si>
  <si>
    <t>maceta negra labrada c/plato</t>
  </si>
  <si>
    <t>30,5x23,5</t>
  </si>
  <si>
    <t>bols coco con plato y linga</t>
  </si>
  <si>
    <t>maceta lebrillo</t>
  </si>
  <si>
    <t xml:space="preserve">maceta porteña </t>
  </si>
  <si>
    <t>damian macetas1,22</t>
  </si>
  <si>
    <t>plato plastico negro con agujero para colgar</t>
  </si>
  <si>
    <t>jardinera rocio</t>
  </si>
  <si>
    <t>maceta sampa</t>
  </si>
  <si>
    <t>soporte madera</t>
  </si>
  <si>
    <t>maceta piza</t>
  </si>
  <si>
    <t>maceta rio</t>
  </si>
  <si>
    <t>vaso orquidea color</t>
  </si>
  <si>
    <t>maceta bage</t>
  </si>
  <si>
    <t>maceta paila c/p</t>
  </si>
  <si>
    <t>maceta duo</t>
  </si>
  <si>
    <t>JVOM 38</t>
  </si>
  <si>
    <t>JVSR</t>
  </si>
  <si>
    <t>JCMC 35</t>
  </si>
  <si>
    <t>JCMC 45</t>
  </si>
  <si>
    <t>maceta relevo</t>
  </si>
  <si>
    <t>24x28</t>
  </si>
  <si>
    <t>36x40</t>
  </si>
  <si>
    <t>maceta terra</t>
  </si>
  <si>
    <t>30x40</t>
  </si>
  <si>
    <t>mercoplant</t>
  </si>
  <si>
    <t>LOROS RAMIRO SAN JAVIER</t>
  </si>
  <si>
    <t>rial</t>
  </si>
  <si>
    <t>DX1</t>
  </si>
  <si>
    <t>DX2</t>
  </si>
  <si>
    <t>DX3</t>
  </si>
  <si>
    <t>7S2</t>
  </si>
  <si>
    <t>7S3</t>
  </si>
  <si>
    <t>7F2</t>
  </si>
  <si>
    <t>YT2</t>
  </si>
  <si>
    <t>YT3</t>
  </si>
  <si>
    <t>WLI</t>
  </si>
  <si>
    <t>GP3</t>
  </si>
  <si>
    <t>GP4</t>
  </si>
  <si>
    <t>X0</t>
  </si>
  <si>
    <t>DX4</t>
  </si>
  <si>
    <t>wiskas snacks</t>
  </si>
  <si>
    <t>11x40gr</t>
  </si>
  <si>
    <t>mt1350</t>
  </si>
  <si>
    <t>palita p/jardin mango madera</t>
  </si>
  <si>
    <t>35x8</t>
  </si>
  <si>
    <t>k-310</t>
  </si>
  <si>
    <t>mt197</t>
  </si>
  <si>
    <t>tijera poda</t>
  </si>
  <si>
    <t>17x6</t>
  </si>
  <si>
    <t>MOLAK SA (BALDIVIA)-BOLSA VIVERO</t>
  </si>
  <si>
    <t xml:space="preserve">GUAYABOS 1549 </t>
  </si>
  <si>
    <t>MONTEVIDEO</t>
  </si>
  <si>
    <t>mensajeria ues-jeny lopez</t>
  </si>
  <si>
    <t>099,726,996</t>
  </si>
  <si>
    <t>099,362,340</t>
  </si>
  <si>
    <t>ruta 7 kmt 31,5</t>
  </si>
  <si>
    <t>cts ,caja de ahrro brou 001701327-00002</t>
  </si>
  <si>
    <t>6yrd</t>
  </si>
  <si>
    <t>perro urupet</t>
  </si>
  <si>
    <t>fertilizante helecho</t>
  </si>
  <si>
    <t>tierra de diatonea</t>
  </si>
  <si>
    <t>cta,santander 0026000001350595</t>
  </si>
  <si>
    <t>fertilizante blaukorn 12-8-16 azul</t>
  </si>
  <si>
    <t>fert hakaphos rojo 18x18x18</t>
  </si>
  <si>
    <t>cuna oval desmontable chico</t>
  </si>
  <si>
    <t>50*29*15</t>
  </si>
  <si>
    <t>cuna oval desmontable mediano</t>
  </si>
  <si>
    <t>56*33*15</t>
  </si>
  <si>
    <t>igloo casa chico</t>
  </si>
  <si>
    <t>igloo casa mediano</t>
  </si>
  <si>
    <t>36*31*31</t>
  </si>
  <si>
    <t>45*40*36</t>
  </si>
  <si>
    <t>HE353</t>
  </si>
  <si>
    <t>IGLOO con orejas</t>
  </si>
  <si>
    <t>35*35</t>
  </si>
  <si>
    <t>pe104</t>
  </si>
  <si>
    <t>rascador c/poste y raton</t>
  </si>
  <si>
    <t>27*33</t>
  </si>
  <si>
    <t>he3013</t>
  </si>
  <si>
    <t>rascador con ´pez y raton</t>
  </si>
  <si>
    <t>45*20*4</t>
  </si>
  <si>
    <t>he1145</t>
  </si>
  <si>
    <t>rascador ondulado</t>
  </si>
  <si>
    <t>45*24*7</t>
  </si>
  <si>
    <t>he99</t>
  </si>
  <si>
    <t>juguete raton sisal con plumas</t>
  </si>
  <si>
    <t>he0202</t>
  </si>
  <si>
    <t>comedero doble de melamina</t>
  </si>
  <si>
    <t>30*16*5,5</t>
  </si>
  <si>
    <t>cf109</t>
  </si>
  <si>
    <t>comedero economico bowl</t>
  </si>
  <si>
    <t>14,8*3,8</t>
  </si>
  <si>
    <t>escardillo de mano</t>
  </si>
  <si>
    <t>26X11</t>
  </si>
  <si>
    <t>GR21752</t>
  </si>
  <si>
    <t>GR21753</t>
  </si>
  <si>
    <t>30X20,5</t>
  </si>
  <si>
    <t>30X24</t>
  </si>
  <si>
    <t>GR19502</t>
  </si>
  <si>
    <t>PULVERIZADOR FUMIGADOR CON PICO METAL</t>
  </si>
  <si>
    <t>2 LTS</t>
  </si>
  <si>
    <t>GR19494</t>
  </si>
  <si>
    <t>3 LTS</t>
  </si>
  <si>
    <t>cesped premiun ultra rapido</t>
  </si>
  <si>
    <t>cesped loliumperenne esquire</t>
  </si>
  <si>
    <t>4kg</t>
  </si>
  <si>
    <t>v0454</t>
  </si>
  <si>
    <t>4"</t>
  </si>
  <si>
    <t>6"</t>
  </si>
  <si>
    <t>v0453</t>
  </si>
  <si>
    <t>v0511</t>
  </si>
  <si>
    <t>red 4</t>
  </si>
  <si>
    <t>al1114</t>
  </si>
  <si>
    <t>bebedero picaflor mediano</t>
  </si>
  <si>
    <t>paquette semilla aromatica</t>
  </si>
  <si>
    <t>CARAMELOS DE MIEL</t>
  </si>
  <si>
    <t>90 GR</t>
  </si>
  <si>
    <t>BOTICA</t>
  </si>
  <si>
    <t>sachet</t>
  </si>
  <si>
    <t>cactus</t>
  </si>
  <si>
    <t>alimemtos p/plantas</t>
  </si>
  <si>
    <t>gran amor educador</t>
  </si>
  <si>
    <t>500 cc</t>
  </si>
  <si>
    <t>calefator 75w</t>
  </si>
  <si>
    <t>V0614</t>
  </si>
  <si>
    <t>v0631-2</t>
  </si>
  <si>
    <t>sc-12</t>
  </si>
  <si>
    <t>planta adornoarbol amarillo</t>
  </si>
  <si>
    <t xml:space="preserve">sc-12a </t>
  </si>
  <si>
    <t>planta adorno arbol amarillo</t>
  </si>
  <si>
    <t>ded</t>
  </si>
  <si>
    <t>es</t>
  </si>
  <si>
    <t>sc-12b</t>
  </si>
  <si>
    <t>planta adorno arbol violeta</t>
  </si>
  <si>
    <t>12x11</t>
  </si>
  <si>
    <t>sc-643</t>
  </si>
  <si>
    <t>plantas</t>
  </si>
  <si>
    <t>CESPED SINTETICO</t>
  </si>
  <si>
    <t>2 MTS ANCHO</t>
  </si>
  <si>
    <t>24X35 5 LTS</t>
  </si>
  <si>
    <t>38X41 10 LTS</t>
  </si>
  <si>
    <t>45X49 15 LTS</t>
  </si>
  <si>
    <t>k004</t>
  </si>
  <si>
    <t>25-40 kg</t>
  </si>
  <si>
    <t>heladera esteban miller</t>
  </si>
  <si>
    <t>098,302,621</t>
  </si>
  <si>
    <t>perro primocao filhotes</t>
  </si>
  <si>
    <t>perro primocao premiun filohotes</t>
  </si>
  <si>
    <t xml:space="preserve">perro primocao original negro </t>
  </si>
  <si>
    <t>aros coronas</t>
  </si>
  <si>
    <t>aros y coronas</t>
  </si>
  <si>
    <t>70 cm</t>
  </si>
  <si>
    <t>buche</t>
  </si>
  <si>
    <t>no</t>
  </si>
  <si>
    <t xml:space="preserve">hormiguicida talquera </t>
  </si>
  <si>
    <t>mt904</t>
  </si>
  <si>
    <t>huevos juguete</t>
  </si>
  <si>
    <t>24 unidades</t>
  </si>
  <si>
    <t>1 unidad</t>
  </si>
  <si>
    <t>2x116</t>
  </si>
  <si>
    <t>2,5x116</t>
  </si>
  <si>
    <t>a13181</t>
  </si>
  <si>
    <t>nido para canario piola</t>
  </si>
  <si>
    <t>escobas de paja-de navarra bettina</t>
  </si>
  <si>
    <t>091 093 827</t>
  </si>
  <si>
    <t>navarra brou 001553714-00001-itau 3410175</t>
  </si>
  <si>
    <t>set indonesia</t>
  </si>
  <si>
    <t>set indonesia grde</t>
  </si>
  <si>
    <t>set indonesia med</t>
  </si>
  <si>
    <t>set indonesia chico</t>
  </si>
  <si>
    <t>sustrato green terra</t>
  </si>
  <si>
    <t>gr270</t>
  </si>
  <si>
    <t>guante de trabajo</t>
  </si>
  <si>
    <t>j&amp;G</t>
  </si>
  <si>
    <t>gr21749-1</t>
  </si>
  <si>
    <t>maceta plastico labrada</t>
  </si>
  <si>
    <t>20x16</t>
  </si>
  <si>
    <t>gr21750</t>
  </si>
  <si>
    <t>escobas paja</t>
  </si>
  <si>
    <t>de navarra</t>
  </si>
  <si>
    <t>fertilizante 15-15-15-</t>
  </si>
  <si>
    <t>fertilizante 15-15-15</t>
  </si>
  <si>
    <t>21x21x3,3</t>
  </si>
  <si>
    <t>43x21x3,3</t>
  </si>
  <si>
    <t>rascador de gato*7retangulo</t>
  </si>
  <si>
    <t>rascador de gato*6cuadrado</t>
  </si>
  <si>
    <t>rascador de gato*8doble ondulado</t>
  </si>
  <si>
    <t>rascador de gato*9ondulado</t>
  </si>
  <si>
    <t>213s6</t>
  </si>
  <si>
    <t>213s7</t>
  </si>
  <si>
    <t>213s5</t>
  </si>
  <si>
    <t>213s4</t>
  </si>
  <si>
    <t xml:space="preserve">repelente </t>
  </si>
  <si>
    <t>rep600d</t>
  </si>
  <si>
    <t>tur5dav</t>
  </si>
  <si>
    <t>almaciguera</t>
  </si>
  <si>
    <t>32 cav</t>
  </si>
  <si>
    <t>piedras blancas</t>
  </si>
  <si>
    <t>microsules</t>
  </si>
  <si>
    <t>silvana</t>
  </si>
  <si>
    <t xml:space="preserve">cebollines </t>
  </si>
  <si>
    <t>Socio Garcia</t>
  </si>
  <si>
    <t>insecticida dezenur CE(rogor)</t>
  </si>
  <si>
    <t>300 w</t>
  </si>
  <si>
    <t xml:space="preserve">calefator </t>
  </si>
  <si>
    <t>ht-3300</t>
  </si>
  <si>
    <t>mt477</t>
  </si>
  <si>
    <t>collar silicona p/gato</t>
  </si>
  <si>
    <t>nido cotorra australiana</t>
  </si>
  <si>
    <t>24x10x10</t>
  </si>
  <si>
    <t>cl31</t>
  </si>
  <si>
    <t>rs8</t>
  </si>
  <si>
    <t>repusto bols dispensador</t>
  </si>
  <si>
    <t>8 uni</t>
  </si>
  <si>
    <t>bebedero picaflor</t>
  </si>
  <si>
    <t>sg2</t>
  </si>
  <si>
    <t>colchon sanitario ecologico</t>
  </si>
  <si>
    <t>841d</t>
  </si>
  <si>
    <t>trampa pegamento cucaracha</t>
  </si>
  <si>
    <t>LIMA</t>
  </si>
  <si>
    <t>gt2603</t>
  </si>
  <si>
    <t>34x18x14</t>
  </si>
  <si>
    <t>chw00566</t>
  </si>
  <si>
    <t>maceta decorada</t>
  </si>
  <si>
    <t>rociador con estaca</t>
  </si>
  <si>
    <t>cgt00014</t>
  </si>
  <si>
    <t>jgt88002</t>
  </si>
  <si>
    <t>43x18x14</t>
  </si>
  <si>
    <t>soporte plastico</t>
  </si>
  <si>
    <t>cgt00025</t>
  </si>
  <si>
    <t>set de jardinx3</t>
  </si>
  <si>
    <t>tl3390</t>
  </si>
  <si>
    <t>manguera de tela</t>
  </si>
  <si>
    <t>10 mt</t>
  </si>
  <si>
    <t>machete tramontina</t>
  </si>
  <si>
    <t>hacha mango fibra</t>
  </si>
  <si>
    <t>hacha mango madera</t>
  </si>
  <si>
    <t>tl35454</t>
  </si>
  <si>
    <t>tl36456</t>
  </si>
  <si>
    <t>aspersor giratorio</t>
  </si>
  <si>
    <t>cgt00002</t>
  </si>
  <si>
    <t>cerca con hojas</t>
  </si>
  <si>
    <t>cgf00669</t>
  </si>
  <si>
    <t>cfl00007</t>
  </si>
  <si>
    <t>planta</t>
  </si>
  <si>
    <t>guante de descarne</t>
  </si>
  <si>
    <t>tl36395</t>
  </si>
  <si>
    <t xml:space="preserve">guante </t>
  </si>
  <si>
    <t>tl33029</t>
  </si>
  <si>
    <t>gt2959</t>
  </si>
  <si>
    <t>mochila fumigadora</t>
  </si>
  <si>
    <t>16 lt</t>
  </si>
  <si>
    <t>gt3380</t>
  </si>
  <si>
    <t>128 cv,</t>
  </si>
  <si>
    <t>exportagro</t>
  </si>
  <si>
    <t>musgo natural</t>
  </si>
  <si>
    <t>tcc050lt</t>
  </si>
  <si>
    <t>coigro coco cannablend</t>
  </si>
  <si>
    <t>11,4 lt</t>
  </si>
  <si>
    <t>220 lt</t>
  </si>
  <si>
    <t>cousa-001547067-00003</t>
  </si>
  <si>
    <t>cousa-uss 001547067-00002</t>
  </si>
  <si>
    <t>,099414,214</t>
  </si>
  <si>
    <t>2,03,dom3</t>
  </si>
  <si>
    <t>2,03,dom5</t>
  </si>
  <si>
    <t>2,03,dom2</t>
  </si>
  <si>
    <t>2,03,dom1</t>
  </si>
  <si>
    <t>1,104rgc1</t>
  </si>
  <si>
    <t>gato catrado-carne y pollo</t>
  </si>
  <si>
    <t>2,07,2305b</t>
  </si>
  <si>
    <t>estrobal inyectable</t>
  </si>
  <si>
    <t>2,03,2220</t>
  </si>
  <si>
    <t>shampoo clinic pet</t>
  </si>
  <si>
    <t>5,03,dor400</t>
  </si>
  <si>
    <t>curabichera fleant ag spray</t>
  </si>
  <si>
    <t>2,12,lavbsm</t>
  </si>
  <si>
    <t>shampoo bahex</t>
  </si>
  <si>
    <t xml:space="preserve">  </t>
  </si>
  <si>
    <t>ltr</t>
  </si>
  <si>
    <t>4,01,fgc515</t>
  </si>
  <si>
    <t>440 ml</t>
  </si>
  <si>
    <t>2,13,491758</t>
  </si>
  <si>
    <t>palillos de ropa</t>
  </si>
  <si>
    <t>2,13,naya39</t>
  </si>
  <si>
    <t>transportadora eco n1 tripper</t>
  </si>
  <si>
    <t>4,02,fgc224</t>
  </si>
  <si>
    <t>cucarachicida green choice</t>
  </si>
  <si>
    <t>2,12fgc223</t>
  </si>
  <si>
    <t>ahuyentador perro y gatos</t>
  </si>
  <si>
    <t>350 ml</t>
  </si>
  <si>
    <t>JVAQ44</t>
  </si>
  <si>
    <t>JVAQ55</t>
  </si>
  <si>
    <t>JVAQ56</t>
  </si>
  <si>
    <t>maceta pl COLOR</t>
  </si>
  <si>
    <t>MACETA PL NEGRA</t>
  </si>
  <si>
    <t xml:space="preserve">maceta nacional </t>
  </si>
  <si>
    <t>maceta nacional A NEGRA</t>
  </si>
  <si>
    <t>JARDINERA NEGRA</t>
  </si>
  <si>
    <t>CERAMICA MEDIANA</t>
  </si>
  <si>
    <t>CERAMICA OLLAS</t>
  </si>
  <si>
    <t>ATMA</t>
  </si>
  <si>
    <t>MATAMOSCAS</t>
  </si>
  <si>
    <t>CANASTO</t>
  </si>
  <si>
    <t>CAJON AGROBOX</t>
  </si>
  <si>
    <t>flakee</t>
  </si>
  <si>
    <t>MACCIO</t>
  </si>
  <si>
    <t>coreanito butternut squash</t>
  </si>
  <si>
    <t>bulavar artigas y l,gomez</t>
  </si>
  <si>
    <t>GR19309</t>
  </si>
  <si>
    <t>CERCO PLASTICO COLONIAL</t>
  </si>
  <si>
    <t>58X32</t>
  </si>
  <si>
    <t>gr19307</t>
  </si>
  <si>
    <t>cerco plastico valla para jardin</t>
  </si>
  <si>
    <t>50x21</t>
  </si>
  <si>
    <t>1/4 lt</t>
  </si>
  <si>
    <t>1/2 lt</t>
  </si>
  <si>
    <t>cocheria municipal</t>
  </si>
  <si>
    <t>canarios mosaicos rojo oscar</t>
  </si>
  <si>
    <t>Corona extra grande  claveles rosas y lilium</t>
  </si>
  <si>
    <t>v1310</t>
  </si>
  <si>
    <t>aireador 2 salidas rs-390</t>
  </si>
  <si>
    <t>5w4,5 1/min sile</t>
  </si>
  <si>
    <t>v4322</t>
  </si>
  <si>
    <t>comedero oval 3 agujeros</t>
  </si>
  <si>
    <t>al1116</t>
  </si>
  <si>
    <t>bebedero picaflor especial</t>
  </si>
  <si>
    <t>al1030</t>
  </si>
  <si>
    <t>bebedero picaflor grande</t>
  </si>
  <si>
    <t>100 GRS</t>
  </si>
  <si>
    <t>pretal cinta n2</t>
  </si>
  <si>
    <t>pretal cinta n3</t>
  </si>
  <si>
    <t>pretal cinta n6</t>
  </si>
  <si>
    <t>pretal cinta n7</t>
  </si>
  <si>
    <t>850D</t>
  </si>
  <si>
    <t>3,5x70</t>
  </si>
  <si>
    <t>mt93</t>
  </si>
  <si>
    <t xml:space="preserve">collar galon </t>
  </si>
  <si>
    <t>1 cm</t>
  </si>
  <si>
    <t>A14506</t>
  </si>
  <si>
    <t xml:space="preserve">COLLAR COLOR CUERO </t>
  </si>
  <si>
    <t xml:space="preserve">N6 </t>
  </si>
  <si>
    <t>MT1002</t>
  </si>
  <si>
    <t>COLLAR REGULABLE BANDANA</t>
  </si>
  <si>
    <t>1 CM</t>
  </si>
  <si>
    <t>whitw ribbed</t>
  </si>
  <si>
    <t>pimiento</t>
  </si>
  <si>
    <t>caprice,enano cilindrico</t>
  </si>
  <si>
    <t>POINSETT 100 gr</t>
  </si>
  <si>
    <t>sobre de 1000 semillas</t>
  </si>
  <si>
    <t>phaltan 80 wdg</t>
  </si>
  <si>
    <t>TL33990SH</t>
  </si>
  <si>
    <t>juego de jardin</t>
  </si>
  <si>
    <t>manguera</t>
  </si>
  <si>
    <t>gf31234</t>
  </si>
  <si>
    <t>pantalla luz blanca</t>
  </si>
  <si>
    <t>gf31235</t>
  </si>
  <si>
    <t>hw70731</t>
  </si>
  <si>
    <t>antorcha 120cc</t>
  </si>
  <si>
    <t>hw70732</t>
  </si>
  <si>
    <t>antorcha 150cc</t>
  </si>
  <si>
    <t>bhw72003</t>
  </si>
  <si>
    <t>100grs</t>
  </si>
  <si>
    <t>caracolicida agrol granulado</t>
  </si>
  <si>
    <t>CPSO1151</t>
  </si>
  <si>
    <t>JUGUETE MASCOTA</t>
  </si>
  <si>
    <t>DIEGO</t>
  </si>
  <si>
    <t>CGTOOOO2</t>
  </si>
  <si>
    <t>ASPERSOR GIRATORIO</t>
  </si>
  <si>
    <t>GEL REFRESCANTE RELAJANTE</t>
  </si>
  <si>
    <t>DERIBAL</t>
  </si>
  <si>
    <t>100 CC</t>
  </si>
  <si>
    <t>HASTA 5 KG</t>
  </si>
  <si>
    <t>5A10 KG</t>
  </si>
  <si>
    <t>PIPETA PERRO</t>
  </si>
  <si>
    <t>OPTIMUN GATOS CASTRADOS</t>
  </si>
  <si>
    <t>85 GRS</t>
  </si>
  <si>
    <t>BELSIR</t>
  </si>
  <si>
    <t>casa cristina</t>
  </si>
  <si>
    <t>v3138</t>
  </si>
  <si>
    <t>v3136</t>
  </si>
  <si>
    <t>T2905</t>
  </si>
  <si>
    <t>PC2519</t>
  </si>
  <si>
    <t>MO274</t>
  </si>
  <si>
    <t>MO273</t>
  </si>
  <si>
    <t>FS2944</t>
  </si>
  <si>
    <t>FS2943</t>
  </si>
  <si>
    <t>FS2936</t>
  </si>
  <si>
    <t>FS2733</t>
  </si>
  <si>
    <t>FS2730</t>
  </si>
  <si>
    <t>FS2726</t>
  </si>
  <si>
    <t>DC2840</t>
  </si>
  <si>
    <t>DC2839</t>
  </si>
  <si>
    <t>VARA ROSA CHICA</t>
  </si>
  <si>
    <t>8X47</t>
  </si>
  <si>
    <t>VARA GIRASOLX3</t>
  </si>
  <si>
    <t>8 CM</t>
  </si>
  <si>
    <t>ATADO FOLLAJE X 3 HOJAS VERDES</t>
  </si>
  <si>
    <t>PLANTA PIMPOLLO COLGAR</t>
  </si>
  <si>
    <t>MOLINETE GRANDE</t>
  </si>
  <si>
    <t>MOLINETE CHICO</t>
  </si>
  <si>
    <t>FOLLAJE SECO</t>
  </si>
  <si>
    <t>FOLLAJE COLITA DE RATON</t>
  </si>
  <si>
    <t>FOLLAJE FLOR SECA</t>
  </si>
  <si>
    <t>ARO MIMBRE GRANDE</t>
  </si>
  <si>
    <t>24 CM</t>
  </si>
  <si>
    <t>FOLLAJE  CASPIA FLOR SECA CON CELOFAN</t>
  </si>
  <si>
    <t>ARO MIMBRE CHICO</t>
  </si>
  <si>
    <t>120maples</t>
  </si>
  <si>
    <t>maple de huevo-</t>
  </si>
  <si>
    <t>incectisida dezenurCE</t>
  </si>
  <si>
    <t>50 C.C</t>
  </si>
  <si>
    <t>corona</t>
  </si>
  <si>
    <t>cesped mezcla estándar bolsa</t>
  </si>
  <si>
    <t>bolsos chicos</t>
  </si>
  <si>
    <t>bolsos grande</t>
  </si>
  <si>
    <t>mazzoni</t>
  </si>
  <si>
    <t>cesped inteligente</t>
  </si>
  <si>
    <t>10 mts 2</t>
  </si>
  <si>
    <t>25 mts 2</t>
  </si>
  <si>
    <t>agropecuaria santa rosa</t>
  </si>
  <si>
    <t>herbicida fluidamina -hoja ancha</t>
  </si>
  <si>
    <t>agritec</t>
  </si>
  <si>
    <t>baboxan pelets</t>
  </si>
  <si>
    <t>comedero automatico pajaro</t>
  </si>
  <si>
    <t>maceta descartable vivero-2000 maceta</t>
  </si>
  <si>
    <t>maceta descartable vivero-1000 maceta</t>
  </si>
  <si>
    <t>gr21126</t>
  </si>
  <si>
    <t>maceta jardinera de pared</t>
  </si>
  <si>
    <t>43x21,5x16,5</t>
  </si>
  <si>
    <t>gr16108</t>
  </si>
  <si>
    <t>regador de jardin 7 funciones</t>
  </si>
  <si>
    <t>20x19x7</t>
  </si>
  <si>
    <t>gr11376</t>
  </si>
  <si>
    <t>tanza para bordeadora</t>
  </si>
  <si>
    <t>2,4x15mts</t>
  </si>
  <si>
    <t>dsd</t>
  </si>
  <si>
    <t>ki</t>
  </si>
  <si>
    <t>elena cedula</t>
  </si>
  <si>
    <t>2869406-5</t>
  </si>
  <si>
    <t>00</t>
  </si>
  <si>
    <t>bolsoc/cierre</t>
  </si>
  <si>
    <t>58x58c14,5</t>
  </si>
  <si>
    <t>maceta ceramica</t>
  </si>
  <si>
    <t>6,5x6</t>
  </si>
  <si>
    <t>186 gr</t>
  </si>
  <si>
    <t>xxx</t>
  </si>
  <si>
    <t>maple de huevo</t>
  </si>
  <si>
    <t>bols coco bols 20</t>
  </si>
  <si>
    <t>bols coco bols 30</t>
  </si>
  <si>
    <t>bebedero picflor grande</t>
  </si>
  <si>
    <t>comedero</t>
  </si>
  <si>
    <t>maceta atractive</t>
  </si>
  <si>
    <t>17 cm</t>
  </si>
  <si>
    <t>27 cm</t>
  </si>
  <si>
    <t>maceta descartable</t>
  </si>
  <si>
    <t>botica del señor carlos martinez (anterior)</t>
  </si>
  <si>
    <t>BOTICA DEL SEÑOR</t>
  </si>
  <si>
    <t>rocdor enano</t>
  </si>
  <si>
    <t>creolinas aromas</t>
  </si>
  <si>
    <t>creolina aromas</t>
  </si>
  <si>
    <t>cero plaga epray recambio</t>
  </si>
  <si>
    <t>crecemas cactus y suculentas</t>
  </si>
  <si>
    <t>sachet 60 grs</t>
  </si>
  <si>
    <t>shampoo pulgososachet 60gr</t>
  </si>
  <si>
    <t>sachet 60 ghrs</t>
  </si>
  <si>
    <t>1,7 ltr</t>
  </si>
  <si>
    <t>mejorana sobre 50 gr</t>
  </si>
  <si>
    <t>papel pino 50 /25 cm</t>
  </si>
  <si>
    <t>094,896,502</t>
  </si>
  <si>
    <t>agapantos</t>
  </si>
  <si>
    <t>v4122</t>
  </si>
  <si>
    <t>tolva comedero de pollo</t>
  </si>
  <si>
    <t>3 lt</t>
  </si>
  <si>
    <t>bolsa camiseta recicble</t>
  </si>
  <si>
    <t>45x50</t>
  </si>
  <si>
    <t>45x60</t>
  </si>
  <si>
    <t xml:space="preserve">                                      ,              </t>
  </si>
  <si>
    <t xml:space="preserve">           </t>
  </si>
  <si>
    <t>maceta vivero</t>
  </si>
  <si>
    <t>cgt00047</t>
  </si>
  <si>
    <t>1,5 ltr</t>
  </si>
  <si>
    <t>cgt00048</t>
  </si>
  <si>
    <t>3ltr</t>
  </si>
  <si>
    <t>jhw80102</t>
  </si>
  <si>
    <t>maceta con planta</t>
  </si>
  <si>
    <t>agropecuaria agraciada</t>
  </si>
  <si>
    <t>203pg44</t>
  </si>
  <si>
    <t>jeringa p/cucaracha</t>
  </si>
  <si>
    <t>6 gr</t>
  </si>
  <si>
    <t>pulgarpioj</t>
  </si>
  <si>
    <t>azufre mojable sulfagro</t>
  </si>
  <si>
    <t>plantiflor</t>
  </si>
  <si>
    <t>160 cc</t>
  </si>
  <si>
    <t>guillermo caro-fernando-puga</t>
  </si>
  <si>
    <t>tijeras de podar</t>
  </si>
  <si>
    <t>24 a 043</t>
  </si>
  <si>
    <t>24 a 044</t>
  </si>
  <si>
    <t>24 a018</t>
  </si>
  <si>
    <t>fertilizante orquideas</t>
  </si>
  <si>
    <t>fertilizante helechos</t>
  </si>
  <si>
    <t>fetilizante cactus</t>
  </si>
  <si>
    <t>fertilizante violetas</t>
  </si>
  <si>
    <t>casa pajaros madera</t>
  </si>
  <si>
    <t>javier acuña</t>
  </si>
  <si>
    <t>escoba plastico c/mango</t>
  </si>
  <si>
    <t>24 dientes</t>
  </si>
  <si>
    <t>maceta aquinop barro</t>
  </si>
  <si>
    <t>gladiolos y lilium</t>
  </si>
  <si>
    <t>daniel ferrer</t>
  </si>
  <si>
    <t>gr21121</t>
  </si>
  <si>
    <t>25x22,5x19</t>
  </si>
  <si>
    <t>gr21103</t>
  </si>
  <si>
    <t>13,5x13</t>
  </si>
  <si>
    <t>maceta piso cuadradacon plato</t>
  </si>
  <si>
    <t>gr21104</t>
  </si>
  <si>
    <t>gr21105</t>
  </si>
  <si>
    <t>16,5x18,5</t>
  </si>
  <si>
    <t>18x24</t>
  </si>
  <si>
    <t>gr1311</t>
  </si>
  <si>
    <t>35x20x14</t>
  </si>
  <si>
    <t>gr1343</t>
  </si>
  <si>
    <t>gr2955</t>
  </si>
  <si>
    <t>porta flores blanco plastico</t>
  </si>
  <si>
    <t>gr 9675</t>
  </si>
  <si>
    <t>acoples para manguera 3 piezas</t>
  </si>
  <si>
    <t>gr200</t>
  </si>
  <si>
    <t>puntero manguera</t>
  </si>
  <si>
    <t>juguete para mascota pelota con chifle</t>
  </si>
  <si>
    <t>gr 19205</t>
  </si>
  <si>
    <t>juguete mascota pelota con pinchos</t>
  </si>
  <si>
    <t>bolsa camiseta con fuelle</t>
  </si>
  <si>
    <t>esponja vegetal</t>
  </si>
  <si>
    <t>eh400</t>
  </si>
  <si>
    <t>17,8x10,5x10,5 cm</t>
  </si>
  <si>
    <t>a28003</t>
  </si>
  <si>
    <t>bebedero p/pajaro grande</t>
  </si>
  <si>
    <t>7x16</t>
  </si>
  <si>
    <t>bebedero picaflor 3 flores</t>
  </si>
  <si>
    <t>nido yute p/canario</t>
  </si>
  <si>
    <t>10x6</t>
  </si>
  <si>
    <t>a13182</t>
  </si>
  <si>
    <t>nido p/pajaro grande</t>
  </si>
  <si>
    <t>cl42</t>
  </si>
  <si>
    <t>nido yute p/canarios</t>
  </si>
  <si>
    <t>bebedero p/pajaros tubo</t>
  </si>
  <si>
    <t>150 ml</t>
  </si>
  <si>
    <t>pe359</t>
  </si>
  <si>
    <t>bebedero p/pajaro tubo</t>
  </si>
  <si>
    <t>300ml</t>
  </si>
  <si>
    <t>bolsa papel n 3</t>
  </si>
  <si>
    <t xml:space="preserve">rollo de bolsa </t>
  </si>
  <si>
    <t>12 x20</t>
  </si>
  <si>
    <t xml:space="preserve">barricade </t>
  </si>
  <si>
    <t>barricade 36 frascos</t>
  </si>
  <si>
    <t>20 c,c</t>
  </si>
  <si>
    <t>JVERH 33</t>
  </si>
  <si>
    <t>JVCB 30</t>
  </si>
  <si>
    <t>TUTOR DECO</t>
  </si>
  <si>
    <t>22 CM</t>
  </si>
  <si>
    <t>MANTA DE COCO</t>
  </si>
  <si>
    <t>10 CM X 50 CM</t>
  </si>
  <si>
    <t>099,727,173</t>
  </si>
  <si>
    <t>jupiter-bomba de gas</t>
  </si>
  <si>
    <t>pollos granja hepa</t>
  </si>
  <si>
    <t>granjas hepaS,R,L,034-0313479</t>
  </si>
  <si>
    <t>hw47763</t>
  </si>
  <si>
    <t>trampa raton de madera</t>
  </si>
  <si>
    <t>CGT00088</t>
  </si>
  <si>
    <t>almacigueras x 200 espacios</t>
  </si>
  <si>
    <t>CGT00085</t>
  </si>
  <si>
    <t>almacigueras x 106 espacios</t>
  </si>
  <si>
    <t>adaptador 1/2a3/4</t>
  </si>
  <si>
    <t>almacigueras x 32 espacios</t>
  </si>
  <si>
    <t>almacigueras x 21 espacios</t>
  </si>
  <si>
    <t>CGT00090</t>
  </si>
  <si>
    <t>CGT00089</t>
  </si>
  <si>
    <t>chw00945</t>
  </si>
  <si>
    <t>13,6x12,5</t>
  </si>
  <si>
    <t>chw01890</t>
  </si>
  <si>
    <t>maceta plastica gris</t>
  </si>
  <si>
    <t>chw00236</t>
  </si>
  <si>
    <t>taza ceramica</t>
  </si>
  <si>
    <t>bhw72004</t>
  </si>
  <si>
    <t>cinta pegajosa moscas</t>
  </si>
  <si>
    <t>hw72926</t>
  </si>
  <si>
    <t>cadete repartos federico aguinaga</t>
  </si>
  <si>
    <t>cgt0081</t>
  </si>
  <si>
    <t>manguera extensiblo</t>
  </si>
  <si>
    <t>60 pies</t>
  </si>
  <si>
    <t>cgt00033</t>
  </si>
  <si>
    <t>tijera de podar 7"</t>
  </si>
  <si>
    <t>cgt00031</t>
  </si>
  <si>
    <t>tijera de podar 8"</t>
  </si>
  <si>
    <t>cgt00069</t>
  </si>
  <si>
    <t>tijera de cerco mango madera</t>
  </si>
  <si>
    <t>cgt00093</t>
  </si>
  <si>
    <t>tijera de cerco mango plastico</t>
  </si>
  <si>
    <t>cgt00058</t>
  </si>
  <si>
    <t>tijera de podar telescopica</t>
  </si>
  <si>
    <t>tl35397</t>
  </si>
  <si>
    <t>v1320</t>
  </si>
  <si>
    <t>3w230lt/hr</t>
  </si>
  <si>
    <t>v0652</t>
  </si>
  <si>
    <t>lamina doble faz 50 cm</t>
  </si>
  <si>
    <t>v1314</t>
  </si>
  <si>
    <t>aireador 2 salidas rs-360</t>
  </si>
  <si>
    <t>4w 4lt/min</t>
  </si>
  <si>
    <t>sustrato</t>
  </si>
  <si>
    <t>40 lt</t>
  </si>
  <si>
    <t>coco expandido</t>
  </si>
  <si>
    <t>perro primocao original negra</t>
  </si>
  <si>
    <t>mata todo</t>
  </si>
  <si>
    <t>360 c,c</t>
  </si>
  <si>
    <t>cañas de bambu (mi dinero 3701337433)</t>
  </si>
  <si>
    <t>ectosules</t>
  </si>
  <si>
    <t>casa, blanca arena</t>
  </si>
  <si>
    <t>mayans</t>
  </si>
  <si>
    <t>kgr</t>
  </si>
  <si>
    <t>repartidor juan</t>
  </si>
  <si>
    <t>vivero merladet - Henry rodriguez</t>
  </si>
  <si>
    <t>Brou 001086757-00001</t>
  </si>
  <si>
    <t>472-41808</t>
  </si>
  <si>
    <t>098,891,801</t>
  </si>
  <si>
    <t xml:space="preserve">distribuidora del sol </t>
  </si>
  <si>
    <t>vendedor sebastian</t>
  </si>
  <si>
    <t>cgf00663</t>
  </si>
  <si>
    <t>cgf00710</t>
  </si>
  <si>
    <t>adorno de corazon</t>
  </si>
  <si>
    <t>casciato</t>
  </si>
  <si>
    <t>vicky</t>
  </si>
  <si>
    <t>dimetoato</t>
  </si>
  <si>
    <t>dentastix</t>
  </si>
  <si>
    <t>47,5 gr</t>
  </si>
  <si>
    <t>viruta sanitaria</t>
  </si>
  <si>
    <t>gato castrado RAZA carne y pollo</t>
  </si>
  <si>
    <t>093807907</t>
  </si>
  <si>
    <t>ca21</t>
  </si>
  <si>
    <t>maceta clasica ecovaso</t>
  </si>
  <si>
    <t>cl10</t>
  </si>
  <si>
    <t>maceta guia ecovaso</t>
  </si>
  <si>
    <t>cl13</t>
  </si>
  <si>
    <t>maceta clasic ecovaso</t>
  </si>
  <si>
    <t>cl15</t>
  </si>
  <si>
    <t>cl19</t>
  </si>
  <si>
    <t>jardinera ecovaso</t>
  </si>
  <si>
    <t>jd45</t>
  </si>
  <si>
    <t>jd33</t>
  </si>
  <si>
    <t>maceta vaso acuarela</t>
  </si>
  <si>
    <t>maceta terracota</t>
  </si>
  <si>
    <t>19 cm</t>
  </si>
  <si>
    <t>maceta holambra</t>
  </si>
  <si>
    <t>13 cm</t>
  </si>
  <si>
    <t>mercaptathion</t>
  </si>
  <si>
    <t>gr883</t>
  </si>
  <si>
    <t>serrucho 18</t>
  </si>
  <si>
    <t>450mm</t>
  </si>
  <si>
    <t>gr884</t>
  </si>
  <si>
    <t>serrucho 16</t>
  </si>
  <si>
    <t>400 mm</t>
  </si>
  <si>
    <t>pelota tenis goma</t>
  </si>
  <si>
    <t>3  u nidades</t>
  </si>
  <si>
    <t>collar de perro</t>
  </si>
  <si>
    <t>63 cm</t>
  </si>
  <si>
    <t>gr2884</t>
  </si>
  <si>
    <t>alicate p/mascota</t>
  </si>
  <si>
    <t>gr14018</t>
  </si>
  <si>
    <t>11,5cm</t>
  </si>
  <si>
    <t>ruc 120405830018-madein 70s sas</t>
  </si>
  <si>
    <t>099,724,210</t>
  </si>
  <si>
    <t>viejo mercado-ricardo</t>
  </si>
  <si>
    <t>472-24121</t>
  </si>
  <si>
    <t>piaggio</t>
  </si>
  <si>
    <t>removedor de manchas y olores</t>
  </si>
  <si>
    <t>eliminador olores para pisos</t>
  </si>
  <si>
    <t>700 cc</t>
  </si>
  <si>
    <t>cero plaga insecticida concentrado</t>
  </si>
  <si>
    <t>225 cc</t>
  </si>
  <si>
    <t>s140</t>
  </si>
  <si>
    <t>s141</t>
  </si>
  <si>
    <t>4-10kg</t>
  </si>
  <si>
    <t>s142</t>
  </si>
  <si>
    <t>pastillas nexgard dog M c/u</t>
  </si>
  <si>
    <t>pastillas nexgard dog S C/U</t>
  </si>
  <si>
    <t>pastilla nexgard dog L c/u</t>
  </si>
  <si>
    <t>s143</t>
  </si>
  <si>
    <t>pastilla nexgard dog XL C/U</t>
  </si>
  <si>
    <t>25-50</t>
  </si>
  <si>
    <t>FERMARA</t>
  </si>
  <si>
    <t>DS</t>
  </si>
  <si>
    <t>DES</t>
  </si>
  <si>
    <t>pipeta efinol</t>
  </si>
  <si>
    <t>10-20 kg</t>
  </si>
  <si>
    <t>hasta 10 kg</t>
  </si>
  <si>
    <t>d7051</t>
  </si>
  <si>
    <t>canarios-alvaro</t>
  </si>
  <si>
    <t>098-539-660</t>
  </si>
  <si>
    <t>v0891</t>
  </si>
  <si>
    <t>120 grs</t>
  </si>
  <si>
    <t>alimento goldfish colour bits</t>
  </si>
  <si>
    <t>falcheto</t>
  </si>
  <si>
    <t xml:space="preserve">5 lt </t>
  </si>
  <si>
    <t>bebedero nacional</t>
  </si>
  <si>
    <t>semilla raygras peremne</t>
  </si>
  <si>
    <t>keystone gigante</t>
  </si>
  <si>
    <t>educador y ahuyentador perro y gato</t>
  </si>
  <si>
    <t>repelente aves y murcielagos</t>
  </si>
  <si>
    <t xml:space="preserve">racion bb </t>
  </si>
  <si>
    <t>hormiguicida en grano</t>
  </si>
  <si>
    <t>loros cocotillas, agapornis</t>
  </si>
  <si>
    <t>Monica Monroy (ultimas compras )</t>
  </si>
  <si>
    <t>gato primogato premiun filhotes</t>
  </si>
  <si>
    <t>distribuciones KRM</t>
  </si>
  <si>
    <t>racion cerdo iniciador</t>
  </si>
  <si>
    <t>racion cerdo engorde</t>
  </si>
  <si>
    <t xml:space="preserve">racion ecerdo engorde </t>
  </si>
  <si>
    <t>gr21123</t>
  </si>
  <si>
    <t>11,5x20</t>
  </si>
  <si>
    <t>gr 21098</t>
  </si>
  <si>
    <t>maceta colgar simil ratan</t>
  </si>
  <si>
    <t>gr21099</t>
  </si>
  <si>
    <t>gr21124</t>
  </si>
  <si>
    <t>14,5x25,5</t>
  </si>
  <si>
    <t>gr21119</t>
  </si>
  <si>
    <t>macetta plastico pared</t>
  </si>
  <si>
    <t>21x17x12</t>
  </si>
  <si>
    <t>10,5x11</t>
  </si>
  <si>
    <t>maceta piso con plato</t>
  </si>
  <si>
    <t>gr2110</t>
  </si>
  <si>
    <t>gr21101</t>
  </si>
  <si>
    <t>gr21102</t>
  </si>
  <si>
    <t>14x15</t>
  </si>
  <si>
    <t>19x20</t>
  </si>
  <si>
    <t>gr2954</t>
  </si>
  <si>
    <t>gr 25119</t>
  </si>
  <si>
    <t>florero vidrio labrado</t>
  </si>
  <si>
    <t>gr19302</t>
  </si>
  <si>
    <t>gancho hierro</t>
  </si>
  <si>
    <t>gr2891</t>
  </si>
  <si>
    <t>juguerte pata polloc/chifle</t>
  </si>
  <si>
    <t>bols coco bols 25</t>
  </si>
  <si>
    <t>bols coco bols 35</t>
  </si>
  <si>
    <t>set canasto x 3</t>
  </si>
  <si>
    <t>med</t>
  </si>
  <si>
    <t>estaca</t>
  </si>
  <si>
    <t>9 CM</t>
  </si>
  <si>
    <t>10 CM</t>
  </si>
  <si>
    <t>15 CM</t>
  </si>
  <si>
    <t>21 CM</t>
  </si>
  <si>
    <t>27 CM</t>
  </si>
  <si>
    <t>32 CM</t>
  </si>
  <si>
    <t>33 CM</t>
  </si>
  <si>
    <t>36 CM</t>
  </si>
  <si>
    <t>097,414,944</t>
  </si>
  <si>
    <t>2314-6178</t>
  </si>
  <si>
    <t>guam-maximiliano</t>
  </si>
  <si>
    <t>chakana-raciones pajaro</t>
  </si>
  <si>
    <t>raticida brumoline lauchas</t>
  </si>
  <si>
    <t>vaso pared mini</t>
  </si>
  <si>
    <t>maceta cuia</t>
  </si>
  <si>
    <t>almacigueras</t>
  </si>
  <si>
    <t>98 cavidades</t>
  </si>
  <si>
    <t>pro limpio</t>
  </si>
  <si>
    <t>v0609</t>
  </si>
  <si>
    <t>estrangulador</t>
  </si>
  <si>
    <t>v1430</t>
  </si>
  <si>
    <t xml:space="preserve">lampara rs306 7w 20 </t>
  </si>
  <si>
    <t>20 a 30 cm</t>
  </si>
  <si>
    <t>v1144</t>
  </si>
  <si>
    <t>puente con torre</t>
  </si>
  <si>
    <t>sz350</t>
  </si>
  <si>
    <t>pez doris</t>
  </si>
  <si>
    <t>sz513</t>
  </si>
  <si>
    <t>tiburon en roca</t>
  </si>
  <si>
    <t>v1166a</t>
  </si>
  <si>
    <t>castillo</t>
  </si>
  <si>
    <t>nhsz06</t>
  </si>
  <si>
    <t>barco galeon</t>
  </si>
  <si>
    <t>sc816</t>
  </si>
  <si>
    <t>16*10*14</t>
  </si>
  <si>
    <t>sc642</t>
  </si>
  <si>
    <t>12*5*28</t>
  </si>
  <si>
    <t>sc1129</t>
  </si>
  <si>
    <t>7*3*29</t>
  </si>
  <si>
    <t>v4550</t>
  </si>
  <si>
    <t>papilla p/ pajaros</t>
  </si>
  <si>
    <t>160 gr</t>
  </si>
  <si>
    <t>silvia</t>
  </si>
  <si>
    <t>099-211-748</t>
  </si>
  <si>
    <t>malla para helada</t>
  </si>
  <si>
    <t>bolsa vivero/kg -1 LTR</t>
  </si>
  <si>
    <t>bolsa vivero/kg-2 LTR</t>
  </si>
  <si>
    <t>47226916</t>
  </si>
  <si>
    <t>creolina buena estrella</t>
  </si>
  <si>
    <t>vet volpe</t>
  </si>
  <si>
    <t>gr19494</t>
  </si>
  <si>
    <t>chanchito india</t>
  </si>
  <si>
    <t>Michel (hijo deNicole plasticos)=</t>
  </si>
  <si>
    <t>girasol bentancour</t>
  </si>
  <si>
    <t>correa lisa</t>
  </si>
  <si>
    <t>3,5 cm-110cm</t>
  </si>
  <si>
    <t>1,2 cm-30 cm</t>
  </si>
  <si>
    <t>he702</t>
  </si>
  <si>
    <t>bozal cuero</t>
  </si>
  <si>
    <t>xl</t>
  </si>
  <si>
    <t>HE103</t>
  </si>
  <si>
    <t>NIDO JUNCO</t>
  </si>
  <si>
    <t>11,5X11,5X24</t>
  </si>
  <si>
    <t>BE125</t>
  </si>
  <si>
    <t>BEBEDERO HAMSTER</t>
  </si>
  <si>
    <t>125 ML</t>
  </si>
  <si>
    <t>A17973</t>
  </si>
  <si>
    <t>A17974</t>
  </si>
  <si>
    <t>COMEDERO BEBEDERO CERAMICA</t>
  </si>
  <si>
    <t>6,5X5</t>
  </si>
  <si>
    <t>10X5</t>
  </si>
  <si>
    <t>MT925</t>
  </si>
  <si>
    <t>COLLAR</t>
  </si>
  <si>
    <t>54X2,5</t>
  </si>
  <si>
    <t>HE4715</t>
  </si>
  <si>
    <t>COLLAR GOM</t>
  </si>
  <si>
    <t>40x1,5</t>
  </si>
  <si>
    <t>3x110</t>
  </si>
  <si>
    <t>be03</t>
  </si>
  <si>
    <t>bebedero hamster</t>
  </si>
  <si>
    <t>80ml</t>
  </si>
  <si>
    <t>plastolit</t>
  </si>
  <si>
    <t>maceta redonda decorada c/plato</t>
  </si>
  <si>
    <t>maceta clasica barro</t>
  </si>
  <si>
    <t>maceta barro porteña</t>
  </si>
  <si>
    <t>maceta barro lebrillo</t>
  </si>
  <si>
    <t>maceta barro americana</t>
  </si>
  <si>
    <t>CERAMICA CHICA</t>
  </si>
  <si>
    <t>TA</t>
  </si>
  <si>
    <t>maceta cuadrada N28</t>
  </si>
  <si>
    <t>maceta cuadrada N23</t>
  </si>
  <si>
    <t>JURH 33</t>
  </si>
  <si>
    <t>JARDINERA MINI</t>
  </si>
  <si>
    <t xml:space="preserve">bols con cadena </t>
  </si>
  <si>
    <t>BOLS TERRA</t>
  </si>
  <si>
    <t>JARDINERA PREMIUN</t>
  </si>
  <si>
    <t>SOPORTE NEGRO MEDIANO</t>
  </si>
  <si>
    <t>mecanico manuel</t>
  </si>
  <si>
    <t>091-294-750</t>
  </si>
  <si>
    <t>maceta facetada</t>
  </si>
  <si>
    <t>maceta milan</t>
  </si>
  <si>
    <t>maceta paris</t>
  </si>
  <si>
    <t>bols con cadena chino</t>
  </si>
  <si>
    <t>ALVAREZ</t>
  </si>
  <si>
    <t>GR283</t>
  </si>
  <si>
    <t xml:space="preserve">MACETA COLGAR C/CADENA </t>
  </si>
  <si>
    <t>GR19204</t>
  </si>
  <si>
    <t>BLISTER COLLARES MASCOTAS MOÑAC /SONAJERO</t>
  </si>
  <si>
    <t>X 12 UNID.</t>
  </si>
  <si>
    <t>55C/U</t>
  </si>
  <si>
    <t>DA SILVA</t>
  </si>
  <si>
    <t>PORVENIR</t>
  </si>
  <si>
    <t>pipetas efinol gato</t>
  </si>
  <si>
    <t>po14</t>
  </si>
  <si>
    <t xml:space="preserve">alimento golfish </t>
  </si>
  <si>
    <t>heladera electricista</t>
  </si>
  <si>
    <t>3,064,173,9</t>
  </si>
  <si>
    <t>lucia cedula</t>
  </si>
  <si>
    <t>racion cardenal</t>
  </si>
  <si>
    <t>loros australianos</t>
  </si>
  <si>
    <t xml:space="preserve">nuevo </t>
  </si>
  <si>
    <t>pie sepelio chica</t>
  </si>
  <si>
    <t xml:space="preserve"> pie sepelio mediano grde</t>
  </si>
  <si>
    <t>jvrh 44</t>
  </si>
  <si>
    <t xml:space="preserve">n 44  </t>
  </si>
  <si>
    <t>damian macetas ta</t>
  </si>
  <si>
    <t>platos ta</t>
  </si>
  <si>
    <t>1 kgr</t>
  </si>
  <si>
    <t>perro pedrigree raza pequeña</t>
  </si>
  <si>
    <t>maceta diamante</t>
  </si>
  <si>
    <t>24/7/</t>
  </si>
  <si>
    <t>bulbos dalia</t>
  </si>
  <si>
    <t>bebedero con asa</t>
  </si>
  <si>
    <t>pipeta pipeton gato</t>
  </si>
  <si>
    <t>mas de 4kg</t>
  </si>
  <si>
    <t>estrobal comprimidos</t>
  </si>
  <si>
    <t>PREX</t>
  </si>
  <si>
    <t>Leandrogomez2025@</t>
  </si>
  <si>
    <t>conejosalbin</t>
  </si>
  <si>
    <t>v5029A</t>
  </si>
  <si>
    <t>1000 cc</t>
  </si>
  <si>
    <t>rs-300lda</t>
  </si>
  <si>
    <t>tubo sumergible led 300 ld azul y blanco</t>
  </si>
  <si>
    <t>rs-s400</t>
  </si>
  <si>
    <t>re-s 500</t>
  </si>
  <si>
    <t>lampara 400 led</t>
  </si>
  <si>
    <t>lampara 500 led</t>
  </si>
  <si>
    <t>nhsz05</t>
  </si>
  <si>
    <t>barco hundido</t>
  </si>
  <si>
    <t>nhsz79</t>
  </si>
  <si>
    <t>coral naranja</t>
  </si>
  <si>
    <t>caracolicida + hormiguicida</t>
  </si>
  <si>
    <t>al1018</t>
  </si>
  <si>
    <t>260ml</t>
  </si>
  <si>
    <t>bañera plastica mediada</t>
  </si>
  <si>
    <t>al1028</t>
  </si>
  <si>
    <t>bañera plastica grande</t>
  </si>
  <si>
    <t>sound rz 100 semillas-conserva</t>
  </si>
  <si>
    <t>post</t>
  </si>
  <si>
    <t>mateo</t>
  </si>
  <si>
    <t>093,556,422</t>
  </si>
  <si>
    <t>viejo mercado</t>
  </si>
  <si>
    <t>chapista mandinga</t>
  </si>
  <si>
    <t>098,354,702</t>
  </si>
  <si>
    <t>colon y verocay</t>
  </si>
  <si>
    <t>6/4/</t>
  </si>
  <si>
    <t>maceta vaso duo brancografiti</t>
  </si>
  <si>
    <t>vaso duo branco grafiti</t>
  </si>
  <si>
    <t>Maceta cuadrada chica plas garden</t>
  </si>
  <si>
    <t>JVLL45</t>
  </si>
  <si>
    <t>JVQM36</t>
  </si>
  <si>
    <t>tordon</t>
  </si>
  <si>
    <t>jimo mata cucarachas aerosol</t>
  </si>
  <si>
    <t>300cc</t>
  </si>
  <si>
    <t>espirales jumo</t>
  </si>
  <si>
    <t>cajax10</t>
  </si>
  <si>
    <t>Driver F1</t>
  </si>
  <si>
    <t>roja</t>
  </si>
  <si>
    <t>manfredi</t>
  </si>
  <si>
    <t>gr1287</t>
  </si>
  <si>
    <t>gr21118</t>
  </si>
  <si>
    <t>gr10512</t>
  </si>
  <si>
    <t>maceta colgar cadena</t>
  </si>
  <si>
    <t>20x12</t>
  </si>
  <si>
    <t>gr19202</t>
  </si>
  <si>
    <t>BLISTER COLLARES MASCOTAS /SONAJERO</t>
  </si>
  <si>
    <t>12 unidades</t>
  </si>
  <si>
    <t>gr16176</t>
  </si>
  <si>
    <t>collar jyg</t>
  </si>
  <si>
    <t>36x1,5</t>
  </si>
  <si>
    <t>gr12846</t>
  </si>
  <si>
    <t>ggr11295</t>
  </si>
  <si>
    <t>correa con arnes</t>
  </si>
  <si>
    <t>Maceta de barro FARAO</t>
  </si>
  <si>
    <t>Maceta barro SAO PAULO</t>
  </si>
  <si>
    <t>Maceta barro COIMBRA</t>
  </si>
  <si>
    <t>cta,dolares 001530671-00002</t>
  </si>
  <si>
    <t>insecticida</t>
  </si>
  <si>
    <t>revilitalizador suelto</t>
  </si>
  <si>
    <t>MAGRIC</t>
  </si>
  <si>
    <t>he2545</t>
  </si>
  <si>
    <t>2,5mm45cm</t>
  </si>
  <si>
    <t xml:space="preserve">collar pincho s </t>
  </si>
  <si>
    <t>he4560</t>
  </si>
  <si>
    <t>collar pincho xl</t>
  </si>
  <si>
    <t>4 mm60cm</t>
  </si>
  <si>
    <t>sl2102</t>
  </si>
  <si>
    <t xml:space="preserve">collar ahorque </t>
  </si>
  <si>
    <t>2 mm 40 cm</t>
  </si>
  <si>
    <t>sl2103</t>
  </si>
  <si>
    <t>3,mm 55cm</t>
  </si>
  <si>
    <t>sl2104</t>
  </si>
  <si>
    <t>4mm 65cm</t>
  </si>
  <si>
    <t>mt362</t>
  </si>
  <si>
    <t>kit de jardinero</t>
  </si>
  <si>
    <t>juego pretal c/correa</t>
  </si>
  <si>
    <t xml:space="preserve">juego pretal c/correa </t>
  </si>
  <si>
    <t>mt233</t>
  </si>
  <si>
    <t>repueto bolsa</t>
  </si>
  <si>
    <t>1 kg suelto</t>
  </si>
  <si>
    <t>semilla mezcla de cesped</t>
  </si>
  <si>
    <t>15,5x12,3</t>
  </si>
  <si>
    <t>maceta blanca rayas horizontales</t>
  </si>
  <si>
    <t>maceta plastica blanca</t>
  </si>
  <si>
    <t>maceta blanca cilindrica</t>
  </si>
  <si>
    <t>maceta blanca cuadrada</t>
  </si>
  <si>
    <t>7,8x7</t>
  </si>
  <si>
    <t>glifosato improsate</t>
  </si>
  <si>
    <t>40 kg</t>
  </si>
  <si>
    <t>maceta nutriplant</t>
  </si>
  <si>
    <t>pala ancha</t>
  </si>
  <si>
    <t>rastrillo de 5 dientes</t>
  </si>
  <si>
    <t>cl24</t>
  </si>
  <si>
    <t>macetacui nobleproductor</t>
  </si>
  <si>
    <t xml:space="preserve">turba rubia </t>
  </si>
  <si>
    <t>300 ltr</t>
  </si>
  <si>
    <t>damian</t>
  </si>
  <si>
    <t>prot razas pequeñas</t>
  </si>
  <si>
    <t>prot cat gato castrado</t>
  </si>
  <si>
    <t>60 cc</t>
  </si>
  <si>
    <t>cero plaga brrera antihormigas</t>
  </si>
  <si>
    <t>enraizaor</t>
  </si>
  <si>
    <t>4 l</t>
  </si>
  <si>
    <t>JFQM 45</t>
  </si>
  <si>
    <t>REGADERA</t>
  </si>
  <si>
    <t>5 LT</t>
  </si>
  <si>
    <t>BOLS COCO 15</t>
  </si>
  <si>
    <t>BOLS RATAN</t>
  </si>
  <si>
    <t>300 LT</t>
  </si>
  <si>
    <t>TURBA MISSKAR</t>
  </si>
  <si>
    <t>herbicida glifosol  envasado</t>
  </si>
  <si>
    <t>herbicida glifosol suelta</t>
  </si>
  <si>
    <t>gato castrado</t>
  </si>
  <si>
    <t>gr14020</t>
  </si>
  <si>
    <t xml:space="preserve">collar perro </t>
  </si>
  <si>
    <t>55 cm</t>
  </si>
  <si>
    <t>gr3853</t>
  </si>
  <si>
    <t>jardinera plastico s/plato</t>
  </si>
  <si>
    <t>31x16x13cm</t>
  </si>
  <si>
    <t>gr10513</t>
  </si>
  <si>
    <t xml:space="preserve">maceta colgar </t>
  </si>
  <si>
    <t>23,5x14,5cm</t>
  </si>
  <si>
    <t>gr24751</t>
  </si>
  <si>
    <t xml:space="preserve">pinza </t>
  </si>
  <si>
    <t>Maceta barro aquario n5</t>
  </si>
  <si>
    <t>maceta vechio cachepo bally N°1</t>
  </si>
  <si>
    <t>maceta vechio cachepo bola N°1</t>
  </si>
  <si>
    <t>maceta vechio americano N°1</t>
  </si>
  <si>
    <t>maceta vechio americano N°3</t>
  </si>
  <si>
    <t>set ceramica florencia</t>
  </si>
  <si>
    <t>set ceramica florencia chico</t>
  </si>
  <si>
    <t>set ceramica florencia grande</t>
  </si>
  <si>
    <t>set ceramica florencia mediano</t>
  </si>
  <si>
    <t>maceta rotomoldeada vogue mini beta mini</t>
  </si>
  <si>
    <t>maceta verona con plato set x 5</t>
  </si>
  <si>
    <t>azufre seco</t>
  </si>
  <si>
    <t>juego jardin</t>
  </si>
  <si>
    <t>loros</t>
  </si>
  <si>
    <t>s144</t>
  </si>
  <si>
    <t>pipete frontline</t>
  </si>
  <si>
    <t>s145</t>
  </si>
  <si>
    <t>pipeta frontline plus</t>
  </si>
  <si>
    <t>2-10 kg</t>
  </si>
  <si>
    <t>s146</t>
  </si>
  <si>
    <t>10-20kg</t>
  </si>
  <si>
    <t>gato</t>
  </si>
  <si>
    <t xml:space="preserve">tutor coco </t>
  </si>
  <si>
    <t>ladrillo de coco</t>
  </si>
  <si>
    <t>cfl00004</t>
  </si>
  <si>
    <t xml:space="preserve">planta artificial </t>
  </si>
  <si>
    <t>cgt00080</t>
  </si>
  <si>
    <t>3/4x100mtr</t>
  </si>
  <si>
    <t>cgt00081</t>
  </si>
  <si>
    <t>regador rotativo</t>
  </si>
  <si>
    <t>guia de hojas</t>
  </si>
  <si>
    <t xml:space="preserve">manguer extensible </t>
  </si>
  <si>
    <t>50 pies</t>
  </si>
  <si>
    <t>cgt00075</t>
  </si>
  <si>
    <t>cgt00074</t>
  </si>
  <si>
    <t>adaptador 1/2</t>
  </si>
  <si>
    <t>tijera de podar 8</t>
  </si>
  <si>
    <t>tijera de podar7</t>
  </si>
  <si>
    <t>cgt00094</t>
  </si>
  <si>
    <t>cgt00091</t>
  </si>
  <si>
    <t>herramienta de jardin</t>
  </si>
  <si>
    <t>cfl00018</t>
  </si>
  <si>
    <t>planta colgante</t>
  </si>
  <si>
    <t>cgt00092</t>
  </si>
  <si>
    <t>cfl00014</t>
  </si>
  <si>
    <t>kc59216</t>
  </si>
  <si>
    <t>cepillo silicona</t>
  </si>
  <si>
    <t>hw73198</t>
  </si>
  <si>
    <t>bolsa p/ lavarropa</t>
  </si>
  <si>
    <t>cgt00090</t>
  </si>
  <si>
    <t>maceta 32 espacios</t>
  </si>
  <si>
    <t>cgt00051</t>
  </si>
  <si>
    <t>mochila roceador</t>
  </si>
  <si>
    <t>botelle con rocedor</t>
  </si>
  <si>
    <t>gt4414</t>
  </si>
  <si>
    <t>gt3611</t>
  </si>
  <si>
    <t>gt4412</t>
  </si>
  <si>
    <t>gt3618</t>
  </si>
  <si>
    <t>gt4407</t>
  </si>
  <si>
    <t>franela micro fibra</t>
  </si>
  <si>
    <t>mh10</t>
  </si>
  <si>
    <t>pe210</t>
  </si>
  <si>
    <t>bandeja sanitaria alta luxo</t>
  </si>
  <si>
    <t>21/11025</t>
  </si>
  <si>
    <t>he1932</t>
  </si>
  <si>
    <t>collar lisoc/moña blister</t>
  </si>
  <si>
    <t>pe649</t>
  </si>
  <si>
    <t>40x27x7</t>
  </si>
  <si>
    <t>mt200s</t>
  </si>
  <si>
    <t>cardina plastica</t>
  </si>
  <si>
    <t>14x8,5</t>
  </si>
  <si>
    <t>mt860</t>
  </si>
  <si>
    <t xml:space="preserve">comedero economico </t>
  </si>
  <si>
    <t>22x6</t>
  </si>
  <si>
    <t>mt180</t>
  </si>
  <si>
    <t>pelota de tenis</t>
  </si>
  <si>
    <t>be19</t>
  </si>
  <si>
    <t>pretal correa p/conejo</t>
  </si>
  <si>
    <t>azul</t>
  </si>
  <si>
    <t>mt06</t>
  </si>
  <si>
    <t>varita p/gatos c/juguetes</t>
  </si>
  <si>
    <t>pretal p/gatocinta lisa</t>
  </si>
  <si>
    <t>mt856</t>
  </si>
  <si>
    <t>comederoeconomico c/ dibujos</t>
  </si>
  <si>
    <t>17,5x5</t>
  </si>
  <si>
    <t>21/1125</t>
  </si>
  <si>
    <t>ch</t>
  </si>
  <si>
    <t>maceta barro italiana</t>
  </si>
  <si>
    <t>pez payaso con cartel</t>
  </si>
  <si>
    <t>sz 314</t>
  </si>
  <si>
    <t>roca con fondo</t>
  </si>
  <si>
    <t>castillo 4 puntas y puente</t>
  </si>
  <si>
    <t>v5065</t>
  </si>
  <si>
    <t>trampa adhesiva ratas</t>
  </si>
  <si>
    <t>trampa adhesiva polilla</t>
  </si>
  <si>
    <t>maceta nacional A negra</t>
  </si>
  <si>
    <t>vaso orquideario</t>
  </si>
  <si>
    <t>canarios rojos anillados</t>
  </si>
  <si>
    <t>fito</t>
  </si>
  <si>
    <t>092,837,379</t>
  </si>
  <si>
    <t>nido loro australiano</t>
  </si>
  <si>
    <t>v4551</t>
  </si>
  <si>
    <t>papilla p/pajaros</t>
  </si>
  <si>
    <t>v4570a</t>
  </si>
  <si>
    <t>papillap/psitacidos-tarro azul</t>
  </si>
  <si>
    <t>160 ggr</t>
  </si>
  <si>
    <t>magric-maccio-millacar</t>
  </si>
  <si>
    <t>al</t>
  </si>
  <si>
    <t>9g</t>
  </si>
  <si>
    <t>10/12/20255</t>
  </si>
  <si>
    <t>malla sombra 80 % 4 mts ancho</t>
  </si>
  <si>
    <t>100 mts</t>
  </si>
  <si>
    <t>1 mt lineal</t>
  </si>
  <si>
    <t>mt cuadrado</t>
  </si>
  <si>
    <t>gr9673</t>
  </si>
  <si>
    <t>puntero para manguera</t>
  </si>
  <si>
    <t>gr9675</t>
  </si>
  <si>
    <t>acople para manguera</t>
  </si>
  <si>
    <t>gr9676</t>
  </si>
  <si>
    <t>puntero de riego</t>
  </si>
  <si>
    <t>4 pcs 1/2 pulgada</t>
  </si>
  <si>
    <t>gr18765</t>
  </si>
  <si>
    <t>pala plastico para jardin</t>
  </si>
  <si>
    <t>30x8 cm</t>
  </si>
  <si>
    <t>gr25486</t>
  </si>
  <si>
    <t>er</t>
  </si>
  <si>
    <t>educador perros y gatos</t>
  </si>
  <si>
    <t>350 cc</t>
  </si>
  <si>
    <t>20 cc</t>
  </si>
  <si>
    <t>V0880</t>
  </si>
  <si>
    <t>V0881</t>
  </si>
  <si>
    <t>vitamina alcon</t>
  </si>
  <si>
    <t>kg.</t>
  </si>
  <si>
    <t>vitaion</t>
  </si>
  <si>
    <t>cod</t>
  </si>
  <si>
    <t>prod</t>
  </si>
  <si>
    <t>proveed</t>
  </si>
  <si>
    <t>iva</t>
  </si>
  <si>
    <t>porcen</t>
  </si>
  <si>
    <t>monr</t>
  </si>
  <si>
    <t>fech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</si>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</sst>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9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1"/>
      <name val="Calibri"/>
      <family val="2"/>
    </font>
    <font>
      <u/>
      <sz val="11"/>
      <color theme="10"/>
      <name val="Calibri"/>
      <family val="2"/>
      <scheme val="minor"/>
    </font>
    <font>
      <b/>
      <sz val="16"/>
      <color theme="1"/>
      <name val="Calibri"/>
      <family val="2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16"/>
      <name val="Calibri"/>
      <family val="2"/>
    </font>
    <font>
      <b/>
      <i/>
      <sz val="16"/>
      <color theme="1"/>
      <name val="Calibri"/>
      <family val="2"/>
      <scheme val="minor"/>
    </font>
    <font>
      <sz val="11"/>
      <color theme="1"/>
      <name val="Mu"/>
    </font>
    <font>
      <sz val="1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8"/>
      <name val="Calibri"/>
      <family val="2"/>
      <scheme val="minor"/>
    </font>
    <font>
      <b/>
      <sz val="28"/>
      <color theme="1"/>
      <name val="Calibri"/>
      <family val="2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0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4"/>
      <color theme="1"/>
      <name val="Arial"/>
      <family val="2"/>
    </font>
    <font>
      <sz val="14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321">
    <xf numFmtId="0" fontId="0" fillId="0" borderId="0" xfId="0"/>
    <xf numFmtId="0" fontId="0" fillId="0" borderId="0" xfId="0" applyFill="1" applyBorder="1"/>
    <xf numFmtId="2" fontId="1" fillId="3" borderId="4" xfId="0" applyNumberFormat="1" applyFont="1" applyFill="1" applyBorder="1" applyAlignment="1">
      <alignment horizontal="center"/>
    </xf>
    <xf numFmtId="2" fontId="0" fillId="3" borderId="4" xfId="0" applyNumberFormat="1" applyFill="1" applyBorder="1" applyAlignment="1">
      <alignment horizontal="center"/>
    </xf>
    <xf numFmtId="0" fontId="0" fillId="0" borderId="0" xfId="0" applyNumberFormat="1"/>
    <xf numFmtId="49" fontId="0" fillId="0" borderId="0" xfId="0" applyNumberFormat="1"/>
    <xf numFmtId="0" fontId="3" fillId="2" borderId="6" xfId="0" applyFont="1" applyFill="1" applyBorder="1" applyAlignment="1">
      <alignment horizontal="center"/>
    </xf>
    <xf numFmtId="0" fontId="4" fillId="0" borderId="0" xfId="1"/>
    <xf numFmtId="0" fontId="6" fillId="0" borderId="0" xfId="0" applyFont="1"/>
    <xf numFmtId="1" fontId="7" fillId="3" borderId="4" xfId="0" applyNumberFormat="1" applyFont="1" applyFill="1" applyBorder="1" applyAlignment="1">
      <alignment horizontal="center"/>
    </xf>
    <xf numFmtId="1" fontId="7" fillId="3" borderId="5" xfId="0" applyNumberFormat="1" applyFont="1" applyFill="1" applyBorder="1" applyAlignment="1">
      <alignment horizontal="center"/>
    </xf>
    <xf numFmtId="2" fontId="0" fillId="3" borderId="7" xfId="0" applyNumberFormat="1" applyFill="1" applyBorder="1" applyAlignment="1">
      <alignment horizontal="center"/>
    </xf>
    <xf numFmtId="1" fontId="7" fillId="3" borderId="7" xfId="0" applyNumberFormat="1" applyFont="1" applyFill="1" applyBorder="1" applyAlignment="1">
      <alignment horizontal="center"/>
    </xf>
    <xf numFmtId="1" fontId="7" fillId="3" borderId="0" xfId="0" applyNumberFormat="1" applyFont="1" applyFill="1" applyBorder="1" applyAlignment="1">
      <alignment horizontal="center"/>
    </xf>
    <xf numFmtId="2" fontId="0" fillId="3" borderId="5" xfId="0" applyNumberFormat="1" applyFill="1" applyBorder="1" applyAlignment="1">
      <alignment horizontal="center"/>
    </xf>
    <xf numFmtId="2" fontId="0" fillId="3" borderId="0" xfId="0" applyNumberFormat="1" applyFill="1" applyBorder="1" applyAlignment="1">
      <alignment horizontal="center"/>
    </xf>
    <xf numFmtId="0" fontId="0" fillId="0" borderId="4" xfId="0" applyBorder="1"/>
    <xf numFmtId="0" fontId="6" fillId="0" borderId="4" xfId="0" applyFont="1" applyBorder="1"/>
    <xf numFmtId="16" fontId="0" fillId="0" borderId="0" xfId="0" applyNumberFormat="1"/>
    <xf numFmtId="0" fontId="8" fillId="4" borderId="1" xfId="0" applyFont="1" applyFill="1" applyBorder="1" applyAlignment="1">
      <alignment horizontal="center"/>
    </xf>
    <xf numFmtId="0" fontId="8" fillId="4" borderId="5" xfId="0" applyFont="1" applyFill="1" applyBorder="1" applyAlignment="1">
      <alignment horizontal="center"/>
    </xf>
    <xf numFmtId="0" fontId="8" fillId="4" borderId="4" xfId="0" applyFont="1" applyFill="1" applyBorder="1" applyAlignment="1">
      <alignment horizontal="center"/>
    </xf>
    <xf numFmtId="0" fontId="8" fillId="4" borderId="4" xfId="0" applyFont="1" applyFill="1" applyBorder="1"/>
    <xf numFmtId="0" fontId="8" fillId="4" borderId="7" xfId="0" applyFont="1" applyFill="1" applyBorder="1" applyAlignment="1">
      <alignment horizontal="center"/>
    </xf>
    <xf numFmtId="0" fontId="8" fillId="4" borderId="0" xfId="0" applyFont="1" applyFill="1" applyBorder="1" applyAlignment="1">
      <alignment horizontal="center"/>
    </xf>
    <xf numFmtId="0" fontId="0" fillId="0" borderId="4" xfId="0" applyFill="1" applyBorder="1"/>
    <xf numFmtId="0" fontId="7" fillId="0" borderId="4" xfId="0" applyFont="1" applyBorder="1" applyAlignment="1">
      <alignment horizontal="center"/>
    </xf>
    <xf numFmtId="0" fontId="0" fillId="0" borderId="0" xfId="0" quotePrefix="1"/>
    <xf numFmtId="0" fontId="8" fillId="4" borderId="4" xfId="0" applyFont="1" applyFill="1" applyBorder="1" applyAlignment="1">
      <alignment horizontal="center" vertical="center"/>
    </xf>
    <xf numFmtId="0" fontId="11" fillId="0" borderId="0" xfId="0" applyFont="1"/>
    <xf numFmtId="1" fontId="10" fillId="0" borderId="4" xfId="0" applyNumberFormat="1" applyFont="1" applyBorder="1"/>
    <xf numFmtId="0" fontId="8" fillId="4" borderId="0" xfId="0" applyFont="1" applyFill="1" applyBorder="1"/>
    <xf numFmtId="0" fontId="8" fillId="4" borderId="8" xfId="0" applyFont="1" applyFill="1" applyBorder="1" applyAlignment="1">
      <alignment horizontal="center"/>
    </xf>
    <xf numFmtId="1" fontId="7" fillId="3" borderId="8" xfId="0" applyNumberFormat="1" applyFont="1" applyFill="1" applyBorder="1" applyAlignment="1">
      <alignment horizontal="center"/>
    </xf>
    <xf numFmtId="2" fontId="0" fillId="3" borderId="8" xfId="0" applyNumberFormat="1" applyFill="1" applyBorder="1" applyAlignment="1">
      <alignment horizontal="center"/>
    </xf>
    <xf numFmtId="1" fontId="7" fillId="0" borderId="4" xfId="0" applyNumberFormat="1" applyFont="1" applyBorder="1" applyAlignment="1">
      <alignment horizontal="center"/>
    </xf>
    <xf numFmtId="2" fontId="7" fillId="3" borderId="4" xfId="0" applyNumberFormat="1" applyFont="1" applyFill="1" applyBorder="1" applyAlignment="1">
      <alignment horizontal="center"/>
    </xf>
    <xf numFmtId="1" fontId="6" fillId="0" borderId="4" xfId="0" applyNumberFormat="1" applyFont="1" applyBorder="1" applyAlignment="1">
      <alignment horizontal="center"/>
    </xf>
    <xf numFmtId="0" fontId="0" fillId="0" borderId="0" xfId="0" applyBorder="1"/>
    <xf numFmtId="0" fontId="0" fillId="0" borderId="7" xfId="0" applyBorder="1"/>
    <xf numFmtId="1" fontId="7" fillId="0" borderId="4" xfId="0" applyNumberFormat="1" applyFont="1" applyBorder="1"/>
    <xf numFmtId="0" fontId="6" fillId="0" borderId="0" xfId="0" applyFont="1" applyBorder="1"/>
    <xf numFmtId="0" fontId="0" fillId="0" borderId="8" xfId="0" applyBorder="1"/>
    <xf numFmtId="0" fontId="12" fillId="4" borderId="4" xfId="0" applyFont="1" applyFill="1" applyBorder="1" applyAlignment="1">
      <alignment horizontal="center"/>
    </xf>
    <xf numFmtId="0" fontId="0" fillId="0" borderId="4" xfId="0" applyFont="1" applyBorder="1"/>
    <xf numFmtId="0" fontId="13" fillId="0" borderId="4" xfId="0" applyFont="1" applyBorder="1"/>
    <xf numFmtId="0" fontId="7" fillId="0" borderId="4" xfId="0" applyFont="1" applyBorder="1"/>
    <xf numFmtId="0" fontId="7" fillId="0" borderId="0" xfId="0" applyFont="1" applyBorder="1" applyAlignment="1">
      <alignment horizontal="center"/>
    </xf>
    <xf numFmtId="0" fontId="0" fillId="0" borderId="0" xfId="0" applyFont="1" applyBorder="1"/>
    <xf numFmtId="0" fontId="13" fillId="0" borderId="0" xfId="0" applyFont="1" applyBorder="1"/>
    <xf numFmtId="1" fontId="7" fillId="0" borderId="0" xfId="0" applyNumberFormat="1" applyFont="1" applyBorder="1" applyAlignment="1">
      <alignment horizontal="center"/>
    </xf>
    <xf numFmtId="0" fontId="6" fillId="0" borderId="8" xfId="0" applyFont="1" applyBorder="1"/>
    <xf numFmtId="0" fontId="13" fillId="0" borderId="0" xfId="0" applyFont="1"/>
    <xf numFmtId="0" fontId="21" fillId="4" borderId="4" xfId="0" applyFont="1" applyFill="1" applyBorder="1" applyAlignment="1">
      <alignment horizontal="center"/>
    </xf>
    <xf numFmtId="1" fontId="2" fillId="3" borderId="4" xfId="0" applyNumberFormat="1" applyFont="1" applyFill="1" applyBorder="1" applyAlignment="1">
      <alignment horizontal="center"/>
    </xf>
    <xf numFmtId="2" fontId="22" fillId="3" borderId="4" xfId="0" applyNumberFormat="1" applyFont="1" applyFill="1" applyBorder="1" applyAlignment="1">
      <alignment horizontal="center"/>
    </xf>
    <xf numFmtId="0" fontId="6" fillId="0" borderId="5" xfId="0" applyFont="1" applyBorder="1"/>
    <xf numFmtId="1" fontId="7" fillId="0" borderId="5" xfId="0" applyNumberFormat="1" applyFont="1" applyBorder="1" applyAlignment="1">
      <alignment horizontal="center"/>
    </xf>
    <xf numFmtId="0" fontId="7" fillId="0" borderId="0" xfId="0" applyFont="1" applyBorder="1"/>
    <xf numFmtId="1" fontId="7" fillId="3" borderId="10" xfId="0" applyNumberFormat="1" applyFont="1" applyFill="1" applyBorder="1" applyAlignment="1">
      <alignment horizontal="center"/>
    </xf>
    <xf numFmtId="1" fontId="6" fillId="0" borderId="0" xfId="0" applyNumberFormat="1" applyFont="1" applyAlignment="1">
      <alignment horizontal="center"/>
    </xf>
    <xf numFmtId="0" fontId="8" fillId="4" borderId="12" xfId="0" applyFont="1" applyFill="1" applyBorder="1" applyAlignment="1">
      <alignment horizontal="center"/>
    </xf>
    <xf numFmtId="2" fontId="7" fillId="3" borderId="0" xfId="0" applyNumberFormat="1" applyFont="1" applyFill="1" applyBorder="1" applyAlignment="1">
      <alignment horizontal="center"/>
    </xf>
    <xf numFmtId="1" fontId="6" fillId="0" borderId="5" xfId="0" applyNumberFormat="1" applyFont="1" applyBorder="1" applyAlignment="1">
      <alignment horizontal="center"/>
    </xf>
    <xf numFmtId="1" fontId="6" fillId="0" borderId="0" xfId="0" applyNumberFormat="1" applyFont="1" applyBorder="1" applyAlignment="1">
      <alignment horizontal="center"/>
    </xf>
    <xf numFmtId="2" fontId="1" fillId="3" borderId="0" xfId="0" applyNumberFormat="1" applyFont="1" applyFill="1" applyBorder="1" applyAlignment="1">
      <alignment horizontal="center"/>
    </xf>
    <xf numFmtId="0" fontId="0" fillId="0" borderId="4" xfId="0" applyNumberFormat="1" applyBorder="1"/>
    <xf numFmtId="49" fontId="0" fillId="0" borderId="0" xfId="0" applyNumberFormat="1" applyAlignment="1"/>
    <xf numFmtId="0" fontId="7" fillId="0" borderId="4" xfId="0" applyFont="1" applyFill="1" applyBorder="1"/>
    <xf numFmtId="49" fontId="0" fillId="0" borderId="0" xfId="0" applyNumberFormat="1" applyAlignment="1">
      <alignment horizontal="right"/>
    </xf>
    <xf numFmtId="0" fontId="2" fillId="0" borderId="4" xfId="0" applyFont="1" applyBorder="1"/>
    <xf numFmtId="0" fontId="7" fillId="0" borderId="0" xfId="0" applyFont="1" applyFill="1" applyBorder="1"/>
    <xf numFmtId="0" fontId="0" fillId="0" borderId="0" xfId="0" applyProtection="1">
      <protection locked="0"/>
    </xf>
    <xf numFmtId="0" fontId="23" fillId="4" borderId="4" xfId="0" applyNumberFormat="1" applyFont="1" applyFill="1" applyBorder="1" applyAlignment="1">
      <alignment horizontal="center"/>
    </xf>
    <xf numFmtId="1" fontId="23" fillId="4" borderId="4" xfId="0" applyNumberFormat="1" applyFont="1" applyFill="1" applyBorder="1" applyAlignment="1">
      <alignment horizontal="center"/>
    </xf>
    <xf numFmtId="1" fontId="6" fillId="0" borderId="4" xfId="0" applyNumberFormat="1" applyFont="1" applyBorder="1"/>
    <xf numFmtId="1" fontId="7" fillId="3" borderId="2" xfId="0" applyNumberFormat="1" applyFont="1" applyFill="1" applyBorder="1" applyAlignment="1">
      <alignment horizontal="center"/>
    </xf>
    <xf numFmtId="2" fontId="0" fillId="3" borderId="3" xfId="0" applyNumberFormat="1" applyFill="1" applyBorder="1" applyAlignment="1">
      <alignment horizontal="center"/>
    </xf>
    <xf numFmtId="0" fontId="8" fillId="4" borderId="0" xfId="0" applyFont="1" applyFill="1" applyBorder="1" applyAlignment="1">
      <alignment horizontal="center" vertical="center"/>
    </xf>
    <xf numFmtId="0" fontId="7" fillId="0" borderId="4" xfId="0" applyFont="1" applyBorder="1" applyAlignment="1">
      <alignment vertical="center"/>
    </xf>
    <xf numFmtId="0" fontId="7" fillId="0" borderId="4" xfId="0" applyFont="1" applyBorder="1" applyAlignment="1">
      <alignment horizontal="center" vertical="center"/>
    </xf>
    <xf numFmtId="0" fontId="8" fillId="4" borderId="4" xfId="0" applyFont="1" applyFill="1" applyBorder="1" applyAlignment="1">
      <alignment vertical="center"/>
    </xf>
    <xf numFmtId="0" fontId="8" fillId="4" borderId="0" xfId="0" applyFont="1" applyFill="1" applyBorder="1" applyAlignment="1">
      <alignment vertical="center"/>
    </xf>
    <xf numFmtId="0" fontId="7" fillId="0" borderId="4" xfId="0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0" fontId="8" fillId="4" borderId="5" xfId="0" applyFont="1" applyFill="1" applyBorder="1" applyAlignment="1">
      <alignment horizontal="center" vertical="center"/>
    </xf>
    <xf numFmtId="0" fontId="8" fillId="4" borderId="4" xfId="0" applyNumberFormat="1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0" fillId="0" borderId="4" xfId="0" applyFont="1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8" fillId="4" borderId="8" xfId="0" applyFont="1" applyFill="1" applyBorder="1" applyAlignment="1">
      <alignment horizontal="center" vertical="center"/>
    </xf>
    <xf numFmtId="0" fontId="18" fillId="4" borderId="4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8" fillId="4" borderId="7" xfId="0" applyFont="1" applyFill="1" applyBorder="1" applyAlignment="1">
      <alignment horizontal="center" vertical="center"/>
    </xf>
    <xf numFmtId="0" fontId="24" fillId="0" borderId="4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8" fillId="4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0" borderId="4" xfId="0" applyFont="1" applyFill="1" applyBorder="1" applyAlignment="1">
      <alignment vertical="center"/>
    </xf>
    <xf numFmtId="0" fontId="0" fillId="0" borderId="4" xfId="0" applyBorder="1" applyAlignment="1">
      <alignment vertical="center"/>
    </xf>
    <xf numFmtId="16" fontId="8" fillId="4" borderId="4" xfId="0" applyNumberFormat="1" applyFont="1" applyFill="1" applyBorder="1" applyAlignment="1">
      <alignment horizontal="center" vertical="center"/>
    </xf>
    <xf numFmtId="0" fontId="19" fillId="0" borderId="4" xfId="0" applyFont="1" applyBorder="1" applyAlignment="1">
      <alignment vertical="center"/>
    </xf>
    <xf numFmtId="0" fontId="0" fillId="0" borderId="4" xfId="0" applyFont="1" applyBorder="1" applyAlignment="1">
      <alignment vertical="center"/>
    </xf>
    <xf numFmtId="0" fontId="0" fillId="0" borderId="4" xfId="0" applyFill="1" applyBorder="1" applyAlignment="1">
      <alignment vertical="center"/>
    </xf>
    <xf numFmtId="49" fontId="8" fillId="4" borderId="4" xfId="0" applyNumberFormat="1" applyFont="1" applyFill="1" applyBorder="1" applyAlignment="1">
      <alignment horizontal="center" vertical="center"/>
    </xf>
    <xf numFmtId="0" fontId="8" fillId="4" borderId="4" xfId="0" applyFont="1" applyFill="1" applyBorder="1" applyAlignment="1">
      <alignment horizontal="left" vertical="center"/>
    </xf>
    <xf numFmtId="0" fontId="2" fillId="0" borderId="4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24" fillId="0" borderId="4" xfId="0" applyFont="1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0" xfId="0" applyFont="1" applyBorder="1" applyAlignment="1">
      <alignment vertical="center"/>
    </xf>
    <xf numFmtId="0" fontId="7" fillId="0" borderId="0" xfId="0" applyFont="1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applyFill="1" applyBorder="1" applyAlignment="1">
      <alignment vertical="center"/>
    </xf>
    <xf numFmtId="0" fontId="0" fillId="0" borderId="2" xfId="0" applyBorder="1" applyAlignment="1">
      <alignment vertical="center"/>
    </xf>
    <xf numFmtId="0" fontId="21" fillId="4" borderId="4" xfId="0" applyFont="1" applyFill="1" applyBorder="1" applyAlignment="1">
      <alignment horizontal="center" vertical="center"/>
    </xf>
    <xf numFmtId="14" fontId="8" fillId="4" borderId="2" xfId="0" applyNumberFormat="1" applyFont="1" applyFill="1" applyBorder="1" applyAlignment="1">
      <alignment horizontal="center" vertical="center"/>
    </xf>
    <xf numFmtId="14" fontId="8" fillId="4" borderId="5" xfId="0" applyNumberFormat="1" applyFont="1" applyFill="1" applyBorder="1" applyAlignment="1">
      <alignment horizontal="center" vertical="center"/>
    </xf>
    <xf numFmtId="14" fontId="7" fillId="0" borderId="5" xfId="0" applyNumberFormat="1" applyFont="1" applyBorder="1" applyAlignment="1">
      <alignment horizontal="center" vertical="center"/>
    </xf>
    <xf numFmtId="14" fontId="8" fillId="4" borderId="4" xfId="0" applyNumberFormat="1" applyFont="1" applyFill="1" applyBorder="1" applyAlignment="1">
      <alignment horizontal="center" vertical="center"/>
    </xf>
    <xf numFmtId="14" fontId="7" fillId="0" borderId="4" xfId="0" applyNumberFormat="1" applyFont="1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0" fontId="13" fillId="0" borderId="4" xfId="0" applyFont="1" applyBorder="1" applyAlignment="1">
      <alignment vertical="center"/>
    </xf>
    <xf numFmtId="14" fontId="13" fillId="0" borderId="4" xfId="0" applyNumberFormat="1" applyFont="1" applyBorder="1" applyAlignment="1">
      <alignment horizontal="center" vertical="center"/>
    </xf>
    <xf numFmtId="14" fontId="0" fillId="0" borderId="0" xfId="0" applyNumberFormat="1" applyBorder="1" applyAlignment="1">
      <alignment horizontal="center" vertical="center"/>
    </xf>
    <xf numFmtId="14" fontId="13" fillId="0" borderId="0" xfId="0" applyNumberFormat="1" applyFont="1" applyBorder="1" applyAlignment="1">
      <alignment horizontal="center" vertical="center"/>
    </xf>
    <xf numFmtId="14" fontId="8" fillId="4" borderId="0" xfId="0" applyNumberFormat="1" applyFont="1" applyFill="1" applyBorder="1" applyAlignment="1">
      <alignment horizontal="center" vertical="center"/>
    </xf>
    <xf numFmtId="14" fontId="0" fillId="0" borderId="4" xfId="0" applyNumberFormat="1" applyFon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14" fontId="6" fillId="0" borderId="4" xfId="0" applyNumberFormat="1" applyFont="1" applyBorder="1" applyAlignment="1">
      <alignment horizontal="center" vertical="center"/>
    </xf>
    <xf numFmtId="14" fontId="7" fillId="0" borderId="0" xfId="0" applyNumberFormat="1" applyFont="1" applyBorder="1" applyAlignment="1">
      <alignment horizontal="center" vertical="center"/>
    </xf>
    <xf numFmtId="0" fontId="23" fillId="4" borderId="4" xfId="0" applyFont="1" applyFill="1" applyBorder="1" applyAlignment="1">
      <alignment horizontal="right" vertical="center"/>
    </xf>
    <xf numFmtId="14" fontId="8" fillId="4" borderId="8" xfId="0" applyNumberFormat="1" applyFont="1" applyFill="1" applyBorder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0" borderId="0" xfId="0" applyFont="1"/>
    <xf numFmtId="14" fontId="0" fillId="0" borderId="8" xfId="0" applyNumberFormat="1" applyBorder="1" applyAlignment="1">
      <alignment horizontal="center" vertical="center"/>
    </xf>
    <xf numFmtId="0" fontId="13" fillId="0" borderId="0" xfId="0" applyFont="1" applyBorder="1" applyAlignment="1">
      <alignment vertical="center"/>
    </xf>
    <xf numFmtId="0" fontId="7" fillId="0" borderId="8" xfId="0" applyFont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6" fillId="0" borderId="14" xfId="0" applyFont="1" applyBorder="1"/>
    <xf numFmtId="1" fontId="7" fillId="3" borderId="14" xfId="0" applyNumberFormat="1" applyFont="1" applyFill="1" applyBorder="1" applyAlignment="1">
      <alignment horizontal="center"/>
    </xf>
    <xf numFmtId="0" fontId="0" fillId="0" borderId="5" xfId="0" applyBorder="1"/>
    <xf numFmtId="0" fontId="0" fillId="0" borderId="10" xfId="0" applyBorder="1"/>
    <xf numFmtId="0" fontId="7" fillId="0" borderId="5" xfId="0" applyFont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8" xfId="0" applyBorder="1" applyAlignment="1">
      <alignment horizontal="center" vertical="center"/>
    </xf>
    <xf numFmtId="1" fontId="6" fillId="0" borderId="8" xfId="0" applyNumberFormat="1" applyFont="1" applyBorder="1" applyAlignment="1">
      <alignment horizontal="center"/>
    </xf>
    <xf numFmtId="0" fontId="0" fillId="0" borderId="5" xfId="0" applyBorder="1" applyAlignment="1">
      <alignment horizontal="center" vertical="center"/>
    </xf>
    <xf numFmtId="1" fontId="6" fillId="0" borderId="7" xfId="0" applyNumberFormat="1" applyFont="1" applyBorder="1" applyAlignment="1">
      <alignment horizontal="center"/>
    </xf>
    <xf numFmtId="14" fontId="8" fillId="4" borderId="7" xfId="0" applyNumberFormat="1" applyFont="1" applyFill="1" applyBorder="1" applyAlignment="1">
      <alignment horizontal="center" vertical="center"/>
    </xf>
    <xf numFmtId="0" fontId="7" fillId="0" borderId="5" xfId="0" applyFont="1" applyBorder="1" applyAlignment="1">
      <alignment vertical="center"/>
    </xf>
    <xf numFmtId="0" fontId="13" fillId="0" borderId="4" xfId="0" applyFont="1" applyFill="1" applyBorder="1" applyAlignment="1">
      <alignment horizontal="center" vertical="center"/>
    </xf>
    <xf numFmtId="0" fontId="6" fillId="0" borderId="4" xfId="0" applyFont="1" applyFill="1" applyBorder="1" applyAlignment="1">
      <alignment vertical="center"/>
    </xf>
    <xf numFmtId="0" fontId="0" fillId="0" borderId="4" xfId="0" applyBorder="1" applyAlignment="1">
      <alignment horizontal="center"/>
    </xf>
    <xf numFmtId="14" fontId="2" fillId="0" borderId="4" xfId="0" applyNumberFormat="1" applyFont="1" applyBorder="1" applyAlignment="1">
      <alignment horizontal="center" vertical="center"/>
    </xf>
    <xf numFmtId="0" fontId="2" fillId="0" borderId="0" xfId="0" applyFont="1" applyBorder="1"/>
    <xf numFmtId="0" fontId="2" fillId="0" borderId="0" xfId="0" applyFont="1" applyBorder="1" applyAlignment="1">
      <alignment horizontal="center" vertical="center"/>
    </xf>
    <xf numFmtId="1" fontId="20" fillId="0" borderId="4" xfId="0" applyNumberFormat="1" applyFont="1" applyBorder="1" applyAlignment="1">
      <alignment horizontal="center"/>
    </xf>
    <xf numFmtId="1" fontId="7" fillId="0" borderId="8" xfId="0" applyNumberFormat="1" applyFont="1" applyBorder="1" applyAlignment="1">
      <alignment horizontal="center"/>
    </xf>
    <xf numFmtId="0" fontId="1" fillId="0" borderId="4" xfId="0" applyFont="1" applyBorder="1" applyAlignment="1">
      <alignment horizontal="right" vertical="center"/>
    </xf>
    <xf numFmtId="0" fontId="0" fillId="0" borderId="0" xfId="0" applyBorder="1" applyAlignment="1">
      <alignment horizontal="center"/>
    </xf>
    <xf numFmtId="0" fontId="7" fillId="0" borderId="8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vertical="center"/>
    </xf>
    <xf numFmtId="1" fontId="7" fillId="3" borderId="9" xfId="0" applyNumberFormat="1" applyFont="1" applyFill="1" applyBorder="1" applyAlignment="1">
      <alignment horizontal="center"/>
    </xf>
    <xf numFmtId="1" fontId="7" fillId="0" borderId="4" xfId="0" applyNumberFormat="1" applyFont="1" applyBorder="1" applyAlignment="1">
      <alignment horizontal="left" indent="1"/>
    </xf>
    <xf numFmtId="0" fontId="7" fillId="0" borderId="5" xfId="0" applyFont="1" applyBorder="1" applyAlignment="1">
      <alignment horizontal="center"/>
    </xf>
    <xf numFmtId="0" fontId="23" fillId="4" borderId="4" xfId="0" applyFont="1" applyFill="1" applyBorder="1" applyAlignment="1">
      <alignment horizontal="left" vertical="center"/>
    </xf>
    <xf numFmtId="0" fontId="7" fillId="0" borderId="8" xfId="0" applyFont="1" applyBorder="1"/>
    <xf numFmtId="14" fontId="7" fillId="0" borderId="8" xfId="0" applyNumberFormat="1" applyFont="1" applyBorder="1" applyAlignment="1">
      <alignment horizontal="center" vertical="center"/>
    </xf>
    <xf numFmtId="1" fontId="7" fillId="0" borderId="0" xfId="0" applyNumberFormat="1" applyFont="1" applyBorder="1"/>
    <xf numFmtId="0" fontId="8" fillId="4" borderId="11" xfId="0" applyFont="1" applyFill="1" applyBorder="1" applyAlignment="1">
      <alignment horizontal="center" vertical="center"/>
    </xf>
    <xf numFmtId="1" fontId="2" fillId="0" borderId="0" xfId="0" applyNumberFormat="1" applyFont="1" applyBorder="1" applyAlignment="1">
      <alignment horizontal="center"/>
    </xf>
    <xf numFmtId="0" fontId="19" fillId="0" borderId="0" xfId="0" applyFont="1" applyBorder="1" applyAlignment="1">
      <alignment vertical="center"/>
    </xf>
    <xf numFmtId="14" fontId="6" fillId="0" borderId="0" xfId="0" applyNumberFormat="1" applyFont="1" applyBorder="1" applyAlignment="1">
      <alignment horizontal="center" vertical="center"/>
    </xf>
    <xf numFmtId="14" fontId="8" fillId="4" borderId="12" xfId="0" applyNumberFormat="1" applyFont="1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1" fontId="20" fillId="0" borderId="0" xfId="0" applyNumberFormat="1" applyFont="1" applyBorder="1" applyAlignment="1">
      <alignment horizontal="center"/>
    </xf>
    <xf numFmtId="0" fontId="0" fillId="0" borderId="4" xfId="0" applyNumberFormat="1" applyBorder="1" applyAlignment="1">
      <alignment horizontal="center"/>
    </xf>
    <xf numFmtId="0" fontId="0" fillId="0" borderId="0" xfId="0" applyNumberFormat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0" fillId="0" borderId="5" xfId="0" applyNumberFormat="1" applyBorder="1" applyAlignment="1">
      <alignment horizontal="center"/>
    </xf>
    <xf numFmtId="0" fontId="0" fillId="0" borderId="5" xfId="0" applyNumberFormat="1" applyBorder="1"/>
    <xf numFmtId="0" fontId="23" fillId="4" borderId="5" xfId="0" applyNumberFormat="1" applyFont="1" applyFill="1" applyBorder="1" applyAlignment="1">
      <alignment horizontal="center"/>
    </xf>
    <xf numFmtId="14" fontId="23" fillId="4" borderId="4" xfId="0" applyNumberFormat="1" applyFont="1" applyFill="1" applyBorder="1" applyAlignment="1">
      <alignment horizontal="center"/>
    </xf>
    <xf numFmtId="49" fontId="23" fillId="4" borderId="4" xfId="0" applyNumberFormat="1" applyFont="1" applyFill="1" applyBorder="1" applyAlignment="1">
      <alignment horizontal="center"/>
    </xf>
    <xf numFmtId="14" fontId="0" fillId="0" borderId="4" xfId="0" applyNumberFormat="1" applyBorder="1"/>
    <xf numFmtId="14" fontId="26" fillId="4" borderId="4" xfId="0" applyNumberFormat="1" applyFont="1" applyFill="1" applyBorder="1"/>
    <xf numFmtId="16" fontId="0" fillId="0" borderId="4" xfId="0" applyNumberFormat="1" applyBorder="1" applyAlignment="1">
      <alignment vertical="center"/>
    </xf>
    <xf numFmtId="0" fontId="6" fillId="0" borderId="10" xfId="0" applyFont="1" applyBorder="1"/>
    <xf numFmtId="0" fontId="14" fillId="4" borderId="5" xfId="0" applyFont="1" applyFill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0" fillId="0" borderId="0" xfId="0" applyFont="1" applyFill="1" applyBorder="1" applyAlignment="1">
      <alignment vertical="center"/>
    </xf>
    <xf numFmtId="0" fontId="12" fillId="4" borderId="5" xfId="0" applyFont="1" applyFill="1" applyBorder="1" applyAlignment="1">
      <alignment horizontal="center" vertical="center"/>
    </xf>
    <xf numFmtId="0" fontId="9" fillId="4" borderId="5" xfId="0" applyFont="1" applyFill="1" applyBorder="1" applyAlignment="1">
      <alignment horizontal="center" vertical="center"/>
    </xf>
    <xf numFmtId="14" fontId="0" fillId="0" borderId="0" xfId="0" applyNumberFormat="1" applyFont="1" applyBorder="1" applyAlignment="1">
      <alignment horizontal="center" vertical="center"/>
    </xf>
    <xf numFmtId="1" fontId="15" fillId="3" borderId="5" xfId="0" applyNumberFormat="1" applyFont="1" applyFill="1" applyBorder="1" applyAlignment="1">
      <alignment horizontal="center"/>
    </xf>
    <xf numFmtId="1" fontId="2" fillId="3" borderId="0" xfId="0" applyNumberFormat="1" applyFont="1" applyFill="1" applyBorder="1" applyAlignment="1">
      <alignment horizontal="center"/>
    </xf>
    <xf numFmtId="1" fontId="7" fillId="3" borderId="4" xfId="0" applyNumberFormat="1" applyFont="1" applyFill="1" applyBorder="1" applyAlignment="1">
      <alignment horizontal="center" vertical="center"/>
    </xf>
    <xf numFmtId="1" fontId="7" fillId="0" borderId="5" xfId="0" applyNumberFormat="1" applyFont="1" applyBorder="1" applyAlignment="1">
      <alignment horizontal="center" vertical="center"/>
    </xf>
    <xf numFmtId="1" fontId="6" fillId="0" borderId="5" xfId="0" applyNumberFormat="1" applyFont="1" applyBorder="1"/>
    <xf numFmtId="0" fontId="5" fillId="3" borderId="5" xfId="0" applyFont="1" applyFill="1" applyBorder="1" applyAlignment="1">
      <alignment horizontal="center"/>
    </xf>
    <xf numFmtId="1" fontId="5" fillId="3" borderId="5" xfId="0" applyNumberFormat="1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13" fillId="0" borderId="4" xfId="0" applyFont="1" applyFill="1" applyBorder="1"/>
    <xf numFmtId="1" fontId="7" fillId="0" borderId="4" xfId="0" applyNumberFormat="1" applyFont="1" applyBorder="1" applyAlignment="1">
      <alignment horizontal="center" vertical="center"/>
    </xf>
    <xf numFmtId="0" fontId="0" fillId="0" borderId="12" xfId="0" applyBorder="1"/>
    <xf numFmtId="0" fontId="17" fillId="0" borderId="4" xfId="0" applyFont="1" applyBorder="1" applyAlignment="1">
      <alignment horizontal="center"/>
    </xf>
    <xf numFmtId="0" fontId="21" fillId="4" borderId="5" xfId="0" applyFont="1" applyFill="1" applyBorder="1" applyAlignment="1">
      <alignment horizontal="center" vertical="center"/>
    </xf>
    <xf numFmtId="0" fontId="7" fillId="0" borderId="7" xfId="0" applyFont="1" applyBorder="1" applyAlignment="1">
      <alignment vertical="center"/>
    </xf>
    <xf numFmtId="17" fontId="0" fillId="0" borderId="4" xfId="0" applyNumberFormat="1" applyBorder="1" applyAlignment="1">
      <alignment horizontal="center" vertical="center"/>
    </xf>
    <xf numFmtId="1" fontId="10" fillId="0" borderId="0" xfId="0" applyNumberFormat="1" applyFont="1" applyBorder="1"/>
    <xf numFmtId="0" fontId="7" fillId="0" borderId="7" xfId="0" applyFont="1" applyFill="1" applyBorder="1" applyAlignment="1">
      <alignment horizontal="center" vertical="center"/>
    </xf>
    <xf numFmtId="0" fontId="7" fillId="0" borderId="7" xfId="0" applyFont="1" applyBorder="1"/>
    <xf numFmtId="0" fontId="0" fillId="0" borderId="8" xfId="0" applyFont="1" applyBorder="1"/>
    <xf numFmtId="0" fontId="0" fillId="0" borderId="8" xfId="0" applyFont="1" applyBorder="1" applyAlignment="1">
      <alignment horizontal="center" vertical="center"/>
    </xf>
    <xf numFmtId="1" fontId="6" fillId="0" borderId="10" xfId="0" applyNumberFormat="1" applyFont="1" applyBorder="1" applyAlignment="1">
      <alignment horizontal="center"/>
    </xf>
    <xf numFmtId="0" fontId="6" fillId="0" borderId="7" xfId="0" applyFont="1" applyBorder="1"/>
    <xf numFmtId="0" fontId="0" fillId="0" borderId="9" xfId="0" applyBorder="1"/>
    <xf numFmtId="0" fontId="0" fillId="0" borderId="7" xfId="0" applyFont="1" applyBorder="1"/>
    <xf numFmtId="0" fontId="6" fillId="0" borderId="0" xfId="0" applyFont="1" applyBorder="1" applyAlignment="1">
      <alignment horizontal="center" vertical="center"/>
    </xf>
    <xf numFmtId="0" fontId="21" fillId="4" borderId="0" xfId="0" applyFont="1" applyFill="1" applyBorder="1" applyAlignment="1">
      <alignment horizontal="center" vertical="center"/>
    </xf>
    <xf numFmtId="0" fontId="6" fillId="0" borderId="0" xfId="0" applyFont="1" applyBorder="1" applyAlignment="1">
      <alignment vertical="center"/>
    </xf>
    <xf numFmtId="1" fontId="2" fillId="0" borderId="4" xfId="0" applyNumberFormat="1" applyFont="1" applyBorder="1" applyAlignment="1">
      <alignment horizontal="center"/>
    </xf>
    <xf numFmtId="2" fontId="22" fillId="3" borderId="0" xfId="0" applyNumberFormat="1" applyFont="1" applyFill="1" applyBorder="1" applyAlignment="1">
      <alignment horizontal="center"/>
    </xf>
    <xf numFmtId="14" fontId="2" fillId="0" borderId="0" xfId="0" applyNumberFormat="1" applyFont="1" applyBorder="1" applyAlignment="1">
      <alignment horizontal="center" vertical="center"/>
    </xf>
    <xf numFmtId="1" fontId="7" fillId="0" borderId="7" xfId="0" applyNumberFormat="1" applyFont="1" applyBorder="1" applyAlignment="1">
      <alignment horizontal="center"/>
    </xf>
    <xf numFmtId="1" fontId="7" fillId="3" borderId="13" xfId="0" applyNumberFormat="1" applyFont="1" applyFill="1" applyBorder="1" applyAlignment="1">
      <alignment horizontal="center"/>
    </xf>
    <xf numFmtId="1" fontId="7" fillId="3" borderId="18" xfId="0" applyNumberFormat="1" applyFont="1" applyFill="1" applyBorder="1" applyAlignment="1">
      <alignment horizontal="center"/>
    </xf>
    <xf numFmtId="2" fontId="13" fillId="3" borderId="4" xfId="0" applyNumberFormat="1" applyFont="1" applyFill="1" applyBorder="1" applyAlignment="1">
      <alignment horizontal="center"/>
    </xf>
    <xf numFmtId="2" fontId="13" fillId="3" borderId="0" xfId="0" applyNumberFormat="1" applyFont="1" applyFill="1" applyBorder="1" applyAlignment="1">
      <alignment horizontal="center"/>
    </xf>
    <xf numFmtId="1" fontId="6" fillId="0" borderId="0" xfId="0" applyNumberFormat="1" applyFont="1" applyBorder="1"/>
    <xf numFmtId="0" fontId="7" fillId="0" borderId="5" xfId="0" applyFont="1" applyBorder="1"/>
    <xf numFmtId="0" fontId="0" fillId="0" borderId="8" xfId="0" applyFill="1" applyBorder="1" applyAlignment="1">
      <alignment horizontal="center" vertical="center"/>
    </xf>
    <xf numFmtId="1" fontId="7" fillId="3" borderId="12" xfId="0" applyNumberFormat="1" applyFont="1" applyFill="1" applyBorder="1" applyAlignment="1">
      <alignment horizontal="center"/>
    </xf>
    <xf numFmtId="0" fontId="12" fillId="4" borderId="0" xfId="0" applyFont="1" applyFill="1" applyBorder="1" applyAlignment="1">
      <alignment horizontal="center" vertical="center"/>
    </xf>
    <xf numFmtId="0" fontId="7" fillId="0" borderId="8" xfId="0" applyFont="1" applyBorder="1" applyAlignment="1">
      <alignment vertical="center"/>
    </xf>
    <xf numFmtId="1" fontId="8" fillId="4" borderId="0" xfId="0" applyNumberFormat="1" applyFont="1" applyFill="1" applyBorder="1" applyAlignment="1">
      <alignment horizontal="center" vertical="center"/>
    </xf>
    <xf numFmtId="14" fontId="7" fillId="0" borderId="7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18" fillId="4" borderId="7" xfId="0" applyFont="1" applyFill="1" applyBorder="1" applyAlignment="1">
      <alignment horizontal="center" vertical="center"/>
    </xf>
    <xf numFmtId="14" fontId="0" fillId="0" borderId="12" xfId="0" applyNumberFormat="1" applyBorder="1" applyAlignment="1">
      <alignment horizontal="center" vertical="center"/>
    </xf>
    <xf numFmtId="17" fontId="8" fillId="4" borderId="0" xfId="0" applyNumberFormat="1" applyFont="1" applyFill="1" applyBorder="1" applyAlignment="1">
      <alignment horizontal="center" vertical="center"/>
    </xf>
    <xf numFmtId="0" fontId="7" fillId="0" borderId="14" xfId="0" applyFont="1" applyBorder="1"/>
    <xf numFmtId="2" fontId="7" fillId="3" borderId="5" xfId="0" applyNumberFormat="1" applyFont="1" applyFill="1" applyBorder="1" applyAlignment="1">
      <alignment horizontal="center"/>
    </xf>
    <xf numFmtId="0" fontId="8" fillId="4" borderId="0" xfId="0" applyNumberFormat="1" applyFont="1" applyFill="1" applyBorder="1" applyAlignment="1">
      <alignment horizontal="center" vertical="center"/>
    </xf>
    <xf numFmtId="0" fontId="13" fillId="0" borderId="0" xfId="0" applyFont="1" applyFill="1" applyBorder="1"/>
    <xf numFmtId="0" fontId="8" fillId="4" borderId="8" xfId="0" applyFont="1" applyFill="1" applyBorder="1"/>
    <xf numFmtId="0" fontId="7" fillId="0" borderId="17" xfId="0" applyFont="1" applyBorder="1" applyAlignment="1">
      <alignment vertical="center"/>
    </xf>
    <xf numFmtId="0" fontId="21" fillId="4" borderId="0" xfId="0" applyFont="1" applyFill="1" applyBorder="1" applyAlignment="1">
      <alignment horizontal="center"/>
    </xf>
    <xf numFmtId="0" fontId="8" fillId="4" borderId="5" xfId="0" applyFont="1" applyFill="1" applyBorder="1"/>
    <xf numFmtId="0" fontId="2" fillId="0" borderId="5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8" fillId="4" borderId="8" xfId="0" applyFont="1" applyFill="1" applyBorder="1" applyAlignment="1">
      <alignment horizontal="center" vertical="center"/>
    </xf>
    <xf numFmtId="0" fontId="12" fillId="4" borderId="4" xfId="0" applyFont="1" applyFill="1" applyBorder="1" applyAlignment="1">
      <alignment horizontal="center" vertical="center"/>
    </xf>
    <xf numFmtId="14" fontId="0" fillId="0" borderId="4" xfId="0" applyNumberFormat="1" applyBorder="1" applyAlignment="1">
      <alignment vertical="center"/>
    </xf>
    <xf numFmtId="14" fontId="13" fillId="0" borderId="7" xfId="0" applyNumberFormat="1" applyFont="1" applyBorder="1" applyAlignment="1">
      <alignment horizontal="center" vertical="center"/>
    </xf>
    <xf numFmtId="1" fontId="7" fillId="0" borderId="10" xfId="0" applyNumberFormat="1" applyFont="1" applyBorder="1" applyAlignment="1">
      <alignment horizontal="center"/>
    </xf>
    <xf numFmtId="1" fontId="7" fillId="0" borderId="13" xfId="0" applyNumberFormat="1" applyFont="1" applyBorder="1" applyAlignment="1">
      <alignment horizontal="center"/>
    </xf>
    <xf numFmtId="0" fontId="7" fillId="0" borderId="13" xfId="0" applyFont="1" applyBorder="1"/>
    <xf numFmtId="0" fontId="6" fillId="0" borderId="7" xfId="0" applyFont="1" applyBorder="1" applyAlignment="1">
      <alignment horizontal="center"/>
    </xf>
    <xf numFmtId="1" fontId="7" fillId="3" borderId="15" xfId="0" applyNumberFormat="1" applyFont="1" applyFill="1" applyBorder="1" applyAlignment="1">
      <alignment horizontal="center"/>
    </xf>
    <xf numFmtId="0" fontId="0" fillId="0" borderId="7" xfId="0" applyBorder="1" applyAlignment="1">
      <alignment horizontal="center"/>
    </xf>
    <xf numFmtId="14" fontId="13" fillId="0" borderId="5" xfId="0" applyNumberFormat="1" applyFont="1" applyBorder="1" applyAlignment="1">
      <alignment horizontal="center" vertical="center"/>
    </xf>
    <xf numFmtId="0" fontId="16" fillId="0" borderId="4" xfId="0" applyFont="1" applyFill="1" applyBorder="1" applyAlignment="1">
      <alignment horizontal="center" vertical="center"/>
    </xf>
    <xf numFmtId="0" fontId="0" fillId="0" borderId="8" xfId="0" applyFill="1" applyBorder="1"/>
    <xf numFmtId="0" fontId="0" fillId="0" borderId="5" xfId="0" applyFont="1" applyBorder="1"/>
    <xf numFmtId="0" fontId="7" fillId="0" borderId="9" xfId="0" applyFont="1" applyBorder="1" applyAlignment="1">
      <alignment horizontal="center"/>
    </xf>
    <xf numFmtId="0" fontId="13" fillId="0" borderId="7" xfId="0" applyFont="1" applyBorder="1"/>
    <xf numFmtId="0" fontId="12" fillId="4" borderId="5" xfId="0" applyFont="1" applyFill="1" applyBorder="1" applyAlignment="1">
      <alignment horizontal="center"/>
    </xf>
    <xf numFmtId="0" fontId="6" fillId="0" borderId="4" xfId="0" applyFont="1" applyFill="1" applyBorder="1"/>
    <xf numFmtId="0" fontId="2" fillId="0" borderId="5" xfId="0" applyFont="1" applyBorder="1"/>
    <xf numFmtId="0" fontId="0" fillId="0" borderId="7" xfId="0" applyFill="1" applyBorder="1"/>
    <xf numFmtId="0" fontId="0" fillId="0" borderId="7" xfId="0" applyFont="1" applyBorder="1" applyAlignment="1">
      <alignment horizontal="center" vertical="center"/>
    </xf>
    <xf numFmtId="0" fontId="0" fillId="0" borderId="5" xfId="0" applyFont="1" applyBorder="1" applyAlignment="1">
      <alignment vertical="center"/>
    </xf>
    <xf numFmtId="0" fontId="1" fillId="0" borderId="5" xfId="0" applyFont="1" applyBorder="1" applyAlignment="1">
      <alignment horizontal="center" vertical="center"/>
    </xf>
    <xf numFmtId="0" fontId="6" fillId="0" borderId="7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6" fillId="0" borderId="7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16" fillId="0" borderId="4" xfId="0" applyFont="1" applyBorder="1" applyAlignment="1">
      <alignment vertical="center"/>
    </xf>
    <xf numFmtId="14" fontId="0" fillId="0" borderId="7" xfId="0" applyNumberFormat="1" applyBorder="1" applyAlignment="1">
      <alignment horizontal="center" vertical="center"/>
    </xf>
    <xf numFmtId="16" fontId="0" fillId="0" borderId="0" xfId="0" applyNumberFormat="1" applyBorder="1" applyAlignment="1">
      <alignment horizontal="center" vertical="center"/>
    </xf>
    <xf numFmtId="14" fontId="7" fillId="0" borderId="12" xfId="0" applyNumberFormat="1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1" fontId="2" fillId="3" borderId="8" xfId="0" applyNumberFormat="1" applyFont="1" applyFill="1" applyBorder="1" applyAlignment="1">
      <alignment horizontal="center"/>
    </xf>
    <xf numFmtId="1" fontId="2" fillId="3" borderId="5" xfId="0" applyNumberFormat="1" applyFont="1" applyFill="1" applyBorder="1" applyAlignment="1">
      <alignment horizontal="center"/>
    </xf>
    <xf numFmtId="1" fontId="2" fillId="0" borderId="8" xfId="0" applyNumberFormat="1" applyFont="1" applyBorder="1" applyAlignment="1">
      <alignment horizontal="center"/>
    </xf>
    <xf numFmtId="0" fontId="2" fillId="0" borderId="8" xfId="0" applyFont="1" applyBorder="1"/>
    <xf numFmtId="1" fontId="7" fillId="3" borderId="16" xfId="0" applyNumberFormat="1" applyFont="1" applyFill="1" applyBorder="1" applyAlignment="1">
      <alignment horizontal="center"/>
    </xf>
    <xf numFmtId="0" fontId="6" fillId="0" borderId="4" xfId="0" applyFont="1" applyBorder="1" applyAlignment="1">
      <alignment horizontal="center"/>
    </xf>
    <xf numFmtId="2" fontId="0" fillId="3" borderId="11" xfId="0" applyNumberFormat="1" applyFill="1" applyBorder="1" applyAlignment="1">
      <alignment horizontal="center"/>
    </xf>
    <xf numFmtId="0" fontId="8" fillId="4" borderId="4" xfId="0" applyNumberFormat="1" applyFont="1" applyFill="1" applyBorder="1" applyAlignment="1">
      <alignment horizontal="center"/>
    </xf>
    <xf numFmtId="0" fontId="7" fillId="0" borderId="8" xfId="0" applyFont="1" applyFill="1" applyBorder="1"/>
    <xf numFmtId="0" fontId="7" fillId="0" borderId="4" xfId="0" applyFont="1" applyBorder="1" applyAlignment="1">
      <alignment horizontal="left" vertical="center"/>
    </xf>
    <xf numFmtId="0" fontId="8" fillId="4" borderId="8" xfId="0" applyFont="1" applyFill="1" applyBorder="1" applyAlignment="1">
      <alignment vertical="center"/>
    </xf>
    <xf numFmtId="0" fontId="0" fillId="0" borderId="8" xfId="0" applyFont="1" applyBorder="1" applyAlignment="1">
      <alignment vertical="center"/>
    </xf>
    <xf numFmtId="14" fontId="6" fillId="0" borderId="5" xfId="0" applyNumberFormat="1" applyFont="1" applyBorder="1" applyAlignment="1">
      <alignment horizontal="center" vertical="center"/>
    </xf>
    <xf numFmtId="14" fontId="13" fillId="0" borderId="8" xfId="0" applyNumberFormat="1" applyFont="1" applyBorder="1" applyAlignment="1">
      <alignment horizontal="center" vertical="center"/>
    </xf>
    <xf numFmtId="2" fontId="7" fillId="3" borderId="8" xfId="0" applyNumberFormat="1" applyFont="1" applyFill="1" applyBorder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2.xml"/><Relationship Id="rId7" Type="http://schemas.openxmlformats.org/officeDocument/2006/relationships/styles" Target="styles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4.xml"/><Relationship Id="rId4" Type="http://schemas.openxmlformats.org/officeDocument/2006/relationships/worksheet" Target="worksheets/sheet3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UY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PRECIO!$K$1:$K$2</c:f>
              <c:strCache>
                <c:ptCount val="2"/>
                <c:pt idx="0">
                  <c:v>VALOR</c:v>
                </c:pt>
                <c:pt idx="1">
                  <c:v>$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PRECIO!$A$3:$J$1802</c:f>
              <c:multiLvlStrCache>
                <c:ptCount val="1725"/>
                <c:lvl>
                  <c:pt idx="0">
                    <c:v>23/09/2024</c:v>
                  </c:pt>
                  <c:pt idx="1">
                    <c:v>16/03/2022</c:v>
                  </c:pt>
                  <c:pt idx="2">
                    <c:v>25/04/2025</c:v>
                  </c:pt>
                  <c:pt idx="3">
                    <c:v>03/03/2020</c:v>
                  </c:pt>
                  <c:pt idx="4">
                    <c:v>03/03/2020</c:v>
                  </c:pt>
                  <c:pt idx="5">
                    <c:v>14/08/2020</c:v>
                  </c:pt>
                  <c:pt idx="6">
                    <c:v>14/08/2020</c:v>
                  </c:pt>
                  <c:pt idx="7">
                    <c:v>14/08/2020</c:v>
                  </c:pt>
                  <c:pt idx="8">
                    <c:v>07/08/2021</c:v>
                  </c:pt>
                  <c:pt idx="9">
                    <c:v>25/04/2025</c:v>
                  </c:pt>
                  <c:pt idx="10">
                    <c:v>18/12/2025</c:v>
                  </c:pt>
                  <c:pt idx="11">
                    <c:v>10/12/2024</c:v>
                  </c:pt>
                  <c:pt idx="12">
                    <c:v>18/12/2025</c:v>
                  </c:pt>
                  <c:pt idx="13">
                    <c:v>07/03/2023</c:v>
                  </c:pt>
                  <c:pt idx="14">
                    <c:v>30/10/2025</c:v>
                  </c:pt>
                  <c:pt idx="15">
                    <c:v>21/11/2025</c:v>
                  </c:pt>
                  <c:pt idx="16">
                    <c:v>10/01/2025</c:v>
                  </c:pt>
                  <c:pt idx="17">
                    <c:v>13/02/2025</c:v>
                  </c:pt>
                  <c:pt idx="18">
                    <c:v>18/01/2023</c:v>
                  </c:pt>
                  <c:pt idx="19">
                    <c:v>18/01/2023</c:v>
                  </c:pt>
                  <c:pt idx="20">
                    <c:v>18/01/2023</c:v>
                  </c:pt>
                  <c:pt idx="21">
                    <c:v>18/01/2023</c:v>
                  </c:pt>
                  <c:pt idx="22">
                    <c:v>28/08/2024</c:v>
                  </c:pt>
                  <c:pt idx="24">
                    <c:v>06/12/2023</c:v>
                  </c:pt>
                  <c:pt idx="25">
                    <c:v>21/01/2025</c:v>
                  </c:pt>
                  <c:pt idx="26">
                    <c:v>10/09/2024</c:v>
                  </c:pt>
                  <c:pt idx="27">
                    <c:v>30/12/2025</c:v>
                  </c:pt>
                  <c:pt idx="28">
                    <c:v>15/01/2025</c:v>
                  </c:pt>
                  <c:pt idx="29">
                    <c:v>03/01/2023</c:v>
                  </c:pt>
                  <c:pt idx="30">
                    <c:v>09/10/2025</c:v>
                  </c:pt>
                  <c:pt idx="31">
                    <c:v>15/01/2025</c:v>
                  </c:pt>
                  <c:pt idx="32">
                    <c:v>26/09/2024</c:v>
                  </c:pt>
                  <c:pt idx="33">
                    <c:v>09/10/2025</c:v>
                  </c:pt>
                  <c:pt idx="34">
                    <c:v>12/12/2023</c:v>
                  </c:pt>
                  <c:pt idx="35">
                    <c:v>11/06/2025</c:v>
                  </c:pt>
                  <c:pt idx="36">
                    <c:v>12/03/2025</c:v>
                  </c:pt>
                  <c:pt idx="37">
                    <c:v>22/06/2022</c:v>
                  </c:pt>
                  <c:pt idx="38">
                    <c:v>21/11/2023</c:v>
                  </c:pt>
                  <c:pt idx="39">
                    <c:v>30/12/2025</c:v>
                  </c:pt>
                  <c:pt idx="40">
                    <c:v>30/12/2025</c:v>
                  </c:pt>
                  <c:pt idx="41">
                    <c:v>30/12/2025</c:v>
                  </c:pt>
                  <c:pt idx="42">
                    <c:v>30/12/2025</c:v>
                  </c:pt>
                  <c:pt idx="43">
                    <c:v>23/03/2025</c:v>
                  </c:pt>
                  <c:pt idx="44">
                    <c:v>30/12/2025</c:v>
                  </c:pt>
                  <c:pt idx="45">
                    <c:v>30/12/2025</c:v>
                  </c:pt>
                  <c:pt idx="46">
                    <c:v>19/06/2025</c:v>
                  </c:pt>
                  <c:pt idx="47">
                    <c:v>14/08/2025</c:v>
                  </c:pt>
                  <c:pt idx="48">
                    <c:v>09/10/2025</c:v>
                  </c:pt>
                  <c:pt idx="49">
                    <c:v>09/03/2023</c:v>
                  </c:pt>
                  <c:pt idx="50">
                    <c:v>09/10/2025</c:v>
                  </c:pt>
                  <c:pt idx="51">
                    <c:v>14/08/2025</c:v>
                  </c:pt>
                  <c:pt idx="52">
                    <c:v>14/08/2025</c:v>
                  </c:pt>
                  <c:pt idx="53">
                    <c:v>14/08/2025</c:v>
                  </c:pt>
                  <c:pt idx="54">
                    <c:v>09/03/2023</c:v>
                  </c:pt>
                  <c:pt idx="55">
                    <c:v>29/09/2022</c:v>
                  </c:pt>
                  <c:pt idx="56">
                    <c:v>02/01/2024</c:v>
                  </c:pt>
                  <c:pt idx="57">
                    <c:v>02/01/2024</c:v>
                  </c:pt>
                  <c:pt idx="58">
                    <c:v>02/01/2024</c:v>
                  </c:pt>
                  <c:pt idx="59">
                    <c:v>12/03/2025</c:v>
                  </c:pt>
                  <c:pt idx="60">
                    <c:v>02/09/2024</c:v>
                  </c:pt>
                  <c:pt idx="61">
                    <c:v>14/11/2024</c:v>
                  </c:pt>
                  <c:pt idx="62">
                    <c:v>31/07/2024</c:v>
                  </c:pt>
                  <c:pt idx="63">
                    <c:v>08/03/2022</c:v>
                  </c:pt>
                  <c:pt idx="64">
                    <c:v>08/06/2020</c:v>
                  </c:pt>
                  <c:pt idx="65">
                    <c:v>14/11/2024</c:v>
                  </c:pt>
                  <c:pt idx="66">
                    <c:v>29/04/2025</c:v>
                  </c:pt>
                  <c:pt idx="67">
                    <c:v>10/01/2025</c:v>
                  </c:pt>
                  <c:pt idx="68">
                    <c:v>10/01/2025</c:v>
                  </c:pt>
                  <c:pt idx="69">
                    <c:v>10/01/2025</c:v>
                  </c:pt>
                  <c:pt idx="70">
                    <c:v>10/01/2025</c:v>
                  </c:pt>
                  <c:pt idx="71">
                    <c:v>20/03/2023</c:v>
                  </c:pt>
                  <c:pt idx="72">
                    <c:v>22/12/2025</c:v>
                  </c:pt>
                  <c:pt idx="73">
                    <c:v>22/12/2025</c:v>
                  </c:pt>
                  <c:pt idx="74">
                    <c:v>11/10/2025</c:v>
                  </c:pt>
                  <c:pt idx="75">
                    <c:v>11/10/2025</c:v>
                  </c:pt>
                  <c:pt idx="76">
                    <c:v>18/01/2023</c:v>
                  </c:pt>
                  <c:pt idx="77">
                    <c:v>18/01/2023</c:v>
                  </c:pt>
                  <c:pt idx="78">
                    <c:v>07/10/2024</c:v>
                  </c:pt>
                  <c:pt idx="79">
                    <c:v>13/02/2025</c:v>
                  </c:pt>
                  <c:pt idx="80">
                    <c:v>16/10/2025</c:v>
                  </c:pt>
                  <c:pt idx="81">
                    <c:v>16/10/2025</c:v>
                  </c:pt>
                  <c:pt idx="82">
                    <c:v>16/10/2025</c:v>
                  </c:pt>
                  <c:pt idx="83">
                    <c:v>02/10/2024</c:v>
                  </c:pt>
                  <c:pt idx="84">
                    <c:v>02/10/2024</c:v>
                  </c:pt>
                  <c:pt idx="85">
                    <c:v>20/07/2024</c:v>
                  </c:pt>
                  <c:pt idx="86">
                    <c:v>20/07/2024</c:v>
                  </c:pt>
                  <c:pt idx="87">
                    <c:v>20/07/2024</c:v>
                  </c:pt>
                  <c:pt idx="88">
                    <c:v>03/07/2025</c:v>
                  </c:pt>
                  <c:pt idx="89">
                    <c:v>03/07/2025</c:v>
                  </c:pt>
                  <c:pt idx="90">
                    <c:v>07/10/2024</c:v>
                  </c:pt>
                  <c:pt idx="91">
                    <c:v>07/10/2024</c:v>
                  </c:pt>
                  <c:pt idx="93">
                    <c:v>02/10/2024</c:v>
                  </c:pt>
                  <c:pt idx="94">
                    <c:v>05/12/2023</c:v>
                  </c:pt>
                  <c:pt idx="95">
                    <c:v>12/03/2021</c:v>
                  </c:pt>
                  <c:pt idx="96">
                    <c:v>10/01/2024</c:v>
                  </c:pt>
                  <c:pt idx="97">
                    <c:v>23/10/2023</c:v>
                  </c:pt>
                  <c:pt idx="98">
                    <c:v>10/05/2025</c:v>
                  </c:pt>
                  <c:pt idx="99">
                    <c:v>10/05/2025</c:v>
                  </c:pt>
                  <c:pt idx="100">
                    <c:v>10/05/2023</c:v>
                  </c:pt>
                  <c:pt idx="101">
                    <c:v>09/12/2024</c:v>
                  </c:pt>
                  <c:pt idx="102">
                    <c:v>04/11/2025</c:v>
                  </c:pt>
                  <c:pt idx="103">
                    <c:v>08/12/2025</c:v>
                  </c:pt>
                  <c:pt idx="104">
                    <c:v>16/03/2020</c:v>
                  </c:pt>
                  <c:pt idx="105">
                    <c:v>30/09/2025</c:v>
                  </c:pt>
                  <c:pt idx="106">
                    <c:v>15/11/2023</c:v>
                  </c:pt>
                  <c:pt idx="107">
                    <c:v>10/08/2023</c:v>
                  </c:pt>
                  <c:pt idx="108">
                    <c:v>30/09/2025</c:v>
                  </c:pt>
                  <c:pt idx="109">
                    <c:v>19/09/2020</c:v>
                  </c:pt>
                  <c:pt idx="110">
                    <c:v>20/05/2025</c:v>
                  </c:pt>
                  <c:pt idx="111">
                    <c:v>21/11/2023</c:v>
                  </c:pt>
                  <c:pt idx="112">
                    <c:v>21/11/2025</c:v>
                  </c:pt>
                  <c:pt idx="113">
                    <c:v>21/11/2025</c:v>
                  </c:pt>
                  <c:pt idx="114">
                    <c:v>17/08/2025</c:v>
                  </c:pt>
                  <c:pt idx="115">
                    <c:v>17/08/2025</c:v>
                  </c:pt>
                  <c:pt idx="116">
                    <c:v>26/07/2024</c:v>
                  </c:pt>
                  <c:pt idx="117">
                    <c:v>21/08/2025</c:v>
                  </c:pt>
                  <c:pt idx="118">
                    <c:v>21/08/2025</c:v>
                  </c:pt>
                  <c:pt idx="119">
                    <c:v>30/04/2025</c:v>
                  </c:pt>
                  <c:pt idx="120">
                    <c:v>18/08/2025</c:v>
                  </c:pt>
                  <c:pt idx="121">
                    <c:v>20/02/2024</c:v>
                  </c:pt>
                  <c:pt idx="122">
                    <c:v>27/12/2024</c:v>
                  </c:pt>
                  <c:pt idx="123">
                    <c:v>27/12/2024</c:v>
                  </c:pt>
                  <c:pt idx="124">
                    <c:v>03/05/2024</c:v>
                  </c:pt>
                  <c:pt idx="125">
                    <c:v>08/08/2021</c:v>
                  </c:pt>
                  <c:pt idx="126">
                    <c:v>08/08/2021</c:v>
                  </c:pt>
                  <c:pt idx="127">
                    <c:v>08/08/2021</c:v>
                  </c:pt>
                  <c:pt idx="128">
                    <c:v>08/08/2021</c:v>
                  </c:pt>
                  <c:pt idx="129">
                    <c:v>07/06/2023</c:v>
                  </c:pt>
                  <c:pt idx="130">
                    <c:v>19/11/2025</c:v>
                  </c:pt>
                  <c:pt idx="131">
                    <c:v>19/11/2025</c:v>
                  </c:pt>
                  <c:pt idx="132">
                    <c:v>30/09/2025</c:v>
                  </c:pt>
                  <c:pt idx="133">
                    <c:v>27/07/2025</c:v>
                  </c:pt>
                  <c:pt idx="134">
                    <c:v>31/05/2025</c:v>
                  </c:pt>
                  <c:pt idx="135">
                    <c:v>31/05/2025</c:v>
                  </c:pt>
                  <c:pt idx="136">
                    <c:v>20/06/2024</c:v>
                  </c:pt>
                  <c:pt idx="137">
                    <c:v>27/03/2025</c:v>
                  </c:pt>
                  <c:pt idx="138">
                    <c:v>23/12/2024</c:v>
                  </c:pt>
                  <c:pt idx="139">
                    <c:v>21/11/2025</c:v>
                  </c:pt>
                  <c:pt idx="140">
                    <c:v>23/12/2024</c:v>
                  </c:pt>
                  <c:pt idx="141">
                    <c:v>21/11/2025</c:v>
                  </c:pt>
                  <c:pt idx="142">
                    <c:v>19/08/2024</c:v>
                  </c:pt>
                  <c:pt idx="143">
                    <c:v>23/12/2024</c:v>
                  </c:pt>
                  <c:pt idx="144">
                    <c:v>02/09/2023</c:v>
                  </c:pt>
                  <c:pt idx="145">
                    <c:v>02/09/2023</c:v>
                  </c:pt>
                  <c:pt idx="146">
                    <c:v>09/10/2025</c:v>
                  </c:pt>
                  <c:pt idx="147">
                    <c:v>30/10/2025</c:v>
                  </c:pt>
                  <c:pt idx="148">
                    <c:v>17/08/2025</c:v>
                  </c:pt>
                  <c:pt idx="149">
                    <c:v>09/01/2025</c:v>
                  </c:pt>
                  <c:pt idx="150">
                    <c:v>03/08/1900</c:v>
                  </c:pt>
                  <c:pt idx="151">
                    <c:v>23/12/2024</c:v>
                  </c:pt>
                  <c:pt idx="152">
                    <c:v>30/10/2025</c:v>
                  </c:pt>
                  <c:pt idx="153">
                    <c:v>29/09/2022</c:v>
                  </c:pt>
                  <c:pt idx="154">
                    <c:v>25/04/2023</c:v>
                  </c:pt>
                  <c:pt idx="155">
                    <c:v>29/09/2022</c:v>
                  </c:pt>
                  <c:pt idx="156">
                    <c:v>27/07/2024</c:v>
                  </c:pt>
                  <c:pt idx="157">
                    <c:v>09/10/2025</c:v>
                  </c:pt>
                  <c:pt idx="158">
                    <c:v>09/10/2025</c:v>
                  </c:pt>
                  <c:pt idx="159">
                    <c:v>20/06/2024</c:v>
                  </c:pt>
                  <c:pt idx="160">
                    <c:v>17/08/2025</c:v>
                  </c:pt>
                  <c:pt idx="161">
                    <c:v>16/09/2023</c:v>
                  </c:pt>
                  <c:pt idx="162">
                    <c:v>20/03/2023</c:v>
                  </c:pt>
                  <c:pt idx="163">
                    <c:v>20/03/2023</c:v>
                  </c:pt>
                  <c:pt idx="164">
                    <c:v>20/03/2023</c:v>
                  </c:pt>
                  <c:pt idx="165">
                    <c:v>10/03/2020</c:v>
                  </c:pt>
                  <c:pt idx="166">
                    <c:v>19/09/2020</c:v>
                  </c:pt>
                  <c:pt idx="167">
                    <c:v>27/12/2023</c:v>
                  </c:pt>
                  <c:pt idx="168">
                    <c:v>25/09/2025</c:v>
                  </c:pt>
                  <c:pt idx="169">
                    <c:v>27/07/2022</c:v>
                  </c:pt>
                  <c:pt idx="170">
                    <c:v>27/07/2022</c:v>
                  </c:pt>
                  <c:pt idx="171">
                    <c:v>27/07/2022</c:v>
                  </c:pt>
                  <c:pt idx="172">
                    <c:v>02/04/2024</c:v>
                  </c:pt>
                  <c:pt idx="173">
                    <c:v>05/05/2020</c:v>
                  </c:pt>
                  <c:pt idx="174">
                    <c:v>07/03/2023</c:v>
                  </c:pt>
                  <c:pt idx="175">
                    <c:v>30/08/2023</c:v>
                  </c:pt>
                  <c:pt idx="176">
                    <c:v>25/09/2025</c:v>
                  </c:pt>
                  <c:pt idx="177">
                    <c:v>15/11/2024</c:v>
                  </c:pt>
                  <c:pt idx="178">
                    <c:v>23/07/2025</c:v>
                  </c:pt>
                  <c:pt idx="179">
                    <c:v>18/09/2025</c:v>
                  </c:pt>
                  <c:pt idx="180">
                    <c:v>18/09/2025</c:v>
                  </c:pt>
                  <c:pt idx="181">
                    <c:v>30/10/2025</c:v>
                  </c:pt>
                  <c:pt idx="182">
                    <c:v>30/10/2025</c:v>
                  </c:pt>
                  <c:pt idx="183">
                    <c:v>30/10/2025</c:v>
                  </c:pt>
                  <c:pt idx="184">
                    <c:v>30/10/2025</c:v>
                  </c:pt>
                  <c:pt idx="185">
                    <c:v>25/04/2025</c:v>
                  </c:pt>
                  <c:pt idx="186">
                    <c:v>25/04/2024</c:v>
                  </c:pt>
                  <c:pt idx="187">
                    <c:v>25/04/2024</c:v>
                  </c:pt>
                  <c:pt idx="188">
                    <c:v>21/10/2023</c:v>
                  </c:pt>
                  <c:pt idx="189">
                    <c:v>10/05/2023</c:v>
                  </c:pt>
                  <c:pt idx="190">
                    <c:v>15/03/2024</c:v>
                  </c:pt>
                  <c:pt idx="191">
                    <c:v>15/03/2024</c:v>
                  </c:pt>
                  <c:pt idx="192">
                    <c:v>15/03/2024</c:v>
                  </c:pt>
                  <c:pt idx="193">
                    <c:v>09/09/2025</c:v>
                  </c:pt>
                  <c:pt idx="194">
                    <c:v>09/09/2025</c:v>
                  </c:pt>
                  <c:pt idx="195">
                    <c:v>30/10/2025</c:v>
                  </c:pt>
                  <c:pt idx="196">
                    <c:v>30/10/2025</c:v>
                  </c:pt>
                  <c:pt idx="197">
                    <c:v>30/10/2025</c:v>
                  </c:pt>
                  <c:pt idx="198">
                    <c:v>30/10/2025</c:v>
                  </c:pt>
                  <c:pt idx="199">
                    <c:v>30/10/2025</c:v>
                  </c:pt>
                  <c:pt idx="200">
                    <c:v>30/10/2025</c:v>
                  </c:pt>
                  <c:pt idx="201">
                    <c:v>04/06/2025</c:v>
                  </c:pt>
                  <c:pt idx="202">
                    <c:v>04/06/2025</c:v>
                  </c:pt>
                  <c:pt idx="203">
                    <c:v>04/12/2024</c:v>
                  </c:pt>
                  <c:pt idx="204">
                    <c:v>15/11/2024</c:v>
                  </c:pt>
                  <c:pt idx="205">
                    <c:v>15/11/2024</c:v>
                  </c:pt>
                  <c:pt idx="206">
                    <c:v>02/09/2022</c:v>
                  </c:pt>
                  <c:pt idx="207">
                    <c:v>19/12/2024</c:v>
                  </c:pt>
                  <c:pt idx="208">
                    <c:v>04/12/2024</c:v>
                  </c:pt>
                  <c:pt idx="209">
                    <c:v>04/12/2024</c:v>
                  </c:pt>
                  <c:pt idx="210">
                    <c:v>20/11/2025</c:v>
                  </c:pt>
                  <c:pt idx="211">
                    <c:v>20/05/2025</c:v>
                  </c:pt>
                  <c:pt idx="212">
                    <c:v>20/05/2025</c:v>
                  </c:pt>
                  <c:pt idx="213">
                    <c:v>08/07/2024</c:v>
                  </c:pt>
                  <c:pt idx="214">
                    <c:v>08/07/2024</c:v>
                  </c:pt>
                  <c:pt idx="215">
                    <c:v>08/07/2024</c:v>
                  </c:pt>
                  <c:pt idx="216">
                    <c:v>18/08/2025</c:v>
                  </c:pt>
                  <c:pt idx="217">
                    <c:v>08/05/2025</c:v>
                  </c:pt>
                  <c:pt idx="218">
                    <c:v>06/11/2024</c:v>
                  </c:pt>
                  <c:pt idx="219">
                    <c:v>18/10/2024</c:v>
                  </c:pt>
                  <c:pt idx="220">
                    <c:v>18/10/2024</c:v>
                  </c:pt>
                  <c:pt idx="221">
                    <c:v>19/06/2025</c:v>
                  </c:pt>
                  <c:pt idx="222">
                    <c:v>19/10/2022</c:v>
                  </c:pt>
                  <c:pt idx="223">
                    <c:v>03/12/2024</c:v>
                  </c:pt>
                  <c:pt idx="224">
                    <c:v>07/06/2023</c:v>
                  </c:pt>
                  <c:pt idx="225">
                    <c:v>19/06/2025</c:v>
                  </c:pt>
                  <c:pt idx="226">
                    <c:v>26/07/2024</c:v>
                  </c:pt>
                  <c:pt idx="227">
                    <c:v>20/11/2025</c:v>
                  </c:pt>
                  <c:pt idx="228">
                    <c:v>10/03/2020</c:v>
                  </c:pt>
                  <c:pt idx="229">
                    <c:v>31/05/2025</c:v>
                  </c:pt>
                  <c:pt idx="230">
                    <c:v>31/01/2021</c:v>
                  </c:pt>
                  <c:pt idx="231">
                    <c:v>31/01/2021</c:v>
                  </c:pt>
                  <c:pt idx="232">
                    <c:v>31/01/2021</c:v>
                  </c:pt>
                  <c:pt idx="233">
                    <c:v>29/09/2025</c:v>
                  </c:pt>
                  <c:pt idx="234">
                    <c:v>30/10/2025</c:v>
                  </c:pt>
                  <c:pt idx="235">
                    <c:v>20/07/2024</c:v>
                  </c:pt>
                  <c:pt idx="236">
                    <c:v>03/11/2020</c:v>
                  </c:pt>
                  <c:pt idx="237">
                    <c:v>07/03/2024</c:v>
                  </c:pt>
                  <c:pt idx="238">
                    <c:v>04/07/2024</c:v>
                  </c:pt>
                  <c:pt idx="239">
                    <c:v>27/12/2023</c:v>
                  </c:pt>
                  <c:pt idx="240">
                    <c:v>29/10/2021</c:v>
                  </c:pt>
                  <c:pt idx="241">
                    <c:v>05/12/2022</c:v>
                  </c:pt>
                  <c:pt idx="242">
                    <c:v>15/03/2022</c:v>
                  </c:pt>
                  <c:pt idx="243">
                    <c:v>05/12/2022</c:v>
                  </c:pt>
                  <c:pt idx="244">
                    <c:v>21/09/2023</c:v>
                  </c:pt>
                  <c:pt idx="245">
                    <c:v>21/09/2023</c:v>
                  </c:pt>
                  <c:pt idx="246">
                    <c:v>21/09/2023</c:v>
                  </c:pt>
                  <c:pt idx="247">
                    <c:v>10/03/2020</c:v>
                  </c:pt>
                  <c:pt idx="248">
                    <c:v>06/09/2024</c:v>
                  </c:pt>
                  <c:pt idx="249">
                    <c:v>15/03/2022</c:v>
                  </c:pt>
                  <c:pt idx="250">
                    <c:v>30/04/2025</c:v>
                  </c:pt>
                  <c:pt idx="251">
                    <c:v>10/07/2025</c:v>
                  </c:pt>
                  <c:pt idx="252">
                    <c:v>12/07/2024</c:v>
                  </c:pt>
                  <c:pt idx="253">
                    <c:v>03/04/2024</c:v>
                  </c:pt>
                  <c:pt idx="254">
                    <c:v>19/08/2024</c:v>
                  </c:pt>
                  <c:pt idx="255">
                    <c:v>12/07/2024</c:v>
                  </c:pt>
                  <c:pt idx="256">
                    <c:v>20/03/2023</c:v>
                  </c:pt>
                  <c:pt idx="257">
                    <c:v>20/03/2023</c:v>
                  </c:pt>
                  <c:pt idx="258">
                    <c:v>06/09/2024</c:v>
                  </c:pt>
                  <c:pt idx="259">
                    <c:v>21/09/2023</c:v>
                  </c:pt>
                  <c:pt idx="260">
                    <c:v>24/03/2025</c:v>
                  </c:pt>
                  <c:pt idx="261">
                    <c:v>23/10/2025</c:v>
                  </c:pt>
                  <c:pt idx="262">
                    <c:v>23/10/2025</c:v>
                  </c:pt>
                  <c:pt idx="263">
                    <c:v>09/12/2024</c:v>
                  </c:pt>
                  <c:pt idx="264">
                    <c:v>15/10/2025</c:v>
                  </c:pt>
                  <c:pt idx="265">
                    <c:v>26/11/2025</c:v>
                  </c:pt>
                  <c:pt idx="266">
                    <c:v>24/10/2024</c:v>
                  </c:pt>
                  <c:pt idx="267">
                    <c:v>24/10/2024</c:v>
                  </c:pt>
                  <c:pt idx="268">
                    <c:v>13/09/2022</c:v>
                  </c:pt>
                  <c:pt idx="269">
                    <c:v>26/07/2024</c:v>
                  </c:pt>
                  <c:pt idx="270">
                    <c:v>21/09/2023</c:v>
                  </c:pt>
                  <c:pt idx="271">
                    <c:v>16/09/2023</c:v>
                  </c:pt>
                  <c:pt idx="272">
                    <c:v>21/11/2025</c:v>
                  </c:pt>
                  <c:pt idx="273">
                    <c:v>03/10/2016</c:v>
                  </c:pt>
                  <c:pt idx="274">
                    <c:v>13/10/2022</c:v>
                  </c:pt>
                  <c:pt idx="275">
                    <c:v>30/12/2025</c:v>
                  </c:pt>
                  <c:pt idx="276">
                    <c:v>30/04/2025</c:v>
                  </c:pt>
                  <c:pt idx="277">
                    <c:v>20/11/2025</c:v>
                  </c:pt>
                  <c:pt idx="278">
                    <c:v>20/11/2025</c:v>
                  </c:pt>
                  <c:pt idx="279">
                    <c:v>06/06/2025</c:v>
                  </c:pt>
                  <c:pt idx="280">
                    <c:v>06/06/2025</c:v>
                  </c:pt>
                  <c:pt idx="281">
                    <c:v>10/09/2024</c:v>
                  </c:pt>
                  <c:pt idx="283">
                    <c:v>18/12/2025</c:v>
                  </c:pt>
                  <c:pt idx="284">
                    <c:v>18/12/2025</c:v>
                  </c:pt>
                  <c:pt idx="285">
                    <c:v>30/10/2025</c:v>
                  </c:pt>
                  <c:pt idx="286">
                    <c:v>21/12/2023</c:v>
                  </c:pt>
                  <c:pt idx="287">
                    <c:v>30/10/2025</c:v>
                  </c:pt>
                  <c:pt idx="288">
                    <c:v>01/11/2021</c:v>
                  </c:pt>
                  <c:pt idx="289">
                    <c:v>06/09/2023</c:v>
                  </c:pt>
                  <c:pt idx="290">
                    <c:v>30/10/2025</c:v>
                  </c:pt>
                  <c:pt idx="291">
                    <c:v>06/09/2023</c:v>
                  </c:pt>
                  <c:pt idx="292">
                    <c:v>16/06/2022</c:v>
                  </c:pt>
                  <c:pt idx="293">
                    <c:v>21/12/2023</c:v>
                  </c:pt>
                  <c:pt idx="294">
                    <c:v>06/09/2023</c:v>
                  </c:pt>
                  <c:pt idx="295">
                    <c:v>12/03/2025</c:v>
                  </c:pt>
                  <c:pt idx="296">
                    <c:v>01/11/2021</c:v>
                  </c:pt>
                  <c:pt idx="297">
                    <c:v>01/11/2021</c:v>
                  </c:pt>
                  <c:pt idx="298">
                    <c:v>01/11/2021</c:v>
                  </c:pt>
                  <c:pt idx="299">
                    <c:v>08/03/2024</c:v>
                  </c:pt>
                  <c:pt idx="300">
                    <c:v>08/03/2024</c:v>
                  </c:pt>
                  <c:pt idx="301">
                    <c:v>23/10/2024</c:v>
                  </c:pt>
                  <c:pt idx="302">
                    <c:v>23/10/2024</c:v>
                  </c:pt>
                  <c:pt idx="303">
                    <c:v>13/06/2024</c:v>
                  </c:pt>
                  <c:pt idx="304">
                    <c:v>23/12/2025</c:v>
                  </c:pt>
                  <c:pt idx="305">
                    <c:v>26/09/2025</c:v>
                  </c:pt>
                  <c:pt idx="306">
                    <c:v>30/04/2024</c:v>
                  </c:pt>
                  <c:pt idx="307">
                    <c:v>30/09/2025</c:v>
                  </c:pt>
                  <c:pt idx="308">
                    <c:v>15/08/2025</c:v>
                  </c:pt>
                  <c:pt idx="309">
                    <c:v>20/11/2025</c:v>
                  </c:pt>
                  <c:pt idx="310">
                    <c:v>25/04/2024</c:v>
                  </c:pt>
                  <c:pt idx="311">
                    <c:v>01/06/2020</c:v>
                  </c:pt>
                  <c:pt idx="312">
                    <c:v>18/12/2025</c:v>
                  </c:pt>
                  <c:pt idx="313">
                    <c:v>07/05/2021</c:v>
                  </c:pt>
                  <c:pt idx="314">
                    <c:v>17/06/2021</c:v>
                  </c:pt>
                  <c:pt idx="315">
                    <c:v>11/01/2025</c:v>
                  </c:pt>
                  <c:pt idx="316">
                    <c:v>04/10/2025</c:v>
                  </c:pt>
                  <c:pt idx="317">
                    <c:v>04/10/2025</c:v>
                  </c:pt>
                  <c:pt idx="318">
                    <c:v>12/04/2025</c:v>
                  </c:pt>
                  <c:pt idx="319">
                    <c:v>27/12/2024</c:v>
                  </c:pt>
                  <c:pt idx="320">
                    <c:v>01/11/2021</c:v>
                  </c:pt>
                  <c:pt idx="321">
                    <c:v>10/01/2024</c:v>
                  </c:pt>
                  <c:pt idx="322">
                    <c:v>19/06/2025</c:v>
                  </c:pt>
                  <c:pt idx="323">
                    <c:v>15/03/2024</c:v>
                  </c:pt>
                  <c:pt idx="324">
                    <c:v>27/12/2024</c:v>
                  </c:pt>
                  <c:pt idx="325">
                    <c:v>15/03/2024</c:v>
                  </c:pt>
                  <c:pt idx="326">
                    <c:v>15/03/2024</c:v>
                  </c:pt>
                  <c:pt idx="327">
                    <c:v>21/01/2025</c:v>
                  </c:pt>
                  <c:pt idx="328">
                    <c:v>28/08/2024</c:v>
                  </c:pt>
                  <c:pt idx="329">
                    <c:v>28/08/2024</c:v>
                  </c:pt>
                  <c:pt idx="330">
                    <c:v>28/08/2024</c:v>
                  </c:pt>
                  <c:pt idx="331">
                    <c:v>21/11/2024</c:v>
                  </c:pt>
                  <c:pt idx="332">
                    <c:v>02/06/2022</c:v>
                  </c:pt>
                  <c:pt idx="333">
                    <c:v>02/06/2022</c:v>
                  </c:pt>
                  <c:pt idx="334">
                    <c:v>02/06/2022</c:v>
                  </c:pt>
                  <c:pt idx="335">
                    <c:v>31/05/2025</c:v>
                  </c:pt>
                  <c:pt idx="336">
                    <c:v>05/05/2020</c:v>
                  </c:pt>
                  <c:pt idx="337">
                    <c:v>18/05/2022</c:v>
                  </c:pt>
                  <c:pt idx="338">
                    <c:v>29/09/2025</c:v>
                  </c:pt>
                  <c:pt idx="339">
                    <c:v>29/09/2025</c:v>
                  </c:pt>
                  <c:pt idx="340">
                    <c:v>21/11/2025</c:v>
                  </c:pt>
                  <c:pt idx="341">
                    <c:v>21/11/2025</c:v>
                  </c:pt>
                  <c:pt idx="342">
                    <c:v>21/11/2025</c:v>
                  </c:pt>
                  <c:pt idx="343">
                    <c:v>21/11/2025</c:v>
                  </c:pt>
                  <c:pt idx="344">
                    <c:v>09/05/2023</c:v>
                  </c:pt>
                  <c:pt idx="345">
                    <c:v>21/11/2025</c:v>
                  </c:pt>
                  <c:pt idx="346">
                    <c:v>21/11/2025</c:v>
                  </c:pt>
                  <c:pt idx="347">
                    <c:v>18/08/2024</c:v>
                  </c:pt>
                  <c:pt idx="348">
                    <c:v>30/09/2024</c:v>
                  </c:pt>
                  <c:pt idx="349">
                    <c:v>21/11/2025</c:v>
                  </c:pt>
                  <c:pt idx="350">
                    <c:v>30/05/2025</c:v>
                  </c:pt>
                  <c:pt idx="351">
                    <c:v>30/09/2024</c:v>
                  </c:pt>
                  <c:pt idx="352">
                    <c:v>30/09/2024</c:v>
                  </c:pt>
                  <c:pt idx="353">
                    <c:v>05/05/2020</c:v>
                  </c:pt>
                  <c:pt idx="354">
                    <c:v>05/03/2025</c:v>
                  </c:pt>
                  <c:pt idx="355">
                    <c:v>05/03/2025</c:v>
                  </c:pt>
                  <c:pt idx="356">
                    <c:v>05/03/2025</c:v>
                  </c:pt>
                  <c:pt idx="357">
                    <c:v>01/10/2020</c:v>
                  </c:pt>
                  <c:pt idx="358">
                    <c:v>06/04/2022</c:v>
                  </c:pt>
                  <c:pt idx="359">
                    <c:v>18/05/2022</c:v>
                  </c:pt>
                  <c:pt idx="360">
                    <c:v>18/05/2022</c:v>
                  </c:pt>
                  <c:pt idx="361">
                    <c:v>19/02/2025</c:v>
                  </c:pt>
                  <c:pt idx="362">
                    <c:v>10/09/2024</c:v>
                  </c:pt>
                  <c:pt idx="363">
                    <c:v>16/10/2025</c:v>
                  </c:pt>
                  <c:pt idx="364">
                    <c:v>19/02/2025</c:v>
                  </c:pt>
                  <c:pt idx="365">
                    <c:v>03/01/2024</c:v>
                  </c:pt>
                  <c:pt idx="366">
                    <c:v>10/12/2024</c:v>
                  </c:pt>
                  <c:pt idx="367">
                    <c:v>19/02/2025</c:v>
                  </c:pt>
                  <c:pt idx="368">
                    <c:v>03/01/2024</c:v>
                  </c:pt>
                  <c:pt idx="369">
                    <c:v>30/09/2024</c:v>
                  </c:pt>
                  <c:pt idx="370">
                    <c:v>31/05/2025</c:v>
                  </c:pt>
                  <c:pt idx="371">
                    <c:v>18/09/2025</c:v>
                  </c:pt>
                  <c:pt idx="372">
                    <c:v>30/10/2025</c:v>
                  </c:pt>
                  <c:pt idx="373">
                    <c:v>21/11/2025</c:v>
                  </c:pt>
                  <c:pt idx="374">
                    <c:v>06/04/2022</c:v>
                  </c:pt>
                  <c:pt idx="375">
                    <c:v>04/05/2020</c:v>
                  </c:pt>
                  <c:pt idx="376">
                    <c:v>30/10/2025</c:v>
                  </c:pt>
                  <c:pt idx="377">
                    <c:v>16/02/2022</c:v>
                  </c:pt>
                  <c:pt idx="378">
                    <c:v>29/08/2025</c:v>
                  </c:pt>
                  <c:pt idx="379">
                    <c:v>29/09/2025</c:v>
                  </c:pt>
                  <c:pt idx="380">
                    <c:v>30/09/2024</c:v>
                  </c:pt>
                  <c:pt idx="381">
                    <c:v>10/04/2023</c:v>
                  </c:pt>
                  <c:pt idx="382">
                    <c:v>30/09/2024</c:v>
                  </c:pt>
                  <c:pt idx="383">
                    <c:v>22/12/2025</c:v>
                  </c:pt>
                  <c:pt idx="384">
                    <c:v>22/12/2025</c:v>
                  </c:pt>
                  <c:pt idx="385">
                    <c:v>18/05/2022</c:v>
                  </c:pt>
                  <c:pt idx="386">
                    <c:v>27/12/2024</c:v>
                  </c:pt>
                  <c:pt idx="387">
                    <c:v>25/04/2022</c:v>
                  </c:pt>
                  <c:pt idx="388">
                    <c:v>30/12/2021</c:v>
                  </c:pt>
                  <c:pt idx="389">
                    <c:v>30/12/2021</c:v>
                  </c:pt>
                  <c:pt idx="390">
                    <c:v>23/10/2024</c:v>
                  </c:pt>
                  <c:pt idx="391">
                    <c:v>21/11/2023</c:v>
                  </c:pt>
                  <c:pt idx="392">
                    <c:v>30/05/2025</c:v>
                  </c:pt>
                  <c:pt idx="393">
                    <c:v>30/05/2025</c:v>
                  </c:pt>
                  <c:pt idx="394">
                    <c:v>21/02/2022</c:v>
                  </c:pt>
                  <c:pt idx="395">
                    <c:v>07/06/2024</c:v>
                  </c:pt>
                  <c:pt idx="396">
                    <c:v>07/06/2024</c:v>
                  </c:pt>
                  <c:pt idx="397">
                    <c:v>18/05/2022</c:v>
                  </c:pt>
                  <c:pt idx="398">
                    <c:v>07/06/2024</c:v>
                  </c:pt>
                  <c:pt idx="399">
                    <c:v>07/06/2024</c:v>
                  </c:pt>
                  <c:pt idx="401">
                    <c:v>21/11/2025</c:v>
                  </c:pt>
                  <c:pt idx="402">
                    <c:v>07/06/2024</c:v>
                  </c:pt>
                  <c:pt idx="403">
                    <c:v>30/12/2021</c:v>
                  </c:pt>
                  <c:pt idx="405">
                    <c:v>16/08/2021</c:v>
                  </c:pt>
                  <c:pt idx="406">
                    <c:v>26/09/2024</c:v>
                  </c:pt>
                  <c:pt idx="407">
                    <c:v>20/11/2025</c:v>
                  </c:pt>
                  <c:pt idx="408">
                    <c:v>01/10/2020</c:v>
                  </c:pt>
                  <c:pt idx="409">
                    <c:v>19/11/2025</c:v>
                  </c:pt>
                  <c:pt idx="410">
                    <c:v>12/10/2023</c:v>
                  </c:pt>
                  <c:pt idx="411">
                    <c:v>16/07/2022</c:v>
                  </c:pt>
                  <c:pt idx="412">
                    <c:v>26/06/2020</c:v>
                  </c:pt>
                  <c:pt idx="413">
                    <c:v>25/04/2020</c:v>
                  </c:pt>
                  <c:pt idx="415">
                    <c:v>21/1125</c:v>
                  </c:pt>
                  <c:pt idx="416">
                    <c:v>23/09/2025</c:v>
                  </c:pt>
                  <c:pt idx="417">
                    <c:v>23/09/2025</c:v>
                  </c:pt>
                  <c:pt idx="418">
                    <c:v>28/08/2024</c:v>
                  </c:pt>
                  <c:pt idx="419">
                    <c:v>10/03/2020</c:v>
                  </c:pt>
                  <c:pt idx="420">
                    <c:v>18/01/2023</c:v>
                  </c:pt>
                  <c:pt idx="422">
                    <c:v>18/08/2025</c:v>
                  </c:pt>
                  <c:pt idx="423">
                    <c:v>10/01/2024</c:v>
                  </c:pt>
                  <c:pt idx="424">
                    <c:v>23/09/2024</c:v>
                  </c:pt>
                  <c:pt idx="425">
                    <c:v>23/09/2024</c:v>
                  </c:pt>
                  <c:pt idx="426">
                    <c:v>23/09/2024</c:v>
                  </c:pt>
                  <c:pt idx="427">
                    <c:v>23/09/2024</c:v>
                  </c:pt>
                  <c:pt idx="428">
                    <c:v>02/06/2025</c:v>
                  </c:pt>
                  <c:pt idx="429">
                    <c:v>10/04/2023</c:v>
                  </c:pt>
                  <c:pt idx="430">
                    <c:v>21/11025</c:v>
                  </c:pt>
                  <c:pt idx="431">
                    <c:v>24/07/2024</c:v>
                  </c:pt>
                  <c:pt idx="432">
                    <c:v>18/09/2025</c:v>
                  </c:pt>
                  <c:pt idx="433">
                    <c:v>24/05/2021</c:v>
                  </c:pt>
                  <c:pt idx="434">
                    <c:v>02/06/2025</c:v>
                  </c:pt>
                  <c:pt idx="435">
                    <c:v>30/05/2025</c:v>
                  </c:pt>
                  <c:pt idx="436">
                    <c:v>21/09/2023</c:v>
                  </c:pt>
                  <c:pt idx="437">
                    <c:v>16/08/2023</c:v>
                  </c:pt>
                  <c:pt idx="438">
                    <c:v>30/10/2025</c:v>
                  </c:pt>
                  <c:pt idx="439">
                    <c:v>30/10/2025</c:v>
                  </c:pt>
                  <c:pt idx="440">
                    <c:v>12/03/2025</c:v>
                  </c:pt>
                  <c:pt idx="441">
                    <c:v>21/12/2023</c:v>
                  </c:pt>
                  <c:pt idx="442">
                    <c:v>20/11/2024</c:v>
                  </c:pt>
                  <c:pt idx="443">
                    <c:v>30/10/2025</c:v>
                  </c:pt>
                  <c:pt idx="444">
                    <c:v>20/11/2024</c:v>
                  </c:pt>
                  <c:pt idx="445">
                    <c:v>01/11/2021</c:v>
                  </c:pt>
                  <c:pt idx="446">
                    <c:v>20/11/2024</c:v>
                  </c:pt>
                  <c:pt idx="447">
                    <c:v>20/11/2024</c:v>
                  </c:pt>
                  <c:pt idx="448">
                    <c:v>12/03/2025</c:v>
                  </c:pt>
                  <c:pt idx="449">
                    <c:v>21/12/2023</c:v>
                  </c:pt>
                  <c:pt idx="450">
                    <c:v>20/11/2024</c:v>
                  </c:pt>
                  <c:pt idx="451">
                    <c:v>10/09/2024</c:v>
                  </c:pt>
                  <c:pt idx="452">
                    <c:v>18/11/2024</c:v>
                  </c:pt>
                  <c:pt idx="453">
                    <c:v>13/05/2025</c:v>
                  </c:pt>
                  <c:pt idx="454">
                    <c:v>13/05/2025</c:v>
                  </c:pt>
                  <c:pt idx="455">
                    <c:v>06/06/2024</c:v>
                  </c:pt>
                  <c:pt idx="456">
                    <c:v>06/06/2024</c:v>
                  </c:pt>
                  <c:pt idx="457">
                    <c:v>31/07/2024</c:v>
                  </c:pt>
                  <c:pt idx="458">
                    <c:v>18/11/2024</c:v>
                  </c:pt>
                  <c:pt idx="459">
                    <c:v>10/03/2020</c:v>
                  </c:pt>
                  <c:pt idx="460">
                    <c:v>21/01/2025</c:v>
                  </c:pt>
                  <c:pt idx="461">
                    <c:v>21/03/2023</c:v>
                  </c:pt>
                  <c:pt idx="462">
                    <c:v>10/09/2024</c:v>
                  </c:pt>
                  <c:pt idx="463">
                    <c:v>23/01/2025</c:v>
                  </c:pt>
                  <c:pt idx="464">
                    <c:v>05/05/2020</c:v>
                  </c:pt>
                  <c:pt idx="465">
                    <c:v>05/05/2020</c:v>
                  </c:pt>
                  <c:pt idx="466">
                    <c:v>09/05/2023</c:v>
                  </c:pt>
                  <c:pt idx="467">
                    <c:v>12/02/2021</c:v>
                  </c:pt>
                  <c:pt idx="468">
                    <c:v>09/05/2023</c:v>
                  </c:pt>
                  <c:pt idx="469">
                    <c:v>09/05/2023</c:v>
                  </c:pt>
                  <c:pt idx="470">
                    <c:v>09/05/2023</c:v>
                  </c:pt>
                  <c:pt idx="471">
                    <c:v>22/06/2022</c:v>
                  </c:pt>
                  <c:pt idx="472">
                    <c:v>07/06/2024</c:v>
                  </c:pt>
                  <c:pt idx="473">
                    <c:v>07/06/2024</c:v>
                  </c:pt>
                  <c:pt idx="474">
                    <c:v>10/03/2025</c:v>
                  </c:pt>
                  <c:pt idx="475">
                    <c:v>12/12/2025</c:v>
                  </c:pt>
                  <c:pt idx="476">
                    <c:v>10/03/2020</c:v>
                  </c:pt>
                  <c:pt idx="477">
                    <c:v>27/07/2023</c:v>
                  </c:pt>
                  <c:pt idx="478">
                    <c:v>18/02/2025</c:v>
                  </c:pt>
                  <c:pt idx="479">
                    <c:v>20/02/2020</c:v>
                  </c:pt>
                  <c:pt idx="480">
                    <c:v>20/11/2021</c:v>
                  </c:pt>
                  <c:pt idx="481">
                    <c:v>09/12/2024</c:v>
                  </c:pt>
                  <c:pt idx="482">
                    <c:v>12/12/2022</c:v>
                  </c:pt>
                  <c:pt idx="483">
                    <c:v>23/09/2021</c:v>
                  </c:pt>
                  <c:pt idx="484">
                    <c:v>12/12/2020</c:v>
                  </c:pt>
                  <c:pt idx="485">
                    <c:v>04/12/2024</c:v>
                  </c:pt>
                  <c:pt idx="486">
                    <c:v>20/03/2023</c:v>
                  </c:pt>
                  <c:pt idx="487">
                    <c:v>10/01/2024</c:v>
                  </c:pt>
                  <c:pt idx="488">
                    <c:v>15/03/2021</c:v>
                  </c:pt>
                  <c:pt idx="489">
                    <c:v>14/01/2021</c:v>
                  </c:pt>
                  <c:pt idx="490">
                    <c:v>20/03/2023</c:v>
                  </c:pt>
                  <c:pt idx="491">
                    <c:v>14/01/2021</c:v>
                  </c:pt>
                  <c:pt idx="492">
                    <c:v>02/04/2020</c:v>
                  </c:pt>
                  <c:pt idx="493">
                    <c:v>13/01/2023</c:v>
                  </c:pt>
                  <c:pt idx="495">
                    <c:v>13/11/2020</c:v>
                  </c:pt>
                  <c:pt idx="496">
                    <c:v>28/10/2023</c:v>
                  </c:pt>
                  <c:pt idx="497">
                    <c:v>05/05/2020</c:v>
                  </c:pt>
                  <c:pt idx="498">
                    <c:v>01/07/2021</c:v>
                  </c:pt>
                  <c:pt idx="499">
                    <c:v>22/02/2021</c:v>
                  </c:pt>
                  <c:pt idx="500">
                    <c:v>31/01/2021</c:v>
                  </c:pt>
                  <c:pt idx="501">
                    <c:v>10/03/2020</c:v>
                  </c:pt>
                  <c:pt idx="502">
                    <c:v>11/11/2023</c:v>
                  </c:pt>
                  <c:pt idx="503">
                    <c:v>19/10/2022</c:v>
                  </c:pt>
                  <c:pt idx="504">
                    <c:v>20/09/2021</c:v>
                  </c:pt>
                  <c:pt idx="505">
                    <c:v>21/10/2020</c:v>
                  </c:pt>
                  <c:pt idx="506">
                    <c:v>01/06/2020</c:v>
                  </c:pt>
                  <c:pt idx="507">
                    <c:v>18/01/2023</c:v>
                  </c:pt>
                  <c:pt idx="508">
                    <c:v>10/03/2020</c:v>
                  </c:pt>
                  <c:pt idx="509">
                    <c:v>19/09/2020</c:v>
                  </c:pt>
                  <c:pt idx="510">
                    <c:v>10/03/2020</c:v>
                  </c:pt>
                  <c:pt idx="511">
                    <c:v>16/08/2021</c:v>
                  </c:pt>
                  <c:pt idx="512">
                    <c:v>09/04/2021</c:v>
                  </c:pt>
                  <c:pt idx="513">
                    <c:v>16/08/2021</c:v>
                  </c:pt>
                  <c:pt idx="514">
                    <c:v>10/03/2020</c:v>
                  </c:pt>
                  <c:pt idx="515">
                    <c:v>10/03/2020</c:v>
                  </c:pt>
                  <c:pt idx="516">
                    <c:v>21/03/2023</c:v>
                  </c:pt>
                  <c:pt idx="517">
                    <c:v>23/11/2023</c:v>
                  </c:pt>
                  <c:pt idx="518">
                    <c:v>04/02/2021</c:v>
                  </c:pt>
                  <c:pt idx="519">
                    <c:v>09/12/2024</c:v>
                  </c:pt>
                  <c:pt idx="520">
                    <c:v>21/04/2021</c:v>
                  </c:pt>
                  <c:pt idx="521">
                    <c:v>10/09/2024</c:v>
                  </c:pt>
                  <c:pt idx="522">
                    <c:v>01/11/2021</c:v>
                  </c:pt>
                  <c:pt idx="526">
                    <c:v>19/12/2020</c:v>
                  </c:pt>
                  <c:pt idx="527">
                    <c:v>19/12/2020</c:v>
                  </c:pt>
                  <c:pt idx="528">
                    <c:v>19/12/2020</c:v>
                  </c:pt>
                  <c:pt idx="529">
                    <c:v>19/12/2020</c:v>
                  </c:pt>
                  <c:pt idx="530">
                    <c:v>11/05/2023</c:v>
                  </c:pt>
                  <c:pt idx="531">
                    <c:v>07/12/2021</c:v>
                  </c:pt>
                  <c:pt idx="532">
                    <c:v>05/05/2023</c:v>
                  </c:pt>
                  <c:pt idx="534">
                    <c:v>20/04/2022</c:v>
                  </c:pt>
                  <c:pt idx="535">
                    <c:v>13/07/2023</c:v>
                  </c:pt>
                  <c:pt idx="536">
                    <c:v>01/11/2021</c:v>
                  </c:pt>
                  <c:pt idx="537">
                    <c:v>01/11/2021</c:v>
                  </c:pt>
                  <c:pt idx="538">
                    <c:v>25/07/2020</c:v>
                  </c:pt>
                  <c:pt idx="539">
                    <c:v>13/07/2023</c:v>
                  </c:pt>
                  <c:pt idx="540">
                    <c:v>20/11/2024</c:v>
                  </c:pt>
                  <c:pt idx="541">
                    <c:v>13/07/2023</c:v>
                  </c:pt>
                  <c:pt idx="542">
                    <c:v>20/03/2023</c:v>
                  </c:pt>
                  <c:pt idx="543">
                    <c:v>18/01/2023</c:v>
                  </c:pt>
                  <c:pt idx="544">
                    <c:v>16/02/2022</c:v>
                  </c:pt>
                  <c:pt idx="545">
                    <c:v>24/12/2009</c:v>
                  </c:pt>
                  <c:pt idx="546">
                    <c:v>28/06/2014</c:v>
                  </c:pt>
                  <c:pt idx="547">
                    <c:v>28/06/2014</c:v>
                  </c:pt>
                  <c:pt idx="548">
                    <c:v>29/10/2016</c:v>
                  </c:pt>
                  <c:pt idx="549">
                    <c:v>16/06/2014</c:v>
                  </c:pt>
                  <c:pt idx="550">
                    <c:v>01/12/2021</c:v>
                  </c:pt>
                  <c:pt idx="551">
                    <c:v>01/12/2021</c:v>
                  </c:pt>
                  <c:pt idx="552">
                    <c:v>15/03/2022</c:v>
                  </c:pt>
                  <c:pt idx="553">
                    <c:v>15/03/2022</c:v>
                  </c:pt>
                  <c:pt idx="554">
                    <c:v>12/02/2025</c:v>
                  </c:pt>
                  <c:pt idx="555">
                    <c:v>17/11/2023</c:v>
                  </c:pt>
                  <c:pt idx="556">
                    <c:v>17/11/2023</c:v>
                  </c:pt>
                  <c:pt idx="557">
                    <c:v>15/03/2024</c:v>
                  </c:pt>
                  <c:pt idx="558">
                    <c:v>19/11/2025</c:v>
                  </c:pt>
                  <c:pt idx="559">
                    <c:v>12/12/2025</c:v>
                  </c:pt>
                  <c:pt idx="560">
                    <c:v>12/03/2025</c:v>
                  </c:pt>
                  <c:pt idx="561">
                    <c:v>19/03/2021</c:v>
                  </c:pt>
                  <c:pt idx="562">
                    <c:v>19/03/2021</c:v>
                  </c:pt>
                  <c:pt idx="563">
                    <c:v>02/10/2025</c:v>
                  </c:pt>
                  <c:pt idx="564">
                    <c:v>21/12/2023</c:v>
                  </c:pt>
                  <c:pt idx="565">
                    <c:v>30/10/2025</c:v>
                  </c:pt>
                  <c:pt idx="566">
                    <c:v>20/03/2023</c:v>
                  </c:pt>
                  <c:pt idx="567">
                    <c:v>17/05/2022</c:v>
                  </c:pt>
                  <c:pt idx="568">
                    <c:v>18/09/2025</c:v>
                  </c:pt>
                  <c:pt idx="569">
                    <c:v>13/01/2023</c:v>
                  </c:pt>
                  <c:pt idx="570">
                    <c:v>17/05/2022</c:v>
                  </c:pt>
                  <c:pt idx="571">
                    <c:v>24/11/2021</c:v>
                  </c:pt>
                  <c:pt idx="572">
                    <c:v>17/12/2024</c:v>
                  </c:pt>
                  <c:pt idx="573">
                    <c:v>31/07/2024</c:v>
                  </c:pt>
                  <c:pt idx="575">
                    <c:v>13/01/2023</c:v>
                  </c:pt>
                  <c:pt idx="576">
                    <c:v>10/03/2020</c:v>
                  </c:pt>
                  <c:pt idx="577">
                    <c:v>15/03/2021</c:v>
                  </c:pt>
                  <c:pt idx="579">
                    <c:v>30/12/2021</c:v>
                  </c:pt>
                  <c:pt idx="580">
                    <c:v>23/06/2021</c:v>
                  </c:pt>
                  <c:pt idx="581">
                    <c:v>29/09/2015</c:v>
                  </c:pt>
                  <c:pt idx="582">
                    <c:v>15/09/2025</c:v>
                  </c:pt>
                  <c:pt idx="583">
                    <c:v>25/04/2025</c:v>
                  </c:pt>
                  <c:pt idx="584">
                    <c:v>03/10/2016</c:v>
                  </c:pt>
                  <c:pt idx="585">
                    <c:v>30/04/2025</c:v>
                  </c:pt>
                  <c:pt idx="586">
                    <c:v>05/08/2025</c:v>
                  </c:pt>
                  <c:pt idx="587">
                    <c:v>05/08/2025</c:v>
                  </c:pt>
                  <c:pt idx="588">
                    <c:v>10/09/2024</c:v>
                  </c:pt>
                  <c:pt idx="589">
                    <c:v>17/05/2022</c:v>
                  </c:pt>
                  <c:pt idx="590">
                    <c:v>09/10/2025</c:v>
                  </c:pt>
                  <c:pt idx="591">
                    <c:v>09/10/2025</c:v>
                  </c:pt>
                  <c:pt idx="592">
                    <c:v>26/09/2025</c:v>
                  </c:pt>
                  <c:pt idx="593">
                    <c:v>11/09/2025</c:v>
                  </c:pt>
                  <c:pt idx="594">
                    <c:v>26/09/2025</c:v>
                  </c:pt>
                  <c:pt idx="595">
                    <c:v>08/12/2025</c:v>
                  </c:pt>
                  <c:pt idx="596">
                    <c:v>08/12/2025</c:v>
                  </c:pt>
                  <c:pt idx="597">
                    <c:v>11/09/2020</c:v>
                  </c:pt>
                  <c:pt idx="598">
                    <c:v>09/10/2025</c:v>
                  </c:pt>
                  <c:pt idx="599">
                    <c:v>09/10/2025</c:v>
                  </c:pt>
                  <c:pt idx="600">
                    <c:v>11/04/2023</c:v>
                  </c:pt>
                  <c:pt idx="601">
                    <c:v>11/04/2023</c:v>
                  </c:pt>
                  <c:pt idx="602">
                    <c:v>15/11/2023</c:v>
                  </c:pt>
                  <c:pt idx="603">
                    <c:v>15/11/2023</c:v>
                  </c:pt>
                  <c:pt idx="604">
                    <c:v>27/11/2021</c:v>
                  </c:pt>
                  <c:pt idx="605">
                    <c:v>05/06/2024</c:v>
                  </c:pt>
                  <c:pt idx="606">
                    <c:v>12/12/2024</c:v>
                  </c:pt>
                  <c:pt idx="607">
                    <c:v>15/09/2022</c:v>
                  </c:pt>
                  <c:pt idx="608">
                    <c:v>11/05/2023</c:v>
                  </c:pt>
                  <c:pt idx="609">
                    <c:v>12/12/2024</c:v>
                  </c:pt>
                  <c:pt idx="610">
                    <c:v>12/12/2024</c:v>
                  </c:pt>
                  <c:pt idx="611">
                    <c:v>12/12/2024</c:v>
                  </c:pt>
                  <c:pt idx="612">
                    <c:v>07/12/2023</c:v>
                  </c:pt>
                  <c:pt idx="613">
                    <c:v>12/12/2024</c:v>
                  </c:pt>
                  <c:pt idx="614">
                    <c:v>23/09/2025</c:v>
                  </c:pt>
                  <c:pt idx="615">
                    <c:v>14/11/2023</c:v>
                  </c:pt>
                  <c:pt idx="616">
                    <c:v>08/11/2022</c:v>
                  </c:pt>
                  <c:pt idx="617">
                    <c:v>10/10/2025</c:v>
                  </c:pt>
                  <c:pt idx="618">
                    <c:v>14/11/2023</c:v>
                  </c:pt>
                  <c:pt idx="619">
                    <c:v>31/05/2022</c:v>
                  </c:pt>
                  <c:pt idx="620">
                    <c:v>19/06/2025</c:v>
                  </c:pt>
                  <c:pt idx="621">
                    <c:v>27/11/2025</c:v>
                  </c:pt>
                  <c:pt idx="622">
                    <c:v>21/02/2022</c:v>
                  </c:pt>
                  <c:pt idx="623">
                    <c:v>17/08/2025</c:v>
                  </c:pt>
                  <c:pt idx="624">
                    <c:v>04/10/2021</c:v>
                  </c:pt>
                  <c:pt idx="625">
                    <c:v>12/02/2021</c:v>
                  </c:pt>
                  <c:pt idx="626">
                    <c:v>12/12/2022</c:v>
                  </c:pt>
                  <c:pt idx="627">
                    <c:v>12/12/2022</c:v>
                  </c:pt>
                  <c:pt idx="628">
                    <c:v>03/01/2023</c:v>
                  </c:pt>
                  <c:pt idx="629">
                    <c:v>03/01/2023</c:v>
                  </c:pt>
                  <c:pt idx="630">
                    <c:v>03/01/2023</c:v>
                  </c:pt>
                  <c:pt idx="631">
                    <c:v>31/05/2022</c:v>
                  </c:pt>
                  <c:pt idx="632">
                    <c:v>23/06/2021</c:v>
                  </c:pt>
                  <c:pt idx="633">
                    <c:v>17/02/2024</c:v>
                  </c:pt>
                  <c:pt idx="634">
                    <c:v>09/02/2023</c:v>
                  </c:pt>
                  <c:pt idx="635">
                    <c:v>09/02/2023</c:v>
                  </c:pt>
                  <c:pt idx="636">
                    <c:v>14/02/2024</c:v>
                  </c:pt>
                  <c:pt idx="637">
                    <c:v>18/01/2023</c:v>
                  </c:pt>
                  <c:pt idx="638">
                    <c:v>13/02/2025</c:v>
                  </c:pt>
                  <c:pt idx="639">
                    <c:v>14/06/2014</c:v>
                  </c:pt>
                  <c:pt idx="640">
                    <c:v>10/10/2020</c:v>
                  </c:pt>
                  <c:pt idx="641">
                    <c:v>10/03/2020</c:v>
                  </c:pt>
                  <c:pt idx="642">
                    <c:v>01/06/2020</c:v>
                  </c:pt>
                  <c:pt idx="643">
                    <c:v>01/06/2020</c:v>
                  </c:pt>
                  <c:pt idx="644">
                    <c:v>01/06/2020</c:v>
                  </c:pt>
                  <c:pt idx="645">
                    <c:v>16/09/2021</c:v>
                  </c:pt>
                  <c:pt idx="646">
                    <c:v>20/03/2023</c:v>
                  </c:pt>
                  <c:pt idx="647">
                    <c:v>11/01/2025</c:v>
                  </c:pt>
                  <c:pt idx="648">
                    <c:v>12/03/2021</c:v>
                  </c:pt>
                  <c:pt idx="649">
                    <c:v>12/03/2021</c:v>
                  </c:pt>
                  <c:pt idx="650">
                    <c:v>07/04/2021</c:v>
                  </c:pt>
                  <c:pt idx="651">
                    <c:v>20/03/2023</c:v>
                  </c:pt>
                  <c:pt idx="652">
                    <c:v>18/01/2023</c:v>
                  </c:pt>
                  <c:pt idx="653">
                    <c:v>18/01/2023</c:v>
                  </c:pt>
                  <c:pt idx="654">
                    <c:v>18/01/2023</c:v>
                  </c:pt>
                  <c:pt idx="655">
                    <c:v>18/01/2023</c:v>
                  </c:pt>
                  <c:pt idx="656">
                    <c:v>15/04/2025</c:v>
                  </c:pt>
                  <c:pt idx="657">
                    <c:v>19/08/2016</c:v>
                  </c:pt>
                  <c:pt idx="658">
                    <c:v>20/08/2013</c:v>
                  </c:pt>
                  <c:pt idx="659">
                    <c:v>20/08/2013</c:v>
                  </c:pt>
                  <c:pt idx="660">
                    <c:v>02/10/2024</c:v>
                  </c:pt>
                  <c:pt idx="661">
                    <c:v>02/10/2024</c:v>
                  </c:pt>
                  <c:pt idx="662">
                    <c:v>02/10/2024</c:v>
                  </c:pt>
                  <c:pt idx="663">
                    <c:v>02/10/2024</c:v>
                  </c:pt>
                  <c:pt idx="664">
                    <c:v>02/10/2024</c:v>
                  </c:pt>
                  <c:pt idx="665">
                    <c:v>02/10/2024</c:v>
                  </c:pt>
                  <c:pt idx="666">
                    <c:v>21/11/2025</c:v>
                  </c:pt>
                  <c:pt idx="667">
                    <c:v>15/11/2024</c:v>
                  </c:pt>
                  <c:pt idx="668">
                    <c:v>15/11/2024</c:v>
                  </c:pt>
                  <c:pt idx="670">
                    <c:v>05/12/2023</c:v>
                  </c:pt>
                  <c:pt idx="671">
                    <c:v>05/12/2023</c:v>
                  </c:pt>
                  <c:pt idx="672">
                    <c:v>27/04/2022</c:v>
                  </c:pt>
                  <c:pt idx="673">
                    <c:v>11/01/2022</c:v>
                  </c:pt>
                  <c:pt idx="674">
                    <c:v>13/10/2025</c:v>
                  </c:pt>
                  <c:pt idx="675">
                    <c:v>07/02/2024</c:v>
                  </c:pt>
                  <c:pt idx="676">
                    <c:v>07/02/2024</c:v>
                  </c:pt>
                  <c:pt idx="677">
                    <c:v>15/04/2025</c:v>
                  </c:pt>
                  <c:pt idx="678">
                    <c:v>09/09/2025</c:v>
                  </c:pt>
                  <c:pt idx="679">
                    <c:v>12/07/2025</c:v>
                  </c:pt>
                  <c:pt idx="680">
                    <c:v>23/09/2025</c:v>
                  </c:pt>
                  <c:pt idx="681">
                    <c:v>25/09/2025</c:v>
                  </c:pt>
                  <c:pt idx="682">
                    <c:v>25/09/2025</c:v>
                  </c:pt>
                  <c:pt idx="683">
                    <c:v>30/03/2023</c:v>
                  </c:pt>
                  <c:pt idx="684">
                    <c:v>30/03/2023</c:v>
                  </c:pt>
                  <c:pt idx="685">
                    <c:v>13/07/2023</c:v>
                  </c:pt>
                  <c:pt idx="686">
                    <c:v>13/07/2023</c:v>
                  </c:pt>
                  <c:pt idx="687">
                    <c:v>14/01/2021</c:v>
                  </c:pt>
                  <c:pt idx="688">
                    <c:v>feb-25</c:v>
                  </c:pt>
                  <c:pt idx="689">
                    <c:v>12/07/2025</c:v>
                  </c:pt>
                  <c:pt idx="690">
                    <c:v>29/03/2023</c:v>
                  </c:pt>
                  <c:pt idx="691">
                    <c:v>29/03/2023</c:v>
                  </c:pt>
                  <c:pt idx="692">
                    <c:v>29/03/2023</c:v>
                  </c:pt>
                  <c:pt idx="693">
                    <c:v>29/03/2023</c:v>
                  </c:pt>
                  <c:pt idx="694">
                    <c:v>10/09/2024</c:v>
                  </c:pt>
                  <c:pt idx="695">
                    <c:v>08/04/2024</c:v>
                  </c:pt>
                  <c:pt idx="696">
                    <c:v>08/04/2024</c:v>
                  </c:pt>
                  <c:pt idx="697">
                    <c:v>08/04/2024</c:v>
                  </c:pt>
                  <c:pt idx="698">
                    <c:v>08/04/2024</c:v>
                  </c:pt>
                  <c:pt idx="699">
                    <c:v>04/07/2025</c:v>
                  </c:pt>
                  <c:pt idx="700">
                    <c:v>04/07/2025</c:v>
                  </c:pt>
                  <c:pt idx="701">
                    <c:v>29/03/2023</c:v>
                  </c:pt>
                  <c:pt idx="702">
                    <c:v>29/03/2023</c:v>
                  </c:pt>
                  <c:pt idx="703">
                    <c:v>08/04/024</c:v>
                  </c:pt>
                  <c:pt idx="704">
                    <c:v>24/12/2025</c:v>
                  </c:pt>
                  <c:pt idx="705">
                    <c:v>24/12/2025</c:v>
                  </c:pt>
                  <c:pt idx="706">
                    <c:v>26/01/2023</c:v>
                  </c:pt>
                  <c:pt idx="707">
                    <c:v>07/10/2025</c:v>
                  </c:pt>
                  <c:pt idx="708">
                    <c:v>07/10/2025</c:v>
                  </c:pt>
                  <c:pt idx="709">
                    <c:v>10/12/20255</c:v>
                  </c:pt>
                  <c:pt idx="710">
                    <c:v>10/12/20255</c:v>
                  </c:pt>
                  <c:pt idx="711">
                    <c:v>22/04/2025</c:v>
                  </c:pt>
                  <c:pt idx="712">
                    <c:v>22/04/2025</c:v>
                  </c:pt>
                  <c:pt idx="713">
                    <c:v>01/11/2025</c:v>
                  </c:pt>
                  <c:pt idx="714">
                    <c:v>01/11/2025</c:v>
                  </c:pt>
                  <c:pt idx="715">
                    <c:v>01/02/2024</c:v>
                  </c:pt>
                  <c:pt idx="716">
                    <c:v>01/02/2024</c:v>
                  </c:pt>
                  <c:pt idx="717">
                    <c:v>07/01/2025</c:v>
                  </c:pt>
                  <c:pt idx="718">
                    <c:v>01/02/2024</c:v>
                  </c:pt>
                  <c:pt idx="719">
                    <c:v>12/07/2025</c:v>
                  </c:pt>
                  <c:pt idx="720">
                    <c:v>12/07/2025</c:v>
                  </c:pt>
                  <c:pt idx="721">
                    <c:v>15/11/2024</c:v>
                  </c:pt>
                  <c:pt idx="722">
                    <c:v>23/09/2025</c:v>
                  </c:pt>
                  <c:pt idx="723">
                    <c:v>03/10/2024</c:v>
                  </c:pt>
                  <c:pt idx="724">
                    <c:v>13/03/2025</c:v>
                  </c:pt>
                  <c:pt idx="725">
                    <c:v>13/03/2025</c:v>
                  </c:pt>
                  <c:pt idx="726">
                    <c:v>22/12/2025</c:v>
                  </c:pt>
                  <c:pt idx="727">
                    <c:v>22/12/2025</c:v>
                  </c:pt>
                  <c:pt idx="728">
                    <c:v>24/03/2020</c:v>
                  </c:pt>
                  <c:pt idx="729">
                    <c:v>24/03/2020</c:v>
                  </c:pt>
                  <c:pt idx="730">
                    <c:v>06/10/2025</c:v>
                  </c:pt>
                  <c:pt idx="731">
                    <c:v>06/10/2025</c:v>
                  </c:pt>
                  <c:pt idx="732">
                    <c:v>16/07/2022</c:v>
                  </c:pt>
                  <c:pt idx="733">
                    <c:v>06/09/2023</c:v>
                  </c:pt>
                  <c:pt idx="734">
                    <c:v>28/06/2024</c:v>
                  </c:pt>
                  <c:pt idx="735">
                    <c:v>23/11/2021</c:v>
                  </c:pt>
                  <c:pt idx="736">
                    <c:v>25/05/2025</c:v>
                  </c:pt>
                  <c:pt idx="739">
                    <c:v>27/07/2023</c:v>
                  </c:pt>
                  <c:pt idx="740">
                    <c:v>31/07/2024</c:v>
                  </c:pt>
                  <c:pt idx="741">
                    <c:v>27/07/2023</c:v>
                  </c:pt>
                  <c:pt idx="742">
                    <c:v>05/03/2025</c:v>
                  </c:pt>
                  <c:pt idx="743">
                    <c:v>12/03/2021</c:v>
                  </c:pt>
                  <c:pt idx="744">
                    <c:v>20/11/2025</c:v>
                  </c:pt>
                  <c:pt idx="749">
                    <c:v>16/08/2023</c:v>
                  </c:pt>
                  <c:pt idx="750">
                    <c:v>20/10/2023</c:v>
                  </c:pt>
                  <c:pt idx="751">
                    <c:v>04/10/2023</c:v>
                  </c:pt>
                  <c:pt idx="754">
                    <c:v>24/10/2024</c:v>
                  </c:pt>
                  <c:pt idx="755">
                    <c:v>03/11/2025</c:v>
                  </c:pt>
                  <c:pt idx="756">
                    <c:v>03/11/2025</c:v>
                  </c:pt>
                  <c:pt idx="757">
                    <c:v>03/11/2025</c:v>
                  </c:pt>
                  <c:pt idx="758">
                    <c:v>20/11/2025</c:v>
                  </c:pt>
                  <c:pt idx="759">
                    <c:v>20/11/2025</c:v>
                  </c:pt>
                  <c:pt idx="760">
                    <c:v>22/06/2022</c:v>
                  </c:pt>
                  <c:pt idx="761">
                    <c:v>09/01/2020</c:v>
                  </c:pt>
                  <c:pt idx="762">
                    <c:v>09/01/2020</c:v>
                  </c:pt>
                  <c:pt idx="763">
                    <c:v>10/01/2024</c:v>
                  </c:pt>
                  <c:pt idx="764">
                    <c:v>16/04/2025</c:v>
                  </c:pt>
                  <c:pt idx="765">
                    <c:v>09/09/2025</c:v>
                  </c:pt>
                  <c:pt idx="766">
                    <c:v>14/03/2025</c:v>
                  </c:pt>
                  <c:pt idx="767">
                    <c:v>21/10/2023</c:v>
                  </c:pt>
                  <c:pt idx="768">
                    <c:v>08/12/2025</c:v>
                  </c:pt>
                  <c:pt idx="769">
                    <c:v>27/03/2025</c:v>
                  </c:pt>
                  <c:pt idx="770">
                    <c:v>18/11/2025</c:v>
                  </c:pt>
                  <c:pt idx="771">
                    <c:v>28/02/2024</c:v>
                  </c:pt>
                  <c:pt idx="772">
                    <c:v>18/10/2025</c:v>
                  </c:pt>
                  <c:pt idx="773">
                    <c:v>14/10/2024</c:v>
                  </c:pt>
                  <c:pt idx="774">
                    <c:v>25/07/2024</c:v>
                  </c:pt>
                  <c:pt idx="775">
                    <c:v>10/03/2020</c:v>
                  </c:pt>
                  <c:pt idx="776">
                    <c:v>05/05/2020</c:v>
                  </c:pt>
                  <c:pt idx="777">
                    <c:v>15/03/2022</c:v>
                  </c:pt>
                  <c:pt idx="778">
                    <c:v>21/11/2025</c:v>
                  </c:pt>
                  <c:pt idx="779">
                    <c:v>26/07/2024</c:v>
                  </c:pt>
                  <c:pt idx="780">
                    <c:v>26/07/2024</c:v>
                  </c:pt>
                  <c:pt idx="781">
                    <c:v>26/05/2020</c:v>
                  </c:pt>
                  <c:pt idx="782">
                    <c:v>10/10/2020</c:v>
                  </c:pt>
                  <c:pt idx="783">
                    <c:v>31/07/2024</c:v>
                  </c:pt>
                  <c:pt idx="784">
                    <c:v>08/08/2021</c:v>
                  </c:pt>
                  <c:pt idx="785">
                    <c:v>08/08/2021</c:v>
                  </c:pt>
                  <c:pt idx="786">
                    <c:v>23/09/2021</c:v>
                  </c:pt>
                  <c:pt idx="787">
                    <c:v>25/07/2020</c:v>
                  </c:pt>
                  <c:pt idx="788">
                    <c:v>16/03/2022</c:v>
                  </c:pt>
                  <c:pt idx="789">
                    <c:v>07/06/2024</c:v>
                  </c:pt>
                  <c:pt idx="790">
                    <c:v>07/06/2024</c:v>
                  </c:pt>
                  <c:pt idx="791">
                    <c:v>07/06/2024</c:v>
                  </c:pt>
                  <c:pt idx="792">
                    <c:v>17/10/2024</c:v>
                  </c:pt>
                  <c:pt idx="793">
                    <c:v>01/03/2023</c:v>
                  </c:pt>
                  <c:pt idx="794">
                    <c:v>10/03/2020</c:v>
                  </c:pt>
                  <c:pt idx="796">
                    <c:v>29/07/2025</c:v>
                  </c:pt>
                  <c:pt idx="797">
                    <c:v>29/07/2025</c:v>
                  </c:pt>
                  <c:pt idx="798">
                    <c:v>30/01/2025</c:v>
                  </c:pt>
                  <c:pt idx="799">
                    <c:v>23/01/2023</c:v>
                  </c:pt>
                  <c:pt idx="800">
                    <c:v>28/09/2023</c:v>
                  </c:pt>
                  <c:pt idx="801">
                    <c:v>14/03/2023</c:v>
                  </c:pt>
                  <c:pt idx="802">
                    <c:v>14/03/2023</c:v>
                  </c:pt>
                  <c:pt idx="803">
                    <c:v>14/03/2023</c:v>
                  </c:pt>
                  <c:pt idx="804">
                    <c:v>22/06/2023</c:v>
                  </c:pt>
                  <c:pt idx="805">
                    <c:v>07/07/2022</c:v>
                  </c:pt>
                  <c:pt idx="806">
                    <c:v>06/04/2022</c:v>
                  </c:pt>
                  <c:pt idx="807">
                    <c:v>20/03/2023</c:v>
                  </c:pt>
                  <c:pt idx="808">
                    <c:v>20/03/2023</c:v>
                  </c:pt>
                  <c:pt idx="809">
                    <c:v>20/03/2023</c:v>
                  </c:pt>
                  <c:pt idx="810">
                    <c:v>05/05/2020</c:v>
                  </c:pt>
                  <c:pt idx="811">
                    <c:v>09/09/2022</c:v>
                  </c:pt>
                  <c:pt idx="812">
                    <c:v>09/09/2022</c:v>
                  </c:pt>
                  <c:pt idx="813">
                    <c:v>16/09/2021</c:v>
                  </c:pt>
                  <c:pt idx="814">
                    <c:v>30/09/2022</c:v>
                  </c:pt>
                  <c:pt idx="815">
                    <c:v>10/09/2024</c:v>
                  </c:pt>
                  <c:pt idx="816">
                    <c:v>10/09/2024</c:v>
                  </c:pt>
                  <c:pt idx="817">
                    <c:v>10/09/2024</c:v>
                  </c:pt>
                  <c:pt idx="818">
                    <c:v>19/05/2020</c:v>
                  </c:pt>
                  <c:pt idx="819">
                    <c:v>15/10/2025</c:v>
                  </c:pt>
                  <c:pt idx="820">
                    <c:v>15/10/2025</c:v>
                  </c:pt>
                  <c:pt idx="821">
                    <c:v>04/06/2025</c:v>
                  </c:pt>
                  <c:pt idx="822">
                    <c:v>04/06/2025</c:v>
                  </c:pt>
                  <c:pt idx="823">
                    <c:v>20/11/2025</c:v>
                  </c:pt>
                  <c:pt idx="824">
                    <c:v>20/11/2025</c:v>
                  </c:pt>
                  <c:pt idx="825">
                    <c:v>20/11/2025</c:v>
                  </c:pt>
                  <c:pt idx="826">
                    <c:v>20/11/2025</c:v>
                  </c:pt>
                  <c:pt idx="827">
                    <c:v>20/11/2025</c:v>
                  </c:pt>
                  <c:pt idx="828">
                    <c:v>24/04/2020</c:v>
                  </c:pt>
                  <c:pt idx="829">
                    <c:v>30/10/2025</c:v>
                  </c:pt>
                  <c:pt idx="830">
                    <c:v>20/11/2025</c:v>
                  </c:pt>
                  <c:pt idx="831">
                    <c:v>07/05/2021</c:v>
                  </c:pt>
                  <c:pt idx="832">
                    <c:v>11/05/2023</c:v>
                  </c:pt>
                  <c:pt idx="833">
                    <c:v>30/10/2025</c:v>
                  </c:pt>
                  <c:pt idx="834">
                    <c:v>30/10/2025</c:v>
                  </c:pt>
                  <c:pt idx="835">
                    <c:v>25/04/2024</c:v>
                  </c:pt>
                  <c:pt idx="836">
                    <c:v>16/08/2023</c:v>
                  </c:pt>
                  <c:pt idx="837">
                    <c:v>16/08/2023</c:v>
                  </c:pt>
                  <c:pt idx="838">
                    <c:v>13/07/2022</c:v>
                  </c:pt>
                  <c:pt idx="839">
                    <c:v>27/07/2023</c:v>
                  </c:pt>
                  <c:pt idx="840">
                    <c:v>16/11/2022</c:v>
                  </c:pt>
                  <c:pt idx="841">
                    <c:v>22/03/2022</c:v>
                  </c:pt>
                  <c:pt idx="842">
                    <c:v>12/08/2022</c:v>
                  </c:pt>
                  <c:pt idx="843">
                    <c:v>20/11/2025</c:v>
                  </c:pt>
                  <c:pt idx="844">
                    <c:v>20/11/2025</c:v>
                  </c:pt>
                  <c:pt idx="845">
                    <c:v>20/11/2025</c:v>
                  </c:pt>
                  <c:pt idx="846">
                    <c:v>09/04/2021</c:v>
                  </c:pt>
                  <c:pt idx="847">
                    <c:v>21/11/2023</c:v>
                  </c:pt>
                  <c:pt idx="848">
                    <c:v>21/02/2022</c:v>
                  </c:pt>
                  <c:pt idx="849">
                    <c:v>07/01/2026</c:v>
                  </c:pt>
                  <c:pt idx="850">
                    <c:v>30/11/2022</c:v>
                  </c:pt>
                  <c:pt idx="851">
                    <c:v>30/11/2022</c:v>
                  </c:pt>
                  <c:pt idx="852">
                    <c:v>12/02/2021</c:v>
                  </c:pt>
                  <c:pt idx="853">
                    <c:v>24/03/2025</c:v>
                  </c:pt>
                  <c:pt idx="854">
                    <c:v>23/12/2020</c:v>
                  </c:pt>
                  <c:pt idx="855">
                    <c:v>23/12/2020</c:v>
                  </c:pt>
                  <c:pt idx="856">
                    <c:v>16/08/2021</c:v>
                  </c:pt>
                  <c:pt idx="857">
                    <c:v>24/03/2025</c:v>
                  </c:pt>
                  <c:pt idx="858">
                    <c:v>24/03/2025</c:v>
                  </c:pt>
                  <c:pt idx="859">
                    <c:v>05/05/2020</c:v>
                  </c:pt>
                  <c:pt idx="860">
                    <c:v>24/03/2025</c:v>
                  </c:pt>
                  <c:pt idx="861">
                    <c:v>24/03/2025</c:v>
                  </c:pt>
                  <c:pt idx="862">
                    <c:v>30/11/2022</c:v>
                  </c:pt>
                  <c:pt idx="863">
                    <c:v>27/04/2022</c:v>
                  </c:pt>
                  <c:pt idx="864">
                    <c:v>18/03/2025</c:v>
                  </c:pt>
                  <c:pt idx="865">
                    <c:v>10/12/2024</c:v>
                  </c:pt>
                  <c:pt idx="866">
                    <c:v>02/03/2021</c:v>
                  </c:pt>
                  <c:pt idx="867">
                    <c:v>06/01/2026</c:v>
                  </c:pt>
                  <c:pt idx="868">
                    <c:v>10/12/2024</c:v>
                  </c:pt>
                  <c:pt idx="869">
                    <c:v>05/05/2020</c:v>
                  </c:pt>
                  <c:pt idx="870">
                    <c:v>15/11/2023</c:v>
                  </c:pt>
                  <c:pt idx="871">
                    <c:v>15/09/2025</c:v>
                  </c:pt>
                  <c:pt idx="872">
                    <c:v>23/04/2025</c:v>
                  </c:pt>
                  <c:pt idx="873">
                    <c:v>28/03/2022</c:v>
                  </c:pt>
                  <c:pt idx="874">
                    <c:v>28/03/2022</c:v>
                  </c:pt>
                  <c:pt idx="875">
                    <c:v>28/03/2022</c:v>
                  </c:pt>
                  <c:pt idx="876">
                    <c:v>25/04/2022</c:v>
                  </c:pt>
                  <c:pt idx="877">
                    <c:v>22/02/2021</c:v>
                  </c:pt>
                  <c:pt idx="878">
                    <c:v>29/10/2021</c:v>
                  </c:pt>
                  <c:pt idx="879">
                    <c:v>15/03/2022</c:v>
                  </c:pt>
                  <c:pt idx="880">
                    <c:v>07/10/2024</c:v>
                  </c:pt>
                  <c:pt idx="881">
                    <c:v>13/07/2022</c:v>
                  </c:pt>
                  <c:pt idx="882">
                    <c:v>28/10/2023</c:v>
                  </c:pt>
                  <c:pt idx="883">
                    <c:v>29/10/2025</c:v>
                  </c:pt>
                  <c:pt idx="884">
                    <c:v>15/03/2021</c:v>
                  </c:pt>
                  <c:pt idx="885">
                    <c:v>11/11/2021</c:v>
                  </c:pt>
                  <c:pt idx="886">
                    <c:v>29/09/2025</c:v>
                  </c:pt>
                  <c:pt idx="887">
                    <c:v>29/09/2025</c:v>
                  </c:pt>
                  <c:pt idx="888">
                    <c:v>29/09/2025</c:v>
                  </c:pt>
                  <c:pt idx="889">
                    <c:v>13/01/2023</c:v>
                  </c:pt>
                  <c:pt idx="890">
                    <c:v>15/04/2025</c:v>
                  </c:pt>
                  <c:pt idx="891">
                    <c:v>06/04/2022</c:v>
                  </c:pt>
                  <c:pt idx="892">
                    <c:v>06/04/2022</c:v>
                  </c:pt>
                  <c:pt idx="893">
                    <c:v>10/04/2023</c:v>
                  </c:pt>
                  <c:pt idx="894">
                    <c:v>07/10/2024</c:v>
                  </c:pt>
                  <c:pt idx="895">
                    <c:v>10/12/2024</c:v>
                  </c:pt>
                  <c:pt idx="896">
                    <c:v>10/12/2024</c:v>
                  </c:pt>
                  <c:pt idx="897">
                    <c:v>06/09/2023</c:v>
                  </c:pt>
                  <c:pt idx="898">
                    <c:v>22/02/2021</c:v>
                  </c:pt>
                  <c:pt idx="899">
                    <c:v>06/04/2022</c:v>
                  </c:pt>
                  <c:pt idx="900">
                    <c:v>06/04/2022</c:v>
                  </c:pt>
                  <c:pt idx="901">
                    <c:v>06/04/2022</c:v>
                  </c:pt>
                  <c:pt idx="902">
                    <c:v>05/05/2020</c:v>
                  </c:pt>
                  <c:pt idx="903">
                    <c:v>22/02/2021</c:v>
                  </c:pt>
                  <c:pt idx="904">
                    <c:v>07/06/2024</c:v>
                  </c:pt>
                  <c:pt idx="905">
                    <c:v>30/12/2024</c:v>
                  </c:pt>
                  <c:pt idx="906">
                    <c:v>29/09/2025</c:v>
                  </c:pt>
                  <c:pt idx="907">
                    <c:v>20/11/2025</c:v>
                  </c:pt>
                  <c:pt idx="908">
                    <c:v>12/02/2021</c:v>
                  </c:pt>
                  <c:pt idx="909">
                    <c:v>12/02/2021</c:v>
                  </c:pt>
                  <c:pt idx="910">
                    <c:v>02/12/2021</c:v>
                  </c:pt>
                  <c:pt idx="911">
                    <c:v>02/12/2021</c:v>
                  </c:pt>
                  <c:pt idx="912">
                    <c:v>16/01/2025</c:v>
                  </c:pt>
                  <c:pt idx="913">
                    <c:v>17/08/2025</c:v>
                  </c:pt>
                  <c:pt idx="914">
                    <c:v>19/02/2024</c:v>
                  </c:pt>
                  <c:pt idx="915">
                    <c:v>17/08/2025</c:v>
                  </c:pt>
                  <c:pt idx="916">
                    <c:v>30/04/2025</c:v>
                  </c:pt>
                  <c:pt idx="917">
                    <c:v>30/04/2025</c:v>
                  </c:pt>
                  <c:pt idx="918">
                    <c:v>07/07/2022</c:v>
                  </c:pt>
                  <c:pt idx="919">
                    <c:v>25/04/2024</c:v>
                  </c:pt>
                  <c:pt idx="920">
                    <c:v>28/11/2023</c:v>
                  </c:pt>
                  <c:pt idx="921">
                    <c:v>11/07/2025</c:v>
                  </c:pt>
                  <c:pt idx="922">
                    <c:v>11/01/2025</c:v>
                  </c:pt>
                  <c:pt idx="923">
                    <c:v>20/10/2023</c:v>
                  </c:pt>
                  <c:pt idx="924">
                    <c:v>28/11/2023</c:v>
                  </c:pt>
                  <c:pt idx="925">
                    <c:v>20/11/2025</c:v>
                  </c:pt>
                  <c:pt idx="926">
                    <c:v>21/10/2023</c:v>
                  </c:pt>
                  <c:pt idx="931">
                    <c:v>25/04/2025</c:v>
                  </c:pt>
                  <c:pt idx="932">
                    <c:v>25/04/2025</c:v>
                  </c:pt>
                  <c:pt idx="933">
                    <c:v>27/12/2024</c:v>
                  </c:pt>
                  <c:pt idx="934">
                    <c:v>27/12/2024</c:v>
                  </c:pt>
                  <c:pt idx="935">
                    <c:v>27/12/2024</c:v>
                  </c:pt>
                  <c:pt idx="936">
                    <c:v>27/12/2024</c:v>
                  </c:pt>
                  <c:pt idx="937">
                    <c:v>27/12/2024</c:v>
                  </c:pt>
                  <c:pt idx="938">
                    <c:v>27/12/2024</c:v>
                  </c:pt>
                  <c:pt idx="939">
                    <c:v>06/06/2024</c:v>
                  </c:pt>
                  <c:pt idx="940">
                    <c:v>31/07/2024</c:v>
                  </c:pt>
                  <c:pt idx="941">
                    <c:v>16/11/2022</c:v>
                  </c:pt>
                  <c:pt idx="942">
                    <c:v>06/10/2022</c:v>
                  </c:pt>
                  <c:pt idx="943">
                    <c:v>03/03/2021</c:v>
                  </c:pt>
                  <c:pt idx="944">
                    <c:v>25/04/2024</c:v>
                  </c:pt>
                  <c:pt idx="945">
                    <c:v>28/03/2022</c:v>
                  </c:pt>
                  <c:pt idx="946">
                    <c:v>27/12/2024</c:v>
                  </c:pt>
                  <c:pt idx="947">
                    <c:v>27/12/2024</c:v>
                  </c:pt>
                  <c:pt idx="948">
                    <c:v>27/12/2024</c:v>
                  </c:pt>
                  <c:pt idx="949">
                    <c:v>21/09/2021</c:v>
                  </c:pt>
                  <c:pt idx="950">
                    <c:v>25/04/2024</c:v>
                  </c:pt>
                  <c:pt idx="951">
                    <c:v>25/04/2024</c:v>
                  </c:pt>
                  <c:pt idx="952">
                    <c:v>25/04/2024</c:v>
                  </c:pt>
                  <c:pt idx="953">
                    <c:v>13/01/2023</c:v>
                  </c:pt>
                  <c:pt idx="954">
                    <c:v>25/04/2024</c:v>
                  </c:pt>
                  <c:pt idx="955">
                    <c:v>26/10/2023</c:v>
                  </c:pt>
                  <c:pt idx="956">
                    <c:v>04/06/2025</c:v>
                  </c:pt>
                  <c:pt idx="957">
                    <c:v>30/10/2025</c:v>
                  </c:pt>
                  <c:pt idx="958">
                    <c:v>30/10/2025</c:v>
                  </c:pt>
                  <c:pt idx="959">
                    <c:v>04/11/2025</c:v>
                  </c:pt>
                  <c:pt idx="960">
                    <c:v>16/03/2023</c:v>
                  </c:pt>
                  <c:pt idx="961">
                    <c:v>18/09/2025</c:v>
                  </c:pt>
                  <c:pt idx="962">
                    <c:v>07/07/2022</c:v>
                  </c:pt>
                  <c:pt idx="963">
                    <c:v>07/07/2022</c:v>
                  </c:pt>
                  <c:pt idx="964">
                    <c:v>07/07/2022</c:v>
                  </c:pt>
                  <c:pt idx="965">
                    <c:v>07/07/2022</c:v>
                  </c:pt>
                  <c:pt idx="966">
                    <c:v>14/11/2023</c:v>
                  </c:pt>
                  <c:pt idx="967">
                    <c:v>07/07/2022</c:v>
                  </c:pt>
                  <c:pt idx="968">
                    <c:v>21/09/2021</c:v>
                  </c:pt>
                  <c:pt idx="969">
                    <c:v>21/09/2021</c:v>
                  </c:pt>
                  <c:pt idx="971">
                    <c:v>20/11/2025</c:v>
                  </c:pt>
                  <c:pt idx="972">
                    <c:v>20/11/2025</c:v>
                  </c:pt>
                  <c:pt idx="973">
                    <c:v>20/11/2025</c:v>
                  </c:pt>
                  <c:pt idx="974">
                    <c:v>04/06/2025</c:v>
                  </c:pt>
                  <c:pt idx="975">
                    <c:v>15/07/2021</c:v>
                  </c:pt>
                  <c:pt idx="976">
                    <c:v>09/09/2025</c:v>
                  </c:pt>
                  <c:pt idx="977">
                    <c:v>04/06/2025</c:v>
                  </c:pt>
                  <c:pt idx="978">
                    <c:v>04/06/2025</c:v>
                  </c:pt>
                  <c:pt idx="979">
                    <c:v>20/11/2025</c:v>
                  </c:pt>
                  <c:pt idx="980">
                    <c:v>07/07/2022</c:v>
                  </c:pt>
                  <c:pt idx="981">
                    <c:v>07/07/2022</c:v>
                  </c:pt>
                  <c:pt idx="982">
                    <c:v>18/09/2025</c:v>
                  </c:pt>
                  <c:pt idx="983">
                    <c:v>16/03/2023</c:v>
                  </c:pt>
                  <c:pt idx="984">
                    <c:v>20/10/2023</c:v>
                  </c:pt>
                  <c:pt idx="985">
                    <c:v>20/10/2023</c:v>
                  </c:pt>
                  <c:pt idx="986">
                    <c:v>20/10/2023</c:v>
                  </c:pt>
                  <c:pt idx="987">
                    <c:v>20/10/2023</c:v>
                  </c:pt>
                  <c:pt idx="988">
                    <c:v>29/06/2020</c:v>
                  </c:pt>
                  <c:pt idx="989">
                    <c:v>20/10/2023</c:v>
                  </c:pt>
                  <c:pt idx="990">
                    <c:v>20/10/2023</c:v>
                  </c:pt>
                  <c:pt idx="991">
                    <c:v>20/07/2023</c:v>
                  </c:pt>
                  <c:pt idx="992">
                    <c:v>29/09/2025</c:v>
                  </c:pt>
                  <c:pt idx="993">
                    <c:v>20/03/2023</c:v>
                  </c:pt>
                  <c:pt idx="994">
                    <c:v>29/09/2025</c:v>
                  </c:pt>
                  <c:pt idx="995">
                    <c:v>29/09/2025</c:v>
                  </c:pt>
                  <c:pt idx="996">
                    <c:v>20/03/2023</c:v>
                  </c:pt>
                  <c:pt idx="997">
                    <c:v>22/03/2022</c:v>
                  </c:pt>
                  <c:pt idx="998">
                    <c:v>30/10/2025</c:v>
                  </c:pt>
                  <c:pt idx="999">
                    <c:v>30/10/2025</c:v>
                  </c:pt>
                  <c:pt idx="1000">
                    <c:v>30/10/2025</c:v>
                  </c:pt>
                  <c:pt idx="1001">
                    <c:v>30/10/2025</c:v>
                  </c:pt>
                  <c:pt idx="1002">
                    <c:v>30/10/2025</c:v>
                  </c:pt>
                  <c:pt idx="1003">
                    <c:v>28/03/2022</c:v>
                  </c:pt>
                  <c:pt idx="1004">
                    <c:v>30/10/2025</c:v>
                  </c:pt>
                  <c:pt idx="1005">
                    <c:v>30/10/2025</c:v>
                  </c:pt>
                  <c:pt idx="1006">
                    <c:v>30/10/2025</c:v>
                  </c:pt>
                  <c:pt idx="1007">
                    <c:v>30/10/2025</c:v>
                  </c:pt>
                  <c:pt idx="1008">
                    <c:v>15/03/2024</c:v>
                  </c:pt>
                  <c:pt idx="1009">
                    <c:v>15/03/2024</c:v>
                  </c:pt>
                  <c:pt idx="1010">
                    <c:v>15/03/2024</c:v>
                  </c:pt>
                  <c:pt idx="1011">
                    <c:v>28/03/2022</c:v>
                  </c:pt>
                  <c:pt idx="1012">
                    <c:v>29/09/2025</c:v>
                  </c:pt>
                  <c:pt idx="1013">
                    <c:v>16/06/2022</c:v>
                  </c:pt>
                  <c:pt idx="1014">
                    <c:v>16/06/2022</c:v>
                  </c:pt>
                  <c:pt idx="1015">
                    <c:v>16/09/2022</c:v>
                  </c:pt>
                  <c:pt idx="1016">
                    <c:v>16/06/2022</c:v>
                  </c:pt>
                  <c:pt idx="1017">
                    <c:v>16/06/2022</c:v>
                  </c:pt>
                  <c:pt idx="1018">
                    <c:v>04/06/2025</c:v>
                  </c:pt>
                  <c:pt idx="1019">
                    <c:v>04/06/2025</c:v>
                  </c:pt>
                  <c:pt idx="1020">
                    <c:v>04/06/2025</c:v>
                  </c:pt>
                  <c:pt idx="1021">
                    <c:v>04/06/2025</c:v>
                  </c:pt>
                  <c:pt idx="1022">
                    <c:v>14/11/2024</c:v>
                  </c:pt>
                  <c:pt idx="1023">
                    <c:v>27/01/2024</c:v>
                  </c:pt>
                  <c:pt idx="1024">
                    <c:v>14/11/2024</c:v>
                  </c:pt>
                  <c:pt idx="1025">
                    <c:v>10/09/2024</c:v>
                  </c:pt>
                  <c:pt idx="1026">
                    <c:v>25/04/2025</c:v>
                  </c:pt>
                  <c:pt idx="1027">
                    <c:v>25/04/2025</c:v>
                  </c:pt>
                  <c:pt idx="1028">
                    <c:v>25/04/2025</c:v>
                  </c:pt>
                  <c:pt idx="1029">
                    <c:v>25/04/2025</c:v>
                  </c:pt>
                  <c:pt idx="1030">
                    <c:v>04/06/2025</c:v>
                  </c:pt>
                  <c:pt idx="1031">
                    <c:v>04/06/2025</c:v>
                  </c:pt>
                  <c:pt idx="1032">
                    <c:v>04/06/2025</c:v>
                  </c:pt>
                  <c:pt idx="1033">
                    <c:v>15/10/2025</c:v>
                  </c:pt>
                  <c:pt idx="1034">
                    <c:v>15/10/2025</c:v>
                  </c:pt>
                  <c:pt idx="1035">
                    <c:v>15/10/2025</c:v>
                  </c:pt>
                  <c:pt idx="1036">
                    <c:v>09/09/2025</c:v>
                  </c:pt>
                  <c:pt idx="1037">
                    <c:v>09/09/2025</c:v>
                  </c:pt>
                  <c:pt idx="1038">
                    <c:v>09/09/2025</c:v>
                  </c:pt>
                  <c:pt idx="1039">
                    <c:v>09/09/2025</c:v>
                  </c:pt>
                  <c:pt idx="1040">
                    <c:v>30/10/2025</c:v>
                  </c:pt>
                  <c:pt idx="1041">
                    <c:v>09/09/2025</c:v>
                  </c:pt>
                  <c:pt idx="1042">
                    <c:v>09/09/2025</c:v>
                  </c:pt>
                  <c:pt idx="1043">
                    <c:v>09/09/2025</c:v>
                  </c:pt>
                  <c:pt idx="1044">
                    <c:v>30/10/2025</c:v>
                  </c:pt>
                  <c:pt idx="1045">
                    <c:v>09/09/2025</c:v>
                  </c:pt>
                  <c:pt idx="1046">
                    <c:v>09/09/2025</c:v>
                  </c:pt>
                  <c:pt idx="1047">
                    <c:v>08/03/2022</c:v>
                  </c:pt>
                  <c:pt idx="1048">
                    <c:v>08/03/2022</c:v>
                  </c:pt>
                  <c:pt idx="1049">
                    <c:v>08/03/2022</c:v>
                  </c:pt>
                  <c:pt idx="1050">
                    <c:v>15/10/2025</c:v>
                  </c:pt>
                  <c:pt idx="1051">
                    <c:v>15/10/2025</c:v>
                  </c:pt>
                  <c:pt idx="1052">
                    <c:v>18/01/2023</c:v>
                  </c:pt>
                  <c:pt idx="1053">
                    <c:v>13/03/2024</c:v>
                  </c:pt>
                  <c:pt idx="1054">
                    <c:v>07/02/2024</c:v>
                  </c:pt>
                  <c:pt idx="1055">
                    <c:v>07/02/2024</c:v>
                  </c:pt>
                  <c:pt idx="1056">
                    <c:v>26/02/2025</c:v>
                  </c:pt>
                  <c:pt idx="1057">
                    <c:v>15/04/2025</c:v>
                  </c:pt>
                  <c:pt idx="1058">
                    <c:v>15/04/2025</c:v>
                  </c:pt>
                  <c:pt idx="1059">
                    <c:v>30/10/2025</c:v>
                  </c:pt>
                  <c:pt idx="1060">
                    <c:v>11/06/2025</c:v>
                  </c:pt>
                  <c:pt idx="1061">
                    <c:v>18/12/2025</c:v>
                  </c:pt>
                  <c:pt idx="1062">
                    <c:v>11/06/2025</c:v>
                  </c:pt>
                  <c:pt idx="1063">
                    <c:v>13/04/2023</c:v>
                  </c:pt>
                  <c:pt idx="1064">
                    <c:v>13/04/2023</c:v>
                  </c:pt>
                  <c:pt idx="1065">
                    <c:v>15/04/2025</c:v>
                  </c:pt>
                  <c:pt idx="1066">
                    <c:v>15/04/2025</c:v>
                  </c:pt>
                  <c:pt idx="1067">
                    <c:v>05/12/2024</c:v>
                  </c:pt>
                  <c:pt idx="1068">
                    <c:v>01/11/2023</c:v>
                  </c:pt>
                  <c:pt idx="1069">
                    <c:v>28/05/2025</c:v>
                  </c:pt>
                  <c:pt idx="1070">
                    <c:v>28/05/2025</c:v>
                  </c:pt>
                  <c:pt idx="1071">
                    <c:v>30/10/2025</c:v>
                  </c:pt>
                  <c:pt idx="1072">
                    <c:v>07/05/2021</c:v>
                  </c:pt>
                  <c:pt idx="1073">
                    <c:v>07/05/2021</c:v>
                  </c:pt>
                  <c:pt idx="1074">
                    <c:v>07/05/2021</c:v>
                  </c:pt>
                  <c:pt idx="1075">
                    <c:v>07/05/2021</c:v>
                  </c:pt>
                  <c:pt idx="1076">
                    <c:v>07/05/2021</c:v>
                  </c:pt>
                  <c:pt idx="1078">
                    <c:v>07/03/2024</c:v>
                  </c:pt>
                  <c:pt idx="1079">
                    <c:v>07/03/2024</c:v>
                  </c:pt>
                  <c:pt idx="1080">
                    <c:v>09/09/2025</c:v>
                  </c:pt>
                  <c:pt idx="1081">
                    <c:v>04/06/2025</c:v>
                  </c:pt>
                  <c:pt idx="1082">
                    <c:v>04/06/2025</c:v>
                  </c:pt>
                  <c:pt idx="1083">
                    <c:v>04/06/2025</c:v>
                  </c:pt>
                  <c:pt idx="1084">
                    <c:v>04/06/2025</c:v>
                  </c:pt>
                  <c:pt idx="1085">
                    <c:v>15/10/2025</c:v>
                  </c:pt>
                  <c:pt idx="1086">
                    <c:v>15/10/2025</c:v>
                  </c:pt>
                  <c:pt idx="1087">
                    <c:v>20/10/2023</c:v>
                  </c:pt>
                  <c:pt idx="1088">
                    <c:v>20/10/2023</c:v>
                  </c:pt>
                  <c:pt idx="1089">
                    <c:v>20/10/2023</c:v>
                  </c:pt>
                  <c:pt idx="1090">
                    <c:v>20/10/2023</c:v>
                  </c:pt>
                  <c:pt idx="1091">
                    <c:v>09/09/2022</c:v>
                  </c:pt>
                  <c:pt idx="1092">
                    <c:v>16/03/2023</c:v>
                  </c:pt>
                  <c:pt idx="1093">
                    <c:v>16/03/2023</c:v>
                  </c:pt>
                  <c:pt idx="1094">
                    <c:v>07/07/2022</c:v>
                  </c:pt>
                  <c:pt idx="1095">
                    <c:v>18/09/2025</c:v>
                  </c:pt>
                  <c:pt idx="1096">
                    <c:v>13/05/2021</c:v>
                  </c:pt>
                  <c:pt idx="1097">
                    <c:v>06/10/2021</c:v>
                  </c:pt>
                  <c:pt idx="1098">
                    <c:v>01/11/2023</c:v>
                  </c:pt>
                  <c:pt idx="1099">
                    <c:v>16/11/2022</c:v>
                  </c:pt>
                  <c:pt idx="1100">
                    <c:v>07/03/2024</c:v>
                  </c:pt>
                  <c:pt idx="1101">
                    <c:v>30/10/2025</c:v>
                  </c:pt>
                  <c:pt idx="1102">
                    <c:v>10/12/2024</c:v>
                  </c:pt>
                  <c:pt idx="1103">
                    <c:v>18/12/2025</c:v>
                  </c:pt>
                  <c:pt idx="1104">
                    <c:v>16/11/2022</c:v>
                  </c:pt>
                  <c:pt idx="1105">
                    <c:v>03/03/2021</c:v>
                  </c:pt>
                  <c:pt idx="1106">
                    <c:v>02/06/2022</c:v>
                  </c:pt>
                  <c:pt idx="1107">
                    <c:v>01/11/2023</c:v>
                  </c:pt>
                  <c:pt idx="1108">
                    <c:v>28/08/2024</c:v>
                  </c:pt>
                  <c:pt idx="1109">
                    <c:v>14/11/2024</c:v>
                  </c:pt>
                  <c:pt idx="1110">
                    <c:v>10/12/2021</c:v>
                  </c:pt>
                  <c:pt idx="1111">
                    <c:v>11/12/2021</c:v>
                  </c:pt>
                  <c:pt idx="1112">
                    <c:v>13/12/2021</c:v>
                  </c:pt>
                  <c:pt idx="1113">
                    <c:v>14/12/2021</c:v>
                  </c:pt>
                  <c:pt idx="1114">
                    <c:v>15/12/2021</c:v>
                  </c:pt>
                  <c:pt idx="1115">
                    <c:v>10/09/2024</c:v>
                  </c:pt>
                  <c:pt idx="1116">
                    <c:v>28/10/2024</c:v>
                  </c:pt>
                  <c:pt idx="1117">
                    <c:v>28/10/2024</c:v>
                  </c:pt>
                  <c:pt idx="1118">
                    <c:v>17/12/2021</c:v>
                  </c:pt>
                  <c:pt idx="1119">
                    <c:v>14/07/2025</c:v>
                  </c:pt>
                  <c:pt idx="1120">
                    <c:v>14/07/2025</c:v>
                  </c:pt>
                  <c:pt idx="1121">
                    <c:v>28/03/2022</c:v>
                  </c:pt>
                  <c:pt idx="1122">
                    <c:v>05/06/2025</c:v>
                  </c:pt>
                  <c:pt idx="1123">
                    <c:v>05/06/2025</c:v>
                  </c:pt>
                  <c:pt idx="1124">
                    <c:v>25/04/2024</c:v>
                  </c:pt>
                  <c:pt idx="1125">
                    <c:v>25/04/2024</c:v>
                  </c:pt>
                  <c:pt idx="1126">
                    <c:v>25/04/2024</c:v>
                  </c:pt>
                  <c:pt idx="1127">
                    <c:v>02/09/2022</c:v>
                  </c:pt>
                  <c:pt idx="1128">
                    <c:v>30/10/2025</c:v>
                  </c:pt>
                  <c:pt idx="1129">
                    <c:v>30/10/2025</c:v>
                  </c:pt>
                  <c:pt idx="1130">
                    <c:v>30/10/2025</c:v>
                  </c:pt>
                  <c:pt idx="1131">
                    <c:v>30/10/2025</c:v>
                  </c:pt>
                  <c:pt idx="1132">
                    <c:v>30/10/2025</c:v>
                  </c:pt>
                  <c:pt idx="1133">
                    <c:v>30/10/2025</c:v>
                  </c:pt>
                  <c:pt idx="1134">
                    <c:v>30/10/2025</c:v>
                  </c:pt>
                  <c:pt idx="1135">
                    <c:v>30/10/2025</c:v>
                  </c:pt>
                  <c:pt idx="1136">
                    <c:v>24/03/2020</c:v>
                  </c:pt>
                  <c:pt idx="1137">
                    <c:v>24/03/2020</c:v>
                  </c:pt>
                  <c:pt idx="1138">
                    <c:v>24/03/2020</c:v>
                  </c:pt>
                  <c:pt idx="1139">
                    <c:v>24/03/2020</c:v>
                  </c:pt>
                  <c:pt idx="1140">
                    <c:v>24/03/2020</c:v>
                  </c:pt>
                  <c:pt idx="1141">
                    <c:v>24/03/2020</c:v>
                  </c:pt>
                  <c:pt idx="1142">
                    <c:v>09/09/2025</c:v>
                  </c:pt>
                  <c:pt idx="1143">
                    <c:v>16/02/2022</c:v>
                  </c:pt>
                  <c:pt idx="1144">
                    <c:v>26/02/2025</c:v>
                  </c:pt>
                  <c:pt idx="1145">
                    <c:v>20/03/2023</c:v>
                  </c:pt>
                  <c:pt idx="1146">
                    <c:v>26/02/2025</c:v>
                  </c:pt>
                  <c:pt idx="1147">
                    <c:v>14/04/2023</c:v>
                  </c:pt>
                  <c:pt idx="1148">
                    <c:v>24/10/2024</c:v>
                  </c:pt>
                  <c:pt idx="1149">
                    <c:v>11/06/2025</c:v>
                  </c:pt>
                  <c:pt idx="1150">
                    <c:v>01/11/2023</c:v>
                  </c:pt>
                  <c:pt idx="1151">
                    <c:v>03/03/2021</c:v>
                  </c:pt>
                  <c:pt idx="1152">
                    <c:v>18/12/2025</c:v>
                  </c:pt>
                  <c:pt idx="1153">
                    <c:v>10/12/2024</c:v>
                  </c:pt>
                  <c:pt idx="1154">
                    <c:v>10/12/2024</c:v>
                  </c:pt>
                  <c:pt idx="1155">
                    <c:v>25/04/2024</c:v>
                  </c:pt>
                  <c:pt idx="1156">
                    <c:v>14/01/2021</c:v>
                  </c:pt>
                  <c:pt idx="1157">
                    <c:v>22/07/2021</c:v>
                  </c:pt>
                  <c:pt idx="1158">
                    <c:v>16/11/2022</c:v>
                  </c:pt>
                  <c:pt idx="1159">
                    <c:v>06/09/2023</c:v>
                  </c:pt>
                  <c:pt idx="1160">
                    <c:v>18/12/2025</c:v>
                  </c:pt>
                  <c:pt idx="1161">
                    <c:v>30/10/2025</c:v>
                  </c:pt>
                  <c:pt idx="1162">
                    <c:v>01/11/2023</c:v>
                  </c:pt>
                  <c:pt idx="1163">
                    <c:v>18/12/2025</c:v>
                  </c:pt>
                  <c:pt idx="1164">
                    <c:v>30/10/2025</c:v>
                  </c:pt>
                  <c:pt idx="1165">
                    <c:v>30/10/2025</c:v>
                  </c:pt>
                  <c:pt idx="1166">
                    <c:v>26/10/2023</c:v>
                  </c:pt>
                  <c:pt idx="1167">
                    <c:v>21/09/2021</c:v>
                  </c:pt>
                  <c:pt idx="1168">
                    <c:v>28/03/2022</c:v>
                  </c:pt>
                  <c:pt idx="1169">
                    <c:v>21/10/2021</c:v>
                  </c:pt>
                  <c:pt idx="1170">
                    <c:v>15/03/2024</c:v>
                  </c:pt>
                  <c:pt idx="1171">
                    <c:v>15/03/2024</c:v>
                  </c:pt>
                  <c:pt idx="1172">
                    <c:v>15/03/2024</c:v>
                  </c:pt>
                  <c:pt idx="1173">
                    <c:v>10/09/2024</c:v>
                  </c:pt>
                  <c:pt idx="1174">
                    <c:v>15/03/2024</c:v>
                  </c:pt>
                  <c:pt idx="1175">
                    <c:v>15/03/2024</c:v>
                  </c:pt>
                  <c:pt idx="1176">
                    <c:v>15/03/2024</c:v>
                  </c:pt>
                  <c:pt idx="1177">
                    <c:v>15/03/2024</c:v>
                  </c:pt>
                  <c:pt idx="1178">
                    <c:v>20/11/2025</c:v>
                  </c:pt>
                  <c:pt idx="1179">
                    <c:v>20/11/2025</c:v>
                  </c:pt>
                  <c:pt idx="1180">
                    <c:v>20/11/2025</c:v>
                  </c:pt>
                  <c:pt idx="1181">
                    <c:v>20/11/2025</c:v>
                  </c:pt>
                  <c:pt idx="1182">
                    <c:v>16/06/2022</c:v>
                  </c:pt>
                  <c:pt idx="1183">
                    <c:v>16/06/2022</c:v>
                  </c:pt>
                  <c:pt idx="1184">
                    <c:v>30/10/2025</c:v>
                  </c:pt>
                  <c:pt idx="1185">
                    <c:v>27/01/2024</c:v>
                  </c:pt>
                  <c:pt idx="1186">
                    <c:v>27/01/2024</c:v>
                  </c:pt>
                  <c:pt idx="1187">
                    <c:v>14/01/2021</c:v>
                  </c:pt>
                  <c:pt idx="1188">
                    <c:v>24/04/2024</c:v>
                  </c:pt>
                  <c:pt idx="1189">
                    <c:v>16/11/2022</c:v>
                  </c:pt>
                  <c:pt idx="1190">
                    <c:v>16/11/2022</c:v>
                  </c:pt>
                  <c:pt idx="1191">
                    <c:v>16/11/2022</c:v>
                  </c:pt>
                  <c:pt idx="1192">
                    <c:v>16/02/2022</c:v>
                  </c:pt>
                  <c:pt idx="1193">
                    <c:v>06/09/2023</c:v>
                  </c:pt>
                  <c:pt idx="1194">
                    <c:v>24/04/2024</c:v>
                  </c:pt>
                  <c:pt idx="1195">
                    <c:v>13/04/2023</c:v>
                  </c:pt>
                  <c:pt idx="1196">
                    <c:v>01/06/2021</c:v>
                  </c:pt>
                  <c:pt idx="1197">
                    <c:v>16/06/2022</c:v>
                  </c:pt>
                  <c:pt idx="1198">
                    <c:v>10/10/2025</c:v>
                  </c:pt>
                  <c:pt idx="1199">
                    <c:v>15/03/2024</c:v>
                  </c:pt>
                  <c:pt idx="1200">
                    <c:v>15/03/2024</c:v>
                  </c:pt>
                  <c:pt idx="1201">
                    <c:v>05/05/2021</c:v>
                  </c:pt>
                  <c:pt idx="1202">
                    <c:v>10/03/2021</c:v>
                  </c:pt>
                  <c:pt idx="1203">
                    <c:v>14/11/2023</c:v>
                  </c:pt>
                  <c:pt idx="1204">
                    <c:v>04/06/2025</c:v>
                  </c:pt>
                  <c:pt idx="1205">
                    <c:v>20/11/2025</c:v>
                  </c:pt>
                  <c:pt idx="1206">
                    <c:v>27/12/2024</c:v>
                  </c:pt>
                  <c:pt idx="1207">
                    <c:v>24/04/2020</c:v>
                  </c:pt>
                  <c:pt idx="1208">
                    <c:v>25/04/2024</c:v>
                  </c:pt>
                  <c:pt idx="1209">
                    <c:v>21/01/1900</c:v>
                  </c:pt>
                  <c:pt idx="1210">
                    <c:v>04/06/2025</c:v>
                  </c:pt>
                  <c:pt idx="1211">
                    <c:v>20/11/2025</c:v>
                  </c:pt>
                  <c:pt idx="1212">
                    <c:v>20/11/2025</c:v>
                  </c:pt>
                  <c:pt idx="1213">
                    <c:v>18/12/2025</c:v>
                  </c:pt>
                  <c:pt idx="1214">
                    <c:v>18/12/2025</c:v>
                  </c:pt>
                  <c:pt idx="1215">
                    <c:v>09/09/2025</c:v>
                  </c:pt>
                  <c:pt idx="1216">
                    <c:v>09/09/2025</c:v>
                  </c:pt>
                  <c:pt idx="1217">
                    <c:v>09/09/2025</c:v>
                  </c:pt>
                  <c:pt idx="1218">
                    <c:v>17/05/2025</c:v>
                  </c:pt>
                  <c:pt idx="1219">
                    <c:v>17/05/2025</c:v>
                  </c:pt>
                  <c:pt idx="1220">
                    <c:v>08/04/2025</c:v>
                  </c:pt>
                  <c:pt idx="1221">
                    <c:v>17/05/2025</c:v>
                  </c:pt>
                  <c:pt idx="1222">
                    <c:v>17/05/2025</c:v>
                  </c:pt>
                  <c:pt idx="1223">
                    <c:v>29/06/2022</c:v>
                  </c:pt>
                  <c:pt idx="1224">
                    <c:v>01/11/2023</c:v>
                  </c:pt>
                  <c:pt idx="1225">
                    <c:v>21/12/2023</c:v>
                  </c:pt>
                  <c:pt idx="1226">
                    <c:v>07/03/2024</c:v>
                  </c:pt>
                  <c:pt idx="1227">
                    <c:v>24/10/2024</c:v>
                  </c:pt>
                  <c:pt idx="1228">
                    <c:v>18/12/2025</c:v>
                  </c:pt>
                  <c:pt idx="1229">
                    <c:v>24/10/2024</c:v>
                  </c:pt>
                  <c:pt idx="1230">
                    <c:v>24/10/2024</c:v>
                  </c:pt>
                  <c:pt idx="1231">
                    <c:v>17/09/2025</c:v>
                  </c:pt>
                  <c:pt idx="1232">
                    <c:v>24/10/2024</c:v>
                  </c:pt>
                  <c:pt idx="1233">
                    <c:v>17/09/2025</c:v>
                  </c:pt>
                  <c:pt idx="1234">
                    <c:v>25/04/2024</c:v>
                  </c:pt>
                  <c:pt idx="1235">
                    <c:v>08/06/2020</c:v>
                  </c:pt>
                  <c:pt idx="1236">
                    <c:v>08/06/2020</c:v>
                  </c:pt>
                  <c:pt idx="1237">
                    <c:v>25/04/2025</c:v>
                  </c:pt>
                  <c:pt idx="1238">
                    <c:v>25/04/2025</c:v>
                  </c:pt>
                  <c:pt idx="1239">
                    <c:v>25/04/2025</c:v>
                  </c:pt>
                  <c:pt idx="1240">
                    <c:v>25/04/2025</c:v>
                  </c:pt>
                  <c:pt idx="1241">
                    <c:v>25/04/2025</c:v>
                  </c:pt>
                  <c:pt idx="1242">
                    <c:v>25/04/2025</c:v>
                  </c:pt>
                  <c:pt idx="1243">
                    <c:v>25/04/2025</c:v>
                  </c:pt>
                  <c:pt idx="1244">
                    <c:v>25/04/2025</c:v>
                  </c:pt>
                  <c:pt idx="1245">
                    <c:v>28/08/2024</c:v>
                  </c:pt>
                  <c:pt idx="1246">
                    <c:v>25/04/2025</c:v>
                  </c:pt>
                  <c:pt idx="1247">
                    <c:v>28/11/2023</c:v>
                  </c:pt>
                  <c:pt idx="1249">
                    <c:v>29/09/2025</c:v>
                  </c:pt>
                  <c:pt idx="1250">
                    <c:v>29/09/2025</c:v>
                  </c:pt>
                  <c:pt idx="1251">
                    <c:v>13/03/2024</c:v>
                  </c:pt>
                  <c:pt idx="1252">
                    <c:v>29/09/2025</c:v>
                  </c:pt>
                  <c:pt idx="1253">
                    <c:v>11/06/2025</c:v>
                  </c:pt>
                  <c:pt idx="1254">
                    <c:v>11/01/2025</c:v>
                  </c:pt>
                  <c:pt idx="1255">
                    <c:v>29/01/2024</c:v>
                  </c:pt>
                  <c:pt idx="1256">
                    <c:v>07/12/2021</c:v>
                  </c:pt>
                  <c:pt idx="1257">
                    <c:v>03/03/2023</c:v>
                  </c:pt>
                  <c:pt idx="1258">
                    <c:v>27/07/2023</c:v>
                  </c:pt>
                  <c:pt idx="1259">
                    <c:v>29/01/2024</c:v>
                  </c:pt>
                  <c:pt idx="1260">
                    <c:v>29/01/2024</c:v>
                  </c:pt>
                  <c:pt idx="1262">
                    <c:v>31/07/2024</c:v>
                  </c:pt>
                  <c:pt idx="1263">
                    <c:v>31/07/2024</c:v>
                  </c:pt>
                  <c:pt idx="1264">
                    <c:v>13/10/2022</c:v>
                  </c:pt>
                  <c:pt idx="1265">
                    <c:v>02/06/2022</c:v>
                  </c:pt>
                  <c:pt idx="1266">
                    <c:v>25/04/2024</c:v>
                  </c:pt>
                  <c:pt idx="1267">
                    <c:v>27/12/2024</c:v>
                  </c:pt>
                  <c:pt idx="1268">
                    <c:v>15/03/2024</c:v>
                  </c:pt>
                  <c:pt idx="1269">
                    <c:v>27/12/2024</c:v>
                  </c:pt>
                  <c:pt idx="1270">
                    <c:v>15/03/2024</c:v>
                  </c:pt>
                  <c:pt idx="1271">
                    <c:v>15/03/2024</c:v>
                  </c:pt>
                  <c:pt idx="1272">
                    <c:v>10/05/2023</c:v>
                  </c:pt>
                  <c:pt idx="1273">
                    <c:v>07/05/2021</c:v>
                  </c:pt>
                  <c:pt idx="1274">
                    <c:v>07/05/2021</c:v>
                  </c:pt>
                  <c:pt idx="1275">
                    <c:v>07/05/2021</c:v>
                  </c:pt>
                  <c:pt idx="1276">
                    <c:v>07/05/2021</c:v>
                  </c:pt>
                  <c:pt idx="1277">
                    <c:v>07/05/2021</c:v>
                  </c:pt>
                  <c:pt idx="1278">
                    <c:v>18/12/2024</c:v>
                  </c:pt>
                  <c:pt idx="1279">
                    <c:v>07/03/2024</c:v>
                  </c:pt>
                  <c:pt idx="1280">
                    <c:v>07/03/2024</c:v>
                  </c:pt>
                  <c:pt idx="1281">
                    <c:v>07/03/2024</c:v>
                  </c:pt>
                  <c:pt idx="1282">
                    <c:v>07/03/2024</c:v>
                  </c:pt>
                  <c:pt idx="1283">
                    <c:v>06/06/2024</c:v>
                  </c:pt>
                  <c:pt idx="1284">
                    <c:v>28/05/2025</c:v>
                  </c:pt>
                  <c:pt idx="1285">
                    <c:v>28/05/2025</c:v>
                  </c:pt>
                  <c:pt idx="1286">
                    <c:v>28/05/2025</c:v>
                  </c:pt>
                  <c:pt idx="1287">
                    <c:v>28/05/2025</c:v>
                  </c:pt>
                  <c:pt idx="1288">
                    <c:v>08/06/2020</c:v>
                  </c:pt>
                  <c:pt idx="1289">
                    <c:v>10/03/2020</c:v>
                  </c:pt>
                  <c:pt idx="1290">
                    <c:v>22/04/2024</c:v>
                  </c:pt>
                  <c:pt idx="1291">
                    <c:v>22/04/2024</c:v>
                  </c:pt>
                  <c:pt idx="1292">
                    <c:v>25/04/2024</c:v>
                  </c:pt>
                  <c:pt idx="1293">
                    <c:v>25/04/2024</c:v>
                  </c:pt>
                  <c:pt idx="1294">
                    <c:v>15/03/2024</c:v>
                  </c:pt>
                  <c:pt idx="1295">
                    <c:v>15/03/2024</c:v>
                  </c:pt>
                  <c:pt idx="1296">
                    <c:v>15/03/2024</c:v>
                  </c:pt>
                  <c:pt idx="1297">
                    <c:v>04/06/2025</c:v>
                  </c:pt>
                  <c:pt idx="1298">
                    <c:v>04/06/2025</c:v>
                  </c:pt>
                  <c:pt idx="1299">
                    <c:v>04/06/2025</c:v>
                  </c:pt>
                  <c:pt idx="1300">
                    <c:v>04/06/2025</c:v>
                  </c:pt>
                  <c:pt idx="1301">
                    <c:v>27/12/2023</c:v>
                  </c:pt>
                  <c:pt idx="1302">
                    <c:v>04/05/2024</c:v>
                  </c:pt>
                  <c:pt idx="1303">
                    <c:v>04/05/2024</c:v>
                  </c:pt>
                  <c:pt idx="1304">
                    <c:v>04/05/2024</c:v>
                  </c:pt>
                  <c:pt idx="1305">
                    <c:v>04/05/2024</c:v>
                  </c:pt>
                  <c:pt idx="1306">
                    <c:v>04/05/2024</c:v>
                  </c:pt>
                  <c:pt idx="1307">
                    <c:v>04/05/2024</c:v>
                  </c:pt>
                  <c:pt idx="1308">
                    <c:v>04/05/2024</c:v>
                  </c:pt>
                  <c:pt idx="1309">
                    <c:v>04/05/2024</c:v>
                  </c:pt>
                  <c:pt idx="1310">
                    <c:v>04/05/2024</c:v>
                  </c:pt>
                  <c:pt idx="1311">
                    <c:v>04/05/2024</c:v>
                  </c:pt>
                  <c:pt idx="1312">
                    <c:v>04/05/2024</c:v>
                  </c:pt>
                  <c:pt idx="1313">
                    <c:v>04/05/2024</c:v>
                  </c:pt>
                  <c:pt idx="1314">
                    <c:v>04/05/2024</c:v>
                  </c:pt>
                  <c:pt idx="1315">
                    <c:v>31/10/2025</c:v>
                  </c:pt>
                  <c:pt idx="1316">
                    <c:v>31/10/2025</c:v>
                  </c:pt>
                  <c:pt idx="1317">
                    <c:v>11/07/2025</c:v>
                  </c:pt>
                  <c:pt idx="1318">
                    <c:v>09/09/2025</c:v>
                  </c:pt>
                  <c:pt idx="1319">
                    <c:v>16/08/2023</c:v>
                  </c:pt>
                  <c:pt idx="1320">
                    <c:v>11/05/2023</c:v>
                  </c:pt>
                  <c:pt idx="1321">
                    <c:v>15/05/2021</c:v>
                  </c:pt>
                  <c:pt idx="1322">
                    <c:v>15/03/2024</c:v>
                  </c:pt>
                  <c:pt idx="1323">
                    <c:v>25/09/2025</c:v>
                  </c:pt>
                  <c:pt idx="1324">
                    <c:v>15/03/2024</c:v>
                  </c:pt>
                  <c:pt idx="1325">
                    <c:v>02/10/2026</c:v>
                  </c:pt>
                  <c:pt idx="1326">
                    <c:v>27/01/2024</c:v>
                  </c:pt>
                  <c:pt idx="1327">
                    <c:v>10/09/2024</c:v>
                  </c:pt>
                  <c:pt idx="1328">
                    <c:v>20/11/2025</c:v>
                  </c:pt>
                  <c:pt idx="1329">
                    <c:v>08/06/2020</c:v>
                  </c:pt>
                  <c:pt idx="1330">
                    <c:v>15/07/2021</c:v>
                  </c:pt>
                  <c:pt idx="1331">
                    <c:v>08/06/2020</c:v>
                  </c:pt>
                  <c:pt idx="1332">
                    <c:v>08/06/2020</c:v>
                  </c:pt>
                  <c:pt idx="1333">
                    <c:v>09/09/2025</c:v>
                  </c:pt>
                  <c:pt idx="1334">
                    <c:v>25/04/2025</c:v>
                  </c:pt>
                  <c:pt idx="1335">
                    <c:v>27/12/2023</c:v>
                  </c:pt>
                  <c:pt idx="1336">
                    <c:v>25/04/2025</c:v>
                  </c:pt>
                  <c:pt idx="1337">
                    <c:v>11/07/2025</c:v>
                  </c:pt>
                  <c:pt idx="1338">
                    <c:v>25/04/2025</c:v>
                  </c:pt>
                  <c:pt idx="1339">
                    <c:v>25/04/2024</c:v>
                  </c:pt>
                  <c:pt idx="1340">
                    <c:v>25/04/2024</c:v>
                  </c:pt>
                  <c:pt idx="1341">
                    <c:v>25/04/2024</c:v>
                  </c:pt>
                  <c:pt idx="1342">
                    <c:v>27/12/2024</c:v>
                  </c:pt>
                  <c:pt idx="1343">
                    <c:v>04/06/2025</c:v>
                  </c:pt>
                  <c:pt idx="1344">
                    <c:v>20/11/2025</c:v>
                  </c:pt>
                  <c:pt idx="1345">
                    <c:v>30/10/2025</c:v>
                  </c:pt>
                  <c:pt idx="1346">
                    <c:v>10/09/2024</c:v>
                  </c:pt>
                  <c:pt idx="1347">
                    <c:v>20/11/2025</c:v>
                  </c:pt>
                  <c:pt idx="1348">
                    <c:v>08/06/2020</c:v>
                  </c:pt>
                  <c:pt idx="1349">
                    <c:v>20/11/2025</c:v>
                  </c:pt>
                  <c:pt idx="1350">
                    <c:v>10/09/2024</c:v>
                  </c:pt>
                  <c:pt idx="1351">
                    <c:v>10/09/2024</c:v>
                  </c:pt>
                  <c:pt idx="1352">
                    <c:v>10/09/2024</c:v>
                  </c:pt>
                  <c:pt idx="1353">
                    <c:v>27/12/2024</c:v>
                  </c:pt>
                  <c:pt idx="1354">
                    <c:v>30/10/2025</c:v>
                  </c:pt>
                  <c:pt idx="1355">
                    <c:v>19/08/2020</c:v>
                  </c:pt>
                  <c:pt idx="1356">
                    <c:v>19/08/2020</c:v>
                  </c:pt>
                  <c:pt idx="1357">
                    <c:v>10/09/2023</c:v>
                  </c:pt>
                  <c:pt idx="1358">
                    <c:v>27/12/2023</c:v>
                  </c:pt>
                  <c:pt idx="1359">
                    <c:v>04/11/2025</c:v>
                  </c:pt>
                  <c:pt idx="1360">
                    <c:v>07/05/2021</c:v>
                  </c:pt>
                  <c:pt idx="1361">
                    <c:v>10/09/2024</c:v>
                  </c:pt>
                  <c:pt idx="1362">
                    <c:v>10/09/2024</c:v>
                  </c:pt>
                  <c:pt idx="1363">
                    <c:v>10/09/2024</c:v>
                  </c:pt>
                  <c:pt idx="1364">
                    <c:v>06/06/2025</c:v>
                  </c:pt>
                  <c:pt idx="1365">
                    <c:v>09/09/2025</c:v>
                  </c:pt>
                  <c:pt idx="1366">
                    <c:v>09/09/2025</c:v>
                  </c:pt>
                  <c:pt idx="1367">
                    <c:v>09/09/2025</c:v>
                  </c:pt>
                  <c:pt idx="1368">
                    <c:v>09/09/2025</c:v>
                  </c:pt>
                  <c:pt idx="1369">
                    <c:v>09/09/2025</c:v>
                  </c:pt>
                  <c:pt idx="1370">
                    <c:v>07/05/2021</c:v>
                  </c:pt>
                  <c:pt idx="1371">
                    <c:v>16/08/2022</c:v>
                  </c:pt>
                  <c:pt idx="1372">
                    <c:v>16/08/2022</c:v>
                  </c:pt>
                  <c:pt idx="1373">
                    <c:v>09/05/2022</c:v>
                  </c:pt>
                  <c:pt idx="1374">
                    <c:v>22/04/2024</c:v>
                  </c:pt>
                  <c:pt idx="1375">
                    <c:v>18/12/2025</c:v>
                  </c:pt>
                  <c:pt idx="1376">
                    <c:v>26/02/2025</c:v>
                  </c:pt>
                  <c:pt idx="1377">
                    <c:v>26/02/2025</c:v>
                  </c:pt>
                  <c:pt idx="1378">
                    <c:v>26/02/2025</c:v>
                  </c:pt>
                  <c:pt idx="1379">
                    <c:v>30/10/2025</c:v>
                  </c:pt>
                  <c:pt idx="1380">
                    <c:v>30/10/2025</c:v>
                  </c:pt>
                  <c:pt idx="1381">
                    <c:v>08/03/2022</c:v>
                  </c:pt>
                  <c:pt idx="1382">
                    <c:v>15/06/2021</c:v>
                  </c:pt>
                  <c:pt idx="1383">
                    <c:v>08/06/2020</c:v>
                  </c:pt>
                  <c:pt idx="1384">
                    <c:v>07/05/2021</c:v>
                  </c:pt>
                  <c:pt idx="1385">
                    <c:v>08/06/2020</c:v>
                  </c:pt>
                  <c:pt idx="1386">
                    <c:v>26/02/2025</c:v>
                  </c:pt>
                  <c:pt idx="1388">
                    <c:v>07/07/2022</c:v>
                  </c:pt>
                  <c:pt idx="1389">
                    <c:v>07/07/2022</c:v>
                  </c:pt>
                  <c:pt idx="1390">
                    <c:v>07/07/2022</c:v>
                  </c:pt>
                  <c:pt idx="1391">
                    <c:v>07/07/2022</c:v>
                  </c:pt>
                  <c:pt idx="1392">
                    <c:v>16/03/2023</c:v>
                  </c:pt>
                  <c:pt idx="1393">
                    <c:v>16/03/2023</c:v>
                  </c:pt>
                  <c:pt idx="1394">
                    <c:v>04/11/2025</c:v>
                  </c:pt>
                  <c:pt idx="1395">
                    <c:v>04/11/2025</c:v>
                  </c:pt>
                  <c:pt idx="1396">
                    <c:v>04/11/2025</c:v>
                  </c:pt>
                  <c:pt idx="1397">
                    <c:v>04/11/2025</c:v>
                  </c:pt>
                  <c:pt idx="1398">
                    <c:v>04/11/2025</c:v>
                  </c:pt>
                  <c:pt idx="1399">
                    <c:v>24/05/2021</c:v>
                  </c:pt>
                  <c:pt idx="1400">
                    <c:v>20/03/2023</c:v>
                  </c:pt>
                  <c:pt idx="1401">
                    <c:v>13/01/2023</c:v>
                  </c:pt>
                  <c:pt idx="1402">
                    <c:v>17/10/2025</c:v>
                  </c:pt>
                  <c:pt idx="1403">
                    <c:v>30/10/2025</c:v>
                  </c:pt>
                  <c:pt idx="1404">
                    <c:v>30/10/2025</c:v>
                  </c:pt>
                  <c:pt idx="1405">
                    <c:v>16/03/2023</c:v>
                  </c:pt>
                  <c:pt idx="1406">
                    <c:v>16/03/2023</c:v>
                  </c:pt>
                  <c:pt idx="1407">
                    <c:v>21/10/2020</c:v>
                  </c:pt>
                  <c:pt idx="1408">
                    <c:v>15/03/2024</c:v>
                  </c:pt>
                  <c:pt idx="1409">
                    <c:v>15/03/2024</c:v>
                  </c:pt>
                  <c:pt idx="1410">
                    <c:v>15/03/2024</c:v>
                  </c:pt>
                  <c:pt idx="1411">
                    <c:v>15/03/2024</c:v>
                  </c:pt>
                  <c:pt idx="1412">
                    <c:v>15/03/2024</c:v>
                  </c:pt>
                  <c:pt idx="1413">
                    <c:v>15/03/2024</c:v>
                  </c:pt>
                  <c:pt idx="1414">
                    <c:v>15/03/2024</c:v>
                  </c:pt>
                  <c:pt idx="1415">
                    <c:v>15/03/2024</c:v>
                  </c:pt>
                  <c:pt idx="1416">
                    <c:v>15/03/2024</c:v>
                  </c:pt>
                  <c:pt idx="1417">
                    <c:v>15/03/2024</c:v>
                  </c:pt>
                  <c:pt idx="1418">
                    <c:v>15/03/2024</c:v>
                  </c:pt>
                  <c:pt idx="1419">
                    <c:v>15/10/2025</c:v>
                  </c:pt>
                  <c:pt idx="1420">
                    <c:v>12/12/2025</c:v>
                  </c:pt>
                  <c:pt idx="1421">
                    <c:v>10/10/2025</c:v>
                  </c:pt>
                  <c:pt idx="1422">
                    <c:v>29/04/2025</c:v>
                  </c:pt>
                  <c:pt idx="1423">
                    <c:v>12/12/2025</c:v>
                  </c:pt>
                  <c:pt idx="1424">
                    <c:v>12/12/2025</c:v>
                  </c:pt>
                  <c:pt idx="1425">
                    <c:v>12/12/2025</c:v>
                  </c:pt>
                  <c:pt idx="1426">
                    <c:v>10/10/2025</c:v>
                  </c:pt>
                  <c:pt idx="1427">
                    <c:v>10/10/2025</c:v>
                  </c:pt>
                  <c:pt idx="1428">
                    <c:v>01/11/2023</c:v>
                  </c:pt>
                  <c:pt idx="1429">
                    <c:v>10/10/2025</c:v>
                  </c:pt>
                  <c:pt idx="1430">
                    <c:v>10/03/2020</c:v>
                  </c:pt>
                  <c:pt idx="1431">
                    <c:v>10/03/2020</c:v>
                  </c:pt>
                  <c:pt idx="1432">
                    <c:v>10/03/2020</c:v>
                  </c:pt>
                  <c:pt idx="1433">
                    <c:v>17/09/2025</c:v>
                  </c:pt>
                  <c:pt idx="1434">
                    <c:v>17/09/2025</c:v>
                  </c:pt>
                  <c:pt idx="1436">
                    <c:v>11/11/2025</c:v>
                  </c:pt>
                  <c:pt idx="1437">
                    <c:v>11/11/2025</c:v>
                  </c:pt>
                  <c:pt idx="1438">
                    <c:v>18/11/2025</c:v>
                  </c:pt>
                  <c:pt idx="1439">
                    <c:v>18/11/2025</c:v>
                  </c:pt>
                  <c:pt idx="1440">
                    <c:v>10/12/2021</c:v>
                  </c:pt>
                  <c:pt idx="1441">
                    <c:v>14/11/2023</c:v>
                  </c:pt>
                  <c:pt idx="1442">
                    <c:v>30/12/2022</c:v>
                  </c:pt>
                  <c:pt idx="1443">
                    <c:v>05/05/2025</c:v>
                  </c:pt>
                  <c:pt idx="1444">
                    <c:v>30/12/2022</c:v>
                  </c:pt>
                  <c:pt idx="1446">
                    <c:v>10/12/2025</c:v>
                  </c:pt>
                  <c:pt idx="1447">
                    <c:v>10/12/2025</c:v>
                  </c:pt>
                  <c:pt idx="1448">
                    <c:v>10/12/2025</c:v>
                  </c:pt>
                  <c:pt idx="1449">
                    <c:v>12-nov</c:v>
                  </c:pt>
                  <c:pt idx="1450">
                    <c:v>09/12/2024</c:v>
                  </c:pt>
                  <c:pt idx="1451">
                    <c:v>21/10/2023</c:v>
                  </c:pt>
                  <c:pt idx="1452">
                    <c:v>20/11/2025</c:v>
                  </c:pt>
                  <c:pt idx="1453">
                    <c:v>20/11/2025</c:v>
                  </c:pt>
                  <c:pt idx="1454">
                    <c:v>07/10/2024</c:v>
                  </c:pt>
                  <c:pt idx="1456">
                    <c:v>25/10/2023</c:v>
                  </c:pt>
                  <c:pt idx="1457">
                    <c:v>20/10/2023</c:v>
                  </c:pt>
                  <c:pt idx="1458">
                    <c:v>11/01/2025</c:v>
                  </c:pt>
                  <c:pt idx="1459">
                    <c:v>30/10/2025</c:v>
                  </c:pt>
                  <c:pt idx="1460">
                    <c:v>30/10/2025</c:v>
                  </c:pt>
                  <c:pt idx="1461">
                    <c:v>02/11/2023</c:v>
                  </c:pt>
                  <c:pt idx="1462">
                    <c:v>10/03/2020</c:v>
                  </c:pt>
                  <c:pt idx="1463">
                    <c:v>16/06/2025</c:v>
                  </c:pt>
                  <c:pt idx="1464">
                    <c:v>16/06/2025</c:v>
                  </c:pt>
                  <c:pt idx="1465">
                    <c:v>18/01/2023</c:v>
                  </c:pt>
                  <c:pt idx="1466">
                    <c:v>09/05/2023</c:v>
                  </c:pt>
                  <c:pt idx="1467">
                    <c:v>26/07/2022</c:v>
                  </c:pt>
                  <c:pt idx="1468">
                    <c:v>30/01/2025</c:v>
                  </c:pt>
                  <c:pt idx="1469">
                    <c:v>06/09/2024</c:v>
                  </c:pt>
                  <c:pt idx="1470">
                    <c:v>13/03/2024</c:v>
                  </c:pt>
                  <c:pt idx="1471">
                    <c:v>13/08/2020</c:v>
                  </c:pt>
                  <c:pt idx="1472">
                    <c:v>13/08/2020</c:v>
                  </c:pt>
                  <c:pt idx="1473">
                    <c:v>13/08/2020</c:v>
                  </c:pt>
                  <c:pt idx="1474">
                    <c:v>21/06/2023</c:v>
                  </c:pt>
                  <c:pt idx="1475">
                    <c:v>21/06/2023</c:v>
                  </c:pt>
                  <c:pt idx="1476">
                    <c:v>27/02/2025</c:v>
                  </c:pt>
                  <c:pt idx="1477">
                    <c:v>02/10/2024</c:v>
                  </c:pt>
                  <c:pt idx="1478">
                    <c:v>09/10/2025</c:v>
                  </c:pt>
                  <c:pt idx="1479">
                    <c:v>05/05/2020</c:v>
                  </c:pt>
                  <c:pt idx="1480">
                    <c:v>10/03/2020</c:v>
                  </c:pt>
                  <c:pt idx="1481">
                    <c:v>28/06/2022</c:v>
                  </c:pt>
                  <c:pt idx="1483">
                    <c:v>25/04/2022</c:v>
                  </c:pt>
                  <c:pt idx="1484">
                    <c:v>20/11/2025</c:v>
                  </c:pt>
                  <c:pt idx="1485">
                    <c:v>25/10/2024</c:v>
                  </c:pt>
                  <c:pt idx="1486">
                    <c:v>07/10/2025</c:v>
                  </c:pt>
                  <c:pt idx="1487">
                    <c:v>07/10/2025</c:v>
                  </c:pt>
                  <c:pt idx="1488">
                    <c:v>02/10/2024</c:v>
                  </c:pt>
                  <c:pt idx="1489">
                    <c:v>10/03/2020</c:v>
                  </c:pt>
                  <c:pt idx="1490">
                    <c:v>02/10/2024</c:v>
                  </c:pt>
                  <c:pt idx="1491">
                    <c:v>20/11/2025</c:v>
                  </c:pt>
                  <c:pt idx="1492">
                    <c:v>20/11/2025</c:v>
                  </c:pt>
                  <c:pt idx="1493">
                    <c:v>21/11/2025</c:v>
                  </c:pt>
                  <c:pt idx="1494">
                    <c:v>21/11/2025</c:v>
                  </c:pt>
                  <c:pt idx="1495">
                    <c:v>21/11/2025</c:v>
                  </c:pt>
                  <c:pt idx="1496">
                    <c:v>24/11/2021</c:v>
                  </c:pt>
                  <c:pt idx="1497">
                    <c:v>16/03/2020</c:v>
                  </c:pt>
                  <c:pt idx="1498">
                    <c:v>22/03/2022</c:v>
                  </c:pt>
                  <c:pt idx="1499">
                    <c:v>01/10/2020</c:v>
                  </c:pt>
                  <c:pt idx="1500">
                    <c:v>01/10/2020</c:v>
                  </c:pt>
                  <c:pt idx="1501">
                    <c:v>01/10/2020</c:v>
                  </c:pt>
                  <c:pt idx="1502">
                    <c:v>01/10/2020</c:v>
                  </c:pt>
                  <c:pt idx="1503">
                    <c:v>23/04/2025</c:v>
                  </c:pt>
                  <c:pt idx="1504">
                    <c:v>14/07/2021</c:v>
                  </c:pt>
                  <c:pt idx="1505">
                    <c:v>10/12/2024</c:v>
                  </c:pt>
                  <c:pt idx="1506">
                    <c:v>22/04/2025</c:v>
                  </c:pt>
                  <c:pt idx="1507">
                    <c:v>01/07/2020</c:v>
                  </c:pt>
                  <c:pt idx="1508">
                    <c:v>12/02/2025</c:v>
                  </c:pt>
                  <c:pt idx="1509">
                    <c:v>12/02/2025</c:v>
                  </c:pt>
                  <c:pt idx="1510">
                    <c:v>04/07/2025</c:v>
                  </c:pt>
                  <c:pt idx="1511">
                    <c:v>27/11/2025</c:v>
                  </c:pt>
                  <c:pt idx="1512">
                    <c:v>31/05/2025</c:v>
                  </c:pt>
                  <c:pt idx="1513">
                    <c:v>10/10/2022</c:v>
                  </c:pt>
                  <c:pt idx="1514">
                    <c:v>27/11/2025</c:v>
                  </c:pt>
                  <c:pt idx="1515">
                    <c:v>23/12/2024</c:v>
                  </c:pt>
                  <c:pt idx="1516">
                    <c:v>23/12/2024</c:v>
                  </c:pt>
                  <c:pt idx="1517">
                    <c:v>23/12/2024</c:v>
                  </c:pt>
                  <c:pt idx="1518">
                    <c:v>23/12/2024</c:v>
                  </c:pt>
                  <c:pt idx="1519">
                    <c:v>01/03/2023</c:v>
                  </c:pt>
                  <c:pt idx="1520">
                    <c:v>01/03/2023</c:v>
                  </c:pt>
                  <c:pt idx="1522">
                    <c:v>26/05/2020</c:v>
                  </c:pt>
                  <c:pt idx="1523">
                    <c:v>30/04/2025</c:v>
                  </c:pt>
                  <c:pt idx="1524">
                    <c:v>30/04/2025</c:v>
                  </c:pt>
                  <c:pt idx="1525">
                    <c:v>26/09/2024</c:v>
                  </c:pt>
                  <c:pt idx="1526">
                    <c:v>10/05/2023</c:v>
                  </c:pt>
                  <c:pt idx="1527">
                    <c:v>12/11/2023</c:v>
                  </c:pt>
                  <c:pt idx="1528">
                    <c:v>10/10/2024</c:v>
                  </c:pt>
                  <c:pt idx="1529">
                    <c:v>03/09/2024</c:v>
                  </c:pt>
                  <c:pt idx="1530">
                    <c:v>28/10/2025</c:v>
                  </c:pt>
                  <c:pt idx="1531">
                    <c:v>28/10/2025</c:v>
                  </c:pt>
                  <c:pt idx="1532">
                    <c:v>15/10/2025</c:v>
                  </c:pt>
                  <c:pt idx="1533">
                    <c:v>17/05/2022</c:v>
                  </c:pt>
                  <c:pt idx="1534">
                    <c:v>06/04/2022</c:v>
                  </c:pt>
                  <c:pt idx="1535">
                    <c:v>11/08/2025</c:v>
                  </c:pt>
                  <c:pt idx="1536">
                    <c:v>18/12/2025</c:v>
                  </c:pt>
                  <c:pt idx="1537">
                    <c:v>26/05/2021</c:v>
                  </c:pt>
                  <c:pt idx="1538">
                    <c:v>10/09/2024</c:v>
                  </c:pt>
                  <c:pt idx="1539">
                    <c:v>28/10/2023</c:v>
                  </c:pt>
                  <c:pt idx="1540">
                    <c:v>09/07/2021</c:v>
                  </c:pt>
                  <c:pt idx="1541">
                    <c:v>15/05/2024</c:v>
                  </c:pt>
                  <c:pt idx="1542">
                    <c:v>18/05/2022</c:v>
                  </c:pt>
                  <c:pt idx="1543">
                    <c:v>10/03/2020</c:v>
                  </c:pt>
                  <c:pt idx="1544">
                    <c:v>12/03/2021</c:v>
                  </c:pt>
                  <c:pt idx="1545">
                    <c:v>12/03/2021</c:v>
                  </c:pt>
                  <c:pt idx="1546">
                    <c:v>07/10/2024</c:v>
                  </c:pt>
                  <c:pt idx="1547">
                    <c:v>07/10/2024</c:v>
                  </c:pt>
                  <c:pt idx="1548">
                    <c:v>07/12/2023</c:v>
                  </c:pt>
                  <c:pt idx="1549">
                    <c:v>27/11/2025</c:v>
                  </c:pt>
                  <c:pt idx="1550">
                    <c:v>27/11/2025</c:v>
                  </c:pt>
                  <c:pt idx="1551">
                    <c:v>27/11/2025</c:v>
                  </c:pt>
                  <c:pt idx="1552">
                    <c:v>26/06/2024</c:v>
                  </c:pt>
                  <c:pt idx="1553">
                    <c:v>06/11/2024</c:v>
                  </c:pt>
                  <c:pt idx="1554">
                    <c:v>06/11/2024</c:v>
                  </c:pt>
                  <c:pt idx="1555">
                    <c:v>28/06/2022</c:v>
                  </c:pt>
                  <c:pt idx="1556">
                    <c:v>20/03/2025</c:v>
                  </c:pt>
                  <c:pt idx="1557">
                    <c:v>20/03/2025</c:v>
                  </c:pt>
                  <c:pt idx="1558">
                    <c:v>19/03/2020</c:v>
                  </c:pt>
                  <c:pt idx="1559">
                    <c:v>20/03/2025</c:v>
                  </c:pt>
                  <c:pt idx="1560">
                    <c:v>30/03/2023</c:v>
                  </c:pt>
                  <c:pt idx="1561">
                    <c:v>25/03/2023</c:v>
                  </c:pt>
                  <c:pt idx="1562">
                    <c:v>25/03/2025</c:v>
                  </c:pt>
                  <c:pt idx="1563">
                    <c:v>30/12/2020</c:v>
                  </c:pt>
                  <c:pt idx="1564">
                    <c:v>30/12/2020</c:v>
                  </c:pt>
                  <c:pt idx="1565">
                    <c:v>30/12/2020</c:v>
                  </c:pt>
                  <c:pt idx="1566">
                    <c:v>09/04/2021</c:v>
                  </c:pt>
                  <c:pt idx="1567">
                    <c:v>20/06/2020</c:v>
                  </c:pt>
                  <c:pt idx="1568">
                    <c:v>20/06/2020</c:v>
                  </c:pt>
                  <c:pt idx="1569">
                    <c:v>02/04/2022</c:v>
                  </c:pt>
                  <c:pt idx="1570">
                    <c:v>13/03/2023</c:v>
                  </c:pt>
                  <c:pt idx="1571">
                    <c:v>11/04/2022</c:v>
                  </c:pt>
                  <c:pt idx="1572">
                    <c:v>18/01/2023</c:v>
                  </c:pt>
                  <c:pt idx="1574">
                    <c:v>21/11/2025</c:v>
                  </c:pt>
                  <c:pt idx="1575">
                    <c:v>09/05/2023</c:v>
                  </c:pt>
                  <c:pt idx="1576">
                    <c:v>13/01/2023</c:v>
                  </c:pt>
                  <c:pt idx="1577">
                    <c:v>11/06/2025</c:v>
                  </c:pt>
                  <c:pt idx="1578">
                    <c:v>01/10/2020</c:v>
                  </c:pt>
                  <c:pt idx="1579">
                    <c:v>25/11/2023</c:v>
                  </c:pt>
                  <c:pt idx="1580">
                    <c:v>25/11/2023</c:v>
                  </c:pt>
                  <c:pt idx="1581">
                    <c:v>18/01/2023</c:v>
                  </c:pt>
                  <c:pt idx="1582">
                    <c:v>25/11/2023</c:v>
                  </c:pt>
                  <c:pt idx="1583">
                    <c:v>07/02/2024</c:v>
                  </c:pt>
                  <c:pt idx="1584">
                    <c:v>13/10/2022</c:v>
                  </c:pt>
                  <c:pt idx="1585">
                    <c:v>27/07/2022</c:v>
                  </c:pt>
                  <c:pt idx="1586">
                    <c:v>27/07/2022</c:v>
                  </c:pt>
                  <c:pt idx="1587">
                    <c:v>21/04/2025</c:v>
                  </c:pt>
                  <c:pt idx="1588">
                    <c:v>23/09/2025</c:v>
                  </c:pt>
                  <c:pt idx="1589">
                    <c:v>23/09/2025</c:v>
                  </c:pt>
                  <c:pt idx="1590">
                    <c:v>01/01/2025</c:v>
                  </c:pt>
                  <c:pt idx="1591">
                    <c:v>30/01/2025</c:v>
                  </c:pt>
                  <c:pt idx="1592">
                    <c:v>30/01/2025</c:v>
                  </c:pt>
                  <c:pt idx="1593">
                    <c:v>14/03/2024</c:v>
                  </c:pt>
                  <c:pt idx="1594">
                    <c:v>13/07/2023</c:v>
                  </c:pt>
                  <c:pt idx="1595">
                    <c:v>13/07/2023</c:v>
                  </c:pt>
                  <c:pt idx="1596">
                    <c:v>08/04/2024</c:v>
                  </c:pt>
                  <c:pt idx="1597">
                    <c:v>08/04/2024</c:v>
                  </c:pt>
                  <c:pt idx="1598">
                    <c:v>28/09/2022</c:v>
                  </c:pt>
                  <c:pt idx="1599">
                    <c:v>11/03/2025</c:v>
                  </c:pt>
                  <c:pt idx="1600">
                    <c:v>11/03/2025</c:v>
                  </c:pt>
                  <c:pt idx="1601">
                    <c:v>01/07/2025</c:v>
                  </c:pt>
                  <c:pt idx="1602">
                    <c:v>11/03/2025</c:v>
                  </c:pt>
                  <c:pt idx="1603">
                    <c:v>11/03/2025</c:v>
                  </c:pt>
                  <c:pt idx="1604">
                    <c:v>02/07/2024</c:v>
                  </c:pt>
                  <c:pt idx="1605">
                    <c:v>23/11/2023</c:v>
                  </c:pt>
                  <c:pt idx="1606">
                    <c:v>23/11/2023</c:v>
                  </c:pt>
                  <c:pt idx="1607">
                    <c:v>08/04/2024</c:v>
                  </c:pt>
                  <c:pt idx="1608">
                    <c:v>20/10/2022</c:v>
                  </c:pt>
                  <c:pt idx="1609">
                    <c:v>08/04/2024</c:v>
                  </c:pt>
                  <c:pt idx="1610">
                    <c:v>29/03/2023</c:v>
                  </c:pt>
                  <c:pt idx="1611">
                    <c:v>29/03/2023</c:v>
                  </c:pt>
                  <c:pt idx="1612">
                    <c:v>29/03/2023</c:v>
                  </c:pt>
                  <c:pt idx="1613">
                    <c:v>29/03/2023</c:v>
                  </c:pt>
                  <c:pt idx="1614">
                    <c:v>29/03/2023</c:v>
                  </c:pt>
                  <c:pt idx="1615">
                    <c:v>16/07/2024</c:v>
                  </c:pt>
                  <c:pt idx="1616">
                    <c:v>16/07/2024</c:v>
                  </c:pt>
                  <c:pt idx="1617">
                    <c:v>14/03/2024</c:v>
                  </c:pt>
                  <c:pt idx="1618">
                    <c:v>23/09/2025</c:v>
                  </c:pt>
                  <c:pt idx="1619">
                    <c:v>23/09/2025</c:v>
                  </c:pt>
                  <c:pt idx="1620">
                    <c:v>30/01/2023</c:v>
                  </c:pt>
                  <c:pt idx="1621">
                    <c:v>29/07/2022</c:v>
                  </c:pt>
                  <c:pt idx="1622">
                    <c:v>29/07/2022</c:v>
                  </c:pt>
                  <c:pt idx="1623">
                    <c:v>29/07/2022</c:v>
                  </c:pt>
                  <c:pt idx="1624">
                    <c:v>30/01/2023</c:v>
                  </c:pt>
                  <c:pt idx="1625">
                    <c:v>23/09/2025</c:v>
                  </c:pt>
                  <c:pt idx="1626">
                    <c:v>23/09/2025</c:v>
                  </c:pt>
                  <c:pt idx="1627">
                    <c:v>01/02/2024</c:v>
                  </c:pt>
                  <c:pt idx="1628">
                    <c:v>13/03/2023</c:v>
                  </c:pt>
                  <c:pt idx="1629">
                    <c:v>01/02/2024</c:v>
                  </c:pt>
                  <c:pt idx="1630">
                    <c:v>01/02/2024</c:v>
                  </c:pt>
                  <c:pt idx="1631">
                    <c:v>12/07/2025</c:v>
                  </c:pt>
                  <c:pt idx="1632">
                    <c:v>12/07/2025</c:v>
                  </c:pt>
                  <c:pt idx="1633">
                    <c:v>03/10/2016</c:v>
                  </c:pt>
                  <c:pt idx="1634">
                    <c:v>19/06/2024</c:v>
                  </c:pt>
                  <c:pt idx="1635">
                    <c:v>30/01/2025</c:v>
                  </c:pt>
                  <c:pt idx="1636">
                    <c:v>10/12/2025</c:v>
                  </c:pt>
                  <c:pt idx="1637">
                    <c:v>10/12/2025</c:v>
                  </c:pt>
                  <c:pt idx="1638">
                    <c:v>23/07/2025</c:v>
                  </c:pt>
                  <c:pt idx="1639">
                    <c:v>23/07/2025</c:v>
                  </c:pt>
                  <c:pt idx="1640">
                    <c:v>06/01/2023</c:v>
                  </c:pt>
                  <c:pt idx="1641">
                    <c:v>03/11/2025</c:v>
                  </c:pt>
                  <c:pt idx="1642">
                    <c:v>09/11/2025</c:v>
                  </c:pt>
                  <c:pt idx="1643">
                    <c:v>01/07/2025</c:v>
                  </c:pt>
                  <c:pt idx="1644">
                    <c:v>01/07/2025</c:v>
                  </c:pt>
                  <c:pt idx="1645">
                    <c:v>01/07/2025</c:v>
                  </c:pt>
                  <c:pt idx="1646">
                    <c:v>01/01/2025</c:v>
                  </c:pt>
                  <c:pt idx="1647">
                    <c:v>01/01/2025</c:v>
                  </c:pt>
                  <c:pt idx="1648">
                    <c:v>20/10/2022</c:v>
                  </c:pt>
                  <c:pt idx="1649">
                    <c:v>30/04/2025</c:v>
                  </c:pt>
                  <c:pt idx="1650">
                    <c:v>20/11/2025</c:v>
                  </c:pt>
                  <c:pt idx="1651">
                    <c:v>02/10/2024</c:v>
                  </c:pt>
                  <c:pt idx="1652">
                    <c:v>30/12/2025</c:v>
                  </c:pt>
                  <c:pt idx="1653">
                    <c:v>23/09/2024</c:v>
                  </c:pt>
                  <c:pt idx="1654">
                    <c:v>30/12/2025</c:v>
                  </c:pt>
                  <c:pt idx="1655">
                    <c:v>25/05/2023</c:v>
                  </c:pt>
                  <c:pt idx="1656">
                    <c:v>21/08/2025</c:v>
                  </c:pt>
                  <c:pt idx="1657">
                    <c:v>21/09/2023</c:v>
                  </c:pt>
                  <c:pt idx="1658">
                    <c:v>20/06/2024</c:v>
                  </c:pt>
                  <c:pt idx="1659">
                    <c:v>20/06/2024</c:v>
                  </c:pt>
                  <c:pt idx="1660">
                    <c:v>30/12/2025</c:v>
                  </c:pt>
                  <c:pt idx="1661">
                    <c:v>17/08/2025</c:v>
                  </c:pt>
                  <c:pt idx="1662">
                    <c:v>08/04/2025</c:v>
                  </c:pt>
                  <c:pt idx="1663">
                    <c:v>07/07/2025</c:v>
                  </c:pt>
                  <c:pt idx="1664">
                    <c:v>03/06/2024</c:v>
                  </c:pt>
                  <c:pt idx="1665">
                    <c:v>14/06/2023</c:v>
                  </c:pt>
                  <c:pt idx="1666">
                    <c:v>14/08/2024</c:v>
                  </c:pt>
                  <c:pt idx="1667">
                    <c:v>14/08/2024</c:v>
                  </c:pt>
                  <c:pt idx="1668">
                    <c:v>18/01/2023</c:v>
                  </c:pt>
                  <c:pt idx="1669">
                    <c:v>15/05/2024</c:v>
                  </c:pt>
                  <c:pt idx="1670">
                    <c:v>30/10/2025</c:v>
                  </c:pt>
                  <c:pt idx="1671">
                    <c:v>13/07/2022</c:v>
                  </c:pt>
                  <c:pt idx="1672">
                    <c:v>20/02/2020</c:v>
                  </c:pt>
                  <c:pt idx="1673">
                    <c:v>07/04/2021</c:v>
                  </c:pt>
                  <c:pt idx="1674">
                    <c:v>19/06/2025</c:v>
                  </c:pt>
                  <c:pt idx="1675">
                    <c:v>20/03/2025</c:v>
                  </c:pt>
                  <c:pt idx="1676">
                    <c:v>20/11/2025</c:v>
                  </c:pt>
                  <c:pt idx="1677">
                    <c:v>20/11/2025</c:v>
                  </c:pt>
                  <c:pt idx="1678">
                    <c:v>10/12/2024</c:v>
                  </c:pt>
                  <c:pt idx="1679">
                    <c:v>10/12/2024</c:v>
                  </c:pt>
                  <c:pt idx="1680">
                    <c:v>07/10/2024</c:v>
                  </c:pt>
                  <c:pt idx="1681">
                    <c:v>16/07/2024</c:v>
                  </c:pt>
                  <c:pt idx="1682">
                    <c:v>10/12/2024</c:v>
                  </c:pt>
                  <c:pt idx="1683">
                    <c:v>10/12/2024</c:v>
                  </c:pt>
                  <c:pt idx="1684">
                    <c:v>07/10/2024</c:v>
                  </c:pt>
                  <c:pt idx="1685">
                    <c:v>05/08/2025</c:v>
                  </c:pt>
                  <c:pt idx="1686">
                    <c:v>05/08/2025</c:v>
                  </c:pt>
                  <c:pt idx="1687">
                    <c:v>19/06/2025</c:v>
                  </c:pt>
                  <c:pt idx="1688">
                    <c:v>20/11/2025</c:v>
                  </c:pt>
                  <c:pt idx="1689">
                    <c:v>20/11/2025</c:v>
                  </c:pt>
                  <c:pt idx="1690">
                    <c:v>13/11/2021</c:v>
                  </c:pt>
                  <c:pt idx="1691">
                    <c:v>19/02/2024</c:v>
                  </c:pt>
                  <c:pt idx="1693">
                    <c:v>30/04/2025</c:v>
                  </c:pt>
                  <c:pt idx="1694">
                    <c:v>30/04/2025</c:v>
                  </c:pt>
                  <c:pt idx="1695">
                    <c:v>30/04/2025</c:v>
                  </c:pt>
                  <c:pt idx="1696">
                    <c:v>12/07/2024</c:v>
                  </c:pt>
                  <c:pt idx="1697">
                    <c:v>12/07/2024</c:v>
                  </c:pt>
                  <c:pt idx="1698">
                    <c:v>12/07/2004</c:v>
                  </c:pt>
                  <c:pt idx="1699">
                    <c:v>20/11/2025</c:v>
                  </c:pt>
                  <c:pt idx="1700">
                    <c:v>05/05/2020</c:v>
                  </c:pt>
                  <c:pt idx="1701">
                    <c:v>05/05/2020</c:v>
                  </c:pt>
                  <c:pt idx="1702">
                    <c:v>09/04/2021</c:v>
                  </c:pt>
                  <c:pt idx="1703">
                    <c:v>30/04/2025</c:v>
                  </c:pt>
                  <c:pt idx="1704">
                    <c:v>20/11/2025</c:v>
                  </c:pt>
                  <c:pt idx="1705">
                    <c:v>20/11/2025</c:v>
                  </c:pt>
                  <c:pt idx="1706">
                    <c:v>10/03/2020</c:v>
                  </c:pt>
                  <c:pt idx="1707">
                    <c:v>02/10/2024</c:v>
                  </c:pt>
                  <c:pt idx="1708">
                    <c:v>10/03/2020</c:v>
                  </c:pt>
                  <c:pt idx="1709">
                    <c:v>12/07/2024</c:v>
                  </c:pt>
                  <c:pt idx="1710">
                    <c:v>17/08/2025</c:v>
                  </c:pt>
                  <c:pt idx="1711">
                    <c:v>17/08/2025</c:v>
                  </c:pt>
                  <c:pt idx="1712">
                    <c:v>12/07/2024</c:v>
                  </c:pt>
                  <c:pt idx="1713">
                    <c:v>30/04/2025</c:v>
                  </c:pt>
                  <c:pt idx="1714">
                    <c:v>09/12/2024</c:v>
                  </c:pt>
                  <c:pt idx="1715">
                    <c:v>28/03/2022</c:v>
                  </c:pt>
                  <c:pt idx="1716">
                    <c:v>13/10/2025</c:v>
                  </c:pt>
                  <c:pt idx="1717">
                    <c:v>14/11/2023</c:v>
                  </c:pt>
                  <c:pt idx="1718">
                    <c:v>14/11/2023</c:v>
                  </c:pt>
                  <c:pt idx="1719">
                    <c:v>14/11/2023</c:v>
                  </c:pt>
                  <c:pt idx="1720">
                    <c:v>27/07/2023</c:v>
                  </c:pt>
                  <c:pt idx="1721">
                    <c:v>27/07/2023</c:v>
                  </c:pt>
                  <c:pt idx="1722">
                    <c:v>07/12/2021</c:v>
                  </c:pt>
                  <c:pt idx="1723">
                    <c:v>07/07/2022</c:v>
                  </c:pt>
                  <c:pt idx="1724">
                    <c:v>07/07/2022</c:v>
                  </c:pt>
                </c:lvl>
                <c:lvl>
                  <c:pt idx="7">
                    <c:v>0</c:v>
                  </c:pt>
                  <c:pt idx="72">
                    <c:v>0</c:v>
                  </c:pt>
                  <c:pt idx="88">
                    <c:v>0</c:v>
                  </c:pt>
                  <c:pt idx="103">
                    <c:v>46</c:v>
                  </c:pt>
                  <c:pt idx="121">
                    <c:v>45</c:v>
                  </c:pt>
                  <c:pt idx="130">
                    <c:v>45</c:v>
                  </c:pt>
                  <c:pt idx="131">
                    <c:v>45</c:v>
                  </c:pt>
                  <c:pt idx="132">
                    <c:v>45</c:v>
                  </c:pt>
                  <c:pt idx="133">
                    <c:v>45</c:v>
                  </c:pt>
                  <c:pt idx="163">
                    <c:v>u</c:v>
                  </c:pt>
                  <c:pt idx="167">
                    <c:v>25</c:v>
                  </c:pt>
                  <c:pt idx="168">
                    <c:v>2055</c:v>
                  </c:pt>
                  <c:pt idx="172">
                    <c:v>44</c:v>
                  </c:pt>
                  <c:pt idx="176">
                    <c:v>1</c:v>
                  </c:pt>
                  <c:pt idx="218">
                    <c:v>45</c:v>
                  </c:pt>
                  <c:pt idx="248">
                    <c:v>41</c:v>
                  </c:pt>
                  <c:pt idx="251">
                    <c:v>1</c:v>
                  </c:pt>
                  <c:pt idx="260">
                    <c:v>0</c:v>
                  </c:pt>
                  <c:pt idx="263">
                    <c:v>42</c:v>
                  </c:pt>
                  <c:pt idx="264">
                    <c:v>42</c:v>
                  </c:pt>
                  <c:pt idx="266">
                    <c:v>42</c:v>
                  </c:pt>
                  <c:pt idx="267">
                    <c:v>42</c:v>
                  </c:pt>
                  <c:pt idx="299">
                    <c:v>45</c:v>
                  </c:pt>
                  <c:pt idx="300">
                    <c:v>45</c:v>
                  </c:pt>
                  <c:pt idx="303">
                    <c:v>0</c:v>
                  </c:pt>
                  <c:pt idx="304">
                    <c:v>42</c:v>
                  </c:pt>
                  <c:pt idx="305">
                    <c:v>42</c:v>
                  </c:pt>
                  <c:pt idx="306">
                    <c:v>45</c:v>
                  </c:pt>
                  <c:pt idx="307">
                    <c:v>42</c:v>
                  </c:pt>
                  <c:pt idx="317">
                    <c:v>44</c:v>
                  </c:pt>
                  <c:pt idx="333">
                    <c:v>0</c:v>
                  </c:pt>
                  <c:pt idx="386">
                    <c:v>0</c:v>
                  </c:pt>
                  <c:pt idx="410">
                    <c:v>44</c:v>
                  </c:pt>
                  <c:pt idx="413">
                    <c:v>34</c:v>
                  </c:pt>
                  <c:pt idx="460">
                    <c:v>0</c:v>
                  </c:pt>
                  <c:pt idx="482">
                    <c:v>1</c:v>
                  </c:pt>
                  <c:pt idx="493">
                    <c:v>45</c:v>
                  </c:pt>
                  <c:pt idx="496">
                    <c:v>44</c:v>
                  </c:pt>
                  <c:pt idx="540">
                    <c:v>45</c:v>
                  </c:pt>
                  <c:pt idx="544">
                    <c:v>45</c:v>
                  </c:pt>
                  <c:pt idx="567">
                    <c:v>am</c:v>
                  </c:pt>
                  <c:pt idx="572">
                    <c:v>47</c:v>
                  </c:pt>
                  <c:pt idx="574">
                    <c:v>45</c:v>
                  </c:pt>
                  <c:pt idx="590">
                    <c:v>41</c:v>
                  </c:pt>
                  <c:pt idx="591">
                    <c:v>41</c:v>
                  </c:pt>
                  <c:pt idx="592">
                    <c:v>42</c:v>
                  </c:pt>
                  <c:pt idx="593">
                    <c:v>0</c:v>
                  </c:pt>
                  <c:pt idx="596">
                    <c:v>41</c:v>
                  </c:pt>
                  <c:pt idx="598">
                    <c:v>44</c:v>
                  </c:pt>
                  <c:pt idx="599">
                    <c:v>44</c:v>
                  </c:pt>
                  <c:pt idx="622">
                    <c:v>0</c:v>
                  </c:pt>
                  <c:pt idx="633">
                    <c:v>0</c:v>
                  </c:pt>
                  <c:pt idx="636">
                    <c:v>0</c:v>
                  </c:pt>
                  <c:pt idx="694">
                    <c:v>0</c:v>
                  </c:pt>
                  <c:pt idx="702">
                    <c:v>0</c:v>
                  </c:pt>
                  <c:pt idx="706">
                    <c:v>0</c:v>
                  </c:pt>
                  <c:pt idx="722">
                    <c:v>0</c:v>
                  </c:pt>
                  <c:pt idx="751">
                    <c:v>0</c:v>
                  </c:pt>
                  <c:pt idx="754">
                    <c:v>42</c:v>
                  </c:pt>
                  <c:pt idx="762">
                    <c:v>0</c:v>
                  </c:pt>
                  <c:pt idx="765">
                    <c:v>44</c:v>
                  </c:pt>
                  <c:pt idx="766">
                    <c:v>45</c:v>
                  </c:pt>
                  <c:pt idx="767">
                    <c:v>42</c:v>
                  </c:pt>
                  <c:pt idx="768">
                    <c:v>42</c:v>
                  </c:pt>
                  <c:pt idx="769">
                    <c:v>42</c:v>
                  </c:pt>
                  <c:pt idx="773">
                    <c:v>42</c:v>
                  </c:pt>
                  <c:pt idx="848">
                    <c:v>0</c:v>
                  </c:pt>
                  <c:pt idx="855">
                    <c:v>0</c:v>
                  </c:pt>
                  <c:pt idx="881">
                    <c:v>0</c:v>
                  </c:pt>
                  <c:pt idx="882">
                    <c:v>42</c:v>
                  </c:pt>
                  <c:pt idx="883">
                    <c:v>45</c:v>
                  </c:pt>
                  <c:pt idx="907">
                    <c:v>1</c:v>
                  </c:pt>
                  <c:pt idx="921">
                    <c:v>45</c:v>
                  </c:pt>
                  <c:pt idx="959">
                    <c:v>41</c:v>
                  </c:pt>
                  <c:pt idx="961">
                    <c:v>41</c:v>
                  </c:pt>
                  <c:pt idx="982">
                    <c:v>41</c:v>
                  </c:pt>
                  <c:pt idx="987">
                    <c:v>0</c:v>
                  </c:pt>
                  <c:pt idx="1013">
                    <c:v>0</c:v>
                  </c:pt>
                  <c:pt idx="1048">
                    <c:v>0</c:v>
                  </c:pt>
                  <c:pt idx="1087">
                    <c:v>41</c:v>
                  </c:pt>
                  <c:pt idx="1088">
                    <c:v>41</c:v>
                  </c:pt>
                  <c:pt idx="1089">
                    <c:v>41</c:v>
                  </c:pt>
                  <c:pt idx="1090">
                    <c:v>41</c:v>
                  </c:pt>
                  <c:pt idx="1095">
                    <c:v>41</c:v>
                  </c:pt>
                  <c:pt idx="1096">
                    <c:v>45</c:v>
                  </c:pt>
                  <c:pt idx="1097">
                    <c:v>45</c:v>
                  </c:pt>
                  <c:pt idx="1115">
                    <c:v>42</c:v>
                  </c:pt>
                  <c:pt idx="1120">
                    <c:v>0</c:v>
                  </c:pt>
                  <c:pt idx="1218">
                    <c:v>46</c:v>
                  </c:pt>
                  <c:pt idx="1219">
                    <c:v>45</c:v>
                  </c:pt>
                  <c:pt idx="1220">
                    <c:v>45</c:v>
                  </c:pt>
                  <c:pt idx="1221">
                    <c:v>45</c:v>
                  </c:pt>
                  <c:pt idx="1222">
                    <c:v>45</c:v>
                  </c:pt>
                  <c:pt idx="1302">
                    <c:v>40</c:v>
                  </c:pt>
                  <c:pt idx="1303">
                    <c:v>40</c:v>
                  </c:pt>
                  <c:pt idx="1304">
                    <c:v>40</c:v>
                  </c:pt>
                  <c:pt idx="1305">
                    <c:v>40</c:v>
                  </c:pt>
                  <c:pt idx="1306">
                    <c:v>40</c:v>
                  </c:pt>
                  <c:pt idx="1307">
                    <c:v>40</c:v>
                  </c:pt>
                  <c:pt idx="1308">
                    <c:v>40</c:v>
                  </c:pt>
                  <c:pt idx="1309">
                    <c:v>40</c:v>
                  </c:pt>
                  <c:pt idx="1310">
                    <c:v>40</c:v>
                  </c:pt>
                  <c:pt idx="1311">
                    <c:v>40</c:v>
                  </c:pt>
                  <c:pt idx="1312">
                    <c:v>40</c:v>
                  </c:pt>
                  <c:pt idx="1313">
                    <c:v>40</c:v>
                  </c:pt>
                  <c:pt idx="1314">
                    <c:v>40</c:v>
                  </c:pt>
                  <c:pt idx="1315">
                    <c:v>45</c:v>
                  </c:pt>
                  <c:pt idx="1316">
                    <c:v>45</c:v>
                  </c:pt>
                  <c:pt idx="1317">
                    <c:v>45</c:v>
                  </c:pt>
                  <c:pt idx="1318">
                    <c:v>45</c:v>
                  </c:pt>
                  <c:pt idx="1319">
                    <c:v>11/02/1900</c:v>
                  </c:pt>
                  <c:pt idx="1324">
                    <c:v>42</c:v>
                  </c:pt>
                  <c:pt idx="1325">
                    <c:v>42</c:v>
                  </c:pt>
                  <c:pt idx="1326">
                    <c:v>45</c:v>
                  </c:pt>
                  <c:pt idx="1327">
                    <c:v>41</c:v>
                  </c:pt>
                  <c:pt idx="1328">
                    <c:v>45</c:v>
                  </c:pt>
                  <c:pt idx="1333">
                    <c:v>45</c:v>
                  </c:pt>
                  <c:pt idx="1334">
                    <c:v>45</c:v>
                  </c:pt>
                  <c:pt idx="1336">
                    <c:v>45</c:v>
                  </c:pt>
                  <c:pt idx="1337">
                    <c:v>45</c:v>
                  </c:pt>
                  <c:pt idx="1338">
                    <c:v>45</c:v>
                  </c:pt>
                  <c:pt idx="1342">
                    <c:v>45</c:v>
                  </c:pt>
                  <c:pt idx="1343">
                    <c:v>45</c:v>
                  </c:pt>
                  <c:pt idx="1344">
                    <c:v>45</c:v>
                  </c:pt>
                  <c:pt idx="1345">
                    <c:v>45</c:v>
                  </c:pt>
                  <c:pt idx="1346">
                    <c:v>41</c:v>
                  </c:pt>
                  <c:pt idx="1347">
                    <c:v>45</c:v>
                  </c:pt>
                  <c:pt idx="1350">
                    <c:v>41</c:v>
                  </c:pt>
                  <c:pt idx="1351">
                    <c:v>41</c:v>
                  </c:pt>
                  <c:pt idx="1352">
                    <c:v>41</c:v>
                  </c:pt>
                  <c:pt idx="1353">
                    <c:v>45</c:v>
                  </c:pt>
                  <c:pt idx="1354">
                    <c:v>45</c:v>
                  </c:pt>
                  <c:pt idx="1356">
                    <c:v>45</c:v>
                  </c:pt>
                  <c:pt idx="1381">
                    <c:v>45</c:v>
                  </c:pt>
                  <c:pt idx="1390">
                    <c:v>0</c:v>
                  </c:pt>
                  <c:pt idx="1394">
                    <c:v>42</c:v>
                  </c:pt>
                  <c:pt idx="1396">
                    <c:v>42</c:v>
                  </c:pt>
                  <c:pt idx="1397">
                    <c:v>42</c:v>
                  </c:pt>
                  <c:pt idx="1438">
                    <c:v>0</c:v>
                  </c:pt>
                  <c:pt idx="1441">
                    <c:v>0</c:v>
                  </c:pt>
                  <c:pt idx="1442">
                    <c:v>0</c:v>
                  </c:pt>
                  <c:pt idx="1444">
                    <c:v>45</c:v>
                  </c:pt>
                  <c:pt idx="1446">
                    <c:v>45</c:v>
                  </c:pt>
                  <c:pt idx="1447">
                    <c:v>45</c:v>
                  </c:pt>
                  <c:pt idx="1448">
                    <c:v>45</c:v>
                  </c:pt>
                  <c:pt idx="1477">
                    <c:v>42</c:v>
                  </c:pt>
                  <c:pt idx="1493">
                    <c:v>44</c:v>
                  </c:pt>
                  <c:pt idx="1504">
                    <c:v>0</c:v>
                  </c:pt>
                  <c:pt idx="1507">
                    <c:v>45</c:v>
                  </c:pt>
                  <c:pt idx="1508">
                    <c:v>0</c:v>
                  </c:pt>
                  <c:pt idx="1529">
                    <c:v>42</c:v>
                  </c:pt>
                  <c:pt idx="1530">
                    <c:v>45</c:v>
                  </c:pt>
                  <c:pt idx="1531">
                    <c:v>45</c:v>
                  </c:pt>
                  <c:pt idx="1534">
                    <c:v>0</c:v>
                  </c:pt>
                  <c:pt idx="1539">
                    <c:v>45</c:v>
                  </c:pt>
                  <c:pt idx="1547">
                    <c:v>45</c:v>
                  </c:pt>
                  <c:pt idx="1552">
                    <c:v>43</c:v>
                  </c:pt>
                  <c:pt idx="1553">
                    <c:v>0</c:v>
                  </c:pt>
                  <c:pt idx="1598">
                    <c:v>1,2</c:v>
                  </c:pt>
                  <c:pt idx="1600">
                    <c:v>0</c:v>
                  </c:pt>
                  <c:pt idx="1603">
                    <c:v>0</c:v>
                  </c:pt>
                  <c:pt idx="1610">
                    <c:v>0</c:v>
                  </c:pt>
                  <c:pt idx="1618">
                    <c:v>0</c:v>
                  </c:pt>
                  <c:pt idx="1639">
                    <c:v>0</c:v>
                  </c:pt>
                  <c:pt idx="1640">
                    <c:v>0</c:v>
                  </c:pt>
                  <c:pt idx="1643">
                    <c:v>0</c:v>
                  </c:pt>
                  <c:pt idx="1651">
                    <c:v>44</c:v>
                  </c:pt>
                  <c:pt idx="1716">
                    <c:v>0</c:v>
                  </c:pt>
                </c:lvl>
                <c:lvl>
                  <c:pt idx="0">
                    <c:v>1,5</c:v>
                  </c:pt>
                  <c:pt idx="1">
                    <c:v>1,5</c:v>
                  </c:pt>
                  <c:pt idx="2">
                    <c:v>1,5</c:v>
                  </c:pt>
                  <c:pt idx="3">
                    <c:v>1,3</c:v>
                  </c:pt>
                  <c:pt idx="4">
                    <c:v>3</c:v>
                  </c:pt>
                  <c:pt idx="5">
                    <c:v>1,8</c:v>
                  </c:pt>
                  <c:pt idx="6">
                    <c:v>5</c:v>
                  </c:pt>
                  <c:pt idx="7">
                    <c:v>1,6</c:v>
                  </c:pt>
                  <c:pt idx="8">
                    <c:v>1,5</c:v>
                  </c:pt>
                  <c:pt idx="9">
                    <c:v>1,5</c:v>
                  </c:pt>
                  <c:pt idx="10">
                    <c:v>1,8</c:v>
                  </c:pt>
                  <c:pt idx="11">
                    <c:v>2</c:v>
                  </c:pt>
                  <c:pt idx="12">
                    <c:v>1,6</c:v>
                  </c:pt>
                  <c:pt idx="13">
                    <c:v>1,6</c:v>
                  </c:pt>
                  <c:pt idx="14">
                    <c:v>1,6</c:v>
                  </c:pt>
                  <c:pt idx="15">
                    <c:v>1,8</c:v>
                  </c:pt>
                  <c:pt idx="16">
                    <c:v>2</c:v>
                  </c:pt>
                  <c:pt idx="17">
                    <c:v>1,8</c:v>
                  </c:pt>
                  <c:pt idx="18">
                    <c:v>1,6</c:v>
                  </c:pt>
                  <c:pt idx="19">
                    <c:v>3</c:v>
                  </c:pt>
                  <c:pt idx="20">
                    <c:v>3</c:v>
                  </c:pt>
                  <c:pt idx="21">
                    <c:v>3</c:v>
                  </c:pt>
                  <c:pt idx="22">
                    <c:v>3</c:v>
                  </c:pt>
                  <c:pt idx="23">
                    <c:v>2,5</c:v>
                  </c:pt>
                  <c:pt idx="24">
                    <c:v>1,6</c:v>
                  </c:pt>
                  <c:pt idx="25">
                    <c:v>1,4</c:v>
                  </c:pt>
                  <c:pt idx="26">
                    <c:v>1,6</c:v>
                  </c:pt>
                  <c:pt idx="27">
                    <c:v>1,7</c:v>
                  </c:pt>
                  <c:pt idx="28">
                    <c:v>1,7</c:v>
                  </c:pt>
                  <c:pt idx="29">
                    <c:v>1,6</c:v>
                  </c:pt>
                  <c:pt idx="30">
                    <c:v>1,7</c:v>
                  </c:pt>
                  <c:pt idx="31">
                    <c:v>1,6</c:v>
                  </c:pt>
                  <c:pt idx="32">
                    <c:v>1,5</c:v>
                  </c:pt>
                  <c:pt idx="33">
                    <c:v>2</c:v>
                  </c:pt>
                  <c:pt idx="34">
                    <c:v>1,6</c:v>
                  </c:pt>
                  <c:pt idx="35">
                    <c:v>1,5</c:v>
                  </c:pt>
                  <c:pt idx="36">
                    <c:v>1,8</c:v>
                  </c:pt>
                  <c:pt idx="37">
                    <c:v>1,3</c:v>
                  </c:pt>
                  <c:pt idx="38">
                    <c:v>1,2</c:v>
                  </c:pt>
                  <c:pt idx="39">
                    <c:v>2</c:v>
                  </c:pt>
                  <c:pt idx="40">
                    <c:v>1,2</c:v>
                  </c:pt>
                  <c:pt idx="41">
                    <c:v>1,2</c:v>
                  </c:pt>
                  <c:pt idx="42">
                    <c:v>2</c:v>
                  </c:pt>
                  <c:pt idx="43">
                    <c:v>1,8</c:v>
                  </c:pt>
                  <c:pt idx="44">
                    <c:v>1,6</c:v>
                  </c:pt>
                  <c:pt idx="45">
                    <c:v>1,1</c:v>
                  </c:pt>
                  <c:pt idx="46">
                    <c:v>2</c:v>
                  </c:pt>
                  <c:pt idx="47">
                    <c:v>1,8</c:v>
                  </c:pt>
                  <c:pt idx="48">
                    <c:v>1,7</c:v>
                  </c:pt>
                  <c:pt idx="49">
                    <c:v>1,6</c:v>
                  </c:pt>
                  <c:pt idx="50">
                    <c:v>1,8</c:v>
                  </c:pt>
                  <c:pt idx="51">
                    <c:v>1,5</c:v>
                  </c:pt>
                  <c:pt idx="52">
                    <c:v>1,2</c:v>
                  </c:pt>
                  <c:pt idx="53">
                    <c:v>4,5</c:v>
                  </c:pt>
                  <c:pt idx="54">
                    <c:v>1,5</c:v>
                  </c:pt>
                  <c:pt idx="55">
                    <c:v>1,6</c:v>
                  </c:pt>
                  <c:pt idx="56">
                    <c:v>1,8</c:v>
                  </c:pt>
                  <c:pt idx="57">
                    <c:v>1,4</c:v>
                  </c:pt>
                  <c:pt idx="58">
                    <c:v>1,1</c:v>
                  </c:pt>
                  <c:pt idx="59">
                    <c:v>1,6</c:v>
                  </c:pt>
                  <c:pt idx="60">
                    <c:v>1,6</c:v>
                  </c:pt>
                  <c:pt idx="61">
                    <c:v>1,6</c:v>
                  </c:pt>
                  <c:pt idx="62">
                    <c:v>1,5</c:v>
                  </c:pt>
                  <c:pt idx="63">
                    <c:v>1,6</c:v>
                  </c:pt>
                  <c:pt idx="64">
                    <c:v>1,6</c:v>
                  </c:pt>
                  <c:pt idx="65">
                    <c:v>1,6</c:v>
                  </c:pt>
                  <c:pt idx="66">
                    <c:v>1,5</c:v>
                  </c:pt>
                  <c:pt idx="67">
                    <c:v>2</c:v>
                  </c:pt>
                  <c:pt idx="68">
                    <c:v>2</c:v>
                  </c:pt>
                  <c:pt idx="69">
                    <c:v>2</c:v>
                  </c:pt>
                  <c:pt idx="70">
                    <c:v>2</c:v>
                  </c:pt>
                  <c:pt idx="71">
                    <c:v>1,8</c:v>
                  </c:pt>
                  <c:pt idx="72">
                    <c:v>1,3</c:v>
                  </c:pt>
                  <c:pt idx="73">
                    <c:v>1,5</c:v>
                  </c:pt>
                  <c:pt idx="74">
                    <c:v>1,3</c:v>
                  </c:pt>
                  <c:pt idx="75">
                    <c:v>1,5</c:v>
                  </c:pt>
                  <c:pt idx="76">
                    <c:v>2</c:v>
                  </c:pt>
                  <c:pt idx="77">
                    <c:v>2</c:v>
                  </c:pt>
                  <c:pt idx="78">
                    <c:v>1,85</c:v>
                  </c:pt>
                  <c:pt idx="79">
                    <c:v>1,85</c:v>
                  </c:pt>
                  <c:pt idx="80">
                    <c:v>2</c:v>
                  </c:pt>
                  <c:pt idx="81">
                    <c:v>1,62</c:v>
                  </c:pt>
                  <c:pt idx="82">
                    <c:v>1,3</c:v>
                  </c:pt>
                  <c:pt idx="83">
                    <c:v>1,8</c:v>
                  </c:pt>
                  <c:pt idx="84">
                    <c:v>1,8</c:v>
                  </c:pt>
                  <c:pt idx="85">
                    <c:v>3</c:v>
                  </c:pt>
                  <c:pt idx="86">
                    <c:v>3</c:v>
                  </c:pt>
                  <c:pt idx="87">
                    <c:v>3</c:v>
                  </c:pt>
                  <c:pt idx="88">
                    <c:v>1,3</c:v>
                  </c:pt>
                  <c:pt idx="89">
                    <c:v>1,4</c:v>
                  </c:pt>
                  <c:pt idx="90">
                    <c:v>1,6</c:v>
                  </c:pt>
                  <c:pt idx="91">
                    <c:v>1,8</c:v>
                  </c:pt>
                  <c:pt idx="92">
                    <c:v>1,7</c:v>
                  </c:pt>
                  <c:pt idx="93">
                    <c:v>1,8</c:v>
                  </c:pt>
                  <c:pt idx="94">
                    <c:v>1,8</c:v>
                  </c:pt>
                  <c:pt idx="95">
                    <c:v>1,8</c:v>
                  </c:pt>
                  <c:pt idx="96">
                    <c:v>1,8</c:v>
                  </c:pt>
                  <c:pt idx="97">
                    <c:v>1,6</c:v>
                  </c:pt>
                  <c:pt idx="98">
                    <c:v>1,8</c:v>
                  </c:pt>
                  <c:pt idx="99">
                    <c:v>2</c:v>
                  </c:pt>
                  <c:pt idx="100">
                    <c:v>1,3</c:v>
                  </c:pt>
                  <c:pt idx="101">
                    <c:v>1,5</c:v>
                  </c:pt>
                  <c:pt idx="102">
                    <c:v>1,8</c:v>
                  </c:pt>
                  <c:pt idx="103">
                    <c:v>1,5</c:v>
                  </c:pt>
                  <c:pt idx="104">
                    <c:v>1,4</c:v>
                  </c:pt>
                  <c:pt idx="105">
                    <c:v>1,5</c:v>
                  </c:pt>
                  <c:pt idx="106">
                    <c:v>1,35</c:v>
                  </c:pt>
                  <c:pt idx="107">
                    <c:v>1,35</c:v>
                  </c:pt>
                  <c:pt idx="108">
                    <c:v>1,5</c:v>
                  </c:pt>
                  <c:pt idx="109">
                    <c:v>1,4</c:v>
                  </c:pt>
                  <c:pt idx="110">
                    <c:v>1</c:v>
                  </c:pt>
                  <c:pt idx="111">
                    <c:v>1,4</c:v>
                  </c:pt>
                  <c:pt idx="112">
                    <c:v>1,6</c:v>
                  </c:pt>
                  <c:pt idx="113">
                    <c:v>1,8</c:v>
                  </c:pt>
                  <c:pt idx="114">
                    <c:v>2</c:v>
                  </c:pt>
                  <c:pt idx="115">
                    <c:v>2</c:v>
                  </c:pt>
                  <c:pt idx="116">
                    <c:v>1,8</c:v>
                  </c:pt>
                  <c:pt idx="117">
                    <c:v>1,6</c:v>
                  </c:pt>
                  <c:pt idx="118">
                    <c:v>1,6</c:v>
                  </c:pt>
                  <c:pt idx="119">
                    <c:v>1,6</c:v>
                  </c:pt>
                  <c:pt idx="120">
                    <c:v>2</c:v>
                  </c:pt>
                  <c:pt idx="121">
                    <c:v>1,4</c:v>
                  </c:pt>
                  <c:pt idx="122">
                    <c:v>1,2</c:v>
                  </c:pt>
                  <c:pt idx="123">
                    <c:v>1,3</c:v>
                  </c:pt>
                  <c:pt idx="124">
                    <c:v>1,4</c:v>
                  </c:pt>
                  <c:pt idx="125">
                    <c:v>1,5</c:v>
                  </c:pt>
                  <c:pt idx="126">
                    <c:v>2</c:v>
                  </c:pt>
                  <c:pt idx="127">
                    <c:v>1,6</c:v>
                  </c:pt>
                  <c:pt idx="128">
                    <c:v>1,6</c:v>
                  </c:pt>
                  <c:pt idx="129">
                    <c:v>1,3</c:v>
                  </c:pt>
                  <c:pt idx="130">
                    <c:v>1,5</c:v>
                  </c:pt>
                  <c:pt idx="131">
                    <c:v>1,5</c:v>
                  </c:pt>
                  <c:pt idx="132">
                    <c:v>1,45</c:v>
                  </c:pt>
                  <c:pt idx="133">
                    <c:v>1,45</c:v>
                  </c:pt>
                  <c:pt idx="134">
                    <c:v>1,3</c:v>
                  </c:pt>
                  <c:pt idx="135">
                    <c:v>1,5</c:v>
                  </c:pt>
                  <c:pt idx="136">
                    <c:v>1,8</c:v>
                  </c:pt>
                  <c:pt idx="137">
                    <c:v>1,5</c:v>
                  </c:pt>
                  <c:pt idx="138">
                    <c:v>1,6</c:v>
                  </c:pt>
                  <c:pt idx="139">
                    <c:v>1,8</c:v>
                  </c:pt>
                  <c:pt idx="140">
                    <c:v>1,6</c:v>
                  </c:pt>
                  <c:pt idx="141">
                    <c:v>1,8</c:v>
                  </c:pt>
                  <c:pt idx="142">
                    <c:v>1,6</c:v>
                  </c:pt>
                  <c:pt idx="143">
                    <c:v>1,4</c:v>
                  </c:pt>
                  <c:pt idx="144">
                    <c:v>1,8</c:v>
                  </c:pt>
                  <c:pt idx="145">
                    <c:v>1,8</c:v>
                  </c:pt>
                  <c:pt idx="146">
                    <c:v>1,8</c:v>
                  </c:pt>
                  <c:pt idx="147">
                    <c:v>1,6</c:v>
                  </c:pt>
                  <c:pt idx="148">
                    <c:v>1,8</c:v>
                  </c:pt>
                  <c:pt idx="149">
                    <c:v>1,8</c:v>
                  </c:pt>
                  <c:pt idx="150">
                    <c:v>1,8</c:v>
                  </c:pt>
                  <c:pt idx="151">
                    <c:v>1,6</c:v>
                  </c:pt>
                  <c:pt idx="152">
                    <c:v>1,5</c:v>
                  </c:pt>
                  <c:pt idx="153">
                    <c:v>1,8</c:v>
                  </c:pt>
                  <c:pt idx="154">
                    <c:v>1,6</c:v>
                  </c:pt>
                  <c:pt idx="155">
                    <c:v>1,6</c:v>
                  </c:pt>
                  <c:pt idx="156">
                    <c:v>1,6</c:v>
                  </c:pt>
                  <c:pt idx="157">
                    <c:v>1,6</c:v>
                  </c:pt>
                  <c:pt idx="158">
                    <c:v>1,6</c:v>
                  </c:pt>
                  <c:pt idx="159">
                    <c:v>1,6</c:v>
                  </c:pt>
                  <c:pt idx="160">
                    <c:v>1,6</c:v>
                  </c:pt>
                  <c:pt idx="161">
                    <c:v>1,8</c:v>
                  </c:pt>
                  <c:pt idx="162">
                    <c:v>1,8</c:v>
                  </c:pt>
                  <c:pt idx="163">
                    <c:v>1,5</c:v>
                  </c:pt>
                  <c:pt idx="164">
                    <c:v>1,8</c:v>
                  </c:pt>
                  <c:pt idx="165">
                    <c:v>2</c:v>
                  </c:pt>
                  <c:pt idx="166">
                    <c:v>1,4</c:v>
                  </c:pt>
                  <c:pt idx="167">
                    <c:v>1,6</c:v>
                  </c:pt>
                  <c:pt idx="168">
                    <c:v>1,6</c:v>
                  </c:pt>
                  <c:pt idx="169">
                    <c:v>1,3</c:v>
                  </c:pt>
                  <c:pt idx="170">
                    <c:v>1,3</c:v>
                  </c:pt>
                  <c:pt idx="171">
                    <c:v>1,6</c:v>
                  </c:pt>
                  <c:pt idx="172">
                    <c:v>1,6</c:v>
                  </c:pt>
                  <c:pt idx="173">
                    <c:v>1,6</c:v>
                  </c:pt>
                  <c:pt idx="174">
                    <c:v>1,6</c:v>
                  </c:pt>
                  <c:pt idx="175">
                    <c:v>1,6</c:v>
                  </c:pt>
                  <c:pt idx="176">
                    <c:v>1,6</c:v>
                  </c:pt>
                  <c:pt idx="177">
                    <c:v>1,45</c:v>
                  </c:pt>
                  <c:pt idx="178">
                    <c:v>1,45</c:v>
                  </c:pt>
                  <c:pt idx="179">
                    <c:v>1,8</c:v>
                  </c:pt>
                  <c:pt idx="180">
                    <c:v>1,8</c:v>
                  </c:pt>
                  <c:pt idx="181">
                    <c:v>1,6</c:v>
                  </c:pt>
                  <c:pt idx="182">
                    <c:v>1,6</c:v>
                  </c:pt>
                  <c:pt idx="183">
                    <c:v>1,6</c:v>
                  </c:pt>
                  <c:pt idx="184">
                    <c:v>1,6</c:v>
                  </c:pt>
                  <c:pt idx="185">
                    <c:v>1,6</c:v>
                  </c:pt>
                  <c:pt idx="186">
                    <c:v>1,4</c:v>
                  </c:pt>
                  <c:pt idx="187">
                    <c:v>1,4</c:v>
                  </c:pt>
                  <c:pt idx="188">
                    <c:v>1,6</c:v>
                  </c:pt>
                  <c:pt idx="189">
                    <c:v>1,6</c:v>
                  </c:pt>
                  <c:pt idx="190">
                    <c:v>1,6</c:v>
                  </c:pt>
                  <c:pt idx="191">
                    <c:v>1,6</c:v>
                  </c:pt>
                  <c:pt idx="192">
                    <c:v>1,6</c:v>
                  </c:pt>
                  <c:pt idx="193">
                    <c:v>1,8</c:v>
                  </c:pt>
                  <c:pt idx="194">
                    <c:v>1,8</c:v>
                  </c:pt>
                  <c:pt idx="195">
                    <c:v>1,8</c:v>
                  </c:pt>
                  <c:pt idx="196">
                    <c:v>1,6</c:v>
                  </c:pt>
                  <c:pt idx="197">
                    <c:v>1,6</c:v>
                  </c:pt>
                  <c:pt idx="198">
                    <c:v>1,6</c:v>
                  </c:pt>
                  <c:pt idx="199">
                    <c:v>1,6</c:v>
                  </c:pt>
                  <c:pt idx="200">
                    <c:v>1,6</c:v>
                  </c:pt>
                  <c:pt idx="201">
                    <c:v>1,8</c:v>
                  </c:pt>
                  <c:pt idx="202">
                    <c:v>1,8</c:v>
                  </c:pt>
                  <c:pt idx="203">
                    <c:v>1,46</c:v>
                  </c:pt>
                  <c:pt idx="204">
                    <c:v>2</c:v>
                  </c:pt>
                  <c:pt idx="205">
                    <c:v>1,6</c:v>
                  </c:pt>
                  <c:pt idx="206">
                    <c:v>1</c:v>
                  </c:pt>
                  <c:pt idx="208">
                    <c:v>1,4</c:v>
                  </c:pt>
                  <c:pt idx="209">
                    <c:v>1,4</c:v>
                  </c:pt>
                  <c:pt idx="210">
                    <c:v>1,8</c:v>
                  </c:pt>
                  <c:pt idx="211">
                    <c:v>1,3</c:v>
                  </c:pt>
                  <c:pt idx="212">
                    <c:v>1,6</c:v>
                  </c:pt>
                  <c:pt idx="213">
                    <c:v>1,6</c:v>
                  </c:pt>
                  <c:pt idx="214">
                    <c:v>1,6</c:v>
                  </c:pt>
                  <c:pt idx="215">
                    <c:v>1,6</c:v>
                  </c:pt>
                  <c:pt idx="216">
                    <c:v>1,8</c:v>
                  </c:pt>
                  <c:pt idx="217">
                    <c:v>1,8</c:v>
                  </c:pt>
                  <c:pt idx="218">
                    <c:v>1,3</c:v>
                  </c:pt>
                  <c:pt idx="219">
                    <c:v>2,6</c:v>
                  </c:pt>
                  <c:pt idx="220">
                    <c:v>3,2</c:v>
                  </c:pt>
                  <c:pt idx="221">
                    <c:v>1,8</c:v>
                  </c:pt>
                  <c:pt idx="222">
                    <c:v>1,8</c:v>
                  </c:pt>
                  <c:pt idx="223">
                    <c:v>1,6</c:v>
                  </c:pt>
                  <c:pt idx="224">
                    <c:v>1,6</c:v>
                  </c:pt>
                  <c:pt idx="225">
                    <c:v>1,6</c:v>
                  </c:pt>
                  <c:pt idx="226">
                    <c:v>1,7</c:v>
                  </c:pt>
                  <c:pt idx="227">
                    <c:v>1,8</c:v>
                  </c:pt>
                  <c:pt idx="228">
                    <c:v>2</c:v>
                  </c:pt>
                  <c:pt idx="229">
                    <c:v>1,4</c:v>
                  </c:pt>
                  <c:pt idx="230">
                    <c:v>1,6</c:v>
                  </c:pt>
                  <c:pt idx="231">
                    <c:v>1,6</c:v>
                  </c:pt>
                  <c:pt idx="232">
                    <c:v>1,6</c:v>
                  </c:pt>
                  <c:pt idx="233">
                    <c:v>1,6</c:v>
                  </c:pt>
                  <c:pt idx="234">
                    <c:v>1,6</c:v>
                  </c:pt>
                  <c:pt idx="235">
                    <c:v>3</c:v>
                  </c:pt>
                  <c:pt idx="236">
                    <c:v>1,3</c:v>
                  </c:pt>
                  <c:pt idx="237">
                    <c:v>1,6</c:v>
                  </c:pt>
                  <c:pt idx="238">
                    <c:v>1,6</c:v>
                  </c:pt>
                  <c:pt idx="239">
                    <c:v>1,6</c:v>
                  </c:pt>
                  <c:pt idx="240">
                    <c:v>1,4</c:v>
                  </c:pt>
                  <c:pt idx="241">
                    <c:v>1,4</c:v>
                  </c:pt>
                  <c:pt idx="242">
                    <c:v>1,6</c:v>
                  </c:pt>
                  <c:pt idx="243">
                    <c:v>1,4</c:v>
                  </c:pt>
                  <c:pt idx="244">
                    <c:v>1,45</c:v>
                  </c:pt>
                  <c:pt idx="245">
                    <c:v>1,45</c:v>
                  </c:pt>
                  <c:pt idx="246">
                    <c:v>1,45</c:v>
                  </c:pt>
                  <c:pt idx="247">
                    <c:v>2</c:v>
                  </c:pt>
                  <c:pt idx="248">
                    <c:v>1,5</c:v>
                  </c:pt>
                  <c:pt idx="249">
                    <c:v>1,6</c:v>
                  </c:pt>
                  <c:pt idx="250">
                    <c:v>1,6</c:v>
                  </c:pt>
                  <c:pt idx="251">
                    <c:v>1,3</c:v>
                  </c:pt>
                  <c:pt idx="252">
                    <c:v>1,6</c:v>
                  </c:pt>
                  <c:pt idx="253">
                    <c:v>1,6</c:v>
                  </c:pt>
                  <c:pt idx="254">
                    <c:v>1,6</c:v>
                  </c:pt>
                  <c:pt idx="255">
                    <c:v>1,8</c:v>
                  </c:pt>
                  <c:pt idx="256">
                    <c:v>1,8</c:v>
                  </c:pt>
                  <c:pt idx="257">
                    <c:v>1,8</c:v>
                  </c:pt>
                  <c:pt idx="258">
                    <c:v>1,5</c:v>
                  </c:pt>
                  <c:pt idx="259">
                    <c:v>1,8</c:v>
                  </c:pt>
                  <c:pt idx="260">
                    <c:v>2</c:v>
                  </c:pt>
                  <c:pt idx="261">
                    <c:v>1,3</c:v>
                  </c:pt>
                  <c:pt idx="262">
                    <c:v>1,45</c:v>
                  </c:pt>
                  <c:pt idx="263">
                    <c:v>1,5</c:v>
                  </c:pt>
                  <c:pt idx="264">
                    <c:v>1,4</c:v>
                  </c:pt>
                  <c:pt idx="265">
                    <c:v>1,6</c:v>
                  </c:pt>
                  <c:pt idx="266">
                    <c:v>1,6</c:v>
                  </c:pt>
                  <c:pt idx="267">
                    <c:v>1,6</c:v>
                  </c:pt>
                  <c:pt idx="268">
                    <c:v>1,3</c:v>
                  </c:pt>
                  <c:pt idx="269">
                    <c:v>1,5</c:v>
                  </c:pt>
                  <c:pt idx="270">
                    <c:v>1,45</c:v>
                  </c:pt>
                  <c:pt idx="271">
                    <c:v>1,5</c:v>
                  </c:pt>
                  <c:pt idx="272">
                    <c:v>1,6</c:v>
                  </c:pt>
                  <c:pt idx="273">
                    <c:v>1,6</c:v>
                  </c:pt>
                  <c:pt idx="274">
                    <c:v>1,7</c:v>
                  </c:pt>
                  <c:pt idx="275">
                    <c:v>1,3</c:v>
                  </c:pt>
                  <c:pt idx="276">
                    <c:v>1,6</c:v>
                  </c:pt>
                  <c:pt idx="277">
                    <c:v>1,8</c:v>
                  </c:pt>
                  <c:pt idx="278">
                    <c:v>1,8</c:v>
                  </c:pt>
                  <c:pt idx="279">
                    <c:v>1,8</c:v>
                  </c:pt>
                  <c:pt idx="280">
                    <c:v>1,8</c:v>
                  </c:pt>
                  <c:pt idx="281">
                    <c:v>1,8</c:v>
                  </c:pt>
                  <c:pt idx="282">
                    <c:v>1,5</c:v>
                  </c:pt>
                  <c:pt idx="283">
                    <c:v>1,8</c:v>
                  </c:pt>
                  <c:pt idx="284">
                    <c:v>1,8</c:v>
                  </c:pt>
                  <c:pt idx="285">
                    <c:v>1,6</c:v>
                  </c:pt>
                  <c:pt idx="286">
                    <c:v>1,5</c:v>
                  </c:pt>
                  <c:pt idx="287">
                    <c:v>1,4</c:v>
                  </c:pt>
                  <c:pt idx="288">
                    <c:v>1,45</c:v>
                  </c:pt>
                  <c:pt idx="289">
                    <c:v>1,45</c:v>
                  </c:pt>
                  <c:pt idx="290">
                    <c:v>1,6</c:v>
                  </c:pt>
                  <c:pt idx="291">
                    <c:v>1,45</c:v>
                  </c:pt>
                  <c:pt idx="292">
                    <c:v>1,5</c:v>
                  </c:pt>
                  <c:pt idx="293">
                    <c:v>1,6</c:v>
                  </c:pt>
                  <c:pt idx="294">
                    <c:v>1,5</c:v>
                  </c:pt>
                  <c:pt idx="295">
                    <c:v>1,6</c:v>
                  </c:pt>
                  <c:pt idx="296">
                    <c:v>1,6</c:v>
                  </c:pt>
                  <c:pt idx="297">
                    <c:v>1,4</c:v>
                  </c:pt>
                  <c:pt idx="298">
                    <c:v>1,5</c:v>
                  </c:pt>
                  <c:pt idx="299">
                    <c:v>1,5</c:v>
                  </c:pt>
                  <c:pt idx="300">
                    <c:v>1,5</c:v>
                  </c:pt>
                  <c:pt idx="301">
                    <c:v>1,3</c:v>
                  </c:pt>
                  <c:pt idx="302">
                    <c:v>1,3</c:v>
                  </c:pt>
                  <c:pt idx="303">
                    <c:v>1,45</c:v>
                  </c:pt>
                  <c:pt idx="304">
                    <c:v>1,5</c:v>
                  </c:pt>
                  <c:pt idx="305">
                    <c:v>1,5</c:v>
                  </c:pt>
                  <c:pt idx="306">
                    <c:v>1,5</c:v>
                  </c:pt>
                  <c:pt idx="307">
                    <c:v>1,45</c:v>
                  </c:pt>
                  <c:pt idx="308">
                    <c:v>1,5</c:v>
                  </c:pt>
                  <c:pt idx="309">
                    <c:v>1,5</c:v>
                  </c:pt>
                  <c:pt idx="310">
                    <c:v>1,7</c:v>
                  </c:pt>
                  <c:pt idx="311">
                    <c:v>1,8</c:v>
                  </c:pt>
                  <c:pt idx="312">
                    <c:v>1,8</c:v>
                  </c:pt>
                  <c:pt idx="313">
                    <c:v>1,7</c:v>
                  </c:pt>
                  <c:pt idx="314">
                    <c:v>2</c:v>
                  </c:pt>
                  <c:pt idx="315">
                    <c:v>2,5</c:v>
                  </c:pt>
                  <c:pt idx="316">
                    <c:v>1,6</c:v>
                  </c:pt>
                  <c:pt idx="317">
                    <c:v>1,35</c:v>
                  </c:pt>
                  <c:pt idx="318">
                    <c:v>1,3</c:v>
                  </c:pt>
                  <c:pt idx="319">
                    <c:v>1,3</c:v>
                  </c:pt>
                  <c:pt idx="320">
                    <c:v>1,45</c:v>
                  </c:pt>
                  <c:pt idx="321">
                    <c:v>2,5</c:v>
                  </c:pt>
                  <c:pt idx="322">
                    <c:v>2</c:v>
                  </c:pt>
                  <c:pt idx="323">
                    <c:v>1,6</c:v>
                  </c:pt>
                  <c:pt idx="324">
                    <c:v>1,6</c:v>
                  </c:pt>
                  <c:pt idx="325">
                    <c:v>1,6</c:v>
                  </c:pt>
                  <c:pt idx="326">
                    <c:v>1,6</c:v>
                  </c:pt>
                  <c:pt idx="327">
                    <c:v>2</c:v>
                  </c:pt>
                  <c:pt idx="328">
                    <c:v>1,4</c:v>
                  </c:pt>
                  <c:pt idx="329">
                    <c:v>1,4</c:v>
                  </c:pt>
                  <c:pt idx="330">
                    <c:v>1,4</c:v>
                  </c:pt>
                  <c:pt idx="331">
                    <c:v>1,8</c:v>
                  </c:pt>
                  <c:pt idx="332">
                    <c:v>1,4</c:v>
                  </c:pt>
                  <c:pt idx="333">
                    <c:v>1,4</c:v>
                  </c:pt>
                  <c:pt idx="334">
                    <c:v>1,4</c:v>
                  </c:pt>
                  <c:pt idx="335">
                    <c:v>1,4</c:v>
                  </c:pt>
                  <c:pt idx="336">
                    <c:v>1,4</c:v>
                  </c:pt>
                  <c:pt idx="337">
                    <c:v>1,3</c:v>
                  </c:pt>
                  <c:pt idx="338">
                    <c:v>1,4</c:v>
                  </c:pt>
                  <c:pt idx="339">
                    <c:v>1,6</c:v>
                  </c:pt>
                  <c:pt idx="340">
                    <c:v>1,5</c:v>
                  </c:pt>
                  <c:pt idx="341">
                    <c:v>1,8</c:v>
                  </c:pt>
                  <c:pt idx="342">
                    <c:v>1,5</c:v>
                  </c:pt>
                  <c:pt idx="343">
                    <c:v>1,6</c:v>
                  </c:pt>
                  <c:pt idx="344">
                    <c:v>1,5</c:v>
                  </c:pt>
                  <c:pt idx="345">
                    <c:v>1,8</c:v>
                  </c:pt>
                  <c:pt idx="346">
                    <c:v>1,3</c:v>
                  </c:pt>
                  <c:pt idx="347">
                    <c:v>1,6</c:v>
                  </c:pt>
                  <c:pt idx="348">
                    <c:v>1,45</c:v>
                  </c:pt>
                  <c:pt idx="349">
                    <c:v>1,8</c:v>
                  </c:pt>
                  <c:pt idx="350">
                    <c:v>1,4</c:v>
                  </c:pt>
                  <c:pt idx="351">
                    <c:v>1,5</c:v>
                  </c:pt>
                  <c:pt idx="352">
                    <c:v>1,6</c:v>
                  </c:pt>
                  <c:pt idx="353">
                    <c:v>1,4</c:v>
                  </c:pt>
                  <c:pt idx="354">
                    <c:v>1,5</c:v>
                  </c:pt>
                  <c:pt idx="355">
                    <c:v>1,5</c:v>
                  </c:pt>
                  <c:pt idx="356">
                    <c:v>1,6</c:v>
                  </c:pt>
                  <c:pt idx="357">
                    <c:v>1,6</c:v>
                  </c:pt>
                  <c:pt idx="358">
                    <c:v>1,6</c:v>
                  </c:pt>
                  <c:pt idx="359">
                    <c:v>1,3</c:v>
                  </c:pt>
                  <c:pt idx="360">
                    <c:v>1,3</c:v>
                  </c:pt>
                  <c:pt idx="361">
                    <c:v>1,35</c:v>
                  </c:pt>
                  <c:pt idx="362">
                    <c:v>1,35</c:v>
                  </c:pt>
                  <c:pt idx="363">
                    <c:v>1,6</c:v>
                  </c:pt>
                  <c:pt idx="364">
                    <c:v>1,35</c:v>
                  </c:pt>
                  <c:pt idx="365">
                    <c:v>1,3</c:v>
                  </c:pt>
                  <c:pt idx="366">
                    <c:v>1,35</c:v>
                  </c:pt>
                  <c:pt idx="367">
                    <c:v>1,35</c:v>
                  </c:pt>
                  <c:pt idx="368">
                    <c:v>1,3</c:v>
                  </c:pt>
                  <c:pt idx="369">
                    <c:v>1,8</c:v>
                  </c:pt>
                  <c:pt idx="370">
                    <c:v>1,4</c:v>
                  </c:pt>
                  <c:pt idx="371">
                    <c:v>1,8</c:v>
                  </c:pt>
                  <c:pt idx="372">
                    <c:v>1,8</c:v>
                  </c:pt>
                  <c:pt idx="373">
                    <c:v>1,8</c:v>
                  </c:pt>
                  <c:pt idx="374">
                    <c:v>1,6</c:v>
                  </c:pt>
                  <c:pt idx="375">
                    <c:v>1,6</c:v>
                  </c:pt>
                  <c:pt idx="376">
                    <c:v>1,8</c:v>
                  </c:pt>
                  <c:pt idx="377">
                    <c:v>1,6</c:v>
                  </c:pt>
                  <c:pt idx="378">
                    <c:v>1,4</c:v>
                  </c:pt>
                  <c:pt idx="379">
                    <c:v>1,4</c:v>
                  </c:pt>
                  <c:pt idx="380">
                    <c:v>1,8</c:v>
                  </c:pt>
                  <c:pt idx="381">
                    <c:v>1,8</c:v>
                  </c:pt>
                  <c:pt idx="382">
                    <c:v>1,6</c:v>
                  </c:pt>
                  <c:pt idx="383">
                    <c:v>1,8</c:v>
                  </c:pt>
                  <c:pt idx="384">
                    <c:v>1,6</c:v>
                  </c:pt>
                  <c:pt idx="385">
                    <c:v>1,6</c:v>
                  </c:pt>
                  <c:pt idx="386">
                    <c:v>1,4</c:v>
                  </c:pt>
                  <c:pt idx="387">
                    <c:v>1,4</c:v>
                  </c:pt>
                  <c:pt idx="388">
                    <c:v>1,6</c:v>
                  </c:pt>
                  <c:pt idx="389">
                    <c:v>1,6</c:v>
                  </c:pt>
                  <c:pt idx="390">
                    <c:v>1,6</c:v>
                  </c:pt>
                  <c:pt idx="391">
                    <c:v>1,3</c:v>
                  </c:pt>
                  <c:pt idx="392">
                    <c:v>1,3</c:v>
                  </c:pt>
                  <c:pt idx="393">
                    <c:v>1,3</c:v>
                  </c:pt>
                  <c:pt idx="394">
                    <c:v>1,6</c:v>
                  </c:pt>
                  <c:pt idx="395">
                    <c:v>1,8</c:v>
                  </c:pt>
                  <c:pt idx="396">
                    <c:v>1,8</c:v>
                  </c:pt>
                  <c:pt idx="397">
                    <c:v>1,3</c:v>
                  </c:pt>
                  <c:pt idx="398">
                    <c:v>2</c:v>
                  </c:pt>
                  <c:pt idx="399">
                    <c:v>1,8</c:v>
                  </c:pt>
                  <c:pt idx="400">
                    <c:v>1,8</c:v>
                  </c:pt>
                  <c:pt idx="401">
                    <c:v>1,6</c:v>
                  </c:pt>
                  <c:pt idx="402">
                    <c:v>2</c:v>
                  </c:pt>
                  <c:pt idx="403">
                    <c:v>1,6</c:v>
                  </c:pt>
                  <c:pt idx="404">
                    <c:v>1,8</c:v>
                  </c:pt>
                  <c:pt idx="405">
                    <c:v>1,6</c:v>
                  </c:pt>
                  <c:pt idx="406">
                    <c:v>1,8</c:v>
                  </c:pt>
                  <c:pt idx="407">
                    <c:v>1,5</c:v>
                  </c:pt>
                  <c:pt idx="408">
                    <c:v>1,6</c:v>
                  </c:pt>
                  <c:pt idx="409">
                    <c:v>1,6</c:v>
                  </c:pt>
                  <c:pt idx="410">
                    <c:v>1,45</c:v>
                  </c:pt>
                  <c:pt idx="411">
                    <c:v>1,4</c:v>
                  </c:pt>
                  <c:pt idx="412">
                    <c:v>1,67</c:v>
                  </c:pt>
                  <c:pt idx="413">
                    <c:v>1,2</c:v>
                  </c:pt>
                  <c:pt idx="414">
                    <c:v>1,8</c:v>
                  </c:pt>
                  <c:pt idx="415">
                    <c:v>1,6</c:v>
                  </c:pt>
                  <c:pt idx="416">
                    <c:v>1,8</c:v>
                  </c:pt>
                  <c:pt idx="417">
                    <c:v>1,8</c:v>
                  </c:pt>
                  <c:pt idx="418">
                    <c:v>2,5</c:v>
                  </c:pt>
                  <c:pt idx="419">
                    <c:v>2</c:v>
                  </c:pt>
                  <c:pt idx="420">
                    <c:v>3</c:v>
                  </c:pt>
                  <c:pt idx="421">
                    <c:v>3</c:v>
                  </c:pt>
                  <c:pt idx="422">
                    <c:v>2</c:v>
                  </c:pt>
                  <c:pt idx="423">
                    <c:v>2,5</c:v>
                  </c:pt>
                  <c:pt idx="424">
                    <c:v>2</c:v>
                  </c:pt>
                  <c:pt idx="425">
                    <c:v>2</c:v>
                  </c:pt>
                  <c:pt idx="426">
                    <c:v>2</c:v>
                  </c:pt>
                  <c:pt idx="427">
                    <c:v>2</c:v>
                  </c:pt>
                  <c:pt idx="428">
                    <c:v>1,5</c:v>
                  </c:pt>
                  <c:pt idx="429">
                    <c:v>1,5</c:v>
                  </c:pt>
                  <c:pt idx="430">
                    <c:v>1,8</c:v>
                  </c:pt>
                  <c:pt idx="431">
                    <c:v>1,5</c:v>
                  </c:pt>
                  <c:pt idx="432">
                    <c:v>1,8</c:v>
                  </c:pt>
                  <c:pt idx="433">
                    <c:v>1,4</c:v>
                  </c:pt>
                  <c:pt idx="434">
                    <c:v>1,5</c:v>
                  </c:pt>
                  <c:pt idx="435">
                    <c:v>1,4</c:v>
                  </c:pt>
                  <c:pt idx="436">
                    <c:v>1,45</c:v>
                  </c:pt>
                  <c:pt idx="437">
                    <c:v>1,4</c:v>
                  </c:pt>
                  <c:pt idx="438">
                    <c:v>1,8</c:v>
                  </c:pt>
                  <c:pt idx="439">
                    <c:v>1,8</c:v>
                  </c:pt>
                  <c:pt idx="440">
                    <c:v>1,7</c:v>
                  </c:pt>
                  <c:pt idx="441">
                    <c:v>1,6</c:v>
                  </c:pt>
                  <c:pt idx="442">
                    <c:v>1,6</c:v>
                  </c:pt>
                  <c:pt idx="443">
                    <c:v>1,7</c:v>
                  </c:pt>
                  <c:pt idx="444">
                    <c:v>1,5</c:v>
                  </c:pt>
                  <c:pt idx="445">
                    <c:v>1,6</c:v>
                  </c:pt>
                  <c:pt idx="446">
                    <c:v>1,6</c:v>
                  </c:pt>
                  <c:pt idx="447">
                    <c:v>1,6</c:v>
                  </c:pt>
                  <c:pt idx="448">
                    <c:v>1,5</c:v>
                  </c:pt>
                  <c:pt idx="449">
                    <c:v>1,7</c:v>
                  </c:pt>
                  <c:pt idx="450">
                    <c:v>1,6</c:v>
                  </c:pt>
                  <c:pt idx="451">
                    <c:v>1,5</c:v>
                  </c:pt>
                  <c:pt idx="452">
                    <c:v>1,6</c:v>
                  </c:pt>
                  <c:pt idx="453">
                    <c:v>1,35</c:v>
                  </c:pt>
                  <c:pt idx="454">
                    <c:v>1,35</c:v>
                  </c:pt>
                  <c:pt idx="455">
                    <c:v>1,4</c:v>
                  </c:pt>
                  <c:pt idx="456">
                    <c:v>1,4</c:v>
                  </c:pt>
                  <c:pt idx="457">
                    <c:v>1,4</c:v>
                  </c:pt>
                  <c:pt idx="458">
                    <c:v>1,6</c:v>
                  </c:pt>
                  <c:pt idx="459">
                    <c:v>2</c:v>
                  </c:pt>
                  <c:pt idx="460">
                    <c:v>1,45</c:v>
                  </c:pt>
                  <c:pt idx="461">
                    <c:v>1,45</c:v>
                  </c:pt>
                  <c:pt idx="462">
                    <c:v>1,8</c:v>
                  </c:pt>
                  <c:pt idx="463">
                    <c:v>1,6</c:v>
                  </c:pt>
                  <c:pt idx="464">
                    <c:v>1,4</c:v>
                  </c:pt>
                  <c:pt idx="465">
                    <c:v>1,4</c:v>
                  </c:pt>
                  <c:pt idx="466">
                    <c:v>1,4</c:v>
                  </c:pt>
                  <c:pt idx="467">
                    <c:v>1,3</c:v>
                  </c:pt>
                  <c:pt idx="468">
                    <c:v>1,3</c:v>
                  </c:pt>
                  <c:pt idx="469">
                    <c:v>1,3</c:v>
                  </c:pt>
                  <c:pt idx="470">
                    <c:v>1,3</c:v>
                  </c:pt>
                  <c:pt idx="471">
                    <c:v>1,3</c:v>
                  </c:pt>
                  <c:pt idx="472">
                    <c:v>1,6</c:v>
                  </c:pt>
                  <c:pt idx="473">
                    <c:v>1,6</c:v>
                  </c:pt>
                  <c:pt idx="474">
                    <c:v>1,3</c:v>
                  </c:pt>
                  <c:pt idx="475">
                    <c:v>1,8</c:v>
                  </c:pt>
                  <c:pt idx="476">
                    <c:v>2</c:v>
                  </c:pt>
                  <c:pt idx="477">
                    <c:v>1,5</c:v>
                  </c:pt>
                  <c:pt idx="478">
                    <c:v>1,6</c:v>
                  </c:pt>
                  <c:pt idx="479">
                    <c:v>1,6</c:v>
                  </c:pt>
                  <c:pt idx="480">
                    <c:v>1,6</c:v>
                  </c:pt>
                  <c:pt idx="481">
                    <c:v>1,5</c:v>
                  </c:pt>
                  <c:pt idx="482">
                    <c:v>1,1</c:v>
                  </c:pt>
                  <c:pt idx="483">
                    <c:v>1,4</c:v>
                  </c:pt>
                  <c:pt idx="484">
                    <c:v>1,35</c:v>
                  </c:pt>
                  <c:pt idx="486">
                    <c:v>1,8</c:v>
                  </c:pt>
                  <c:pt idx="487">
                    <c:v>1,8</c:v>
                  </c:pt>
                  <c:pt idx="488">
                    <c:v>1,6</c:v>
                  </c:pt>
                  <c:pt idx="489">
                    <c:v>1,5</c:v>
                  </c:pt>
                  <c:pt idx="490">
                    <c:v>1,8</c:v>
                  </c:pt>
                  <c:pt idx="491">
                    <c:v>1,5</c:v>
                  </c:pt>
                  <c:pt idx="492">
                    <c:v>1,3</c:v>
                  </c:pt>
                  <c:pt idx="493">
                    <c:v>1,4</c:v>
                  </c:pt>
                  <c:pt idx="495">
                    <c:v>1,6</c:v>
                  </c:pt>
                  <c:pt idx="496">
                    <c:v>1,4</c:v>
                  </c:pt>
                  <c:pt idx="497">
                    <c:v>1,6</c:v>
                  </c:pt>
                  <c:pt idx="498">
                    <c:v>1,6</c:v>
                  </c:pt>
                  <c:pt idx="499">
                    <c:v>1,4</c:v>
                  </c:pt>
                  <c:pt idx="500">
                    <c:v>1,4</c:v>
                  </c:pt>
                  <c:pt idx="501">
                    <c:v>2</c:v>
                  </c:pt>
                  <c:pt idx="502">
                    <c:v>1,6</c:v>
                  </c:pt>
                  <c:pt idx="503">
                    <c:v>2,4</c:v>
                  </c:pt>
                  <c:pt idx="504">
                    <c:v>1,6</c:v>
                  </c:pt>
                  <c:pt idx="505">
                    <c:v>1,6</c:v>
                  </c:pt>
                  <c:pt idx="506">
                    <c:v>1,8</c:v>
                  </c:pt>
                  <c:pt idx="507">
                    <c:v>2</c:v>
                  </c:pt>
                  <c:pt idx="508">
                    <c:v>2</c:v>
                  </c:pt>
                  <c:pt idx="509">
                    <c:v>1,6</c:v>
                  </c:pt>
                  <c:pt idx="510">
                    <c:v>2</c:v>
                  </c:pt>
                  <c:pt idx="511">
                    <c:v>1,7</c:v>
                  </c:pt>
                  <c:pt idx="512">
                    <c:v>1,6</c:v>
                  </c:pt>
                  <c:pt idx="513">
                    <c:v>1,6</c:v>
                  </c:pt>
                  <c:pt idx="514">
                    <c:v>2</c:v>
                  </c:pt>
                  <c:pt idx="515">
                    <c:v>2</c:v>
                  </c:pt>
                  <c:pt idx="516">
                    <c:v>1,45</c:v>
                  </c:pt>
                  <c:pt idx="517">
                    <c:v>1,25</c:v>
                  </c:pt>
                  <c:pt idx="518">
                    <c:v>1,3</c:v>
                  </c:pt>
                  <c:pt idx="519">
                    <c:v>1,5</c:v>
                  </c:pt>
                  <c:pt idx="520">
                    <c:v>1,4</c:v>
                  </c:pt>
                  <c:pt idx="521">
                    <c:v>1</c:v>
                  </c:pt>
                  <c:pt idx="522">
                    <c:v>1,6</c:v>
                  </c:pt>
                  <c:pt idx="524">
                    <c:v>1,3</c:v>
                  </c:pt>
                  <c:pt idx="525">
                    <c:v>1,6</c:v>
                  </c:pt>
                  <c:pt idx="526">
                    <c:v>1,1</c:v>
                  </c:pt>
                  <c:pt idx="527">
                    <c:v>1,1</c:v>
                  </c:pt>
                  <c:pt idx="528">
                    <c:v>1,1</c:v>
                  </c:pt>
                  <c:pt idx="529">
                    <c:v>1,1</c:v>
                  </c:pt>
                  <c:pt idx="530">
                    <c:v>1,6</c:v>
                  </c:pt>
                  <c:pt idx="531">
                    <c:v>1,3</c:v>
                  </c:pt>
                  <c:pt idx="532">
                    <c:v>1,6</c:v>
                  </c:pt>
                  <c:pt idx="534">
                    <c:v>1,6</c:v>
                  </c:pt>
                  <c:pt idx="535">
                    <c:v>1,3</c:v>
                  </c:pt>
                  <c:pt idx="536">
                    <c:v>1,6</c:v>
                  </c:pt>
                  <c:pt idx="537">
                    <c:v>1,8</c:v>
                  </c:pt>
                  <c:pt idx="538">
                    <c:v>1,6</c:v>
                  </c:pt>
                  <c:pt idx="539">
                    <c:v>1,3</c:v>
                  </c:pt>
                  <c:pt idx="540">
                    <c:v>1,35</c:v>
                  </c:pt>
                  <c:pt idx="541">
                    <c:v>1,2</c:v>
                  </c:pt>
                  <c:pt idx="542">
                    <c:v>1,8</c:v>
                  </c:pt>
                  <c:pt idx="543">
                    <c:v>1,6</c:v>
                  </c:pt>
                  <c:pt idx="544">
                    <c:v>1,6</c:v>
                  </c:pt>
                  <c:pt idx="545">
                    <c:v>1,45</c:v>
                  </c:pt>
                  <c:pt idx="546">
                    <c:v>1,7</c:v>
                  </c:pt>
                  <c:pt idx="547">
                    <c:v>1,5</c:v>
                  </c:pt>
                  <c:pt idx="548">
                    <c:v>1,5</c:v>
                  </c:pt>
                  <c:pt idx="549">
                    <c:v>1,6</c:v>
                  </c:pt>
                  <c:pt idx="550">
                    <c:v>1,6</c:v>
                  </c:pt>
                  <c:pt idx="551">
                    <c:v>1,6</c:v>
                  </c:pt>
                  <c:pt idx="552">
                    <c:v>1,6</c:v>
                  </c:pt>
                  <c:pt idx="553">
                    <c:v>1,6</c:v>
                  </c:pt>
                  <c:pt idx="554">
                    <c:v>1,3</c:v>
                  </c:pt>
                  <c:pt idx="555">
                    <c:v>1,6</c:v>
                  </c:pt>
                  <c:pt idx="556">
                    <c:v>1,8</c:v>
                  </c:pt>
                  <c:pt idx="557">
                    <c:v>1,6</c:v>
                  </c:pt>
                  <c:pt idx="558">
                    <c:v>1,3</c:v>
                  </c:pt>
                  <c:pt idx="559">
                    <c:v>1,3</c:v>
                  </c:pt>
                  <c:pt idx="560">
                    <c:v>1,6</c:v>
                  </c:pt>
                  <c:pt idx="561">
                    <c:v>1,6</c:v>
                  </c:pt>
                  <c:pt idx="562">
                    <c:v>1,6</c:v>
                  </c:pt>
                  <c:pt idx="563">
                    <c:v>1,4</c:v>
                  </c:pt>
                  <c:pt idx="564">
                    <c:v>1,6</c:v>
                  </c:pt>
                  <c:pt idx="565">
                    <c:v>1,6</c:v>
                  </c:pt>
                  <c:pt idx="566">
                    <c:v>1,4</c:v>
                  </c:pt>
                  <c:pt idx="567">
                    <c:v>1,5</c:v>
                  </c:pt>
                  <c:pt idx="568">
                    <c:v>1,5</c:v>
                  </c:pt>
                  <c:pt idx="569">
                    <c:v>2</c:v>
                  </c:pt>
                  <c:pt idx="570">
                    <c:v>1,6</c:v>
                  </c:pt>
                  <c:pt idx="571">
                    <c:v>1,6</c:v>
                  </c:pt>
                  <c:pt idx="572">
                    <c:v>1,4</c:v>
                  </c:pt>
                  <c:pt idx="573">
                    <c:v>1,35</c:v>
                  </c:pt>
                  <c:pt idx="574">
                    <c:v>1,7</c:v>
                  </c:pt>
                  <c:pt idx="575">
                    <c:v>1,6</c:v>
                  </c:pt>
                  <c:pt idx="576">
                    <c:v>1,6</c:v>
                  </c:pt>
                  <c:pt idx="577">
                    <c:v>1,4</c:v>
                  </c:pt>
                  <c:pt idx="579">
                    <c:v>1,6</c:v>
                  </c:pt>
                  <c:pt idx="580">
                    <c:v>1,6</c:v>
                  </c:pt>
                  <c:pt idx="582">
                    <c:v>1,5</c:v>
                  </c:pt>
                  <c:pt idx="583">
                    <c:v>1,6</c:v>
                  </c:pt>
                  <c:pt idx="584">
                    <c:v>1,1</c:v>
                  </c:pt>
                  <c:pt idx="585">
                    <c:v>2</c:v>
                  </c:pt>
                  <c:pt idx="586">
                    <c:v>3</c:v>
                  </c:pt>
                  <c:pt idx="587">
                    <c:v>1,7</c:v>
                  </c:pt>
                  <c:pt idx="588">
                    <c:v>1,6</c:v>
                  </c:pt>
                  <c:pt idx="589">
                    <c:v>1,6</c:v>
                  </c:pt>
                  <c:pt idx="590">
                    <c:v>1,5</c:v>
                  </c:pt>
                  <c:pt idx="591">
                    <c:v>1,8</c:v>
                  </c:pt>
                  <c:pt idx="592">
                    <c:v>1,6</c:v>
                  </c:pt>
                  <c:pt idx="593">
                    <c:v>1,4</c:v>
                  </c:pt>
                  <c:pt idx="594">
                    <c:v>2,25</c:v>
                  </c:pt>
                  <c:pt idx="595">
                    <c:v>2,3</c:v>
                  </c:pt>
                  <c:pt idx="596">
                    <c:v>1,6</c:v>
                  </c:pt>
                  <c:pt idx="597">
                    <c:v>2</c:v>
                  </c:pt>
                  <c:pt idx="598">
                    <c:v>1,5</c:v>
                  </c:pt>
                  <c:pt idx="599">
                    <c:v>2,6</c:v>
                  </c:pt>
                  <c:pt idx="600">
                    <c:v>1,3</c:v>
                  </c:pt>
                  <c:pt idx="601">
                    <c:v>1,6</c:v>
                  </c:pt>
                  <c:pt idx="602">
                    <c:v>1,6</c:v>
                  </c:pt>
                  <c:pt idx="603">
                    <c:v>1,3</c:v>
                  </c:pt>
                  <c:pt idx="604">
                    <c:v>3</c:v>
                  </c:pt>
                  <c:pt idx="605">
                    <c:v>1,6</c:v>
                  </c:pt>
                  <c:pt idx="606">
                    <c:v>1,6</c:v>
                  </c:pt>
                  <c:pt idx="607">
                    <c:v>1,8</c:v>
                  </c:pt>
                  <c:pt idx="608">
                    <c:v>1,8</c:v>
                  </c:pt>
                  <c:pt idx="609">
                    <c:v>1,6</c:v>
                  </c:pt>
                  <c:pt idx="610">
                    <c:v>1,4</c:v>
                  </c:pt>
                  <c:pt idx="611">
                    <c:v>1,6</c:v>
                  </c:pt>
                  <c:pt idx="612">
                    <c:v>1,8</c:v>
                  </c:pt>
                  <c:pt idx="613">
                    <c:v>1,6</c:v>
                  </c:pt>
                  <c:pt idx="614">
                    <c:v>1,8</c:v>
                  </c:pt>
                  <c:pt idx="615">
                    <c:v>1,6</c:v>
                  </c:pt>
                  <c:pt idx="616">
                    <c:v>2</c:v>
                  </c:pt>
                  <c:pt idx="617">
                    <c:v>1,8</c:v>
                  </c:pt>
                  <c:pt idx="618">
                    <c:v>1,8</c:v>
                  </c:pt>
                  <c:pt idx="619">
                    <c:v>1,6</c:v>
                  </c:pt>
                  <c:pt idx="620">
                    <c:v>1,7</c:v>
                  </c:pt>
                  <c:pt idx="621">
                    <c:v>1,7</c:v>
                  </c:pt>
                  <c:pt idx="622">
                    <c:v>1,7</c:v>
                  </c:pt>
                  <c:pt idx="623">
                    <c:v>1,7</c:v>
                  </c:pt>
                  <c:pt idx="624">
                    <c:v>1,7</c:v>
                  </c:pt>
                  <c:pt idx="625">
                    <c:v>1,6</c:v>
                  </c:pt>
                  <c:pt idx="626">
                    <c:v>1,7</c:v>
                  </c:pt>
                  <c:pt idx="627">
                    <c:v>1,7</c:v>
                  </c:pt>
                  <c:pt idx="628">
                    <c:v>1,7</c:v>
                  </c:pt>
                  <c:pt idx="629">
                    <c:v>1,7</c:v>
                  </c:pt>
                  <c:pt idx="630">
                    <c:v>1,7</c:v>
                  </c:pt>
                  <c:pt idx="631">
                    <c:v>1,6</c:v>
                  </c:pt>
                  <c:pt idx="632">
                    <c:v>1,4</c:v>
                  </c:pt>
                  <c:pt idx="633">
                    <c:v>1,6</c:v>
                  </c:pt>
                  <c:pt idx="634">
                    <c:v>1,3</c:v>
                  </c:pt>
                  <c:pt idx="635">
                    <c:v>1,2</c:v>
                  </c:pt>
                  <c:pt idx="636">
                    <c:v>1,4</c:v>
                  </c:pt>
                  <c:pt idx="637">
                    <c:v>2</c:v>
                  </c:pt>
                  <c:pt idx="638">
                    <c:v>1,8</c:v>
                  </c:pt>
                  <c:pt idx="639">
                    <c:v>2</c:v>
                  </c:pt>
                  <c:pt idx="640">
                    <c:v>1,6</c:v>
                  </c:pt>
                  <c:pt idx="641">
                    <c:v>2</c:v>
                  </c:pt>
                  <c:pt idx="642">
                    <c:v>1,8</c:v>
                  </c:pt>
                  <c:pt idx="643">
                    <c:v>1,8</c:v>
                  </c:pt>
                  <c:pt idx="644">
                    <c:v>1,8</c:v>
                  </c:pt>
                  <c:pt idx="645">
                    <c:v>1,6</c:v>
                  </c:pt>
                  <c:pt idx="646">
                    <c:v>1,8</c:v>
                  </c:pt>
                  <c:pt idx="647">
                    <c:v>2</c:v>
                  </c:pt>
                  <c:pt idx="648">
                    <c:v>1,8</c:v>
                  </c:pt>
                  <c:pt idx="649">
                    <c:v>1,8</c:v>
                  </c:pt>
                  <c:pt idx="650">
                    <c:v>1,8</c:v>
                  </c:pt>
                  <c:pt idx="651">
                    <c:v>2</c:v>
                  </c:pt>
                  <c:pt idx="652">
                    <c:v>2</c:v>
                  </c:pt>
                  <c:pt idx="653">
                    <c:v>2</c:v>
                  </c:pt>
                  <c:pt idx="654">
                    <c:v>2</c:v>
                  </c:pt>
                  <c:pt idx="655">
                    <c:v>2</c:v>
                  </c:pt>
                  <c:pt idx="656">
                    <c:v>1,5</c:v>
                  </c:pt>
                  <c:pt idx="657">
                    <c:v>1,8</c:v>
                  </c:pt>
                  <c:pt idx="658">
                    <c:v>1,8</c:v>
                  </c:pt>
                  <c:pt idx="659">
                    <c:v>1,8</c:v>
                  </c:pt>
                  <c:pt idx="660">
                    <c:v>1,8</c:v>
                  </c:pt>
                  <c:pt idx="661">
                    <c:v>1,8</c:v>
                  </c:pt>
                  <c:pt idx="662">
                    <c:v>1,8</c:v>
                  </c:pt>
                  <c:pt idx="663">
                    <c:v>1,8</c:v>
                  </c:pt>
                  <c:pt idx="664">
                    <c:v>1,8</c:v>
                  </c:pt>
                  <c:pt idx="665">
                    <c:v>1,8</c:v>
                  </c:pt>
                  <c:pt idx="666">
                    <c:v>1,8</c:v>
                  </c:pt>
                  <c:pt idx="667">
                    <c:v>1</c:v>
                  </c:pt>
                  <c:pt idx="668">
                    <c:v>1</c:v>
                  </c:pt>
                  <c:pt idx="670">
                    <c:v>1,6</c:v>
                  </c:pt>
                  <c:pt idx="671">
                    <c:v>1,6</c:v>
                  </c:pt>
                  <c:pt idx="672">
                    <c:v>1,2</c:v>
                  </c:pt>
                  <c:pt idx="673">
                    <c:v>1,3</c:v>
                  </c:pt>
                  <c:pt idx="674">
                    <c:v>1,3</c:v>
                  </c:pt>
                  <c:pt idx="675">
                    <c:v>1,3</c:v>
                  </c:pt>
                  <c:pt idx="676">
                    <c:v>1,5</c:v>
                  </c:pt>
                  <c:pt idx="677">
                    <c:v>1,5</c:v>
                  </c:pt>
                  <c:pt idx="678">
                    <c:v>2</c:v>
                  </c:pt>
                  <c:pt idx="679">
                    <c:v>1,3</c:v>
                  </c:pt>
                  <c:pt idx="680">
                    <c:v>1,4</c:v>
                  </c:pt>
                  <c:pt idx="681">
                    <c:v>1,3</c:v>
                  </c:pt>
                  <c:pt idx="682">
                    <c:v>1,45</c:v>
                  </c:pt>
                  <c:pt idx="683">
                    <c:v>1,2</c:v>
                  </c:pt>
                  <c:pt idx="684">
                    <c:v>1,4</c:v>
                  </c:pt>
                  <c:pt idx="685">
                    <c:v>1,3</c:v>
                  </c:pt>
                  <c:pt idx="687">
                    <c:v>1,8</c:v>
                  </c:pt>
                  <c:pt idx="688">
                    <c:v>1,45</c:v>
                  </c:pt>
                  <c:pt idx="689">
                    <c:v>1,6</c:v>
                  </c:pt>
                  <c:pt idx="690">
                    <c:v>1,25</c:v>
                  </c:pt>
                  <c:pt idx="691">
                    <c:v>1,3</c:v>
                  </c:pt>
                  <c:pt idx="692">
                    <c:v>1,3</c:v>
                  </c:pt>
                  <c:pt idx="693">
                    <c:v>1,4</c:v>
                  </c:pt>
                  <c:pt idx="694">
                    <c:v>1,6</c:v>
                  </c:pt>
                  <c:pt idx="695">
                    <c:v>1,4</c:v>
                  </c:pt>
                  <c:pt idx="696">
                    <c:v>1,4</c:v>
                  </c:pt>
                  <c:pt idx="697">
                    <c:v>1,4</c:v>
                  </c:pt>
                  <c:pt idx="698">
                    <c:v>1,4</c:v>
                  </c:pt>
                  <c:pt idx="699">
                    <c:v>1,4</c:v>
                  </c:pt>
                  <c:pt idx="700">
                    <c:v>1,3</c:v>
                  </c:pt>
                  <c:pt idx="701">
                    <c:v>1,3</c:v>
                  </c:pt>
                  <c:pt idx="702">
                    <c:v>1,5</c:v>
                  </c:pt>
                  <c:pt idx="703">
                    <c:v>1,4</c:v>
                  </c:pt>
                  <c:pt idx="704">
                    <c:v>1,4</c:v>
                  </c:pt>
                  <c:pt idx="705">
                    <c:v>1,6</c:v>
                  </c:pt>
                  <c:pt idx="706">
                    <c:v>1,2</c:v>
                  </c:pt>
                  <c:pt idx="707">
                    <c:v>1,4</c:v>
                  </c:pt>
                  <c:pt idx="708">
                    <c:v>1,5</c:v>
                  </c:pt>
                  <c:pt idx="709">
                    <c:v>1,4</c:v>
                  </c:pt>
                  <c:pt idx="710">
                    <c:v>1,5</c:v>
                  </c:pt>
                  <c:pt idx="711">
                    <c:v>1,45</c:v>
                  </c:pt>
                  <c:pt idx="712">
                    <c:v>1,3</c:v>
                  </c:pt>
                  <c:pt idx="713">
                    <c:v>1,5</c:v>
                  </c:pt>
                  <c:pt idx="714">
                    <c:v>1,5</c:v>
                  </c:pt>
                  <c:pt idx="715">
                    <c:v>1,6</c:v>
                  </c:pt>
                  <c:pt idx="716">
                    <c:v>1,6</c:v>
                  </c:pt>
                  <c:pt idx="717">
                    <c:v>1,6</c:v>
                  </c:pt>
                  <c:pt idx="718">
                    <c:v>1,6</c:v>
                  </c:pt>
                  <c:pt idx="719">
                    <c:v>1,6</c:v>
                  </c:pt>
                  <c:pt idx="720">
                    <c:v>1,3</c:v>
                  </c:pt>
                  <c:pt idx="721">
                    <c:v>1,3</c:v>
                  </c:pt>
                  <c:pt idx="722">
                    <c:v>1,4</c:v>
                  </c:pt>
                  <c:pt idx="723">
                    <c:v>1,6</c:v>
                  </c:pt>
                  <c:pt idx="724">
                    <c:v>1,3</c:v>
                  </c:pt>
                  <c:pt idx="725">
                    <c:v>1,8</c:v>
                  </c:pt>
                  <c:pt idx="726">
                    <c:v>1,5</c:v>
                  </c:pt>
                  <c:pt idx="727">
                    <c:v>1,8</c:v>
                  </c:pt>
                  <c:pt idx="728">
                    <c:v>1,8</c:v>
                  </c:pt>
                  <c:pt idx="729">
                    <c:v>3</c:v>
                  </c:pt>
                  <c:pt idx="730">
                    <c:v>1,6</c:v>
                  </c:pt>
                  <c:pt idx="731">
                    <c:v>1,6</c:v>
                  </c:pt>
                  <c:pt idx="732">
                    <c:v>1,4</c:v>
                  </c:pt>
                  <c:pt idx="733">
                    <c:v>1,6</c:v>
                  </c:pt>
                  <c:pt idx="734">
                    <c:v>1,5</c:v>
                  </c:pt>
                  <c:pt idx="735">
                    <c:v>1,4</c:v>
                  </c:pt>
                  <c:pt idx="736">
                    <c:v>2,5</c:v>
                  </c:pt>
                  <c:pt idx="737">
                    <c:v>3</c:v>
                  </c:pt>
                  <c:pt idx="738">
                    <c:v>2</c:v>
                  </c:pt>
                  <c:pt idx="739">
                    <c:v>1,5</c:v>
                  </c:pt>
                  <c:pt idx="740">
                    <c:v>1,6</c:v>
                  </c:pt>
                  <c:pt idx="741">
                    <c:v>1,5</c:v>
                  </c:pt>
                  <c:pt idx="742">
                    <c:v>1,6</c:v>
                  </c:pt>
                  <c:pt idx="743">
                    <c:v>1,6</c:v>
                  </c:pt>
                  <c:pt idx="744">
                    <c:v>1,8</c:v>
                  </c:pt>
                  <c:pt idx="747">
                    <c:v>1,7</c:v>
                  </c:pt>
                  <c:pt idx="748">
                    <c:v>1,7</c:v>
                  </c:pt>
                  <c:pt idx="749">
                    <c:v>1,2</c:v>
                  </c:pt>
                  <c:pt idx="750">
                    <c:v>1,4</c:v>
                  </c:pt>
                  <c:pt idx="751">
                    <c:v>5</c:v>
                  </c:pt>
                  <c:pt idx="754">
                    <c:v>1,7</c:v>
                  </c:pt>
                  <c:pt idx="755">
                    <c:v>1,6</c:v>
                  </c:pt>
                  <c:pt idx="756">
                    <c:v>2,1</c:v>
                  </c:pt>
                  <c:pt idx="757">
                    <c:v>1,4</c:v>
                  </c:pt>
                  <c:pt idx="758">
                    <c:v>1,8</c:v>
                  </c:pt>
                  <c:pt idx="759">
                    <c:v>2</c:v>
                  </c:pt>
                  <c:pt idx="760">
                    <c:v>1,4</c:v>
                  </c:pt>
                  <c:pt idx="761">
                    <c:v>1,6</c:v>
                  </c:pt>
                  <c:pt idx="762">
                    <c:v>1,3</c:v>
                  </c:pt>
                  <c:pt idx="763">
                    <c:v>2,5</c:v>
                  </c:pt>
                  <c:pt idx="764">
                    <c:v>1,2</c:v>
                  </c:pt>
                  <c:pt idx="765">
                    <c:v>1,6</c:v>
                  </c:pt>
                  <c:pt idx="766">
                    <c:v>1,5</c:v>
                  </c:pt>
                  <c:pt idx="767">
                    <c:v>1,7</c:v>
                  </c:pt>
                  <c:pt idx="768">
                    <c:v>1,4</c:v>
                  </c:pt>
                  <c:pt idx="769">
                    <c:v>1,5</c:v>
                  </c:pt>
                  <c:pt idx="770">
                    <c:v>1,5</c:v>
                  </c:pt>
                  <c:pt idx="771">
                    <c:v>1,8</c:v>
                  </c:pt>
                  <c:pt idx="772">
                    <c:v>1,5</c:v>
                  </c:pt>
                  <c:pt idx="773">
                    <c:v>1,6</c:v>
                  </c:pt>
                  <c:pt idx="774">
                    <c:v>1,3</c:v>
                  </c:pt>
                  <c:pt idx="775">
                    <c:v>1,8</c:v>
                  </c:pt>
                  <c:pt idx="776">
                    <c:v>1,4</c:v>
                  </c:pt>
                  <c:pt idx="777">
                    <c:v>1,6</c:v>
                  </c:pt>
                  <c:pt idx="778">
                    <c:v>1,8</c:v>
                  </c:pt>
                  <c:pt idx="779">
                    <c:v>1,6</c:v>
                  </c:pt>
                  <c:pt idx="780">
                    <c:v>1</c:v>
                  </c:pt>
                  <c:pt idx="781">
                    <c:v>1,6</c:v>
                  </c:pt>
                  <c:pt idx="782">
                    <c:v>1,6</c:v>
                  </c:pt>
                  <c:pt idx="783">
                    <c:v>2</c:v>
                  </c:pt>
                  <c:pt idx="784">
                    <c:v>1,5</c:v>
                  </c:pt>
                  <c:pt idx="785">
                    <c:v>1,5</c:v>
                  </c:pt>
                  <c:pt idx="786">
                    <c:v>1,4</c:v>
                  </c:pt>
                  <c:pt idx="787">
                    <c:v>1,6</c:v>
                  </c:pt>
                  <c:pt idx="788">
                    <c:v>1,6</c:v>
                  </c:pt>
                  <c:pt idx="789">
                    <c:v>1,6</c:v>
                  </c:pt>
                  <c:pt idx="790">
                    <c:v>1,6</c:v>
                  </c:pt>
                  <c:pt idx="791">
                    <c:v>1,6</c:v>
                  </c:pt>
                  <c:pt idx="792">
                    <c:v>1,3</c:v>
                  </c:pt>
                  <c:pt idx="793">
                    <c:v>1,2</c:v>
                  </c:pt>
                  <c:pt idx="794">
                    <c:v>1,8</c:v>
                  </c:pt>
                  <c:pt idx="796">
                    <c:v>1,5</c:v>
                  </c:pt>
                  <c:pt idx="797">
                    <c:v>1,4</c:v>
                  </c:pt>
                  <c:pt idx="798">
                    <c:v>1,55</c:v>
                  </c:pt>
                  <c:pt idx="799">
                    <c:v>1,2</c:v>
                  </c:pt>
                  <c:pt idx="800">
                    <c:v>1,2</c:v>
                  </c:pt>
                  <c:pt idx="801">
                    <c:v>1,5</c:v>
                  </c:pt>
                  <c:pt idx="802">
                    <c:v>1,5</c:v>
                  </c:pt>
                  <c:pt idx="803">
                    <c:v>1,5</c:v>
                  </c:pt>
                  <c:pt idx="804">
                    <c:v>1,4</c:v>
                  </c:pt>
                  <c:pt idx="805">
                    <c:v>1,4</c:v>
                  </c:pt>
                  <c:pt idx="806">
                    <c:v>1,5</c:v>
                  </c:pt>
                  <c:pt idx="807">
                    <c:v>1,8</c:v>
                  </c:pt>
                  <c:pt idx="808">
                    <c:v>1,8</c:v>
                  </c:pt>
                  <c:pt idx="809">
                    <c:v>1,8</c:v>
                  </c:pt>
                  <c:pt idx="810">
                    <c:v>1,6</c:v>
                  </c:pt>
                  <c:pt idx="811">
                    <c:v>1,4</c:v>
                  </c:pt>
                  <c:pt idx="812">
                    <c:v>1,4</c:v>
                  </c:pt>
                  <c:pt idx="813">
                    <c:v>1,7</c:v>
                  </c:pt>
                  <c:pt idx="814">
                    <c:v>1,6</c:v>
                  </c:pt>
                  <c:pt idx="815">
                    <c:v>1,6</c:v>
                  </c:pt>
                  <c:pt idx="816">
                    <c:v>1,6</c:v>
                  </c:pt>
                  <c:pt idx="817">
                    <c:v>1,6</c:v>
                  </c:pt>
                  <c:pt idx="818">
                    <c:v>1,7</c:v>
                  </c:pt>
                  <c:pt idx="819">
                    <c:v>1,7</c:v>
                  </c:pt>
                  <c:pt idx="820">
                    <c:v>1,7</c:v>
                  </c:pt>
                  <c:pt idx="821">
                    <c:v>1,7</c:v>
                  </c:pt>
                  <c:pt idx="822">
                    <c:v>1,7</c:v>
                  </c:pt>
                  <c:pt idx="823">
                    <c:v>1,6</c:v>
                  </c:pt>
                  <c:pt idx="824">
                    <c:v>1,6</c:v>
                  </c:pt>
                  <c:pt idx="825">
                    <c:v>1,6</c:v>
                  </c:pt>
                  <c:pt idx="826">
                    <c:v>1,6</c:v>
                  </c:pt>
                  <c:pt idx="827">
                    <c:v>1,4</c:v>
                  </c:pt>
                  <c:pt idx="828">
                    <c:v>1,4</c:v>
                  </c:pt>
                  <c:pt idx="829">
                    <c:v>1,8</c:v>
                  </c:pt>
                  <c:pt idx="830">
                    <c:v>1,7</c:v>
                  </c:pt>
                  <c:pt idx="831">
                    <c:v>1,6</c:v>
                  </c:pt>
                  <c:pt idx="832">
                    <c:v>1,4</c:v>
                  </c:pt>
                  <c:pt idx="833">
                    <c:v>1,6</c:v>
                  </c:pt>
                  <c:pt idx="834">
                    <c:v>1,6</c:v>
                  </c:pt>
                  <c:pt idx="835">
                    <c:v>1,6</c:v>
                  </c:pt>
                  <c:pt idx="836">
                    <c:v>1,6</c:v>
                  </c:pt>
                  <c:pt idx="837">
                    <c:v>1,6</c:v>
                  </c:pt>
                  <c:pt idx="838">
                    <c:v>1,6</c:v>
                  </c:pt>
                  <c:pt idx="839">
                    <c:v>1,7</c:v>
                  </c:pt>
                  <c:pt idx="840">
                    <c:v>1,4</c:v>
                  </c:pt>
                  <c:pt idx="841">
                    <c:v>1,6</c:v>
                  </c:pt>
                  <c:pt idx="842">
                    <c:v>1,6</c:v>
                  </c:pt>
                  <c:pt idx="843">
                    <c:v>1,6</c:v>
                  </c:pt>
                  <c:pt idx="844">
                    <c:v>1,6</c:v>
                  </c:pt>
                  <c:pt idx="845">
                    <c:v>1,6</c:v>
                  </c:pt>
                  <c:pt idx="846">
                    <c:v>1,6</c:v>
                  </c:pt>
                  <c:pt idx="847">
                    <c:v>1,6</c:v>
                  </c:pt>
                  <c:pt idx="848">
                    <c:v>1,6</c:v>
                  </c:pt>
                  <c:pt idx="849">
                    <c:v>1,3</c:v>
                  </c:pt>
                  <c:pt idx="850">
                    <c:v>1,2</c:v>
                  </c:pt>
                  <c:pt idx="851">
                    <c:v>1,3</c:v>
                  </c:pt>
                  <c:pt idx="852">
                    <c:v>1,3</c:v>
                  </c:pt>
                  <c:pt idx="853">
                    <c:v>1,6</c:v>
                  </c:pt>
                  <c:pt idx="854">
                    <c:v>1,6</c:v>
                  </c:pt>
                  <c:pt idx="855">
                    <c:v>1,6</c:v>
                  </c:pt>
                  <c:pt idx="856">
                    <c:v>1,5</c:v>
                  </c:pt>
                  <c:pt idx="857">
                    <c:v>1,6</c:v>
                  </c:pt>
                  <c:pt idx="858">
                    <c:v>1,6</c:v>
                  </c:pt>
                  <c:pt idx="859">
                    <c:v>1,4</c:v>
                  </c:pt>
                  <c:pt idx="860">
                    <c:v>1,6</c:v>
                  </c:pt>
                  <c:pt idx="861">
                    <c:v>1,6</c:v>
                  </c:pt>
                  <c:pt idx="862">
                    <c:v>1,3</c:v>
                  </c:pt>
                  <c:pt idx="863">
                    <c:v>1,3</c:v>
                  </c:pt>
                  <c:pt idx="864">
                    <c:v>1,45</c:v>
                  </c:pt>
                  <c:pt idx="865">
                    <c:v>1,45</c:v>
                  </c:pt>
                  <c:pt idx="866">
                    <c:v>1,4</c:v>
                  </c:pt>
                  <c:pt idx="867">
                    <c:v>1,5</c:v>
                  </c:pt>
                  <c:pt idx="868">
                    <c:v>1,4</c:v>
                  </c:pt>
                  <c:pt idx="869">
                    <c:v>1,4</c:v>
                  </c:pt>
                  <c:pt idx="870">
                    <c:v>1,45</c:v>
                  </c:pt>
                  <c:pt idx="871">
                    <c:v>1,5</c:v>
                  </c:pt>
                  <c:pt idx="872">
                    <c:v>1,45</c:v>
                  </c:pt>
                  <c:pt idx="873">
                    <c:v>1,7</c:v>
                  </c:pt>
                  <c:pt idx="874">
                    <c:v>1,7</c:v>
                  </c:pt>
                  <c:pt idx="875">
                    <c:v>1,7</c:v>
                  </c:pt>
                  <c:pt idx="876">
                    <c:v>1,4</c:v>
                  </c:pt>
                  <c:pt idx="877">
                    <c:v>1,4</c:v>
                  </c:pt>
                  <c:pt idx="878">
                    <c:v>1,4</c:v>
                  </c:pt>
                  <c:pt idx="879">
                    <c:v>1,6</c:v>
                  </c:pt>
                  <c:pt idx="880">
                    <c:v>1,9</c:v>
                  </c:pt>
                  <c:pt idx="881">
                    <c:v>1,4</c:v>
                  </c:pt>
                  <c:pt idx="882">
                    <c:v>1,2</c:v>
                  </c:pt>
                  <c:pt idx="883">
                    <c:v>1,2</c:v>
                  </c:pt>
                  <c:pt idx="884">
                    <c:v>1,6</c:v>
                  </c:pt>
                  <c:pt idx="885">
                    <c:v>1,6</c:v>
                  </c:pt>
                  <c:pt idx="886">
                    <c:v>1,4</c:v>
                  </c:pt>
                  <c:pt idx="887">
                    <c:v>1,4</c:v>
                  </c:pt>
                  <c:pt idx="888">
                    <c:v>1,5</c:v>
                  </c:pt>
                  <c:pt idx="889">
                    <c:v>1,6</c:v>
                  </c:pt>
                  <c:pt idx="890">
                    <c:v>1,8</c:v>
                  </c:pt>
                  <c:pt idx="891">
                    <c:v>1,6</c:v>
                  </c:pt>
                  <c:pt idx="892">
                    <c:v>1,6</c:v>
                  </c:pt>
                  <c:pt idx="893">
                    <c:v>1,5</c:v>
                  </c:pt>
                  <c:pt idx="894">
                    <c:v>1,9</c:v>
                  </c:pt>
                  <c:pt idx="895">
                    <c:v>1,8</c:v>
                  </c:pt>
                  <c:pt idx="896">
                    <c:v>2</c:v>
                  </c:pt>
                  <c:pt idx="897">
                    <c:v>1,6</c:v>
                  </c:pt>
                  <c:pt idx="898">
                    <c:v>1,4</c:v>
                  </c:pt>
                  <c:pt idx="899">
                    <c:v>1,6</c:v>
                  </c:pt>
                  <c:pt idx="900">
                    <c:v>1,6</c:v>
                  </c:pt>
                  <c:pt idx="901">
                    <c:v>1,6</c:v>
                  </c:pt>
                  <c:pt idx="902">
                    <c:v>1,4</c:v>
                  </c:pt>
                  <c:pt idx="903">
                    <c:v>1,4</c:v>
                  </c:pt>
                  <c:pt idx="904">
                    <c:v>2</c:v>
                  </c:pt>
                  <c:pt idx="905">
                    <c:v>1,4</c:v>
                  </c:pt>
                  <c:pt idx="906">
                    <c:v>1,4</c:v>
                  </c:pt>
                  <c:pt idx="907">
                    <c:v>1,8</c:v>
                  </c:pt>
                  <c:pt idx="908">
                    <c:v>1,4</c:v>
                  </c:pt>
                  <c:pt idx="909">
                    <c:v>1,8</c:v>
                  </c:pt>
                  <c:pt idx="910">
                    <c:v>1,6</c:v>
                  </c:pt>
                  <c:pt idx="911">
                    <c:v>2</c:v>
                  </c:pt>
                  <c:pt idx="912">
                    <c:v>3,3</c:v>
                  </c:pt>
                  <c:pt idx="913">
                    <c:v>1,6</c:v>
                  </c:pt>
                  <c:pt idx="914">
                    <c:v>1,6</c:v>
                  </c:pt>
                  <c:pt idx="915">
                    <c:v>1,6</c:v>
                  </c:pt>
                  <c:pt idx="916">
                    <c:v>1,6</c:v>
                  </c:pt>
                  <c:pt idx="917">
                    <c:v>1,6</c:v>
                  </c:pt>
                  <c:pt idx="918">
                    <c:v>1,3</c:v>
                  </c:pt>
                  <c:pt idx="919">
                    <c:v>1,6</c:v>
                  </c:pt>
                  <c:pt idx="920">
                    <c:v>1,8</c:v>
                  </c:pt>
                  <c:pt idx="921">
                    <c:v>1,5</c:v>
                  </c:pt>
                  <c:pt idx="922">
                    <c:v>2</c:v>
                  </c:pt>
                  <c:pt idx="923">
                    <c:v>1,8</c:v>
                  </c:pt>
                  <c:pt idx="924">
                    <c:v>2</c:v>
                  </c:pt>
                  <c:pt idx="925">
                    <c:v>1,8</c:v>
                  </c:pt>
                  <c:pt idx="926">
                    <c:v>1,6</c:v>
                  </c:pt>
                  <c:pt idx="927">
                    <c:v>1,4</c:v>
                  </c:pt>
                  <c:pt idx="928">
                    <c:v>1,4</c:v>
                  </c:pt>
                  <c:pt idx="929">
                    <c:v>1,4</c:v>
                  </c:pt>
                  <c:pt idx="930">
                    <c:v>1,4</c:v>
                  </c:pt>
                  <c:pt idx="931">
                    <c:v>1,6</c:v>
                  </c:pt>
                  <c:pt idx="932">
                    <c:v>1,6</c:v>
                  </c:pt>
                  <c:pt idx="933">
                    <c:v>1,6</c:v>
                  </c:pt>
                  <c:pt idx="934">
                    <c:v>1,6</c:v>
                  </c:pt>
                  <c:pt idx="935">
                    <c:v>1,4</c:v>
                  </c:pt>
                  <c:pt idx="936">
                    <c:v>1,6</c:v>
                  </c:pt>
                  <c:pt idx="937">
                    <c:v>1,6</c:v>
                  </c:pt>
                  <c:pt idx="938">
                    <c:v>1,6</c:v>
                  </c:pt>
                  <c:pt idx="939">
                    <c:v>1,6</c:v>
                  </c:pt>
                  <c:pt idx="940">
                    <c:v>1,6</c:v>
                  </c:pt>
                  <c:pt idx="941">
                    <c:v>1,4</c:v>
                  </c:pt>
                  <c:pt idx="942">
                    <c:v>1,4</c:v>
                  </c:pt>
                  <c:pt idx="943">
                    <c:v>1,4</c:v>
                  </c:pt>
                  <c:pt idx="944">
                    <c:v>1,6</c:v>
                  </c:pt>
                  <c:pt idx="945">
                    <c:v>1,6</c:v>
                  </c:pt>
                  <c:pt idx="946">
                    <c:v>1,6</c:v>
                  </c:pt>
                  <c:pt idx="947">
                    <c:v>1,6</c:v>
                  </c:pt>
                  <c:pt idx="948">
                    <c:v>1,6</c:v>
                  </c:pt>
                  <c:pt idx="949">
                    <c:v>1,6</c:v>
                  </c:pt>
                  <c:pt idx="950">
                    <c:v>1,6</c:v>
                  </c:pt>
                  <c:pt idx="951">
                    <c:v>1,6</c:v>
                  </c:pt>
                  <c:pt idx="952">
                    <c:v>1,6</c:v>
                  </c:pt>
                  <c:pt idx="953">
                    <c:v>1,6</c:v>
                  </c:pt>
                  <c:pt idx="954">
                    <c:v>1,6</c:v>
                  </c:pt>
                  <c:pt idx="955">
                    <c:v>1,7</c:v>
                  </c:pt>
                  <c:pt idx="956">
                    <c:v>1,5</c:v>
                  </c:pt>
                  <c:pt idx="957">
                    <c:v>1,5</c:v>
                  </c:pt>
                  <c:pt idx="958">
                    <c:v>1,5</c:v>
                  </c:pt>
                  <c:pt idx="959">
                    <c:v>1,5</c:v>
                  </c:pt>
                  <c:pt idx="960">
                    <c:v>1,4</c:v>
                  </c:pt>
                  <c:pt idx="961">
                    <c:v>1,5</c:v>
                  </c:pt>
                  <c:pt idx="962">
                    <c:v>1,3</c:v>
                  </c:pt>
                  <c:pt idx="963">
                    <c:v>1,3</c:v>
                  </c:pt>
                  <c:pt idx="964">
                    <c:v>1,3</c:v>
                  </c:pt>
                  <c:pt idx="965">
                    <c:v>1,3</c:v>
                  </c:pt>
                  <c:pt idx="966">
                    <c:v>1,4</c:v>
                  </c:pt>
                  <c:pt idx="967">
                    <c:v>1,3</c:v>
                  </c:pt>
                  <c:pt idx="968">
                    <c:v>1,6</c:v>
                  </c:pt>
                  <c:pt idx="969">
                    <c:v>1,6</c:v>
                  </c:pt>
                  <c:pt idx="971">
                    <c:v>1,6</c:v>
                  </c:pt>
                  <c:pt idx="972">
                    <c:v>1,6</c:v>
                  </c:pt>
                  <c:pt idx="973">
                    <c:v>1,6</c:v>
                  </c:pt>
                  <c:pt idx="974">
                    <c:v>1,5</c:v>
                  </c:pt>
                  <c:pt idx="975">
                    <c:v>1,6</c:v>
                  </c:pt>
                  <c:pt idx="976">
                    <c:v>1,6</c:v>
                  </c:pt>
                  <c:pt idx="977">
                    <c:v>1,5</c:v>
                  </c:pt>
                  <c:pt idx="978">
                    <c:v>1,5</c:v>
                  </c:pt>
                  <c:pt idx="979">
                    <c:v>1,6</c:v>
                  </c:pt>
                  <c:pt idx="980">
                    <c:v>1,3</c:v>
                  </c:pt>
                  <c:pt idx="981">
                    <c:v>1,3</c:v>
                  </c:pt>
                  <c:pt idx="982">
                    <c:v>1,5</c:v>
                  </c:pt>
                  <c:pt idx="983">
                    <c:v>1,4</c:v>
                  </c:pt>
                  <c:pt idx="984">
                    <c:v>1,2</c:v>
                  </c:pt>
                  <c:pt idx="985">
                    <c:v>1,4</c:v>
                  </c:pt>
                  <c:pt idx="986">
                    <c:v>2</c:v>
                  </c:pt>
                  <c:pt idx="987">
                    <c:v>1,6</c:v>
                  </c:pt>
                  <c:pt idx="988">
                    <c:v>2</c:v>
                  </c:pt>
                  <c:pt idx="989">
                    <c:v>2</c:v>
                  </c:pt>
                  <c:pt idx="990">
                    <c:v>2</c:v>
                  </c:pt>
                  <c:pt idx="991">
                    <c:v>2</c:v>
                  </c:pt>
                  <c:pt idx="992">
                    <c:v>1,45</c:v>
                  </c:pt>
                  <c:pt idx="993">
                    <c:v>1,8</c:v>
                  </c:pt>
                  <c:pt idx="994">
                    <c:v>1,45</c:v>
                  </c:pt>
                  <c:pt idx="995">
                    <c:v>1,45</c:v>
                  </c:pt>
                  <c:pt idx="996">
                    <c:v>1,8</c:v>
                  </c:pt>
                  <c:pt idx="997">
                    <c:v>1,6</c:v>
                  </c:pt>
                  <c:pt idx="998">
                    <c:v>1,7</c:v>
                  </c:pt>
                  <c:pt idx="999">
                    <c:v>1,7</c:v>
                  </c:pt>
                  <c:pt idx="1000">
                    <c:v>1,7</c:v>
                  </c:pt>
                  <c:pt idx="1001">
                    <c:v>1,7</c:v>
                  </c:pt>
                  <c:pt idx="1002">
                    <c:v>1,6</c:v>
                  </c:pt>
                  <c:pt idx="1003">
                    <c:v>1,45</c:v>
                  </c:pt>
                  <c:pt idx="1004">
                    <c:v>1,6</c:v>
                  </c:pt>
                  <c:pt idx="1005">
                    <c:v>1,6</c:v>
                  </c:pt>
                  <c:pt idx="1006">
                    <c:v>1,6</c:v>
                  </c:pt>
                  <c:pt idx="1007">
                    <c:v>1,6</c:v>
                  </c:pt>
                  <c:pt idx="1008">
                    <c:v>1,6</c:v>
                  </c:pt>
                  <c:pt idx="1009">
                    <c:v>1,6</c:v>
                  </c:pt>
                  <c:pt idx="1010">
                    <c:v>1,6</c:v>
                  </c:pt>
                  <c:pt idx="1011">
                    <c:v>1,6</c:v>
                  </c:pt>
                  <c:pt idx="1012">
                    <c:v>1,6</c:v>
                  </c:pt>
                  <c:pt idx="1013">
                    <c:v>1,6</c:v>
                  </c:pt>
                  <c:pt idx="1014">
                    <c:v>1,6</c:v>
                  </c:pt>
                  <c:pt idx="1015">
                    <c:v>1,6</c:v>
                  </c:pt>
                  <c:pt idx="1016">
                    <c:v>1,6</c:v>
                  </c:pt>
                  <c:pt idx="1017">
                    <c:v>1,4</c:v>
                  </c:pt>
                  <c:pt idx="1018">
                    <c:v>1,5</c:v>
                  </c:pt>
                  <c:pt idx="1019">
                    <c:v>1,5</c:v>
                  </c:pt>
                  <c:pt idx="1020">
                    <c:v>1,5</c:v>
                  </c:pt>
                  <c:pt idx="1021">
                    <c:v>1,5</c:v>
                  </c:pt>
                  <c:pt idx="1022">
                    <c:v>1,6</c:v>
                  </c:pt>
                  <c:pt idx="1023">
                    <c:v>1,7</c:v>
                  </c:pt>
                  <c:pt idx="1024">
                    <c:v>1,7</c:v>
                  </c:pt>
                  <c:pt idx="1025">
                    <c:v>1,6</c:v>
                  </c:pt>
                  <c:pt idx="1026">
                    <c:v>1,6</c:v>
                  </c:pt>
                  <c:pt idx="1027">
                    <c:v>1,6</c:v>
                  </c:pt>
                  <c:pt idx="1028">
                    <c:v>1,6</c:v>
                  </c:pt>
                  <c:pt idx="1029">
                    <c:v>1,6</c:v>
                  </c:pt>
                  <c:pt idx="1030">
                    <c:v>1,6</c:v>
                  </c:pt>
                  <c:pt idx="1031">
                    <c:v>1,5</c:v>
                  </c:pt>
                  <c:pt idx="1032">
                    <c:v>1,5</c:v>
                  </c:pt>
                  <c:pt idx="1033">
                    <c:v>1,8</c:v>
                  </c:pt>
                  <c:pt idx="1034">
                    <c:v>1,7</c:v>
                  </c:pt>
                  <c:pt idx="1035">
                    <c:v>1,7</c:v>
                  </c:pt>
                  <c:pt idx="1036">
                    <c:v>1,6</c:v>
                  </c:pt>
                  <c:pt idx="1037">
                    <c:v>1,6</c:v>
                  </c:pt>
                  <c:pt idx="1038">
                    <c:v>1,7</c:v>
                  </c:pt>
                  <c:pt idx="1039">
                    <c:v>1,5</c:v>
                  </c:pt>
                  <c:pt idx="1040">
                    <c:v>1,5</c:v>
                  </c:pt>
                  <c:pt idx="1041">
                    <c:v>1,5</c:v>
                  </c:pt>
                  <c:pt idx="1042">
                    <c:v>1,5</c:v>
                  </c:pt>
                  <c:pt idx="1043">
                    <c:v>1,5</c:v>
                  </c:pt>
                  <c:pt idx="1044">
                    <c:v>1,5</c:v>
                  </c:pt>
                  <c:pt idx="1045">
                    <c:v>1,5</c:v>
                  </c:pt>
                  <c:pt idx="1046">
                    <c:v>1,5</c:v>
                  </c:pt>
                  <c:pt idx="1047">
                    <c:v>1,7</c:v>
                  </c:pt>
                  <c:pt idx="1048">
                    <c:v>1,7</c:v>
                  </c:pt>
                  <c:pt idx="1049">
                    <c:v>1,7</c:v>
                  </c:pt>
                  <c:pt idx="1050">
                    <c:v>1,7</c:v>
                  </c:pt>
                  <c:pt idx="1051">
                    <c:v>1,7</c:v>
                  </c:pt>
                  <c:pt idx="1052">
                    <c:v>1,9</c:v>
                  </c:pt>
                  <c:pt idx="1053">
                    <c:v>1,6</c:v>
                  </c:pt>
                  <c:pt idx="1054">
                    <c:v>1,8</c:v>
                  </c:pt>
                  <c:pt idx="1055">
                    <c:v>1,8</c:v>
                  </c:pt>
                  <c:pt idx="1056">
                    <c:v>1,8</c:v>
                  </c:pt>
                  <c:pt idx="1057">
                    <c:v>1,5</c:v>
                  </c:pt>
                  <c:pt idx="1058">
                    <c:v>1,5</c:v>
                  </c:pt>
                  <c:pt idx="1059">
                    <c:v>1,8</c:v>
                  </c:pt>
                  <c:pt idx="1060">
                    <c:v>1,8</c:v>
                  </c:pt>
                  <c:pt idx="1061">
                    <c:v>1,5</c:v>
                  </c:pt>
                  <c:pt idx="1062">
                    <c:v>1,5</c:v>
                  </c:pt>
                  <c:pt idx="1063">
                    <c:v>1,5</c:v>
                  </c:pt>
                  <c:pt idx="1064">
                    <c:v>1,5</c:v>
                  </c:pt>
                  <c:pt idx="1065">
                    <c:v>1,5</c:v>
                  </c:pt>
                  <c:pt idx="1066">
                    <c:v>1,5</c:v>
                  </c:pt>
                  <c:pt idx="1067">
                    <c:v>1,8</c:v>
                  </c:pt>
                  <c:pt idx="1068">
                    <c:v>1,5</c:v>
                  </c:pt>
                  <c:pt idx="1069">
                    <c:v>1,6</c:v>
                  </c:pt>
                  <c:pt idx="1070">
                    <c:v>1,6</c:v>
                  </c:pt>
                  <c:pt idx="1071">
                    <c:v>1,8</c:v>
                  </c:pt>
                  <c:pt idx="1072">
                    <c:v>1,7</c:v>
                  </c:pt>
                  <c:pt idx="1073">
                    <c:v>1,7</c:v>
                  </c:pt>
                  <c:pt idx="1074">
                    <c:v>1,7</c:v>
                  </c:pt>
                  <c:pt idx="1075">
                    <c:v>1,7</c:v>
                  </c:pt>
                  <c:pt idx="1076">
                    <c:v>1,7</c:v>
                  </c:pt>
                  <c:pt idx="1078">
                    <c:v>1,6</c:v>
                  </c:pt>
                  <c:pt idx="1079">
                    <c:v>1,6</c:v>
                  </c:pt>
                  <c:pt idx="1080">
                    <c:v>2</c:v>
                  </c:pt>
                  <c:pt idx="1081">
                    <c:v>1,7</c:v>
                  </c:pt>
                  <c:pt idx="1082">
                    <c:v>1,7</c:v>
                  </c:pt>
                  <c:pt idx="1083">
                    <c:v>1,6</c:v>
                  </c:pt>
                  <c:pt idx="1084">
                    <c:v>1,7</c:v>
                  </c:pt>
                  <c:pt idx="1085">
                    <c:v>1,6</c:v>
                  </c:pt>
                  <c:pt idx="1086">
                    <c:v>1,6</c:v>
                  </c:pt>
                  <c:pt idx="1087">
                    <c:v>1,7</c:v>
                  </c:pt>
                  <c:pt idx="1088">
                    <c:v>1,7</c:v>
                  </c:pt>
                  <c:pt idx="1089">
                    <c:v>1,7</c:v>
                  </c:pt>
                  <c:pt idx="1090">
                    <c:v>1,7</c:v>
                  </c:pt>
                  <c:pt idx="1091">
                    <c:v>1,4</c:v>
                  </c:pt>
                  <c:pt idx="1092">
                    <c:v>1,4</c:v>
                  </c:pt>
                  <c:pt idx="1093">
                    <c:v>1,4</c:v>
                  </c:pt>
                  <c:pt idx="1094">
                    <c:v>1,3</c:v>
                  </c:pt>
                  <c:pt idx="1095">
                    <c:v>1,5</c:v>
                  </c:pt>
                  <c:pt idx="1096">
                    <c:v>1,4</c:v>
                  </c:pt>
                  <c:pt idx="1097">
                    <c:v>1,4</c:v>
                  </c:pt>
                  <c:pt idx="1098">
                    <c:v>1,6</c:v>
                  </c:pt>
                  <c:pt idx="1099">
                    <c:v>1,4</c:v>
                  </c:pt>
                  <c:pt idx="1100">
                    <c:v>1,6</c:v>
                  </c:pt>
                  <c:pt idx="1101">
                    <c:v>1,6</c:v>
                  </c:pt>
                  <c:pt idx="1102">
                    <c:v>1,6</c:v>
                  </c:pt>
                  <c:pt idx="1103">
                    <c:v>1,6</c:v>
                  </c:pt>
                  <c:pt idx="1104">
                    <c:v>1,4</c:v>
                  </c:pt>
                  <c:pt idx="1105">
                    <c:v>1,4</c:v>
                  </c:pt>
                  <c:pt idx="1106">
                    <c:v>1,6</c:v>
                  </c:pt>
                  <c:pt idx="1107">
                    <c:v>1,6</c:v>
                  </c:pt>
                  <c:pt idx="1108">
                    <c:v>1,8</c:v>
                  </c:pt>
                  <c:pt idx="1109">
                    <c:v>1,6</c:v>
                  </c:pt>
                  <c:pt idx="1110">
                    <c:v>1</c:v>
                  </c:pt>
                  <c:pt idx="1111">
                    <c:v>1,3</c:v>
                  </c:pt>
                  <c:pt idx="1112">
                    <c:v>1,3</c:v>
                  </c:pt>
                  <c:pt idx="1113">
                    <c:v>1,3</c:v>
                  </c:pt>
                  <c:pt idx="1114">
                    <c:v>1,3</c:v>
                  </c:pt>
                  <c:pt idx="1115">
                    <c:v>1,5</c:v>
                  </c:pt>
                  <c:pt idx="1116">
                    <c:v>1,6</c:v>
                  </c:pt>
                  <c:pt idx="1117">
                    <c:v>1,6</c:v>
                  </c:pt>
                  <c:pt idx="1118">
                    <c:v>1,3</c:v>
                  </c:pt>
                  <c:pt idx="1119">
                    <c:v>1,6</c:v>
                  </c:pt>
                  <c:pt idx="1120">
                    <c:v>1,6</c:v>
                  </c:pt>
                  <c:pt idx="1121">
                    <c:v>1,6</c:v>
                  </c:pt>
                  <c:pt idx="1122">
                    <c:v>1,7</c:v>
                  </c:pt>
                  <c:pt idx="1123">
                    <c:v>1,7</c:v>
                  </c:pt>
                  <c:pt idx="1124">
                    <c:v>1,6</c:v>
                  </c:pt>
                  <c:pt idx="1125">
                    <c:v>1,6</c:v>
                  </c:pt>
                  <c:pt idx="1126">
                    <c:v>1,6</c:v>
                  </c:pt>
                  <c:pt idx="1127">
                    <c:v>1,4</c:v>
                  </c:pt>
                  <c:pt idx="1128">
                    <c:v>1,6</c:v>
                  </c:pt>
                  <c:pt idx="1129">
                    <c:v>1,6</c:v>
                  </c:pt>
                  <c:pt idx="1130">
                    <c:v>1,6</c:v>
                  </c:pt>
                  <c:pt idx="1131">
                    <c:v>1,6</c:v>
                  </c:pt>
                  <c:pt idx="1132">
                    <c:v>1,6</c:v>
                  </c:pt>
                  <c:pt idx="1133">
                    <c:v>1,6</c:v>
                  </c:pt>
                  <c:pt idx="1134">
                    <c:v>1,6</c:v>
                  </c:pt>
                  <c:pt idx="1135">
                    <c:v>1,6</c:v>
                  </c:pt>
                  <c:pt idx="1136">
                    <c:v>1,6</c:v>
                  </c:pt>
                  <c:pt idx="1137">
                    <c:v>1,6</c:v>
                  </c:pt>
                  <c:pt idx="1138">
                    <c:v>1,6</c:v>
                  </c:pt>
                  <c:pt idx="1139">
                    <c:v>1,6</c:v>
                  </c:pt>
                  <c:pt idx="1140">
                    <c:v>1,6</c:v>
                  </c:pt>
                  <c:pt idx="1141">
                    <c:v>1,6</c:v>
                  </c:pt>
                  <c:pt idx="1142">
                    <c:v>1,6</c:v>
                  </c:pt>
                  <c:pt idx="1143">
                    <c:v>1,6</c:v>
                  </c:pt>
                  <c:pt idx="1144">
                    <c:v>1,7</c:v>
                  </c:pt>
                  <c:pt idx="1145">
                    <c:v>1,8</c:v>
                  </c:pt>
                  <c:pt idx="1146">
                    <c:v>1,7</c:v>
                  </c:pt>
                  <c:pt idx="1147">
                    <c:v>1,5</c:v>
                  </c:pt>
                  <c:pt idx="1148">
                    <c:v>1,6</c:v>
                  </c:pt>
                  <c:pt idx="1149">
                    <c:v>1,8</c:v>
                  </c:pt>
                  <c:pt idx="1150">
                    <c:v>1,6</c:v>
                  </c:pt>
                  <c:pt idx="1151">
                    <c:v>1,4</c:v>
                  </c:pt>
                  <c:pt idx="1152">
                    <c:v>1,4</c:v>
                  </c:pt>
                  <c:pt idx="1153">
                    <c:v>1,5</c:v>
                  </c:pt>
                  <c:pt idx="1154">
                    <c:v>1,5</c:v>
                  </c:pt>
                  <c:pt idx="1155">
                    <c:v>1,6</c:v>
                  </c:pt>
                  <c:pt idx="1156">
                    <c:v>1,5</c:v>
                  </c:pt>
                  <c:pt idx="1157">
                    <c:v>1,5</c:v>
                  </c:pt>
                  <c:pt idx="1158">
                    <c:v>1,4</c:v>
                  </c:pt>
                  <c:pt idx="1159">
                    <c:v>1,5</c:v>
                  </c:pt>
                  <c:pt idx="1160">
                    <c:v>1,5</c:v>
                  </c:pt>
                  <c:pt idx="1161">
                    <c:v>1,8</c:v>
                  </c:pt>
                  <c:pt idx="1162">
                    <c:v>1,5</c:v>
                  </c:pt>
                  <c:pt idx="1163">
                    <c:v>1,6</c:v>
                  </c:pt>
                  <c:pt idx="1164">
                    <c:v>1,7</c:v>
                  </c:pt>
                  <c:pt idx="1165">
                    <c:v>1,7</c:v>
                  </c:pt>
                  <c:pt idx="1166">
                    <c:v>1,6</c:v>
                  </c:pt>
                  <c:pt idx="1167">
                    <c:v>1,6</c:v>
                  </c:pt>
                  <c:pt idx="1168">
                    <c:v>1,6</c:v>
                  </c:pt>
                  <c:pt idx="1169">
                    <c:v>1,6</c:v>
                  </c:pt>
                  <c:pt idx="1170">
                    <c:v>1,6</c:v>
                  </c:pt>
                  <c:pt idx="1171">
                    <c:v>1,6</c:v>
                  </c:pt>
                  <c:pt idx="1172">
                    <c:v>1,6</c:v>
                  </c:pt>
                  <c:pt idx="1173">
                    <c:v>1,6</c:v>
                  </c:pt>
                  <c:pt idx="1174">
                    <c:v>1,6</c:v>
                  </c:pt>
                  <c:pt idx="1175">
                    <c:v>1,6</c:v>
                  </c:pt>
                  <c:pt idx="1176">
                    <c:v>1,6</c:v>
                  </c:pt>
                  <c:pt idx="1177">
                    <c:v>1,6</c:v>
                  </c:pt>
                  <c:pt idx="1178">
                    <c:v>1,7</c:v>
                  </c:pt>
                  <c:pt idx="1179">
                    <c:v>1,7</c:v>
                  </c:pt>
                  <c:pt idx="1180">
                    <c:v>1,7</c:v>
                  </c:pt>
                  <c:pt idx="1181">
                    <c:v>1,7</c:v>
                  </c:pt>
                  <c:pt idx="1182">
                    <c:v>1,6</c:v>
                  </c:pt>
                  <c:pt idx="1183">
                    <c:v>1,6</c:v>
                  </c:pt>
                  <c:pt idx="1184">
                    <c:v>1,5</c:v>
                  </c:pt>
                  <c:pt idx="1185">
                    <c:v>1,6</c:v>
                  </c:pt>
                  <c:pt idx="1186">
                    <c:v>1,6</c:v>
                  </c:pt>
                  <c:pt idx="1187">
                    <c:v>1,4</c:v>
                  </c:pt>
                  <c:pt idx="1188">
                    <c:v>1,4</c:v>
                  </c:pt>
                  <c:pt idx="1189">
                    <c:v>1,4</c:v>
                  </c:pt>
                  <c:pt idx="1190">
                    <c:v>1,4</c:v>
                  </c:pt>
                  <c:pt idx="1191">
                    <c:v>1,5</c:v>
                  </c:pt>
                  <c:pt idx="1192">
                    <c:v>1,4</c:v>
                  </c:pt>
                  <c:pt idx="1193">
                    <c:v>1,4</c:v>
                  </c:pt>
                  <c:pt idx="1194">
                    <c:v>1,6</c:v>
                  </c:pt>
                  <c:pt idx="1195">
                    <c:v>1,5</c:v>
                  </c:pt>
                  <c:pt idx="1196">
                    <c:v>1,5</c:v>
                  </c:pt>
                  <c:pt idx="1197">
                    <c:v>1,6</c:v>
                  </c:pt>
                  <c:pt idx="1198">
                    <c:v>1,5</c:v>
                  </c:pt>
                  <c:pt idx="1199">
                    <c:v>1,6</c:v>
                  </c:pt>
                  <c:pt idx="1200">
                    <c:v>1,6</c:v>
                  </c:pt>
                  <c:pt idx="1201">
                    <c:v>1,5</c:v>
                  </c:pt>
                  <c:pt idx="1202">
                    <c:v>1,8</c:v>
                  </c:pt>
                  <c:pt idx="1203">
                    <c:v>1,7</c:v>
                  </c:pt>
                  <c:pt idx="1204">
                    <c:v>1,6</c:v>
                  </c:pt>
                  <c:pt idx="1205">
                    <c:v>1,6</c:v>
                  </c:pt>
                  <c:pt idx="1206">
                    <c:v>1,6</c:v>
                  </c:pt>
                  <c:pt idx="1207">
                    <c:v>1,6</c:v>
                  </c:pt>
                  <c:pt idx="1208">
                    <c:v>1,6</c:v>
                  </c:pt>
                  <c:pt idx="1209">
                    <c:v>1,5</c:v>
                  </c:pt>
                  <c:pt idx="1210">
                    <c:v>1,8</c:v>
                  </c:pt>
                  <c:pt idx="1211">
                    <c:v>1,8</c:v>
                  </c:pt>
                  <c:pt idx="1212">
                    <c:v>1,8</c:v>
                  </c:pt>
                  <c:pt idx="1213">
                    <c:v>1,5</c:v>
                  </c:pt>
                  <c:pt idx="1214">
                    <c:v>1,6</c:v>
                  </c:pt>
                  <c:pt idx="1215">
                    <c:v>1,8</c:v>
                  </c:pt>
                  <c:pt idx="1216">
                    <c:v>1,8</c:v>
                  </c:pt>
                  <c:pt idx="1217">
                    <c:v>1,8</c:v>
                  </c:pt>
                  <c:pt idx="1218">
                    <c:v>1,6</c:v>
                  </c:pt>
                  <c:pt idx="1219">
                    <c:v>1,6</c:v>
                  </c:pt>
                  <c:pt idx="1220">
                    <c:v>1,4</c:v>
                  </c:pt>
                  <c:pt idx="1221">
                    <c:v>1,6</c:v>
                  </c:pt>
                  <c:pt idx="1222">
                    <c:v>1,4</c:v>
                  </c:pt>
                  <c:pt idx="1223">
                    <c:v>1,3</c:v>
                  </c:pt>
                  <c:pt idx="1224">
                    <c:v>1,5</c:v>
                  </c:pt>
                  <c:pt idx="1225">
                    <c:v>1,5</c:v>
                  </c:pt>
                  <c:pt idx="1226">
                    <c:v>1,5</c:v>
                  </c:pt>
                  <c:pt idx="1227">
                    <c:v>1,5</c:v>
                  </c:pt>
                  <c:pt idx="1228">
                    <c:v>1,5</c:v>
                  </c:pt>
                  <c:pt idx="1229">
                    <c:v>1,5</c:v>
                  </c:pt>
                  <c:pt idx="1230">
                    <c:v>1,5</c:v>
                  </c:pt>
                  <c:pt idx="1231">
                    <c:v>1,5</c:v>
                  </c:pt>
                  <c:pt idx="1232">
                    <c:v>1,5</c:v>
                  </c:pt>
                  <c:pt idx="1233">
                    <c:v>1,5</c:v>
                  </c:pt>
                  <c:pt idx="1234">
                    <c:v>1,6</c:v>
                  </c:pt>
                  <c:pt idx="1235">
                    <c:v>1,4</c:v>
                  </c:pt>
                  <c:pt idx="1236">
                    <c:v>1,4</c:v>
                  </c:pt>
                  <c:pt idx="1237">
                    <c:v>1,6</c:v>
                  </c:pt>
                  <c:pt idx="1238">
                    <c:v>1,6</c:v>
                  </c:pt>
                  <c:pt idx="1239">
                    <c:v>1,6</c:v>
                  </c:pt>
                  <c:pt idx="1240">
                    <c:v>1,6</c:v>
                  </c:pt>
                  <c:pt idx="1241">
                    <c:v>1,6</c:v>
                  </c:pt>
                  <c:pt idx="1242">
                    <c:v>1,6</c:v>
                  </c:pt>
                  <c:pt idx="1243">
                    <c:v>1,6</c:v>
                  </c:pt>
                  <c:pt idx="1244">
                    <c:v>1,6</c:v>
                  </c:pt>
                  <c:pt idx="1245">
                    <c:v>2</c:v>
                  </c:pt>
                  <c:pt idx="1246">
                    <c:v>2,5</c:v>
                  </c:pt>
                  <c:pt idx="1247">
                    <c:v>1,8</c:v>
                  </c:pt>
                  <c:pt idx="1248">
                    <c:v>1,8</c:v>
                  </c:pt>
                  <c:pt idx="1249">
                    <c:v>1,45</c:v>
                  </c:pt>
                  <c:pt idx="1250">
                    <c:v>1,45</c:v>
                  </c:pt>
                  <c:pt idx="1251">
                    <c:v>1,6</c:v>
                  </c:pt>
                  <c:pt idx="1252">
                    <c:v>1,45</c:v>
                  </c:pt>
                  <c:pt idx="1253">
                    <c:v>1,5</c:v>
                  </c:pt>
                  <c:pt idx="1254">
                    <c:v>2</c:v>
                  </c:pt>
                  <c:pt idx="1255">
                    <c:v>1,25</c:v>
                  </c:pt>
                  <c:pt idx="1256">
                    <c:v>1,25</c:v>
                  </c:pt>
                  <c:pt idx="1257">
                    <c:v>1,6</c:v>
                  </c:pt>
                  <c:pt idx="1258">
                    <c:v>1,25</c:v>
                  </c:pt>
                  <c:pt idx="1259">
                    <c:v>1,25</c:v>
                  </c:pt>
                  <c:pt idx="1260">
                    <c:v>1,25</c:v>
                  </c:pt>
                  <c:pt idx="1261">
                    <c:v>1,8</c:v>
                  </c:pt>
                  <c:pt idx="1262">
                    <c:v>1,6</c:v>
                  </c:pt>
                  <c:pt idx="1263">
                    <c:v>1,6</c:v>
                  </c:pt>
                  <c:pt idx="1264">
                    <c:v>1,6</c:v>
                  </c:pt>
                  <c:pt idx="1265">
                    <c:v>1,6</c:v>
                  </c:pt>
                  <c:pt idx="1266">
                    <c:v>1,6</c:v>
                  </c:pt>
                  <c:pt idx="1267">
                    <c:v>1,6</c:v>
                  </c:pt>
                  <c:pt idx="1268">
                    <c:v>1,6</c:v>
                  </c:pt>
                  <c:pt idx="1269">
                    <c:v>1,6</c:v>
                  </c:pt>
                  <c:pt idx="1270">
                    <c:v>1,6</c:v>
                  </c:pt>
                  <c:pt idx="1271">
                    <c:v>1,6</c:v>
                  </c:pt>
                  <c:pt idx="1272">
                    <c:v>1,6</c:v>
                  </c:pt>
                  <c:pt idx="1273">
                    <c:v>1,7</c:v>
                  </c:pt>
                  <c:pt idx="1274">
                    <c:v>1,6</c:v>
                  </c:pt>
                  <c:pt idx="1275">
                    <c:v>1,6</c:v>
                  </c:pt>
                  <c:pt idx="1276">
                    <c:v>1,6</c:v>
                  </c:pt>
                  <c:pt idx="1277">
                    <c:v>1,6</c:v>
                  </c:pt>
                  <c:pt idx="1278">
                    <c:v>1,5</c:v>
                  </c:pt>
                  <c:pt idx="1279">
                    <c:v>1,5</c:v>
                  </c:pt>
                  <c:pt idx="1280">
                    <c:v>1,5</c:v>
                  </c:pt>
                  <c:pt idx="1281">
                    <c:v>1,5</c:v>
                  </c:pt>
                  <c:pt idx="1282">
                    <c:v>1,5</c:v>
                  </c:pt>
                  <c:pt idx="1283">
                    <c:v>1,6</c:v>
                  </c:pt>
                  <c:pt idx="1284">
                    <c:v>1,6</c:v>
                  </c:pt>
                  <c:pt idx="1285">
                    <c:v>1,6</c:v>
                  </c:pt>
                  <c:pt idx="1286">
                    <c:v>1,6</c:v>
                  </c:pt>
                  <c:pt idx="1287">
                    <c:v>1,6</c:v>
                  </c:pt>
                  <c:pt idx="1288">
                    <c:v>1,6</c:v>
                  </c:pt>
                  <c:pt idx="1289">
                    <c:v>2</c:v>
                  </c:pt>
                  <c:pt idx="1290">
                    <c:v>1,4</c:v>
                  </c:pt>
                  <c:pt idx="1291">
                    <c:v>1,4</c:v>
                  </c:pt>
                  <c:pt idx="1292">
                    <c:v>1,6</c:v>
                  </c:pt>
                  <c:pt idx="1293">
                    <c:v>1,6</c:v>
                  </c:pt>
                  <c:pt idx="1294">
                    <c:v>1,6</c:v>
                  </c:pt>
                  <c:pt idx="1295">
                    <c:v>1,6</c:v>
                  </c:pt>
                  <c:pt idx="1296">
                    <c:v>1,6</c:v>
                  </c:pt>
                  <c:pt idx="1297">
                    <c:v>1,7</c:v>
                  </c:pt>
                  <c:pt idx="1298">
                    <c:v>1,7</c:v>
                  </c:pt>
                  <c:pt idx="1299">
                    <c:v>1,7</c:v>
                  </c:pt>
                  <c:pt idx="1300">
                    <c:v>1,7</c:v>
                  </c:pt>
                  <c:pt idx="1302">
                    <c:v>1,5</c:v>
                  </c:pt>
                  <c:pt idx="1303">
                    <c:v>1,5</c:v>
                  </c:pt>
                  <c:pt idx="1304">
                    <c:v>1,5</c:v>
                  </c:pt>
                  <c:pt idx="1305">
                    <c:v>1,5</c:v>
                  </c:pt>
                  <c:pt idx="1306">
                    <c:v>1,5</c:v>
                  </c:pt>
                  <c:pt idx="1307">
                    <c:v>1,5</c:v>
                  </c:pt>
                  <c:pt idx="1308">
                    <c:v>1,5</c:v>
                  </c:pt>
                  <c:pt idx="1309">
                    <c:v>1,5</c:v>
                  </c:pt>
                  <c:pt idx="1310">
                    <c:v>1,5</c:v>
                  </c:pt>
                  <c:pt idx="1311">
                    <c:v>1,5</c:v>
                  </c:pt>
                  <c:pt idx="1312">
                    <c:v>1,5</c:v>
                  </c:pt>
                  <c:pt idx="1313">
                    <c:v>1,4</c:v>
                  </c:pt>
                  <c:pt idx="1314">
                    <c:v>1,5</c:v>
                  </c:pt>
                  <c:pt idx="1315">
                    <c:v>1,6</c:v>
                  </c:pt>
                  <c:pt idx="1316">
                    <c:v>1,6</c:v>
                  </c:pt>
                  <c:pt idx="1317">
                    <c:v>1,6</c:v>
                  </c:pt>
                  <c:pt idx="1318">
                    <c:v>1,6</c:v>
                  </c:pt>
                  <c:pt idx="1319">
                    <c:v>1,4</c:v>
                  </c:pt>
                  <c:pt idx="1320">
                    <c:v>1,5</c:v>
                  </c:pt>
                  <c:pt idx="1321">
                    <c:v>1,6</c:v>
                  </c:pt>
                  <c:pt idx="1322">
                    <c:v>1,6</c:v>
                  </c:pt>
                  <c:pt idx="1323">
                    <c:v>1,6</c:v>
                  </c:pt>
                  <c:pt idx="1324">
                    <c:v>1,6</c:v>
                  </c:pt>
                  <c:pt idx="1325">
                    <c:v>1,6</c:v>
                  </c:pt>
                  <c:pt idx="1326">
                    <c:v>1,6</c:v>
                  </c:pt>
                  <c:pt idx="1327">
                    <c:v>1,6</c:v>
                  </c:pt>
                  <c:pt idx="1328">
                    <c:v>1,6</c:v>
                  </c:pt>
                  <c:pt idx="1329">
                    <c:v>1,55</c:v>
                  </c:pt>
                  <c:pt idx="1330">
                    <c:v>1,6</c:v>
                  </c:pt>
                  <c:pt idx="1331">
                    <c:v>1,5</c:v>
                  </c:pt>
                  <c:pt idx="1332">
                    <c:v>1,5</c:v>
                  </c:pt>
                  <c:pt idx="1333">
                    <c:v>1,6</c:v>
                  </c:pt>
                  <c:pt idx="1334">
                    <c:v>1,6</c:v>
                  </c:pt>
                  <c:pt idx="1335">
                    <c:v>1,6</c:v>
                  </c:pt>
                  <c:pt idx="1336">
                    <c:v>1,6</c:v>
                  </c:pt>
                  <c:pt idx="1337">
                    <c:v>1,5</c:v>
                  </c:pt>
                  <c:pt idx="1338">
                    <c:v>1,6</c:v>
                  </c:pt>
                  <c:pt idx="1339">
                    <c:v>1,5</c:v>
                  </c:pt>
                  <c:pt idx="1340">
                    <c:v>1,5</c:v>
                  </c:pt>
                  <c:pt idx="1341">
                    <c:v>1,4</c:v>
                  </c:pt>
                  <c:pt idx="1342">
                    <c:v>1,6</c:v>
                  </c:pt>
                  <c:pt idx="1343">
                    <c:v>1,6</c:v>
                  </c:pt>
                  <c:pt idx="1344">
                    <c:v>1,6</c:v>
                  </c:pt>
                  <c:pt idx="1345">
                    <c:v>1,5</c:v>
                  </c:pt>
                  <c:pt idx="1346">
                    <c:v>1,6</c:v>
                  </c:pt>
                  <c:pt idx="1347">
                    <c:v>1,6</c:v>
                  </c:pt>
                  <c:pt idx="1348">
                    <c:v>1,6</c:v>
                  </c:pt>
                  <c:pt idx="1349">
                    <c:v>1,6</c:v>
                  </c:pt>
                  <c:pt idx="1350">
                    <c:v>1,6</c:v>
                  </c:pt>
                  <c:pt idx="1351">
                    <c:v>1,6</c:v>
                  </c:pt>
                  <c:pt idx="1352">
                    <c:v>1,6</c:v>
                  </c:pt>
                  <c:pt idx="1353">
                    <c:v>1,6</c:v>
                  </c:pt>
                  <c:pt idx="1354">
                    <c:v>1,6</c:v>
                  </c:pt>
                  <c:pt idx="1355">
                    <c:v>1,5</c:v>
                  </c:pt>
                  <c:pt idx="1356">
                    <c:v>1,5</c:v>
                  </c:pt>
                  <c:pt idx="1357">
                    <c:v>1,6</c:v>
                  </c:pt>
                  <c:pt idx="1358">
                    <c:v>1,6</c:v>
                  </c:pt>
                  <c:pt idx="1359">
                    <c:v>1,7</c:v>
                  </c:pt>
                  <c:pt idx="1360">
                    <c:v>1,6</c:v>
                  </c:pt>
                  <c:pt idx="1361">
                    <c:v>1,6</c:v>
                  </c:pt>
                  <c:pt idx="1362">
                    <c:v>1,6</c:v>
                  </c:pt>
                  <c:pt idx="1363">
                    <c:v>1,6</c:v>
                  </c:pt>
                  <c:pt idx="1364">
                    <c:v>1,6</c:v>
                  </c:pt>
                  <c:pt idx="1365">
                    <c:v>1,8</c:v>
                  </c:pt>
                  <c:pt idx="1366">
                    <c:v>1,8</c:v>
                  </c:pt>
                  <c:pt idx="1367">
                    <c:v>1,8</c:v>
                  </c:pt>
                  <c:pt idx="1368">
                    <c:v>1,8</c:v>
                  </c:pt>
                  <c:pt idx="1369">
                    <c:v>1,8</c:v>
                  </c:pt>
                  <c:pt idx="1370">
                    <c:v>1,5</c:v>
                  </c:pt>
                  <c:pt idx="1371">
                    <c:v>1,5</c:v>
                  </c:pt>
                  <c:pt idx="1372">
                    <c:v>1,6</c:v>
                  </c:pt>
                  <c:pt idx="1373">
                    <c:v>1,6</c:v>
                  </c:pt>
                  <c:pt idx="1374">
                    <c:v>1,4</c:v>
                  </c:pt>
                  <c:pt idx="1375">
                    <c:v>1,5</c:v>
                  </c:pt>
                  <c:pt idx="1376">
                    <c:v>1,7</c:v>
                  </c:pt>
                  <c:pt idx="1377">
                    <c:v>1,7</c:v>
                  </c:pt>
                  <c:pt idx="1378">
                    <c:v>1,7</c:v>
                  </c:pt>
                  <c:pt idx="1379">
                    <c:v>1,4</c:v>
                  </c:pt>
                  <c:pt idx="1380">
                    <c:v>1,7</c:v>
                  </c:pt>
                  <c:pt idx="1381">
                    <c:v>1,7</c:v>
                  </c:pt>
                  <c:pt idx="1382">
                    <c:v>2</c:v>
                  </c:pt>
                  <c:pt idx="1383">
                    <c:v>2</c:v>
                  </c:pt>
                  <c:pt idx="1384">
                    <c:v>2</c:v>
                  </c:pt>
                  <c:pt idx="1385">
                    <c:v>2</c:v>
                  </c:pt>
                  <c:pt idx="1386">
                    <c:v>1,7</c:v>
                  </c:pt>
                  <c:pt idx="1388">
                    <c:v>1,3</c:v>
                  </c:pt>
                  <c:pt idx="1389">
                    <c:v>1,3</c:v>
                  </c:pt>
                  <c:pt idx="1390">
                    <c:v>1,3</c:v>
                  </c:pt>
                  <c:pt idx="1391">
                    <c:v>1,3</c:v>
                  </c:pt>
                  <c:pt idx="1392">
                    <c:v>1,4</c:v>
                  </c:pt>
                  <c:pt idx="1393">
                    <c:v>1,4</c:v>
                  </c:pt>
                  <c:pt idx="1394">
                    <c:v>1,6</c:v>
                  </c:pt>
                  <c:pt idx="1395">
                    <c:v>1,6</c:v>
                  </c:pt>
                  <c:pt idx="1396">
                    <c:v>1,36</c:v>
                  </c:pt>
                  <c:pt idx="1397">
                    <c:v>1,6</c:v>
                  </c:pt>
                  <c:pt idx="1398">
                    <c:v>1,6</c:v>
                  </c:pt>
                  <c:pt idx="1399">
                    <c:v>1,5</c:v>
                  </c:pt>
                  <c:pt idx="1400">
                    <c:v>1,6</c:v>
                  </c:pt>
                  <c:pt idx="1401">
                    <c:v>1,6</c:v>
                  </c:pt>
                  <c:pt idx="1402">
                    <c:v>1,8</c:v>
                  </c:pt>
                  <c:pt idx="1403">
                    <c:v>1,6</c:v>
                  </c:pt>
                  <c:pt idx="1404">
                    <c:v>1,6</c:v>
                  </c:pt>
                  <c:pt idx="1405">
                    <c:v>1,4</c:v>
                  </c:pt>
                  <c:pt idx="1406">
                    <c:v>1,4</c:v>
                  </c:pt>
                  <c:pt idx="1407">
                    <c:v>1,6</c:v>
                  </c:pt>
                  <c:pt idx="1408">
                    <c:v>1,6</c:v>
                  </c:pt>
                  <c:pt idx="1409">
                    <c:v>1,6</c:v>
                  </c:pt>
                  <c:pt idx="1410">
                    <c:v>1,6</c:v>
                  </c:pt>
                  <c:pt idx="1411">
                    <c:v>1,6</c:v>
                  </c:pt>
                  <c:pt idx="1412">
                    <c:v>1,6</c:v>
                  </c:pt>
                  <c:pt idx="1413">
                    <c:v>1,6</c:v>
                  </c:pt>
                  <c:pt idx="1414">
                    <c:v>1,6</c:v>
                  </c:pt>
                  <c:pt idx="1415">
                    <c:v>1,6</c:v>
                  </c:pt>
                  <c:pt idx="1416">
                    <c:v>1,6</c:v>
                  </c:pt>
                  <c:pt idx="1417">
                    <c:v>1,6</c:v>
                  </c:pt>
                  <c:pt idx="1418">
                    <c:v>1,6</c:v>
                  </c:pt>
                  <c:pt idx="1419">
                    <c:v>1,5</c:v>
                  </c:pt>
                  <c:pt idx="1420">
                    <c:v>1,5</c:v>
                  </c:pt>
                  <c:pt idx="1421">
                    <c:v>1,5</c:v>
                  </c:pt>
                  <c:pt idx="1422">
                    <c:v>1,5</c:v>
                  </c:pt>
                  <c:pt idx="1423">
                    <c:v>1,5</c:v>
                  </c:pt>
                  <c:pt idx="1424">
                    <c:v>1,6</c:v>
                  </c:pt>
                  <c:pt idx="1425">
                    <c:v>1,5</c:v>
                  </c:pt>
                  <c:pt idx="1426">
                    <c:v>1,5</c:v>
                  </c:pt>
                  <c:pt idx="1427">
                    <c:v>1,5</c:v>
                  </c:pt>
                  <c:pt idx="1428">
                    <c:v>1,5</c:v>
                  </c:pt>
                  <c:pt idx="1429">
                    <c:v>1,5</c:v>
                  </c:pt>
                  <c:pt idx="1430">
                    <c:v>2</c:v>
                  </c:pt>
                  <c:pt idx="1431">
                    <c:v>2</c:v>
                  </c:pt>
                  <c:pt idx="1432">
                    <c:v>2</c:v>
                  </c:pt>
                  <c:pt idx="1433">
                    <c:v>1,5</c:v>
                  </c:pt>
                  <c:pt idx="1434">
                    <c:v>1,5</c:v>
                  </c:pt>
                  <c:pt idx="1435">
                    <c:v>1,7</c:v>
                  </c:pt>
                  <c:pt idx="1436">
                    <c:v>1,6</c:v>
                  </c:pt>
                  <c:pt idx="1437">
                    <c:v>1,3</c:v>
                  </c:pt>
                  <c:pt idx="1438">
                    <c:v>1,35</c:v>
                  </c:pt>
                  <c:pt idx="1439">
                    <c:v>1,65</c:v>
                  </c:pt>
                  <c:pt idx="1440">
                    <c:v>1,5</c:v>
                  </c:pt>
                  <c:pt idx="1441">
                    <c:v>2</c:v>
                  </c:pt>
                  <c:pt idx="1442">
                    <c:v>2</c:v>
                  </c:pt>
                  <c:pt idx="1443">
                    <c:v>2,5</c:v>
                  </c:pt>
                  <c:pt idx="1444">
                    <c:v>1,5</c:v>
                  </c:pt>
                  <c:pt idx="1446">
                    <c:v>1,5</c:v>
                  </c:pt>
                  <c:pt idx="1447">
                    <c:v>1,8</c:v>
                  </c:pt>
                  <c:pt idx="1448">
                    <c:v>1,8</c:v>
                  </c:pt>
                  <c:pt idx="1449">
                    <c:v>1,6</c:v>
                  </c:pt>
                  <c:pt idx="1450">
                    <c:v>1,5</c:v>
                  </c:pt>
                  <c:pt idx="1451">
                    <c:v>1,4</c:v>
                  </c:pt>
                  <c:pt idx="1452">
                    <c:v>1,8</c:v>
                  </c:pt>
                  <c:pt idx="1453">
                    <c:v>1,8</c:v>
                  </c:pt>
                  <c:pt idx="1454">
                    <c:v>1,8</c:v>
                  </c:pt>
                  <c:pt idx="1455">
                    <c:v>1,7</c:v>
                  </c:pt>
                  <c:pt idx="1456">
                    <c:v>1,8</c:v>
                  </c:pt>
                  <c:pt idx="1457">
                    <c:v>1,7</c:v>
                  </c:pt>
                  <c:pt idx="1458">
                    <c:v>1,8</c:v>
                  </c:pt>
                  <c:pt idx="1459">
                    <c:v>1,8</c:v>
                  </c:pt>
                  <c:pt idx="1460">
                    <c:v>1,2</c:v>
                  </c:pt>
                  <c:pt idx="1461">
                    <c:v>1,8</c:v>
                  </c:pt>
                  <c:pt idx="1462">
                    <c:v>2</c:v>
                  </c:pt>
                  <c:pt idx="1463">
                    <c:v>1,3</c:v>
                  </c:pt>
                  <c:pt idx="1464">
                    <c:v>1,6</c:v>
                  </c:pt>
                  <c:pt idx="1465">
                    <c:v>3</c:v>
                  </c:pt>
                  <c:pt idx="1466">
                    <c:v>1,4</c:v>
                  </c:pt>
                  <c:pt idx="1467">
                    <c:v>1,6</c:v>
                  </c:pt>
                  <c:pt idx="1468">
                    <c:v>1,5</c:v>
                  </c:pt>
                  <c:pt idx="1469">
                    <c:v>1,5</c:v>
                  </c:pt>
                  <c:pt idx="1470">
                    <c:v>1,6</c:v>
                  </c:pt>
                  <c:pt idx="1471">
                    <c:v>1,2</c:v>
                  </c:pt>
                  <c:pt idx="1472">
                    <c:v>1,2</c:v>
                  </c:pt>
                  <c:pt idx="1473">
                    <c:v>1,3</c:v>
                  </c:pt>
                  <c:pt idx="1474">
                    <c:v>1,4</c:v>
                  </c:pt>
                  <c:pt idx="1475">
                    <c:v>1,5</c:v>
                  </c:pt>
                  <c:pt idx="1476">
                    <c:v>1,4</c:v>
                  </c:pt>
                  <c:pt idx="1477">
                    <c:v>1,6</c:v>
                  </c:pt>
                  <c:pt idx="1478">
                    <c:v>2</c:v>
                  </c:pt>
                  <c:pt idx="1479">
                    <c:v>1,4</c:v>
                  </c:pt>
                  <c:pt idx="1480">
                    <c:v>1,8</c:v>
                  </c:pt>
                  <c:pt idx="1481">
                    <c:v>1,6</c:v>
                  </c:pt>
                  <c:pt idx="1482">
                    <c:v>1,8</c:v>
                  </c:pt>
                  <c:pt idx="1483">
                    <c:v>1,4</c:v>
                  </c:pt>
                  <c:pt idx="1484">
                    <c:v>1,6</c:v>
                  </c:pt>
                  <c:pt idx="1485">
                    <c:v>1,3</c:v>
                  </c:pt>
                  <c:pt idx="1486">
                    <c:v>1,4</c:v>
                  </c:pt>
                  <c:pt idx="1487">
                    <c:v>1,4</c:v>
                  </c:pt>
                  <c:pt idx="1488">
                    <c:v>1,8</c:v>
                  </c:pt>
                  <c:pt idx="1489">
                    <c:v>2</c:v>
                  </c:pt>
                  <c:pt idx="1490">
                    <c:v>1,8</c:v>
                  </c:pt>
                  <c:pt idx="1491">
                    <c:v>1,8</c:v>
                  </c:pt>
                  <c:pt idx="1492">
                    <c:v>1,8</c:v>
                  </c:pt>
                  <c:pt idx="1493">
                    <c:v>1,8</c:v>
                  </c:pt>
                  <c:pt idx="1494">
                    <c:v>1,8</c:v>
                  </c:pt>
                  <c:pt idx="1495">
                    <c:v>1,8</c:v>
                  </c:pt>
                  <c:pt idx="1496">
                    <c:v>1,6</c:v>
                  </c:pt>
                  <c:pt idx="1497">
                    <c:v>1,4</c:v>
                  </c:pt>
                  <c:pt idx="1498">
                    <c:v>1,25</c:v>
                  </c:pt>
                  <c:pt idx="1499">
                    <c:v>1,6</c:v>
                  </c:pt>
                  <c:pt idx="1500">
                    <c:v>1,6</c:v>
                  </c:pt>
                  <c:pt idx="1501">
                    <c:v>1,6</c:v>
                  </c:pt>
                  <c:pt idx="1502">
                    <c:v>1,6</c:v>
                  </c:pt>
                  <c:pt idx="1503">
                    <c:v>1,7</c:v>
                  </c:pt>
                  <c:pt idx="1504">
                    <c:v>1,6</c:v>
                  </c:pt>
                  <c:pt idx="1505">
                    <c:v>1,7</c:v>
                  </c:pt>
                  <c:pt idx="1506">
                    <c:v>1,75</c:v>
                  </c:pt>
                  <c:pt idx="1507">
                    <c:v>1,3</c:v>
                  </c:pt>
                  <c:pt idx="1508">
                    <c:v>1,3</c:v>
                  </c:pt>
                  <c:pt idx="1509">
                    <c:v>1,1</c:v>
                  </c:pt>
                  <c:pt idx="1510">
                    <c:v>1,6</c:v>
                  </c:pt>
                  <c:pt idx="1511">
                    <c:v>1,6</c:v>
                  </c:pt>
                  <c:pt idx="1512">
                    <c:v>1,3</c:v>
                  </c:pt>
                  <c:pt idx="1513">
                    <c:v>1,3</c:v>
                  </c:pt>
                  <c:pt idx="1514">
                    <c:v>1,6</c:v>
                  </c:pt>
                  <c:pt idx="1515">
                    <c:v>1,6</c:v>
                  </c:pt>
                  <c:pt idx="1516">
                    <c:v>1,5</c:v>
                  </c:pt>
                  <c:pt idx="1517">
                    <c:v>1,6</c:v>
                  </c:pt>
                  <c:pt idx="1518">
                    <c:v>1,6</c:v>
                  </c:pt>
                  <c:pt idx="1519">
                    <c:v>1,3</c:v>
                  </c:pt>
                  <c:pt idx="1520">
                    <c:v>1,6</c:v>
                  </c:pt>
                  <c:pt idx="1521">
                    <c:v>1,6</c:v>
                  </c:pt>
                  <c:pt idx="1522">
                    <c:v>1,6</c:v>
                  </c:pt>
                  <c:pt idx="1523">
                    <c:v>1,7</c:v>
                  </c:pt>
                  <c:pt idx="1524">
                    <c:v>2</c:v>
                  </c:pt>
                  <c:pt idx="1525">
                    <c:v>1,3</c:v>
                  </c:pt>
                  <c:pt idx="1526">
                    <c:v>2</c:v>
                  </c:pt>
                  <c:pt idx="1527">
                    <c:v>2</c:v>
                  </c:pt>
                  <c:pt idx="1528">
                    <c:v>1,6</c:v>
                  </c:pt>
                  <c:pt idx="1529">
                    <c:v>1,9</c:v>
                  </c:pt>
                  <c:pt idx="1530">
                    <c:v>1,5</c:v>
                  </c:pt>
                  <c:pt idx="1531">
                    <c:v>1,5</c:v>
                  </c:pt>
                  <c:pt idx="1532">
                    <c:v>1,8</c:v>
                  </c:pt>
                  <c:pt idx="1533">
                    <c:v>1,5</c:v>
                  </c:pt>
                  <c:pt idx="1534">
                    <c:v>1,6</c:v>
                  </c:pt>
                  <c:pt idx="1535">
                    <c:v>1,6</c:v>
                  </c:pt>
                  <c:pt idx="1536">
                    <c:v>1,8</c:v>
                  </c:pt>
                  <c:pt idx="1537">
                    <c:v>1,6</c:v>
                  </c:pt>
                  <c:pt idx="1538">
                    <c:v>1,6</c:v>
                  </c:pt>
                  <c:pt idx="1539">
                    <c:v>1,4</c:v>
                  </c:pt>
                  <c:pt idx="1540">
                    <c:v>1,4</c:v>
                  </c:pt>
                  <c:pt idx="1541">
                    <c:v>1,6</c:v>
                  </c:pt>
                  <c:pt idx="1542">
                    <c:v>1,3</c:v>
                  </c:pt>
                  <c:pt idx="1543">
                    <c:v>1,6</c:v>
                  </c:pt>
                  <c:pt idx="1544">
                    <c:v>1,6</c:v>
                  </c:pt>
                  <c:pt idx="1545">
                    <c:v>1,6</c:v>
                  </c:pt>
                  <c:pt idx="1546">
                    <c:v>2</c:v>
                  </c:pt>
                  <c:pt idx="1547">
                    <c:v>2</c:v>
                  </c:pt>
                  <c:pt idx="1548">
                    <c:v>1</c:v>
                  </c:pt>
                  <c:pt idx="1549">
                    <c:v>1,6</c:v>
                  </c:pt>
                  <c:pt idx="1550">
                    <c:v>1,8</c:v>
                  </c:pt>
                  <c:pt idx="1551">
                    <c:v>1,7</c:v>
                  </c:pt>
                  <c:pt idx="1552">
                    <c:v>1,5</c:v>
                  </c:pt>
                  <c:pt idx="1553">
                    <c:v>1,5</c:v>
                  </c:pt>
                  <c:pt idx="1554">
                    <c:v>1,7</c:v>
                  </c:pt>
                  <c:pt idx="1555">
                    <c:v>1,6</c:v>
                  </c:pt>
                  <c:pt idx="1556">
                    <c:v>1,5</c:v>
                  </c:pt>
                  <c:pt idx="1557">
                    <c:v>1,5</c:v>
                  </c:pt>
                  <c:pt idx="1558">
                    <c:v>1,5</c:v>
                  </c:pt>
                  <c:pt idx="1559">
                    <c:v>1,5</c:v>
                  </c:pt>
                  <c:pt idx="1560">
                    <c:v>1,3</c:v>
                  </c:pt>
                  <c:pt idx="1561">
                    <c:v>1,5</c:v>
                  </c:pt>
                  <c:pt idx="1562">
                    <c:v>1,4</c:v>
                  </c:pt>
                  <c:pt idx="1563">
                    <c:v>1,3</c:v>
                  </c:pt>
                  <c:pt idx="1564">
                    <c:v>1,3</c:v>
                  </c:pt>
                  <c:pt idx="1565">
                    <c:v>1,3</c:v>
                  </c:pt>
                  <c:pt idx="1566">
                    <c:v>1,7</c:v>
                  </c:pt>
                  <c:pt idx="1567">
                    <c:v>1,5</c:v>
                  </c:pt>
                  <c:pt idx="1568">
                    <c:v>1,5</c:v>
                  </c:pt>
                  <c:pt idx="1569">
                    <c:v>1,4</c:v>
                  </c:pt>
                  <c:pt idx="1570">
                    <c:v>1,25</c:v>
                  </c:pt>
                  <c:pt idx="1571">
                    <c:v>1,25</c:v>
                  </c:pt>
                  <c:pt idx="1572">
                    <c:v>2</c:v>
                  </c:pt>
                  <c:pt idx="1573">
                    <c:v>2</c:v>
                  </c:pt>
                  <c:pt idx="1574">
                    <c:v>1,6</c:v>
                  </c:pt>
                  <c:pt idx="1575">
                    <c:v>1,4</c:v>
                  </c:pt>
                  <c:pt idx="1576">
                    <c:v>1,8</c:v>
                  </c:pt>
                  <c:pt idx="1577">
                    <c:v>1,5</c:v>
                  </c:pt>
                  <c:pt idx="1578">
                    <c:v>1,6</c:v>
                  </c:pt>
                  <c:pt idx="1579">
                    <c:v>1,6</c:v>
                  </c:pt>
                  <c:pt idx="1580">
                    <c:v>1,6</c:v>
                  </c:pt>
                  <c:pt idx="1581">
                    <c:v>1,6</c:v>
                  </c:pt>
                  <c:pt idx="1582">
                    <c:v>1,6</c:v>
                  </c:pt>
                  <c:pt idx="1583">
                    <c:v>1,8</c:v>
                  </c:pt>
                  <c:pt idx="1584">
                    <c:v>1,6</c:v>
                  </c:pt>
                  <c:pt idx="1585">
                    <c:v>1,6</c:v>
                  </c:pt>
                  <c:pt idx="1586">
                    <c:v>1,6</c:v>
                  </c:pt>
                  <c:pt idx="1587">
                    <c:v>1,9</c:v>
                  </c:pt>
                  <c:pt idx="1588">
                    <c:v>1,4</c:v>
                  </c:pt>
                  <c:pt idx="1589">
                    <c:v>1,4</c:v>
                  </c:pt>
                  <c:pt idx="1590">
                    <c:v>1,25</c:v>
                  </c:pt>
                  <c:pt idx="1591">
                    <c:v>1,25</c:v>
                  </c:pt>
                  <c:pt idx="1592">
                    <c:v>1,25</c:v>
                  </c:pt>
                  <c:pt idx="1593">
                    <c:v>1,2</c:v>
                  </c:pt>
                  <c:pt idx="1594">
                    <c:v>1,6</c:v>
                  </c:pt>
                  <c:pt idx="1595">
                    <c:v>1,3</c:v>
                  </c:pt>
                  <c:pt idx="1596">
                    <c:v>1,4</c:v>
                  </c:pt>
                  <c:pt idx="1597">
                    <c:v>1,4</c:v>
                  </c:pt>
                  <c:pt idx="1598">
                    <c:v>1,3</c:v>
                  </c:pt>
                  <c:pt idx="1599">
                    <c:v>1,3</c:v>
                  </c:pt>
                  <c:pt idx="1600">
                    <c:v>1,45</c:v>
                  </c:pt>
                  <c:pt idx="1601">
                    <c:v>1,37</c:v>
                  </c:pt>
                  <c:pt idx="1602">
                    <c:v>1,3</c:v>
                  </c:pt>
                  <c:pt idx="1603">
                    <c:v>1,45</c:v>
                  </c:pt>
                  <c:pt idx="1604">
                    <c:v>1,3</c:v>
                  </c:pt>
                  <c:pt idx="1605">
                    <c:v>1,4</c:v>
                  </c:pt>
                  <c:pt idx="1606">
                    <c:v>1,8</c:v>
                  </c:pt>
                  <c:pt idx="1607">
                    <c:v>1,4</c:v>
                  </c:pt>
                  <c:pt idx="1608">
                    <c:v>1,2</c:v>
                  </c:pt>
                  <c:pt idx="1609">
                    <c:v>1,4</c:v>
                  </c:pt>
                  <c:pt idx="1610">
                    <c:v>1,3</c:v>
                  </c:pt>
                  <c:pt idx="1611">
                    <c:v>1,2</c:v>
                  </c:pt>
                  <c:pt idx="1612">
                    <c:v>1,5</c:v>
                  </c:pt>
                  <c:pt idx="1613">
                    <c:v>1,2</c:v>
                  </c:pt>
                  <c:pt idx="1614">
                    <c:v>1,5</c:v>
                  </c:pt>
                  <c:pt idx="1615">
                    <c:v>1,6</c:v>
                  </c:pt>
                  <c:pt idx="1616">
                    <c:v>1,6</c:v>
                  </c:pt>
                  <c:pt idx="1617">
                    <c:v>1,35</c:v>
                  </c:pt>
                  <c:pt idx="1618">
                    <c:v>1,4</c:v>
                  </c:pt>
                  <c:pt idx="1619">
                    <c:v>1,4</c:v>
                  </c:pt>
                  <c:pt idx="1620">
                    <c:v>1,3</c:v>
                  </c:pt>
                  <c:pt idx="1621">
                    <c:v>1,3</c:v>
                  </c:pt>
                  <c:pt idx="1622">
                    <c:v>1,3</c:v>
                  </c:pt>
                  <c:pt idx="1623">
                    <c:v>1,6</c:v>
                  </c:pt>
                  <c:pt idx="1624">
                    <c:v>1</c:v>
                  </c:pt>
                  <c:pt idx="1625">
                    <c:v>1,4</c:v>
                  </c:pt>
                  <c:pt idx="1626">
                    <c:v>1,4</c:v>
                  </c:pt>
                  <c:pt idx="1627">
                    <c:v>1,35</c:v>
                  </c:pt>
                  <c:pt idx="1628">
                    <c:v>1,2</c:v>
                  </c:pt>
                  <c:pt idx="1629">
                    <c:v>1,25</c:v>
                  </c:pt>
                  <c:pt idx="1630">
                    <c:v>1,25</c:v>
                  </c:pt>
                  <c:pt idx="1631">
                    <c:v>1,4</c:v>
                  </c:pt>
                  <c:pt idx="1632">
                    <c:v>1,3</c:v>
                  </c:pt>
                  <c:pt idx="1633">
                    <c:v>1,4</c:v>
                  </c:pt>
                  <c:pt idx="1634">
                    <c:v>1,5</c:v>
                  </c:pt>
                  <c:pt idx="1635">
                    <c:v>1,4</c:v>
                  </c:pt>
                  <c:pt idx="1636">
                    <c:v>1,4</c:v>
                  </c:pt>
                  <c:pt idx="1637">
                    <c:v>1,5</c:v>
                  </c:pt>
                  <c:pt idx="1638">
                    <c:v>1,4</c:v>
                  </c:pt>
                  <c:pt idx="1639">
                    <c:v>1,3</c:v>
                  </c:pt>
                  <c:pt idx="1640">
                    <c:v>1,3</c:v>
                  </c:pt>
                  <c:pt idx="1641">
                    <c:v>1,59</c:v>
                  </c:pt>
                  <c:pt idx="1642">
                    <c:v>1,5</c:v>
                  </c:pt>
                  <c:pt idx="1643">
                    <c:v>1,5</c:v>
                  </c:pt>
                  <c:pt idx="1644">
                    <c:v>1,5</c:v>
                  </c:pt>
                  <c:pt idx="1645">
                    <c:v>1,5</c:v>
                  </c:pt>
                  <c:pt idx="1646">
                    <c:v>1,5</c:v>
                  </c:pt>
                  <c:pt idx="1647">
                    <c:v>1,25</c:v>
                  </c:pt>
                  <c:pt idx="1648">
                    <c:v>1,2</c:v>
                  </c:pt>
                  <c:pt idx="1649">
                    <c:v>1,7</c:v>
                  </c:pt>
                  <c:pt idx="1650">
                    <c:v>1,8</c:v>
                  </c:pt>
                  <c:pt idx="1651">
                    <c:v>1,4</c:v>
                  </c:pt>
                  <c:pt idx="1652">
                    <c:v>2</c:v>
                  </c:pt>
                  <c:pt idx="1653">
                    <c:v>1,5</c:v>
                  </c:pt>
                  <c:pt idx="1654">
                    <c:v>2</c:v>
                  </c:pt>
                  <c:pt idx="1655">
                    <c:v>1,3</c:v>
                  </c:pt>
                  <c:pt idx="1656">
                    <c:v>1,8</c:v>
                  </c:pt>
                  <c:pt idx="1657">
                    <c:v>1,8</c:v>
                  </c:pt>
                  <c:pt idx="1658">
                    <c:v>1,7</c:v>
                  </c:pt>
                  <c:pt idx="1659">
                    <c:v>2</c:v>
                  </c:pt>
                  <c:pt idx="1660">
                    <c:v>2</c:v>
                  </c:pt>
                  <c:pt idx="1661">
                    <c:v>2,5</c:v>
                  </c:pt>
                  <c:pt idx="1662">
                    <c:v>1,6</c:v>
                  </c:pt>
                  <c:pt idx="1663">
                    <c:v>1,6</c:v>
                  </c:pt>
                  <c:pt idx="1664">
                    <c:v>1,6</c:v>
                  </c:pt>
                  <c:pt idx="1665">
                    <c:v>1,2</c:v>
                  </c:pt>
                  <c:pt idx="1666">
                    <c:v>1,6</c:v>
                  </c:pt>
                  <c:pt idx="1667">
                    <c:v>2,5</c:v>
                  </c:pt>
                  <c:pt idx="1668">
                    <c:v>2</c:v>
                  </c:pt>
                  <c:pt idx="1669">
                    <c:v>2</c:v>
                  </c:pt>
                  <c:pt idx="1670">
                    <c:v>1,8</c:v>
                  </c:pt>
                  <c:pt idx="1671">
                    <c:v>1,6</c:v>
                  </c:pt>
                  <c:pt idx="1672">
                    <c:v>1,4</c:v>
                  </c:pt>
                  <c:pt idx="1673">
                    <c:v>1,35</c:v>
                  </c:pt>
                  <c:pt idx="1674">
                    <c:v>1,6</c:v>
                  </c:pt>
                  <c:pt idx="1675">
                    <c:v>1,6</c:v>
                  </c:pt>
                  <c:pt idx="1676">
                    <c:v>1,6</c:v>
                  </c:pt>
                  <c:pt idx="1677">
                    <c:v>1,6</c:v>
                  </c:pt>
                  <c:pt idx="1678">
                    <c:v>1,6</c:v>
                  </c:pt>
                  <c:pt idx="1679">
                    <c:v>1,6</c:v>
                  </c:pt>
                  <c:pt idx="1680">
                    <c:v>1,5</c:v>
                  </c:pt>
                  <c:pt idx="1681">
                    <c:v>1,6</c:v>
                  </c:pt>
                  <c:pt idx="1682">
                    <c:v>1,6</c:v>
                  </c:pt>
                  <c:pt idx="1683">
                    <c:v>1,6</c:v>
                  </c:pt>
                  <c:pt idx="1684">
                    <c:v>1,5</c:v>
                  </c:pt>
                  <c:pt idx="1685">
                    <c:v>1,8</c:v>
                  </c:pt>
                  <c:pt idx="1686">
                    <c:v>1,8</c:v>
                  </c:pt>
                  <c:pt idx="1687">
                    <c:v>1,6</c:v>
                  </c:pt>
                  <c:pt idx="1688">
                    <c:v>1,6</c:v>
                  </c:pt>
                  <c:pt idx="1689">
                    <c:v>1,6</c:v>
                  </c:pt>
                  <c:pt idx="1690">
                    <c:v>1,6</c:v>
                  </c:pt>
                  <c:pt idx="1691">
                    <c:v>1,6</c:v>
                  </c:pt>
                  <c:pt idx="1692">
                    <c:v>1,9</c:v>
                  </c:pt>
                  <c:pt idx="1693">
                    <c:v>1,6</c:v>
                  </c:pt>
                  <c:pt idx="1694">
                    <c:v>1,6</c:v>
                  </c:pt>
                  <c:pt idx="1695">
                    <c:v>1,6</c:v>
                  </c:pt>
                  <c:pt idx="1696">
                    <c:v>2</c:v>
                  </c:pt>
                  <c:pt idx="1697">
                    <c:v>2</c:v>
                  </c:pt>
                  <c:pt idx="1698">
                    <c:v>2</c:v>
                  </c:pt>
                  <c:pt idx="1699">
                    <c:v>1,8</c:v>
                  </c:pt>
                  <c:pt idx="1700">
                    <c:v>1,7</c:v>
                  </c:pt>
                  <c:pt idx="1701">
                    <c:v>1,7</c:v>
                  </c:pt>
                  <c:pt idx="1702">
                    <c:v>1,7</c:v>
                  </c:pt>
                  <c:pt idx="1703">
                    <c:v>1,7</c:v>
                  </c:pt>
                  <c:pt idx="1704">
                    <c:v>2</c:v>
                  </c:pt>
                  <c:pt idx="1705">
                    <c:v>2</c:v>
                  </c:pt>
                  <c:pt idx="1706">
                    <c:v>2</c:v>
                  </c:pt>
                  <c:pt idx="1707">
                    <c:v>1,8</c:v>
                  </c:pt>
                  <c:pt idx="1708">
                    <c:v>1,8</c:v>
                  </c:pt>
                  <c:pt idx="1709">
                    <c:v>1,6</c:v>
                  </c:pt>
                  <c:pt idx="1710">
                    <c:v>2</c:v>
                  </c:pt>
                  <c:pt idx="1711">
                    <c:v>2</c:v>
                  </c:pt>
                  <c:pt idx="1712">
                    <c:v>2</c:v>
                  </c:pt>
                  <c:pt idx="1713">
                    <c:v>2</c:v>
                  </c:pt>
                  <c:pt idx="1714">
                    <c:v>1,5</c:v>
                  </c:pt>
                  <c:pt idx="1715">
                    <c:v>1,6</c:v>
                  </c:pt>
                  <c:pt idx="1716">
                    <c:v>1,35</c:v>
                  </c:pt>
                  <c:pt idx="1717">
                    <c:v>1,7</c:v>
                  </c:pt>
                  <c:pt idx="1718">
                    <c:v>1,7</c:v>
                  </c:pt>
                  <c:pt idx="1719">
                    <c:v>1,7</c:v>
                  </c:pt>
                  <c:pt idx="1720">
                    <c:v>1,2</c:v>
                  </c:pt>
                  <c:pt idx="1721">
                    <c:v>1,2</c:v>
                  </c:pt>
                  <c:pt idx="1722">
                    <c:v>1,2</c:v>
                  </c:pt>
                  <c:pt idx="1723">
                    <c:v>1,3</c:v>
                  </c:pt>
                  <c:pt idx="1724">
                    <c:v>1,3</c:v>
                  </c:pt>
                </c:lvl>
                <c:lvl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15">
                    <c:v>0</c:v>
                  </c:pt>
                  <c:pt idx="18">
                    <c:v>0</c:v>
                  </c:pt>
                  <c:pt idx="24">
                    <c:v>0</c:v>
                  </c:pt>
                  <c:pt idx="25">
                    <c:v>0</c:v>
                  </c:pt>
                  <c:pt idx="37">
                    <c:v>0</c:v>
                  </c:pt>
                  <c:pt idx="72">
                    <c:v>0</c:v>
                  </c:pt>
                  <c:pt idx="73">
                    <c:v>0</c:v>
                  </c:pt>
                  <c:pt idx="74">
                    <c:v>0</c:v>
                  </c:pt>
                  <c:pt idx="88">
                    <c:v>0</c:v>
                  </c:pt>
                  <c:pt idx="99">
                    <c:v>s</c:v>
                  </c:pt>
                  <c:pt idx="103">
                    <c:v>2,79</c:v>
                  </c:pt>
                  <c:pt idx="121">
                    <c:v>3,64</c:v>
                  </c:pt>
                  <c:pt idx="130">
                    <c:v>5</c:v>
                  </c:pt>
                  <c:pt idx="131">
                    <c:v>3,05</c:v>
                  </c:pt>
                  <c:pt idx="132">
                    <c:v>3,05</c:v>
                  </c:pt>
                  <c:pt idx="133">
                    <c:v>5</c:v>
                  </c:pt>
                  <c:pt idx="172">
                    <c:v>15,1</c:v>
                  </c:pt>
                  <c:pt idx="199">
                    <c:v>q</c:v>
                  </c:pt>
                  <c:pt idx="203">
                    <c:v>0</c:v>
                  </c:pt>
                  <c:pt idx="218">
                    <c:v>0</c:v>
                  </c:pt>
                  <c:pt idx="248">
                    <c:v>5,1</c:v>
                  </c:pt>
                  <c:pt idx="251">
                    <c:v>0</c:v>
                  </c:pt>
                  <c:pt idx="261">
                    <c:v>1,1</c:v>
                  </c:pt>
                  <c:pt idx="263">
                    <c:v>0</c:v>
                  </c:pt>
                  <c:pt idx="266">
                    <c:v>5</c:v>
                  </c:pt>
                  <c:pt idx="267">
                    <c:v>3</c:v>
                  </c:pt>
                  <c:pt idx="299">
                    <c:v>23,65</c:v>
                  </c:pt>
                  <c:pt idx="300">
                    <c:v>6,4</c:v>
                  </c:pt>
                  <c:pt idx="303">
                    <c:v>55,65</c:v>
                  </c:pt>
                  <c:pt idx="304">
                    <c:v>7,3</c:v>
                  </c:pt>
                  <c:pt idx="305">
                    <c:v>4,7</c:v>
                  </c:pt>
                  <c:pt idx="306">
                    <c:v>8</c:v>
                  </c:pt>
                  <c:pt idx="307">
                    <c:v>135</c:v>
                  </c:pt>
                  <c:pt idx="317">
                    <c:v>0</c:v>
                  </c:pt>
                  <c:pt idx="333">
                    <c:v>0</c:v>
                  </c:pt>
                  <c:pt idx="386">
                    <c:v>0</c:v>
                  </c:pt>
                  <c:pt idx="413">
                    <c:v>0</c:v>
                  </c:pt>
                  <c:pt idx="460">
                    <c:v>1,1</c:v>
                  </c:pt>
                  <c:pt idx="461">
                    <c:v>1,1</c:v>
                  </c:pt>
                  <c:pt idx="493">
                    <c:v>0</c:v>
                  </c:pt>
                  <c:pt idx="495">
                    <c:v>1</c:v>
                  </c:pt>
                  <c:pt idx="496">
                    <c:v>0</c:v>
                  </c:pt>
                  <c:pt idx="516">
                    <c:v>1,1</c:v>
                  </c:pt>
                  <c:pt idx="517">
                    <c:v>1,1</c:v>
                  </c:pt>
                  <c:pt idx="525">
                    <c:v>12</c:v>
                  </c:pt>
                  <c:pt idx="540">
                    <c:v>11,45</c:v>
                  </c:pt>
                  <c:pt idx="544">
                    <c:v>0</c:v>
                  </c:pt>
                  <c:pt idx="554">
                    <c:v>45</c:v>
                  </c:pt>
                  <c:pt idx="572">
                    <c:v>6,18</c:v>
                  </c:pt>
                  <c:pt idx="574">
                    <c:v>5</c:v>
                  </c:pt>
                  <c:pt idx="590">
                    <c:v>82</c:v>
                  </c:pt>
                  <c:pt idx="591">
                    <c:v>3,28</c:v>
                  </c:pt>
                  <c:pt idx="592">
                    <c:v>0</c:v>
                  </c:pt>
                  <c:pt idx="593">
                    <c:v>0</c:v>
                  </c:pt>
                  <c:pt idx="596">
                    <c:v>18,2</c:v>
                  </c:pt>
                  <c:pt idx="598">
                    <c:v>41</c:v>
                  </c:pt>
                  <c:pt idx="599">
                    <c:v>0</c:v>
                  </c:pt>
                  <c:pt idx="606">
                    <c:v>0</c:v>
                  </c:pt>
                  <c:pt idx="607">
                    <c:v>c</c:v>
                  </c:pt>
                  <c:pt idx="622">
                    <c:v>0</c:v>
                  </c:pt>
                  <c:pt idx="633">
                    <c:v>1</c:v>
                  </c:pt>
                  <c:pt idx="694">
                    <c:v>0</c:v>
                  </c:pt>
                  <c:pt idx="705">
                    <c:v>36,32</c:v>
                  </c:pt>
                  <c:pt idx="706">
                    <c:v>1</c:v>
                  </c:pt>
                  <c:pt idx="751">
                    <c:v>0</c:v>
                  </c:pt>
                  <c:pt idx="754">
                    <c:v>3</c:v>
                  </c:pt>
                  <c:pt idx="755">
                    <c:v>0</c:v>
                  </c:pt>
                  <c:pt idx="757">
                    <c:v>0</c:v>
                  </c:pt>
                  <c:pt idx="762">
                    <c:v>0</c:v>
                  </c:pt>
                  <c:pt idx="766">
                    <c:v>2,4</c:v>
                  </c:pt>
                  <c:pt idx="767">
                    <c:v>2,99</c:v>
                  </c:pt>
                  <c:pt idx="768">
                    <c:v>2,78</c:v>
                  </c:pt>
                  <c:pt idx="769">
                    <c:v>1,55</c:v>
                  </c:pt>
                  <c:pt idx="773">
                    <c:v>1,52</c:v>
                  </c:pt>
                  <c:pt idx="852">
                    <c:v>0</c:v>
                  </c:pt>
                  <c:pt idx="855">
                    <c:v>0</c:v>
                  </c:pt>
                  <c:pt idx="880">
                    <c:v>1</c:v>
                  </c:pt>
                  <c:pt idx="881">
                    <c:v>0</c:v>
                  </c:pt>
                  <c:pt idx="900">
                    <c:v>0</c:v>
                  </c:pt>
                  <c:pt idx="921">
                    <c:v>37</c:v>
                  </c:pt>
                  <c:pt idx="959">
                    <c:v>11,45</c:v>
                  </c:pt>
                  <c:pt idx="961">
                    <c:v>36</c:v>
                  </c:pt>
                  <c:pt idx="964">
                    <c:v>0</c:v>
                  </c:pt>
                  <c:pt idx="965">
                    <c:v>0</c:v>
                  </c:pt>
                  <c:pt idx="982">
                    <c:v>15,6</c:v>
                  </c:pt>
                  <c:pt idx="987">
                    <c:v>0</c:v>
                  </c:pt>
                  <c:pt idx="1013">
                    <c:v>0</c:v>
                  </c:pt>
                  <c:pt idx="1087">
                    <c:v>1,95</c:v>
                  </c:pt>
                  <c:pt idx="1088">
                    <c:v>2</c:v>
                  </c:pt>
                  <c:pt idx="1089">
                    <c:v>3,1</c:v>
                  </c:pt>
                  <c:pt idx="1090">
                    <c:v>4,65</c:v>
                  </c:pt>
                  <c:pt idx="1095">
                    <c:v>15,4</c:v>
                  </c:pt>
                  <c:pt idx="1115">
                    <c:v>0,16</c:v>
                  </c:pt>
                  <c:pt idx="1120">
                    <c:v>0</c:v>
                  </c:pt>
                  <c:pt idx="1146">
                    <c:v>1,05</c:v>
                  </c:pt>
                  <c:pt idx="1218">
                    <c:v>5,12</c:v>
                  </c:pt>
                  <c:pt idx="1220">
                    <c:v>1,5</c:v>
                  </c:pt>
                  <c:pt idx="1221">
                    <c:v>1,81</c:v>
                  </c:pt>
                  <c:pt idx="1315">
                    <c:v>12</c:v>
                  </c:pt>
                  <c:pt idx="1316">
                    <c:v>19</c:v>
                  </c:pt>
                  <c:pt idx="1317">
                    <c:v>23</c:v>
                  </c:pt>
                  <c:pt idx="1318">
                    <c:v>20</c:v>
                  </c:pt>
                  <c:pt idx="1319">
                    <c:v>29</c:v>
                  </c:pt>
                  <c:pt idx="1324">
                    <c:v>23</c:v>
                  </c:pt>
                  <c:pt idx="1325">
                    <c:v>24</c:v>
                  </c:pt>
                  <c:pt idx="1326">
                    <c:v>26</c:v>
                  </c:pt>
                  <c:pt idx="1327">
                    <c:v>37</c:v>
                  </c:pt>
                  <c:pt idx="1328">
                    <c:v>23</c:v>
                  </c:pt>
                  <c:pt idx="1333">
                    <c:v>13</c:v>
                  </c:pt>
                  <c:pt idx="1334">
                    <c:v>30</c:v>
                  </c:pt>
                  <c:pt idx="1336">
                    <c:v>9</c:v>
                  </c:pt>
                  <c:pt idx="1337">
                    <c:v>21</c:v>
                  </c:pt>
                  <c:pt idx="1338">
                    <c:v>29</c:v>
                  </c:pt>
                  <c:pt idx="1342">
                    <c:v>21</c:v>
                  </c:pt>
                  <c:pt idx="1343">
                    <c:v>21</c:v>
                  </c:pt>
                  <c:pt idx="1344">
                    <c:v>30</c:v>
                  </c:pt>
                  <c:pt idx="1345">
                    <c:v>14,5</c:v>
                  </c:pt>
                  <c:pt idx="1346">
                    <c:v>22</c:v>
                  </c:pt>
                  <c:pt idx="1347">
                    <c:v>28</c:v>
                  </c:pt>
                  <c:pt idx="1350">
                    <c:v>72</c:v>
                  </c:pt>
                  <c:pt idx="1351">
                    <c:v>75</c:v>
                  </c:pt>
                  <c:pt idx="1352">
                    <c:v>51</c:v>
                  </c:pt>
                  <c:pt idx="1354">
                    <c:v>41</c:v>
                  </c:pt>
                  <c:pt idx="1356">
                    <c:v>28</c:v>
                  </c:pt>
                  <c:pt idx="1378">
                    <c:v>1</c:v>
                  </c:pt>
                  <c:pt idx="1381">
                    <c:v>0</c:v>
                  </c:pt>
                  <c:pt idx="1390">
                    <c:v>0</c:v>
                  </c:pt>
                  <c:pt idx="1394">
                    <c:v>6,8</c:v>
                  </c:pt>
                  <c:pt idx="1395">
                    <c:v>17,6</c:v>
                  </c:pt>
                  <c:pt idx="1396">
                    <c:v>7,45</c:v>
                  </c:pt>
                  <c:pt idx="1397">
                    <c:v>5,35</c:v>
                  </c:pt>
                  <c:pt idx="1436">
                    <c:v>0,3</c:v>
                  </c:pt>
                  <c:pt idx="1437">
                    <c:v>7,5</c:v>
                  </c:pt>
                  <c:pt idx="1438">
                    <c:v>7,13</c:v>
                  </c:pt>
                  <c:pt idx="1439">
                    <c:v>0,31</c:v>
                  </c:pt>
                  <c:pt idx="1441">
                    <c:v>0</c:v>
                  </c:pt>
                  <c:pt idx="1444">
                    <c:v>70</c:v>
                  </c:pt>
                  <c:pt idx="1446">
                    <c:v>112,04</c:v>
                  </c:pt>
                  <c:pt idx="1447">
                    <c:v>1,12</c:v>
                  </c:pt>
                  <c:pt idx="1448">
                    <c:v>1,12</c:v>
                  </c:pt>
                  <c:pt idx="1464">
                    <c:v>0</c:v>
                  </c:pt>
                  <c:pt idx="1477">
                    <c:v>3,73</c:v>
                  </c:pt>
                  <c:pt idx="1493">
                    <c:v>1,78</c:v>
                  </c:pt>
                  <c:pt idx="1508">
                    <c:v>0</c:v>
                  </c:pt>
                  <c:pt idx="1529">
                    <c:v>7,18</c:v>
                  </c:pt>
                  <c:pt idx="1530">
                    <c:v>17,9</c:v>
                  </c:pt>
                  <c:pt idx="1531">
                    <c:v>1,79</c:v>
                  </c:pt>
                  <c:pt idx="1534">
                    <c:v>0</c:v>
                  </c:pt>
                  <c:pt idx="1547">
                    <c:v>0</c:v>
                  </c:pt>
                  <c:pt idx="1552">
                    <c:v>1,65</c:v>
                  </c:pt>
                  <c:pt idx="1554">
                    <c:v>0</c:v>
                  </c:pt>
                  <c:pt idx="1558">
                    <c:v>0</c:v>
                  </c:pt>
                  <c:pt idx="1599">
                    <c:v>1</c:v>
                  </c:pt>
                  <c:pt idx="1600">
                    <c:v>1</c:v>
                  </c:pt>
                  <c:pt idx="1601">
                    <c:v>1</c:v>
                  </c:pt>
                  <c:pt idx="1602">
                    <c:v>1</c:v>
                  </c:pt>
                  <c:pt idx="1603">
                    <c:v>1</c:v>
                  </c:pt>
                  <c:pt idx="1604">
                    <c:v>1</c:v>
                  </c:pt>
                  <c:pt idx="1620">
                    <c:v>1,05</c:v>
                  </c:pt>
                  <c:pt idx="1624">
                    <c:v>1</c:v>
                  </c:pt>
                  <c:pt idx="1639">
                    <c:v>0</c:v>
                  </c:pt>
                  <c:pt idx="1651">
                    <c:v>0</c:v>
                  </c:pt>
                  <c:pt idx="1674">
                    <c:v>1</c:v>
                  </c:pt>
                  <c:pt idx="1716">
                    <c:v>0</c:v>
                  </c:pt>
                </c:lvl>
                <c:lvl>
                  <c:pt idx="0">
                    <c:v>1800</c:v>
                  </c:pt>
                  <c:pt idx="1">
                    <c:v>264,17</c:v>
                  </c:pt>
                  <c:pt idx="2">
                    <c:v>168</c:v>
                  </c:pt>
                  <c:pt idx="3">
                    <c:v>260</c:v>
                  </c:pt>
                  <c:pt idx="4">
                    <c:v>13</c:v>
                  </c:pt>
                  <c:pt idx="5">
                    <c:v>93,5</c:v>
                  </c:pt>
                  <c:pt idx="6">
                    <c:v>9,35</c:v>
                  </c:pt>
                  <c:pt idx="7">
                    <c:v>1070</c:v>
                  </c:pt>
                  <c:pt idx="8">
                    <c:v>0</c:v>
                  </c:pt>
                  <c:pt idx="9">
                    <c:v>906</c:v>
                  </c:pt>
                  <c:pt idx="10">
                    <c:v>72</c:v>
                  </c:pt>
                  <c:pt idx="11">
                    <c:v>72</c:v>
                  </c:pt>
                  <c:pt idx="12">
                    <c:v>72</c:v>
                  </c:pt>
                  <c:pt idx="13">
                    <c:v>160</c:v>
                  </c:pt>
                  <c:pt idx="14">
                    <c:v>363</c:v>
                  </c:pt>
                  <c:pt idx="15">
                    <c:v>19,9</c:v>
                  </c:pt>
                  <c:pt idx="16">
                    <c:v>19,9</c:v>
                  </c:pt>
                  <c:pt idx="17">
                    <c:v>8</c:v>
                  </c:pt>
                  <c:pt idx="18">
                    <c:v>109,9</c:v>
                  </c:pt>
                  <c:pt idx="19">
                    <c:v>24,9</c:v>
                  </c:pt>
                  <c:pt idx="20">
                    <c:v>34,9</c:v>
                  </c:pt>
                  <c:pt idx="21">
                    <c:v>24,9</c:v>
                  </c:pt>
                  <c:pt idx="22">
                    <c:v>39,9</c:v>
                  </c:pt>
                  <c:pt idx="23">
                    <c:v>34,9</c:v>
                  </c:pt>
                  <c:pt idx="24">
                    <c:v>0</c:v>
                  </c:pt>
                  <c:pt idx="25">
                    <c:v>0</c:v>
                  </c:pt>
                  <c:pt idx="26">
                    <c:v>175,41</c:v>
                  </c:pt>
                  <c:pt idx="27">
                    <c:v>182,95</c:v>
                  </c:pt>
                  <c:pt idx="28">
                    <c:v>199,8</c:v>
                  </c:pt>
                  <c:pt idx="29">
                    <c:v>198,77</c:v>
                  </c:pt>
                  <c:pt idx="30">
                    <c:v>254</c:v>
                  </c:pt>
                  <c:pt idx="31">
                    <c:v>411</c:v>
                  </c:pt>
                  <c:pt idx="32">
                    <c:v>307,359</c:v>
                  </c:pt>
                  <c:pt idx="33">
                    <c:v>127</c:v>
                  </c:pt>
                  <c:pt idx="34">
                    <c:v>159</c:v>
                  </c:pt>
                  <c:pt idx="35">
                    <c:v>97</c:v>
                  </c:pt>
                  <c:pt idx="36">
                    <c:v>44</c:v>
                  </c:pt>
                  <c:pt idx="37">
                    <c:v>800</c:v>
                  </c:pt>
                  <c:pt idx="38">
                    <c:v>148</c:v>
                  </c:pt>
                  <c:pt idx="39">
                    <c:v>1135</c:v>
                  </c:pt>
                  <c:pt idx="40">
                    <c:v>110</c:v>
                  </c:pt>
                  <c:pt idx="41">
                    <c:v>1107</c:v>
                  </c:pt>
                  <c:pt idx="42">
                    <c:v>644</c:v>
                  </c:pt>
                  <c:pt idx="43">
                    <c:v>262</c:v>
                  </c:pt>
                  <c:pt idx="44">
                    <c:v>314</c:v>
                  </c:pt>
                  <c:pt idx="45">
                    <c:v>100</c:v>
                  </c:pt>
                  <c:pt idx="46">
                    <c:v>675,85</c:v>
                  </c:pt>
                  <c:pt idx="47">
                    <c:v>430,5</c:v>
                  </c:pt>
                  <c:pt idx="48">
                    <c:v>533</c:v>
                  </c:pt>
                  <c:pt idx="49">
                    <c:v>150</c:v>
                  </c:pt>
                  <c:pt idx="50">
                    <c:v>430,5</c:v>
                  </c:pt>
                  <c:pt idx="51">
                    <c:v>200</c:v>
                  </c:pt>
                  <c:pt idx="52">
                    <c:v>150</c:v>
                  </c:pt>
                  <c:pt idx="53">
                    <c:v>10</c:v>
                  </c:pt>
                  <c:pt idx="54">
                    <c:v>1702,8</c:v>
                  </c:pt>
                  <c:pt idx="55">
                    <c:v>187,98</c:v>
                  </c:pt>
                  <c:pt idx="56">
                    <c:v>1179</c:v>
                  </c:pt>
                  <c:pt idx="57">
                    <c:v>258</c:v>
                  </c:pt>
                  <c:pt idx="58">
                    <c:v>44</c:v>
                  </c:pt>
                  <c:pt idx="59">
                    <c:v>179</c:v>
                  </c:pt>
                  <c:pt idx="60">
                    <c:v>49,2</c:v>
                  </c:pt>
                  <c:pt idx="61">
                    <c:v>99</c:v>
                  </c:pt>
                  <c:pt idx="62">
                    <c:v>98</c:v>
                  </c:pt>
                  <c:pt idx="63">
                    <c:v>57</c:v>
                  </c:pt>
                  <c:pt idx="64">
                    <c:v>57</c:v>
                  </c:pt>
                  <c:pt idx="65">
                    <c:v>67</c:v>
                  </c:pt>
                  <c:pt idx="66">
                    <c:v>69</c:v>
                  </c:pt>
                  <c:pt idx="67">
                    <c:v>14,9</c:v>
                  </c:pt>
                  <c:pt idx="68">
                    <c:v>14,9</c:v>
                  </c:pt>
                  <c:pt idx="69">
                    <c:v>29,9</c:v>
                  </c:pt>
                  <c:pt idx="70">
                    <c:v>29,9</c:v>
                  </c:pt>
                  <c:pt idx="71">
                    <c:v>275</c:v>
                  </c:pt>
                  <c:pt idx="72">
                    <c:v>1490</c:v>
                  </c:pt>
                  <c:pt idx="73">
                    <c:v>59,6</c:v>
                  </c:pt>
                  <c:pt idx="74">
                    <c:v>1739,49</c:v>
                  </c:pt>
                  <c:pt idx="75">
                    <c:v>59,9</c:v>
                  </c:pt>
                  <c:pt idx="76">
                    <c:v>89,9</c:v>
                  </c:pt>
                  <c:pt idx="77">
                    <c:v>109,9</c:v>
                  </c:pt>
                  <c:pt idx="78">
                    <c:v>89,9</c:v>
                  </c:pt>
                  <c:pt idx="79">
                    <c:v>109,9</c:v>
                  </c:pt>
                  <c:pt idx="80">
                    <c:v>9</c:v>
                  </c:pt>
                  <c:pt idx="81">
                    <c:v>81</c:v>
                  </c:pt>
                  <c:pt idx="82">
                    <c:v>1941,8</c:v>
                  </c:pt>
                  <c:pt idx="83">
                    <c:v>80</c:v>
                  </c:pt>
                  <c:pt idx="84">
                    <c:v>110</c:v>
                  </c:pt>
                  <c:pt idx="85">
                    <c:v>50</c:v>
                  </c:pt>
                  <c:pt idx="86">
                    <c:v>60</c:v>
                  </c:pt>
                  <c:pt idx="87">
                    <c:v>90</c:v>
                  </c:pt>
                  <c:pt idx="88">
                    <c:v>695</c:v>
                  </c:pt>
                  <c:pt idx="89">
                    <c:v>27</c:v>
                  </c:pt>
                  <c:pt idx="90">
                    <c:v>299,9</c:v>
                  </c:pt>
                  <c:pt idx="91">
                    <c:v>299,9</c:v>
                  </c:pt>
                  <c:pt idx="92">
                    <c:v>299,9</c:v>
                  </c:pt>
                  <c:pt idx="93">
                    <c:v>79</c:v>
                  </c:pt>
                  <c:pt idx="94">
                    <c:v>79</c:v>
                  </c:pt>
                  <c:pt idx="95">
                    <c:v>119</c:v>
                  </c:pt>
                  <c:pt idx="96">
                    <c:v>189</c:v>
                  </c:pt>
                  <c:pt idx="97">
                    <c:v>198</c:v>
                  </c:pt>
                  <c:pt idx="98">
                    <c:v>220</c:v>
                  </c:pt>
                  <c:pt idx="99">
                    <c:v>22</c:v>
                  </c:pt>
                  <c:pt idx="100">
                    <c:v>167,5</c:v>
                  </c:pt>
                  <c:pt idx="101">
                    <c:v>176</c:v>
                  </c:pt>
                  <c:pt idx="102">
                    <c:v>221</c:v>
                  </c:pt>
                  <c:pt idx="104">
                    <c:v>62,88</c:v>
                  </c:pt>
                  <c:pt idx="105">
                    <c:v>89</c:v>
                  </c:pt>
                  <c:pt idx="106">
                    <c:v>387</c:v>
                  </c:pt>
                  <c:pt idx="107">
                    <c:v>299,25</c:v>
                  </c:pt>
                  <c:pt idx="108">
                    <c:v>84</c:v>
                  </c:pt>
                  <c:pt idx="109">
                    <c:v>269</c:v>
                  </c:pt>
                  <c:pt idx="110">
                    <c:v>6,5</c:v>
                  </c:pt>
                  <c:pt idx="111">
                    <c:v>246</c:v>
                  </c:pt>
                  <c:pt idx="112">
                    <c:v>206</c:v>
                  </c:pt>
                  <c:pt idx="113">
                    <c:v>247</c:v>
                  </c:pt>
                  <c:pt idx="114">
                    <c:v>43</c:v>
                  </c:pt>
                  <c:pt idx="115">
                    <c:v>26</c:v>
                  </c:pt>
                  <c:pt idx="116">
                    <c:v>48</c:v>
                  </c:pt>
                  <c:pt idx="117">
                    <c:v>46,81</c:v>
                  </c:pt>
                  <c:pt idx="118">
                    <c:v>40,81</c:v>
                  </c:pt>
                  <c:pt idx="119">
                    <c:v>326</c:v>
                  </c:pt>
                  <c:pt idx="120">
                    <c:v>225</c:v>
                  </c:pt>
                  <c:pt idx="121">
                    <c:v>0</c:v>
                  </c:pt>
                  <c:pt idx="122">
                    <c:v>82,9</c:v>
                  </c:pt>
                  <c:pt idx="123">
                    <c:v>2984,18</c:v>
                  </c:pt>
                  <c:pt idx="124">
                    <c:v>160</c:v>
                  </c:pt>
                  <c:pt idx="125">
                    <c:v>210</c:v>
                  </c:pt>
                  <c:pt idx="126">
                    <c:v>40</c:v>
                  </c:pt>
                  <c:pt idx="127">
                    <c:v>390</c:v>
                  </c:pt>
                  <c:pt idx="128">
                    <c:v>600</c:v>
                  </c:pt>
                  <c:pt idx="129">
                    <c:v>644,79</c:v>
                  </c:pt>
                  <c:pt idx="134">
                    <c:v>129</c:v>
                  </c:pt>
                  <c:pt idx="135">
                    <c:v>103</c:v>
                  </c:pt>
                  <c:pt idx="136">
                    <c:v>20</c:v>
                  </c:pt>
                  <c:pt idx="137">
                    <c:v>280</c:v>
                  </c:pt>
                  <c:pt idx="138">
                    <c:v>125</c:v>
                  </c:pt>
                  <c:pt idx="139">
                    <c:v>116</c:v>
                  </c:pt>
                  <c:pt idx="140">
                    <c:v>40</c:v>
                  </c:pt>
                  <c:pt idx="141">
                    <c:v>63</c:v>
                  </c:pt>
                  <c:pt idx="142">
                    <c:v>110,59</c:v>
                  </c:pt>
                  <c:pt idx="143">
                    <c:v>128,8</c:v>
                  </c:pt>
                  <c:pt idx="144">
                    <c:v>157,95</c:v>
                  </c:pt>
                  <c:pt idx="145">
                    <c:v>101,4</c:v>
                  </c:pt>
                  <c:pt idx="146">
                    <c:v>90,2</c:v>
                  </c:pt>
                  <c:pt idx="147">
                    <c:v>100</c:v>
                  </c:pt>
                  <c:pt idx="148">
                    <c:v>160</c:v>
                  </c:pt>
                  <c:pt idx="149">
                    <c:v>114,8</c:v>
                  </c:pt>
                  <c:pt idx="150">
                    <c:v>98,4</c:v>
                  </c:pt>
                  <c:pt idx="151">
                    <c:v>350</c:v>
                  </c:pt>
                  <c:pt idx="152">
                    <c:v>185</c:v>
                  </c:pt>
                  <c:pt idx="153">
                    <c:v>20,43</c:v>
                  </c:pt>
                  <c:pt idx="154">
                    <c:v>39,52</c:v>
                  </c:pt>
                  <c:pt idx="155">
                    <c:v>65,38</c:v>
                  </c:pt>
                  <c:pt idx="156">
                    <c:v>81,4</c:v>
                  </c:pt>
                  <c:pt idx="157">
                    <c:v>184,5</c:v>
                  </c:pt>
                  <c:pt idx="158">
                    <c:v>123</c:v>
                  </c:pt>
                  <c:pt idx="159">
                    <c:v>241,56</c:v>
                  </c:pt>
                  <c:pt idx="160">
                    <c:v>246</c:v>
                  </c:pt>
                  <c:pt idx="161">
                    <c:v>86,31</c:v>
                  </c:pt>
                  <c:pt idx="162">
                    <c:v>109</c:v>
                  </c:pt>
                  <c:pt idx="163">
                    <c:v>1900</c:v>
                  </c:pt>
                  <c:pt idx="164">
                    <c:v>49</c:v>
                  </c:pt>
                  <c:pt idx="165">
                    <c:v>95</c:v>
                  </c:pt>
                  <c:pt idx="166">
                    <c:v>594</c:v>
                  </c:pt>
                  <c:pt idx="167">
                    <c:v>160</c:v>
                  </c:pt>
                  <c:pt idx="168">
                    <c:v>388</c:v>
                  </c:pt>
                  <c:pt idx="169">
                    <c:v>1383</c:v>
                  </c:pt>
                  <c:pt idx="170">
                    <c:v>138,3</c:v>
                  </c:pt>
                  <c:pt idx="171">
                    <c:v>138</c:v>
                  </c:pt>
                  <c:pt idx="172">
                    <c:v>350</c:v>
                  </c:pt>
                  <c:pt idx="173">
                    <c:v>101</c:v>
                  </c:pt>
                  <c:pt idx="174">
                    <c:v>160</c:v>
                  </c:pt>
                  <c:pt idx="175">
                    <c:v>116</c:v>
                  </c:pt>
                  <c:pt idx="176">
                    <c:v>249</c:v>
                  </c:pt>
                  <c:pt idx="177">
                    <c:v>50,88</c:v>
                  </c:pt>
                  <c:pt idx="178">
                    <c:v>192,2</c:v>
                  </c:pt>
                  <c:pt idx="179">
                    <c:v>247</c:v>
                  </c:pt>
                  <c:pt idx="180">
                    <c:v>289</c:v>
                  </c:pt>
                  <c:pt idx="181">
                    <c:v>154</c:v>
                  </c:pt>
                  <c:pt idx="182">
                    <c:v>187</c:v>
                  </c:pt>
                  <c:pt idx="183">
                    <c:v>242</c:v>
                  </c:pt>
                  <c:pt idx="184">
                    <c:v>297</c:v>
                  </c:pt>
                  <c:pt idx="185">
                    <c:v>324</c:v>
                  </c:pt>
                  <c:pt idx="186">
                    <c:v>550</c:v>
                  </c:pt>
                  <c:pt idx="187">
                    <c:v>650</c:v>
                  </c:pt>
                  <c:pt idx="188">
                    <c:v>61</c:v>
                  </c:pt>
                  <c:pt idx="189">
                    <c:v>85</c:v>
                  </c:pt>
                  <c:pt idx="190">
                    <c:v>198</c:v>
                  </c:pt>
                  <c:pt idx="191">
                    <c:v>276</c:v>
                  </c:pt>
                  <c:pt idx="192">
                    <c:v>130</c:v>
                  </c:pt>
                  <c:pt idx="193">
                    <c:v>75</c:v>
                  </c:pt>
                  <c:pt idx="194">
                    <c:v>95</c:v>
                  </c:pt>
                  <c:pt idx="195">
                    <c:v>230</c:v>
                  </c:pt>
                  <c:pt idx="196">
                    <c:v>51</c:v>
                  </c:pt>
                  <c:pt idx="197">
                    <c:v>61</c:v>
                  </c:pt>
                  <c:pt idx="198">
                    <c:v>72</c:v>
                  </c:pt>
                  <c:pt idx="199">
                    <c:v>81</c:v>
                  </c:pt>
                  <c:pt idx="200">
                    <c:v>107</c:v>
                  </c:pt>
                  <c:pt idx="201">
                    <c:v>100</c:v>
                  </c:pt>
                  <c:pt idx="202">
                    <c:v>120</c:v>
                  </c:pt>
                  <c:pt idx="203">
                    <c:v>180</c:v>
                  </c:pt>
                  <c:pt idx="204">
                    <c:v>180</c:v>
                  </c:pt>
                  <c:pt idx="205">
                    <c:v>180</c:v>
                  </c:pt>
                  <c:pt idx="206">
                    <c:v>2459,02</c:v>
                  </c:pt>
                  <c:pt idx="207">
                    <c:v>0</c:v>
                  </c:pt>
                  <c:pt idx="208">
                    <c:v>600</c:v>
                  </c:pt>
                  <c:pt idx="209">
                    <c:v>600</c:v>
                  </c:pt>
                  <c:pt idx="210">
                    <c:v>39,9</c:v>
                  </c:pt>
                  <c:pt idx="211">
                    <c:v>290</c:v>
                  </c:pt>
                  <c:pt idx="212">
                    <c:v>130</c:v>
                  </c:pt>
                  <c:pt idx="213">
                    <c:v>220,5</c:v>
                  </c:pt>
                  <c:pt idx="214">
                    <c:v>173,25</c:v>
                  </c:pt>
                  <c:pt idx="215">
                    <c:v>141,75</c:v>
                  </c:pt>
                  <c:pt idx="216">
                    <c:v>267,75</c:v>
                  </c:pt>
                  <c:pt idx="217">
                    <c:v>233,25</c:v>
                  </c:pt>
                  <c:pt idx="218">
                    <c:v>98,6</c:v>
                  </c:pt>
                  <c:pt idx="219">
                    <c:v>25</c:v>
                  </c:pt>
                  <c:pt idx="220">
                    <c:v>30</c:v>
                  </c:pt>
                  <c:pt idx="221">
                    <c:v>266,4</c:v>
                  </c:pt>
                  <c:pt idx="222">
                    <c:v>420,24</c:v>
                  </c:pt>
                  <c:pt idx="223">
                    <c:v>469,8</c:v>
                  </c:pt>
                  <c:pt idx="224">
                    <c:v>742,6</c:v>
                  </c:pt>
                  <c:pt idx="225">
                    <c:v>284,92</c:v>
                  </c:pt>
                  <c:pt idx="226">
                    <c:v>366,3</c:v>
                  </c:pt>
                  <c:pt idx="227">
                    <c:v>99,9</c:v>
                  </c:pt>
                  <c:pt idx="228">
                    <c:v>72</c:v>
                  </c:pt>
                  <c:pt idx="229">
                    <c:v>483</c:v>
                  </c:pt>
                  <c:pt idx="230">
                    <c:v>239</c:v>
                  </c:pt>
                  <c:pt idx="231">
                    <c:v>260</c:v>
                  </c:pt>
                  <c:pt idx="232">
                    <c:v>295</c:v>
                  </c:pt>
                  <c:pt idx="233">
                    <c:v>51</c:v>
                  </c:pt>
                  <c:pt idx="234">
                    <c:v>185</c:v>
                  </c:pt>
                  <c:pt idx="235">
                    <c:v>50</c:v>
                  </c:pt>
                  <c:pt idx="236">
                    <c:v>1128</c:v>
                  </c:pt>
                  <c:pt idx="237">
                    <c:v>76</c:v>
                  </c:pt>
                  <c:pt idx="238">
                    <c:v>48</c:v>
                  </c:pt>
                  <c:pt idx="239">
                    <c:v>163</c:v>
                  </c:pt>
                  <c:pt idx="240">
                    <c:v>140</c:v>
                  </c:pt>
                  <c:pt idx="241">
                    <c:v>202,01</c:v>
                  </c:pt>
                  <c:pt idx="242">
                    <c:v>168</c:v>
                  </c:pt>
                  <c:pt idx="243">
                    <c:v>237,17</c:v>
                  </c:pt>
                  <c:pt idx="244">
                    <c:v>221</c:v>
                  </c:pt>
                  <c:pt idx="245">
                    <c:v>163</c:v>
                  </c:pt>
                  <c:pt idx="246">
                    <c:v>144</c:v>
                  </c:pt>
                  <c:pt idx="247">
                    <c:v>25</c:v>
                  </c:pt>
                  <c:pt idx="249">
                    <c:v>70</c:v>
                  </c:pt>
                  <c:pt idx="250">
                    <c:v>111</c:v>
                  </c:pt>
                  <c:pt idx="251">
                    <c:v>179,24</c:v>
                  </c:pt>
                  <c:pt idx="252">
                    <c:v>230,85</c:v>
                  </c:pt>
                  <c:pt idx="253">
                    <c:v>222,3</c:v>
                  </c:pt>
                  <c:pt idx="254">
                    <c:v>550</c:v>
                  </c:pt>
                  <c:pt idx="255">
                    <c:v>231,99</c:v>
                  </c:pt>
                  <c:pt idx="256">
                    <c:v>599</c:v>
                  </c:pt>
                  <c:pt idx="257">
                    <c:v>799</c:v>
                  </c:pt>
                  <c:pt idx="258">
                    <c:v>278</c:v>
                  </c:pt>
                  <c:pt idx="259">
                    <c:v>25</c:v>
                  </c:pt>
                  <c:pt idx="260">
                    <c:v>13</c:v>
                  </c:pt>
                  <c:pt idx="261">
                    <c:v>118,5</c:v>
                  </c:pt>
                  <c:pt idx="262">
                    <c:v>171,66</c:v>
                  </c:pt>
                  <c:pt idx="263">
                    <c:v>182</c:v>
                  </c:pt>
                  <c:pt idx="264">
                    <c:v>2,97</c:v>
                  </c:pt>
                  <c:pt idx="265">
                    <c:v>383,94</c:v>
                  </c:pt>
                  <c:pt idx="266">
                    <c:v>0</c:v>
                  </c:pt>
                  <c:pt idx="267">
                    <c:v>0</c:v>
                  </c:pt>
                  <c:pt idx="268">
                    <c:v>58,2</c:v>
                  </c:pt>
                  <c:pt idx="269">
                    <c:v>67,05</c:v>
                  </c:pt>
                  <c:pt idx="270">
                    <c:v>175</c:v>
                  </c:pt>
                  <c:pt idx="271">
                    <c:v>121,6</c:v>
                  </c:pt>
                  <c:pt idx="272">
                    <c:v>92</c:v>
                  </c:pt>
                  <c:pt idx="273">
                    <c:v>5720</c:v>
                  </c:pt>
                  <c:pt idx="274">
                    <c:v>103</c:v>
                  </c:pt>
                  <c:pt idx="275">
                    <c:v>263,98</c:v>
                  </c:pt>
                  <c:pt idx="276">
                    <c:v>279</c:v>
                  </c:pt>
                  <c:pt idx="277">
                    <c:v>266</c:v>
                  </c:pt>
                  <c:pt idx="278">
                    <c:v>59,9</c:v>
                  </c:pt>
                  <c:pt idx="279">
                    <c:v>50</c:v>
                  </c:pt>
                  <c:pt idx="280">
                    <c:v>90</c:v>
                  </c:pt>
                  <c:pt idx="281">
                    <c:v>190</c:v>
                  </c:pt>
                  <c:pt idx="282">
                    <c:v>399,9</c:v>
                  </c:pt>
                  <c:pt idx="283">
                    <c:v>66</c:v>
                  </c:pt>
                  <c:pt idx="284">
                    <c:v>87</c:v>
                  </c:pt>
                  <c:pt idx="285">
                    <c:v>279</c:v>
                  </c:pt>
                  <c:pt idx="286">
                    <c:v>138</c:v>
                  </c:pt>
                  <c:pt idx="287">
                    <c:v>142</c:v>
                  </c:pt>
                  <c:pt idx="288">
                    <c:v>176</c:v>
                  </c:pt>
                  <c:pt idx="289">
                    <c:v>119</c:v>
                  </c:pt>
                  <c:pt idx="290">
                    <c:v>219</c:v>
                  </c:pt>
                  <c:pt idx="291">
                    <c:v>165</c:v>
                  </c:pt>
                  <c:pt idx="292">
                    <c:v>169</c:v>
                  </c:pt>
                  <c:pt idx="293">
                    <c:v>305</c:v>
                  </c:pt>
                  <c:pt idx="294">
                    <c:v>200</c:v>
                  </c:pt>
                  <c:pt idx="295">
                    <c:v>206</c:v>
                  </c:pt>
                  <c:pt idx="296">
                    <c:v>270,16</c:v>
                  </c:pt>
                  <c:pt idx="297">
                    <c:v>145</c:v>
                  </c:pt>
                  <c:pt idx="298">
                    <c:v>224</c:v>
                  </c:pt>
                  <c:pt idx="299">
                    <c:v>0</c:v>
                  </c:pt>
                  <c:pt idx="300">
                    <c:v>0</c:v>
                  </c:pt>
                  <c:pt idx="301">
                    <c:v>3307</c:v>
                  </c:pt>
                  <c:pt idx="302">
                    <c:v>7488</c:v>
                  </c:pt>
                  <c:pt idx="303">
                    <c:v>1760</c:v>
                  </c:pt>
                  <c:pt idx="304">
                    <c:v>0</c:v>
                  </c:pt>
                  <c:pt idx="306">
                    <c:v>0</c:v>
                  </c:pt>
                  <c:pt idx="307">
                    <c:v>3485</c:v>
                  </c:pt>
                  <c:pt idx="308">
                    <c:v>1085</c:v>
                  </c:pt>
                  <c:pt idx="309">
                    <c:v>120</c:v>
                  </c:pt>
                  <c:pt idx="310">
                    <c:v>305</c:v>
                  </c:pt>
                  <c:pt idx="311">
                    <c:v>49,9</c:v>
                  </c:pt>
                  <c:pt idx="312">
                    <c:v>18,9</c:v>
                  </c:pt>
                  <c:pt idx="313">
                    <c:v>60</c:v>
                  </c:pt>
                  <c:pt idx="314">
                    <c:v>12</c:v>
                  </c:pt>
                  <c:pt idx="315">
                    <c:v>24,9</c:v>
                  </c:pt>
                  <c:pt idx="316">
                    <c:v>123</c:v>
                  </c:pt>
                  <c:pt idx="317">
                    <c:v>367</c:v>
                  </c:pt>
                  <c:pt idx="318">
                    <c:v>630</c:v>
                  </c:pt>
                  <c:pt idx="319">
                    <c:v>2692,83</c:v>
                  </c:pt>
                  <c:pt idx="320">
                    <c:v>208,54</c:v>
                  </c:pt>
                  <c:pt idx="321">
                    <c:v>14</c:v>
                  </c:pt>
                  <c:pt idx="322">
                    <c:v>29</c:v>
                  </c:pt>
                  <c:pt idx="323">
                    <c:v>140</c:v>
                  </c:pt>
                  <c:pt idx="324">
                    <c:v>242</c:v>
                  </c:pt>
                  <c:pt idx="325">
                    <c:v>295</c:v>
                  </c:pt>
                  <c:pt idx="326">
                    <c:v>390</c:v>
                  </c:pt>
                  <c:pt idx="327">
                    <c:v>150</c:v>
                  </c:pt>
                  <c:pt idx="328">
                    <c:v>250</c:v>
                  </c:pt>
                  <c:pt idx="329">
                    <c:v>350</c:v>
                  </c:pt>
                  <c:pt idx="330">
                    <c:v>3250</c:v>
                  </c:pt>
                  <c:pt idx="331">
                    <c:v>88</c:v>
                  </c:pt>
                  <c:pt idx="332">
                    <c:v>108</c:v>
                  </c:pt>
                  <c:pt idx="333">
                    <c:v>224</c:v>
                  </c:pt>
                  <c:pt idx="334">
                    <c:v>165</c:v>
                  </c:pt>
                  <c:pt idx="335">
                    <c:v>97</c:v>
                  </c:pt>
                  <c:pt idx="336">
                    <c:v>69,56</c:v>
                  </c:pt>
                  <c:pt idx="337">
                    <c:v>143,01</c:v>
                  </c:pt>
                  <c:pt idx="338">
                    <c:v>95</c:v>
                  </c:pt>
                  <c:pt idx="339">
                    <c:v>212</c:v>
                  </c:pt>
                  <c:pt idx="340">
                    <c:v>101</c:v>
                  </c:pt>
                  <c:pt idx="341">
                    <c:v>105</c:v>
                  </c:pt>
                  <c:pt idx="342">
                    <c:v>88</c:v>
                  </c:pt>
                  <c:pt idx="343">
                    <c:v>185</c:v>
                  </c:pt>
                  <c:pt idx="344">
                    <c:v>129</c:v>
                  </c:pt>
                  <c:pt idx="345">
                    <c:v>135</c:v>
                  </c:pt>
                  <c:pt idx="346">
                    <c:v>67</c:v>
                  </c:pt>
                  <c:pt idx="347">
                    <c:v>156</c:v>
                  </c:pt>
                  <c:pt idx="348">
                    <c:v>54</c:v>
                  </c:pt>
                  <c:pt idx="349">
                    <c:v>70,01</c:v>
                  </c:pt>
                  <c:pt idx="350">
                    <c:v>81</c:v>
                  </c:pt>
                  <c:pt idx="351">
                    <c:v>141,8</c:v>
                  </c:pt>
                  <c:pt idx="352">
                    <c:v>150</c:v>
                  </c:pt>
                  <c:pt idx="353">
                    <c:v>51,23</c:v>
                  </c:pt>
                  <c:pt idx="354">
                    <c:v>187</c:v>
                  </c:pt>
                  <c:pt idx="355">
                    <c:v>138</c:v>
                  </c:pt>
                  <c:pt idx="356">
                    <c:v>59</c:v>
                  </c:pt>
                  <c:pt idx="357">
                    <c:v>152,02</c:v>
                  </c:pt>
                  <c:pt idx="358">
                    <c:v>209</c:v>
                  </c:pt>
                  <c:pt idx="359">
                    <c:v>205,1</c:v>
                  </c:pt>
                  <c:pt idx="360">
                    <c:v>275</c:v>
                  </c:pt>
                  <c:pt idx="361">
                    <c:v>300,81</c:v>
                  </c:pt>
                  <c:pt idx="362">
                    <c:v>468,85</c:v>
                  </c:pt>
                  <c:pt idx="363">
                    <c:v>299,18</c:v>
                  </c:pt>
                  <c:pt idx="364">
                    <c:v>299,18</c:v>
                  </c:pt>
                  <c:pt idx="365">
                    <c:v>310</c:v>
                  </c:pt>
                  <c:pt idx="366">
                    <c:v>394,26</c:v>
                  </c:pt>
                  <c:pt idx="367">
                    <c:v>314,75</c:v>
                  </c:pt>
                  <c:pt idx="368">
                    <c:v>290</c:v>
                  </c:pt>
                  <c:pt idx="369">
                    <c:v>32</c:v>
                  </c:pt>
                  <c:pt idx="370">
                    <c:v>66</c:v>
                  </c:pt>
                  <c:pt idx="371">
                    <c:v>29</c:v>
                  </c:pt>
                  <c:pt idx="372">
                    <c:v>49</c:v>
                  </c:pt>
                  <c:pt idx="373">
                    <c:v>56,09</c:v>
                  </c:pt>
                  <c:pt idx="374">
                    <c:v>147</c:v>
                  </c:pt>
                  <c:pt idx="375">
                    <c:v>37,83</c:v>
                  </c:pt>
                  <c:pt idx="376">
                    <c:v>89</c:v>
                  </c:pt>
                  <c:pt idx="377">
                    <c:v>209</c:v>
                  </c:pt>
                  <c:pt idx="378">
                    <c:v>279</c:v>
                  </c:pt>
                  <c:pt idx="379">
                    <c:v>413</c:v>
                  </c:pt>
                  <c:pt idx="380">
                    <c:v>69</c:v>
                  </c:pt>
                  <c:pt idx="381">
                    <c:v>50</c:v>
                  </c:pt>
                  <c:pt idx="382">
                    <c:v>71,25</c:v>
                  </c:pt>
                  <c:pt idx="383">
                    <c:v>50</c:v>
                  </c:pt>
                  <c:pt idx="384">
                    <c:v>1250</c:v>
                  </c:pt>
                  <c:pt idx="385">
                    <c:v>65</c:v>
                  </c:pt>
                  <c:pt idx="386">
                    <c:v>150</c:v>
                  </c:pt>
                  <c:pt idx="387">
                    <c:v>98</c:v>
                  </c:pt>
                  <c:pt idx="388">
                    <c:v>266,81</c:v>
                  </c:pt>
                  <c:pt idx="389">
                    <c:v>80</c:v>
                  </c:pt>
                  <c:pt idx="390">
                    <c:v>345</c:v>
                  </c:pt>
                  <c:pt idx="391">
                    <c:v>438,35</c:v>
                  </c:pt>
                  <c:pt idx="392">
                    <c:v>81</c:v>
                  </c:pt>
                  <c:pt idx="393">
                    <c:v>109</c:v>
                  </c:pt>
                  <c:pt idx="394">
                    <c:v>73,2</c:v>
                  </c:pt>
                  <c:pt idx="395">
                    <c:v>65</c:v>
                  </c:pt>
                  <c:pt idx="396">
                    <c:v>47,01</c:v>
                  </c:pt>
                  <c:pt idx="397">
                    <c:v>122</c:v>
                  </c:pt>
                  <c:pt idx="398">
                    <c:v>55</c:v>
                  </c:pt>
                  <c:pt idx="399">
                    <c:v>179</c:v>
                  </c:pt>
                  <c:pt idx="400">
                    <c:v>43,07</c:v>
                  </c:pt>
                  <c:pt idx="401">
                    <c:v>98</c:v>
                  </c:pt>
                  <c:pt idx="402">
                    <c:v>25</c:v>
                  </c:pt>
                  <c:pt idx="403">
                    <c:v>177,87</c:v>
                  </c:pt>
                  <c:pt idx="404">
                    <c:v>91,22</c:v>
                  </c:pt>
                  <c:pt idx="405">
                    <c:v>47,92</c:v>
                  </c:pt>
                  <c:pt idx="406">
                    <c:v>67,366</c:v>
                  </c:pt>
                  <c:pt idx="407">
                    <c:v>150</c:v>
                  </c:pt>
                  <c:pt idx="408">
                    <c:v>35,16</c:v>
                  </c:pt>
                  <c:pt idx="409">
                    <c:v>143</c:v>
                  </c:pt>
                  <c:pt idx="410">
                    <c:v>3,47</c:v>
                  </c:pt>
                  <c:pt idx="411">
                    <c:v>45</c:v>
                  </c:pt>
                  <c:pt idx="412">
                    <c:v>200</c:v>
                  </c:pt>
                  <c:pt idx="413">
                    <c:v>320</c:v>
                  </c:pt>
                  <c:pt idx="414">
                    <c:v>49,92</c:v>
                  </c:pt>
                  <c:pt idx="415">
                    <c:v>78,01</c:v>
                  </c:pt>
                  <c:pt idx="416">
                    <c:v>176</c:v>
                  </c:pt>
                  <c:pt idx="417">
                    <c:v>92</c:v>
                  </c:pt>
                  <c:pt idx="418">
                    <c:v>19,9</c:v>
                  </c:pt>
                  <c:pt idx="419">
                    <c:v>9,9</c:v>
                  </c:pt>
                  <c:pt idx="420">
                    <c:v>17,9</c:v>
                  </c:pt>
                  <c:pt idx="421">
                    <c:v>8,9</c:v>
                  </c:pt>
                  <c:pt idx="422">
                    <c:v>164</c:v>
                  </c:pt>
                  <c:pt idx="423">
                    <c:v>99</c:v>
                  </c:pt>
                  <c:pt idx="424">
                    <c:v>1500</c:v>
                  </c:pt>
                  <c:pt idx="425">
                    <c:v>3200</c:v>
                  </c:pt>
                  <c:pt idx="426">
                    <c:v>3000</c:v>
                  </c:pt>
                  <c:pt idx="427">
                    <c:v>2500</c:v>
                  </c:pt>
                  <c:pt idx="428">
                    <c:v>92</c:v>
                  </c:pt>
                  <c:pt idx="429">
                    <c:v>91</c:v>
                  </c:pt>
                  <c:pt idx="430">
                    <c:v>147</c:v>
                  </c:pt>
                  <c:pt idx="431">
                    <c:v>158</c:v>
                  </c:pt>
                  <c:pt idx="432">
                    <c:v>73</c:v>
                  </c:pt>
                  <c:pt idx="433">
                    <c:v>324</c:v>
                  </c:pt>
                  <c:pt idx="434">
                    <c:v>183</c:v>
                  </c:pt>
                  <c:pt idx="435">
                    <c:v>176</c:v>
                  </c:pt>
                  <c:pt idx="436">
                    <c:v>220</c:v>
                  </c:pt>
                  <c:pt idx="437">
                    <c:v>305</c:v>
                  </c:pt>
                  <c:pt idx="438">
                    <c:v>254</c:v>
                  </c:pt>
                  <c:pt idx="439">
                    <c:v>47,5</c:v>
                  </c:pt>
                  <c:pt idx="440">
                    <c:v>217</c:v>
                  </c:pt>
                  <c:pt idx="441">
                    <c:v>243</c:v>
                  </c:pt>
                  <c:pt idx="442">
                    <c:v>139,5</c:v>
                  </c:pt>
                  <c:pt idx="443">
                    <c:v>46</c:v>
                  </c:pt>
                  <c:pt idx="444">
                    <c:v>155</c:v>
                  </c:pt>
                  <c:pt idx="445">
                    <c:v>331</c:v>
                  </c:pt>
                  <c:pt idx="446">
                    <c:v>224</c:v>
                  </c:pt>
                  <c:pt idx="447">
                    <c:v>163</c:v>
                  </c:pt>
                  <c:pt idx="448">
                    <c:v>295</c:v>
                  </c:pt>
                  <c:pt idx="449">
                    <c:v>209</c:v>
                  </c:pt>
                  <c:pt idx="450">
                    <c:v>49</c:v>
                  </c:pt>
                  <c:pt idx="451">
                    <c:v>169</c:v>
                  </c:pt>
                  <c:pt idx="452">
                    <c:v>84,31</c:v>
                  </c:pt>
                  <c:pt idx="453">
                    <c:v>172,13</c:v>
                  </c:pt>
                  <c:pt idx="454">
                    <c:v>240</c:v>
                  </c:pt>
                  <c:pt idx="455">
                    <c:v>517</c:v>
                  </c:pt>
                  <c:pt idx="456">
                    <c:v>285</c:v>
                  </c:pt>
                  <c:pt idx="457">
                    <c:v>158</c:v>
                  </c:pt>
                  <c:pt idx="458">
                    <c:v>63,21</c:v>
                  </c:pt>
                  <c:pt idx="459">
                    <c:v>435</c:v>
                  </c:pt>
                  <c:pt idx="460">
                    <c:v>100,56</c:v>
                  </c:pt>
                  <c:pt idx="461">
                    <c:v>0</c:v>
                  </c:pt>
                  <c:pt idx="462">
                    <c:v>165</c:v>
                  </c:pt>
                  <c:pt idx="463">
                    <c:v>108,13</c:v>
                  </c:pt>
                  <c:pt idx="464">
                    <c:v>128,78</c:v>
                  </c:pt>
                  <c:pt idx="465">
                    <c:v>121,87</c:v>
                  </c:pt>
                  <c:pt idx="466">
                    <c:v>205,01</c:v>
                  </c:pt>
                  <c:pt idx="467">
                    <c:v>1572</c:v>
                  </c:pt>
                  <c:pt idx="468">
                    <c:v>896</c:v>
                  </c:pt>
                  <c:pt idx="469">
                    <c:v>650</c:v>
                  </c:pt>
                  <c:pt idx="470">
                    <c:v>444</c:v>
                  </c:pt>
                  <c:pt idx="471">
                    <c:v>896</c:v>
                  </c:pt>
                  <c:pt idx="472">
                    <c:v>734</c:v>
                  </c:pt>
                  <c:pt idx="473">
                    <c:v>885</c:v>
                  </c:pt>
                  <c:pt idx="474">
                    <c:v>377</c:v>
                  </c:pt>
                  <c:pt idx="475">
                    <c:v>203,38</c:v>
                  </c:pt>
                  <c:pt idx="476">
                    <c:v>105</c:v>
                  </c:pt>
                  <c:pt idx="477">
                    <c:v>1350</c:v>
                  </c:pt>
                  <c:pt idx="478">
                    <c:v>65,01</c:v>
                  </c:pt>
                  <c:pt idx="479">
                    <c:v>56</c:v>
                  </c:pt>
                  <c:pt idx="480">
                    <c:v>29,9</c:v>
                  </c:pt>
                  <c:pt idx="481">
                    <c:v>240</c:v>
                  </c:pt>
                  <c:pt idx="482">
                    <c:v>1107</c:v>
                  </c:pt>
                  <c:pt idx="483">
                    <c:v>73,5</c:v>
                  </c:pt>
                  <c:pt idx="484">
                    <c:v>370</c:v>
                  </c:pt>
                  <c:pt idx="485">
                    <c:v>150</c:v>
                  </c:pt>
                  <c:pt idx="486">
                    <c:v>59</c:v>
                  </c:pt>
                  <c:pt idx="487">
                    <c:v>59</c:v>
                  </c:pt>
                  <c:pt idx="488">
                    <c:v>102</c:v>
                  </c:pt>
                  <c:pt idx="489">
                    <c:v>157</c:v>
                  </c:pt>
                  <c:pt idx="490">
                    <c:v>730</c:v>
                  </c:pt>
                  <c:pt idx="491">
                    <c:v>102</c:v>
                  </c:pt>
                  <c:pt idx="492">
                    <c:v>310</c:v>
                  </c:pt>
                  <c:pt idx="493">
                    <c:v>233,89</c:v>
                  </c:pt>
                  <c:pt idx="495">
                    <c:v>143,82</c:v>
                  </c:pt>
                  <c:pt idx="496">
                    <c:v>141,75</c:v>
                  </c:pt>
                  <c:pt idx="497">
                    <c:v>194</c:v>
                  </c:pt>
                  <c:pt idx="498">
                    <c:v>120,27</c:v>
                  </c:pt>
                  <c:pt idx="499">
                    <c:v>133</c:v>
                  </c:pt>
                  <c:pt idx="500">
                    <c:v>138,65</c:v>
                  </c:pt>
                  <c:pt idx="501">
                    <c:v>135</c:v>
                  </c:pt>
                  <c:pt idx="502">
                    <c:v>92</c:v>
                  </c:pt>
                  <c:pt idx="503">
                    <c:v>12</c:v>
                  </c:pt>
                  <c:pt idx="504">
                    <c:v>23,88</c:v>
                  </c:pt>
                  <c:pt idx="505">
                    <c:v>125</c:v>
                  </c:pt>
                  <c:pt idx="506">
                    <c:v>179,9</c:v>
                  </c:pt>
                  <c:pt idx="507">
                    <c:v>179,9</c:v>
                  </c:pt>
                  <c:pt idx="508">
                    <c:v>79,9</c:v>
                  </c:pt>
                  <c:pt idx="509">
                    <c:v>94</c:v>
                  </c:pt>
                  <c:pt idx="510">
                    <c:v>265</c:v>
                  </c:pt>
                  <c:pt idx="511">
                    <c:v>235,27</c:v>
                  </c:pt>
                  <c:pt idx="512">
                    <c:v>124</c:v>
                  </c:pt>
                  <c:pt idx="513">
                    <c:v>50</c:v>
                  </c:pt>
                  <c:pt idx="514">
                    <c:v>472</c:v>
                  </c:pt>
                  <c:pt idx="515">
                    <c:v>472</c:v>
                  </c:pt>
                  <c:pt idx="516">
                    <c:v>137,86</c:v>
                  </c:pt>
                  <c:pt idx="517">
                    <c:v>102,92</c:v>
                  </c:pt>
                  <c:pt idx="518">
                    <c:v>202,5</c:v>
                  </c:pt>
                  <c:pt idx="519">
                    <c:v>165</c:v>
                  </c:pt>
                  <c:pt idx="520">
                    <c:v>112,49</c:v>
                  </c:pt>
                  <c:pt idx="521">
                    <c:v>0</c:v>
                  </c:pt>
                  <c:pt idx="522">
                    <c:v>138</c:v>
                  </c:pt>
                  <c:pt idx="524">
                    <c:v>220</c:v>
                  </c:pt>
                  <c:pt idx="525">
                    <c:v>0</c:v>
                  </c:pt>
                  <c:pt idx="526">
                    <c:v>258</c:v>
                  </c:pt>
                  <c:pt idx="527">
                    <c:v>327</c:v>
                  </c:pt>
                  <c:pt idx="528">
                    <c:v>455</c:v>
                  </c:pt>
                  <c:pt idx="529">
                    <c:v>496</c:v>
                  </c:pt>
                  <c:pt idx="530">
                    <c:v>96</c:v>
                  </c:pt>
                  <c:pt idx="531">
                    <c:v>79</c:v>
                  </c:pt>
                  <c:pt idx="532">
                    <c:v>110</c:v>
                  </c:pt>
                  <c:pt idx="534">
                    <c:v>0</c:v>
                  </c:pt>
                  <c:pt idx="535">
                    <c:v>1333,5</c:v>
                  </c:pt>
                  <c:pt idx="536">
                    <c:v>234</c:v>
                  </c:pt>
                  <c:pt idx="537">
                    <c:v>101,45</c:v>
                  </c:pt>
                  <c:pt idx="538">
                    <c:v>208,41</c:v>
                  </c:pt>
                  <c:pt idx="539">
                    <c:v>680,71</c:v>
                  </c:pt>
                  <c:pt idx="540">
                    <c:v>5,95</c:v>
                  </c:pt>
                  <c:pt idx="541">
                    <c:v>88,9</c:v>
                  </c:pt>
                  <c:pt idx="542">
                    <c:v>451</c:v>
                  </c:pt>
                  <c:pt idx="543">
                    <c:v>451</c:v>
                  </c:pt>
                  <c:pt idx="544">
                    <c:v>104</c:v>
                  </c:pt>
                  <c:pt idx="545">
                    <c:v>230</c:v>
                  </c:pt>
                  <c:pt idx="546">
                    <c:v>18,03</c:v>
                  </c:pt>
                  <c:pt idx="547">
                    <c:v>216,36</c:v>
                  </c:pt>
                  <c:pt idx="548">
                    <c:v>65</c:v>
                  </c:pt>
                  <c:pt idx="549">
                    <c:v>220</c:v>
                  </c:pt>
                  <c:pt idx="550">
                    <c:v>89</c:v>
                  </c:pt>
                  <c:pt idx="551">
                    <c:v>122</c:v>
                  </c:pt>
                  <c:pt idx="552">
                    <c:v>89</c:v>
                  </c:pt>
                  <c:pt idx="553">
                    <c:v>34</c:v>
                  </c:pt>
                  <c:pt idx="554">
                    <c:v>5,58</c:v>
                  </c:pt>
                  <c:pt idx="555">
                    <c:v>241,73</c:v>
                  </c:pt>
                  <c:pt idx="556">
                    <c:v>24,18</c:v>
                  </c:pt>
                  <c:pt idx="557">
                    <c:v>200</c:v>
                  </c:pt>
                  <c:pt idx="558">
                    <c:v>88,81</c:v>
                  </c:pt>
                  <c:pt idx="559">
                    <c:v>348</c:v>
                  </c:pt>
                  <c:pt idx="560">
                    <c:v>121</c:v>
                  </c:pt>
                  <c:pt idx="561">
                    <c:v>45</c:v>
                  </c:pt>
                  <c:pt idx="562">
                    <c:v>20</c:v>
                  </c:pt>
                  <c:pt idx="563">
                    <c:v>182,9</c:v>
                  </c:pt>
                  <c:pt idx="564">
                    <c:v>217</c:v>
                  </c:pt>
                  <c:pt idx="565">
                    <c:v>167</c:v>
                  </c:pt>
                  <c:pt idx="566">
                    <c:v>210</c:v>
                  </c:pt>
                  <c:pt idx="567">
                    <c:v>130</c:v>
                  </c:pt>
                  <c:pt idx="568">
                    <c:v>124</c:v>
                  </c:pt>
                  <c:pt idx="569">
                    <c:v>119</c:v>
                  </c:pt>
                  <c:pt idx="570">
                    <c:v>123</c:v>
                  </c:pt>
                  <c:pt idx="571">
                    <c:v>149,9</c:v>
                  </c:pt>
                  <c:pt idx="572">
                    <c:v>0</c:v>
                  </c:pt>
                  <c:pt idx="573">
                    <c:v>590</c:v>
                  </c:pt>
                  <c:pt idx="575">
                    <c:v>227</c:v>
                  </c:pt>
                  <c:pt idx="576">
                    <c:v>153</c:v>
                  </c:pt>
                  <c:pt idx="577">
                    <c:v>199</c:v>
                  </c:pt>
                  <c:pt idx="579">
                    <c:v>400,21</c:v>
                  </c:pt>
                  <c:pt idx="580">
                    <c:v>227,19</c:v>
                  </c:pt>
                  <c:pt idx="582">
                    <c:v>53</c:v>
                  </c:pt>
                  <c:pt idx="583">
                    <c:v>336</c:v>
                  </c:pt>
                  <c:pt idx="584">
                    <c:v>694</c:v>
                  </c:pt>
                  <c:pt idx="585">
                    <c:v>18</c:v>
                  </c:pt>
                  <c:pt idx="586">
                    <c:v>3,9</c:v>
                  </c:pt>
                  <c:pt idx="587">
                    <c:v>78</c:v>
                  </c:pt>
                  <c:pt idx="588">
                    <c:v>78,68</c:v>
                  </c:pt>
                  <c:pt idx="589">
                    <c:v>118</c:v>
                  </c:pt>
                  <c:pt idx="591">
                    <c:v>140</c:v>
                  </c:pt>
                  <c:pt idx="592">
                    <c:v>740</c:v>
                  </c:pt>
                  <c:pt idx="593">
                    <c:v>83,31</c:v>
                  </c:pt>
                  <c:pt idx="594">
                    <c:v>41,4</c:v>
                  </c:pt>
                  <c:pt idx="595">
                    <c:v>31</c:v>
                  </c:pt>
                  <c:pt idx="597">
                    <c:v>16</c:v>
                  </c:pt>
                  <c:pt idx="599">
                    <c:v>69</c:v>
                  </c:pt>
                  <c:pt idx="600">
                    <c:v>1856</c:v>
                  </c:pt>
                  <c:pt idx="601">
                    <c:v>96</c:v>
                  </c:pt>
                  <c:pt idx="602">
                    <c:v>2400</c:v>
                  </c:pt>
                  <c:pt idx="603">
                    <c:v>172</c:v>
                  </c:pt>
                  <c:pt idx="604">
                    <c:v>20</c:v>
                  </c:pt>
                  <c:pt idx="605">
                    <c:v>68</c:v>
                  </c:pt>
                  <c:pt idx="606">
                    <c:v>73</c:v>
                  </c:pt>
                  <c:pt idx="607">
                    <c:v>86</c:v>
                  </c:pt>
                  <c:pt idx="608">
                    <c:v>62</c:v>
                  </c:pt>
                  <c:pt idx="609">
                    <c:v>77</c:v>
                  </c:pt>
                  <c:pt idx="610">
                    <c:v>97</c:v>
                  </c:pt>
                  <c:pt idx="611">
                    <c:v>69</c:v>
                  </c:pt>
                  <c:pt idx="612">
                    <c:v>68</c:v>
                  </c:pt>
                  <c:pt idx="613">
                    <c:v>95</c:v>
                  </c:pt>
                  <c:pt idx="614">
                    <c:v>473</c:v>
                  </c:pt>
                  <c:pt idx="615">
                    <c:v>111</c:v>
                  </c:pt>
                  <c:pt idx="616">
                    <c:v>48</c:v>
                  </c:pt>
                  <c:pt idx="617">
                    <c:v>128</c:v>
                  </c:pt>
                  <c:pt idx="618">
                    <c:v>150</c:v>
                  </c:pt>
                  <c:pt idx="619">
                    <c:v>765</c:v>
                  </c:pt>
                  <c:pt idx="620">
                    <c:v>294</c:v>
                  </c:pt>
                  <c:pt idx="621">
                    <c:v>220,86</c:v>
                  </c:pt>
                  <c:pt idx="622">
                    <c:v>191,6</c:v>
                  </c:pt>
                  <c:pt idx="623">
                    <c:v>231</c:v>
                  </c:pt>
                  <c:pt idx="624">
                    <c:v>477,09</c:v>
                  </c:pt>
                  <c:pt idx="625">
                    <c:v>418</c:v>
                  </c:pt>
                  <c:pt idx="626">
                    <c:v>312</c:v>
                  </c:pt>
                  <c:pt idx="627">
                    <c:v>331,5</c:v>
                  </c:pt>
                  <c:pt idx="628">
                    <c:v>379,76</c:v>
                  </c:pt>
                  <c:pt idx="629">
                    <c:v>351,48</c:v>
                  </c:pt>
                  <c:pt idx="630">
                    <c:v>307,04</c:v>
                  </c:pt>
                  <c:pt idx="631">
                    <c:v>765</c:v>
                  </c:pt>
                  <c:pt idx="632">
                    <c:v>411,12</c:v>
                  </c:pt>
                  <c:pt idx="633">
                    <c:v>159,6</c:v>
                  </c:pt>
                  <c:pt idx="634">
                    <c:v>1045</c:v>
                  </c:pt>
                  <c:pt idx="635">
                    <c:v>92</c:v>
                  </c:pt>
                  <c:pt idx="636">
                    <c:v>56</c:v>
                  </c:pt>
                  <c:pt idx="637">
                    <c:v>19,8</c:v>
                  </c:pt>
                  <c:pt idx="638">
                    <c:v>39,9</c:v>
                  </c:pt>
                  <c:pt idx="639">
                    <c:v>9,08</c:v>
                  </c:pt>
                  <c:pt idx="640">
                    <c:v>30</c:v>
                  </c:pt>
                  <c:pt idx="641">
                    <c:v>89,9</c:v>
                  </c:pt>
                  <c:pt idx="642">
                    <c:v>139,9</c:v>
                  </c:pt>
                  <c:pt idx="643">
                    <c:v>29,9</c:v>
                  </c:pt>
                  <c:pt idx="644">
                    <c:v>99,9</c:v>
                  </c:pt>
                  <c:pt idx="645">
                    <c:v>43</c:v>
                  </c:pt>
                  <c:pt idx="646">
                    <c:v>189</c:v>
                  </c:pt>
                  <c:pt idx="647">
                    <c:v>99,9</c:v>
                  </c:pt>
                  <c:pt idx="648">
                    <c:v>69</c:v>
                  </c:pt>
                  <c:pt idx="649">
                    <c:v>99</c:v>
                  </c:pt>
                  <c:pt idx="650">
                    <c:v>79</c:v>
                  </c:pt>
                  <c:pt idx="651">
                    <c:v>152</c:v>
                  </c:pt>
                  <c:pt idx="652">
                    <c:v>119,9</c:v>
                  </c:pt>
                  <c:pt idx="653">
                    <c:v>189,9</c:v>
                  </c:pt>
                  <c:pt idx="654">
                    <c:v>79,9</c:v>
                  </c:pt>
                  <c:pt idx="655">
                    <c:v>75</c:v>
                  </c:pt>
                  <c:pt idx="656">
                    <c:v>164</c:v>
                  </c:pt>
                  <c:pt idx="657">
                    <c:v>260</c:v>
                  </c:pt>
                  <c:pt idx="658">
                    <c:v>160</c:v>
                  </c:pt>
                  <c:pt idx="659">
                    <c:v>16</c:v>
                  </c:pt>
                  <c:pt idx="660">
                    <c:v>135</c:v>
                  </c:pt>
                  <c:pt idx="661">
                    <c:v>120</c:v>
                  </c:pt>
                  <c:pt idx="662">
                    <c:v>135</c:v>
                  </c:pt>
                  <c:pt idx="663">
                    <c:v>249</c:v>
                  </c:pt>
                  <c:pt idx="664">
                    <c:v>159</c:v>
                  </c:pt>
                  <c:pt idx="665">
                    <c:v>110</c:v>
                  </c:pt>
                  <c:pt idx="666">
                    <c:v>14,9</c:v>
                  </c:pt>
                  <c:pt idx="667">
                    <c:v>9</c:v>
                  </c:pt>
                  <c:pt idx="668">
                    <c:v>9,8</c:v>
                  </c:pt>
                  <c:pt idx="670">
                    <c:v>429,9</c:v>
                  </c:pt>
                  <c:pt idx="671">
                    <c:v>179,9</c:v>
                  </c:pt>
                  <c:pt idx="672">
                    <c:v>316,8</c:v>
                  </c:pt>
                  <c:pt idx="673">
                    <c:v>1592</c:v>
                  </c:pt>
                  <c:pt idx="674">
                    <c:v>254</c:v>
                  </c:pt>
                  <c:pt idx="675">
                    <c:v>2150</c:v>
                  </c:pt>
                  <c:pt idx="676">
                    <c:v>215</c:v>
                  </c:pt>
                  <c:pt idx="677">
                    <c:v>158</c:v>
                  </c:pt>
                  <c:pt idx="678">
                    <c:v>23</c:v>
                  </c:pt>
                  <c:pt idx="679">
                    <c:v>1639,21</c:v>
                  </c:pt>
                  <c:pt idx="680">
                    <c:v>350</c:v>
                  </c:pt>
                  <c:pt idx="681">
                    <c:v>1445</c:v>
                  </c:pt>
                  <c:pt idx="682">
                    <c:v>96</c:v>
                  </c:pt>
                  <c:pt idx="683">
                    <c:v>2422,82</c:v>
                  </c:pt>
                  <c:pt idx="684">
                    <c:v>48,46</c:v>
                  </c:pt>
                  <c:pt idx="685">
                    <c:v>833</c:v>
                  </c:pt>
                  <c:pt idx="686">
                    <c:v>59,57</c:v>
                  </c:pt>
                  <c:pt idx="687">
                    <c:v>46,64</c:v>
                  </c:pt>
                  <c:pt idx="688">
                    <c:v>60</c:v>
                  </c:pt>
                  <c:pt idx="689">
                    <c:v>81</c:v>
                  </c:pt>
                  <c:pt idx="690">
                    <c:v>76,38</c:v>
                  </c:pt>
                  <c:pt idx="691">
                    <c:v>1960</c:v>
                  </c:pt>
                  <c:pt idx="692">
                    <c:v>2291,44</c:v>
                  </c:pt>
                  <c:pt idx="693">
                    <c:v>96,6</c:v>
                  </c:pt>
                  <c:pt idx="694">
                    <c:v>97,54</c:v>
                  </c:pt>
                  <c:pt idx="695">
                    <c:v>157,37</c:v>
                  </c:pt>
                  <c:pt idx="696">
                    <c:v>1043,44</c:v>
                  </c:pt>
                  <c:pt idx="697">
                    <c:v>516,39</c:v>
                  </c:pt>
                  <c:pt idx="698">
                    <c:v>92,62</c:v>
                  </c:pt>
                  <c:pt idx="699">
                    <c:v>96,33</c:v>
                  </c:pt>
                  <c:pt idx="700">
                    <c:v>1445,08</c:v>
                  </c:pt>
                  <c:pt idx="701">
                    <c:v>1853,51</c:v>
                  </c:pt>
                  <c:pt idx="702">
                    <c:v>61,78</c:v>
                  </c:pt>
                  <c:pt idx="703">
                    <c:v>85,24</c:v>
                  </c:pt>
                  <c:pt idx="704">
                    <c:v>532,79</c:v>
                  </c:pt>
                  <c:pt idx="705">
                    <c:v>38,06</c:v>
                  </c:pt>
                  <c:pt idx="706">
                    <c:v>0</c:v>
                  </c:pt>
                  <c:pt idx="707">
                    <c:v>3575</c:v>
                  </c:pt>
                  <c:pt idx="708">
                    <c:v>84</c:v>
                  </c:pt>
                  <c:pt idx="709">
                    <c:v>2617,5</c:v>
                  </c:pt>
                  <c:pt idx="710">
                    <c:v>87</c:v>
                  </c:pt>
                  <c:pt idx="711">
                    <c:v>1886,25</c:v>
                  </c:pt>
                  <c:pt idx="712">
                    <c:v>94</c:v>
                  </c:pt>
                  <c:pt idx="713">
                    <c:v>541</c:v>
                  </c:pt>
                  <c:pt idx="714">
                    <c:v>1229</c:v>
                  </c:pt>
                  <c:pt idx="715">
                    <c:v>1572,3</c:v>
                  </c:pt>
                  <c:pt idx="716">
                    <c:v>78,61</c:v>
                  </c:pt>
                  <c:pt idx="717">
                    <c:v>32,92</c:v>
                  </c:pt>
                  <c:pt idx="718">
                    <c:v>73,26</c:v>
                  </c:pt>
                  <c:pt idx="719">
                    <c:v>81,96</c:v>
                  </c:pt>
                  <c:pt idx="720">
                    <c:v>1639,21</c:v>
                  </c:pt>
                  <c:pt idx="721">
                    <c:v>1465,26</c:v>
                  </c:pt>
                  <c:pt idx="722">
                    <c:v>497</c:v>
                  </c:pt>
                  <c:pt idx="723">
                    <c:v>246,82</c:v>
                  </c:pt>
                  <c:pt idx="724">
                    <c:v>2500</c:v>
                  </c:pt>
                  <c:pt idx="725">
                    <c:v>100</c:v>
                  </c:pt>
                  <c:pt idx="726">
                    <c:v>1400</c:v>
                  </c:pt>
                  <c:pt idx="727">
                    <c:v>70</c:v>
                  </c:pt>
                  <c:pt idx="728">
                    <c:v>0</c:v>
                  </c:pt>
                  <c:pt idx="730">
                    <c:v>2640</c:v>
                  </c:pt>
                  <c:pt idx="731">
                    <c:v>132</c:v>
                  </c:pt>
                  <c:pt idx="732">
                    <c:v>50</c:v>
                  </c:pt>
                  <c:pt idx="733">
                    <c:v>214</c:v>
                  </c:pt>
                  <c:pt idx="734">
                    <c:v>251,57</c:v>
                  </c:pt>
                  <c:pt idx="735">
                    <c:v>630</c:v>
                  </c:pt>
                  <c:pt idx="736">
                    <c:v>56</c:v>
                  </c:pt>
                  <c:pt idx="737">
                    <c:v>29,9</c:v>
                  </c:pt>
                  <c:pt idx="738">
                    <c:v>79,9</c:v>
                  </c:pt>
                  <c:pt idx="739">
                    <c:v>109</c:v>
                  </c:pt>
                  <c:pt idx="740">
                    <c:v>99</c:v>
                  </c:pt>
                  <c:pt idx="741">
                    <c:v>148</c:v>
                  </c:pt>
                  <c:pt idx="742">
                    <c:v>33</c:v>
                  </c:pt>
                  <c:pt idx="743">
                    <c:v>90</c:v>
                  </c:pt>
                  <c:pt idx="744">
                    <c:v>99,9</c:v>
                  </c:pt>
                  <c:pt idx="747">
                    <c:v>269,9</c:v>
                  </c:pt>
                  <c:pt idx="748">
                    <c:v>269,9</c:v>
                  </c:pt>
                  <c:pt idx="749">
                    <c:v>265</c:v>
                  </c:pt>
                  <c:pt idx="750">
                    <c:v>170</c:v>
                  </c:pt>
                  <c:pt idx="751">
                    <c:v>0</c:v>
                  </c:pt>
                  <c:pt idx="754">
                    <c:v>0</c:v>
                  </c:pt>
                  <c:pt idx="755">
                    <c:v>229,28</c:v>
                  </c:pt>
                  <c:pt idx="756">
                    <c:v>122,55</c:v>
                  </c:pt>
                  <c:pt idx="757">
                    <c:v>2451</c:v>
                  </c:pt>
                  <c:pt idx="758">
                    <c:v>89,9</c:v>
                  </c:pt>
                  <c:pt idx="759">
                    <c:v>79,9</c:v>
                  </c:pt>
                  <c:pt idx="760">
                    <c:v>25</c:v>
                  </c:pt>
                  <c:pt idx="761">
                    <c:v>0</c:v>
                  </c:pt>
                  <c:pt idx="762">
                    <c:v>0</c:v>
                  </c:pt>
                  <c:pt idx="763">
                    <c:v>15</c:v>
                  </c:pt>
                  <c:pt idx="764">
                    <c:v>79</c:v>
                  </c:pt>
                  <c:pt idx="765">
                    <c:v>2,1</c:v>
                  </c:pt>
                  <c:pt idx="766">
                    <c:v>2,3</c:v>
                  </c:pt>
                  <c:pt idx="767">
                    <c:v>0</c:v>
                  </c:pt>
                  <c:pt idx="768">
                    <c:v>1</c:v>
                  </c:pt>
                  <c:pt idx="769">
                    <c:v>0</c:v>
                  </c:pt>
                  <c:pt idx="770">
                    <c:v>164,8</c:v>
                  </c:pt>
                  <c:pt idx="771">
                    <c:v>98,12</c:v>
                  </c:pt>
                  <c:pt idx="772">
                    <c:v>184,95</c:v>
                  </c:pt>
                  <c:pt idx="773">
                    <c:v>0</c:v>
                  </c:pt>
                  <c:pt idx="774">
                    <c:v>105,49</c:v>
                  </c:pt>
                  <c:pt idx="775">
                    <c:v>39</c:v>
                  </c:pt>
                  <c:pt idx="776">
                    <c:v>122,67</c:v>
                  </c:pt>
                  <c:pt idx="777">
                    <c:v>26,72</c:v>
                  </c:pt>
                  <c:pt idx="778">
                    <c:v>26,15</c:v>
                  </c:pt>
                  <c:pt idx="779">
                    <c:v>1600</c:v>
                  </c:pt>
                  <c:pt idx="780">
                    <c:v>130</c:v>
                  </c:pt>
                  <c:pt idx="781">
                    <c:v>35</c:v>
                  </c:pt>
                  <c:pt idx="782">
                    <c:v>104</c:v>
                  </c:pt>
                  <c:pt idx="783">
                    <c:v>125</c:v>
                  </c:pt>
                  <c:pt idx="784">
                    <c:v>98</c:v>
                  </c:pt>
                  <c:pt idx="785">
                    <c:v>210</c:v>
                  </c:pt>
                  <c:pt idx="786">
                    <c:v>112,48</c:v>
                  </c:pt>
                  <c:pt idx="787">
                    <c:v>78,68</c:v>
                  </c:pt>
                  <c:pt idx="788">
                    <c:v>51</c:v>
                  </c:pt>
                  <c:pt idx="789">
                    <c:v>699</c:v>
                  </c:pt>
                  <c:pt idx="790">
                    <c:v>819</c:v>
                  </c:pt>
                  <c:pt idx="791">
                    <c:v>779</c:v>
                  </c:pt>
                  <c:pt idx="792">
                    <c:v>175</c:v>
                  </c:pt>
                  <c:pt idx="793">
                    <c:v>167</c:v>
                  </c:pt>
                  <c:pt idx="794">
                    <c:v>6,96</c:v>
                  </c:pt>
                  <c:pt idx="796">
                    <c:v>897</c:v>
                  </c:pt>
                  <c:pt idx="797">
                    <c:v>175</c:v>
                  </c:pt>
                  <c:pt idx="798">
                    <c:v>80,5</c:v>
                  </c:pt>
                  <c:pt idx="799">
                    <c:v>162</c:v>
                  </c:pt>
                  <c:pt idx="800">
                    <c:v>123,68</c:v>
                  </c:pt>
                  <c:pt idx="801">
                    <c:v>84</c:v>
                  </c:pt>
                  <c:pt idx="802">
                    <c:v>310</c:v>
                  </c:pt>
                  <c:pt idx="803">
                    <c:v>560</c:v>
                  </c:pt>
                  <c:pt idx="804">
                    <c:v>3700</c:v>
                  </c:pt>
                  <c:pt idx="805">
                    <c:v>265</c:v>
                  </c:pt>
                  <c:pt idx="806">
                    <c:v>91</c:v>
                  </c:pt>
                  <c:pt idx="807">
                    <c:v>115</c:v>
                  </c:pt>
                  <c:pt idx="808">
                    <c:v>155</c:v>
                  </c:pt>
                  <c:pt idx="809">
                    <c:v>220</c:v>
                  </c:pt>
                  <c:pt idx="810">
                    <c:v>250</c:v>
                  </c:pt>
                  <c:pt idx="811">
                    <c:v>128,14</c:v>
                  </c:pt>
                  <c:pt idx="812">
                    <c:v>662,18</c:v>
                  </c:pt>
                  <c:pt idx="813">
                    <c:v>149</c:v>
                  </c:pt>
                  <c:pt idx="814">
                    <c:v>74</c:v>
                  </c:pt>
                  <c:pt idx="815">
                    <c:v>133</c:v>
                  </c:pt>
                  <c:pt idx="816">
                    <c:v>164</c:v>
                  </c:pt>
                  <c:pt idx="817">
                    <c:v>194</c:v>
                  </c:pt>
                  <c:pt idx="818">
                    <c:v>431</c:v>
                  </c:pt>
                  <c:pt idx="819">
                    <c:v>121,14</c:v>
                  </c:pt>
                  <c:pt idx="820">
                    <c:v>50,66</c:v>
                  </c:pt>
                  <c:pt idx="821">
                    <c:v>60</c:v>
                  </c:pt>
                  <c:pt idx="822">
                    <c:v>113</c:v>
                  </c:pt>
                  <c:pt idx="823">
                    <c:v>75</c:v>
                  </c:pt>
                  <c:pt idx="824">
                    <c:v>85</c:v>
                  </c:pt>
                  <c:pt idx="825">
                    <c:v>95</c:v>
                  </c:pt>
                  <c:pt idx="826">
                    <c:v>120</c:v>
                  </c:pt>
                  <c:pt idx="827">
                    <c:v>300</c:v>
                  </c:pt>
                  <c:pt idx="828">
                    <c:v>1653</c:v>
                  </c:pt>
                  <c:pt idx="829">
                    <c:v>94</c:v>
                  </c:pt>
                  <c:pt idx="830">
                    <c:v>175</c:v>
                  </c:pt>
                  <c:pt idx="831">
                    <c:v>184</c:v>
                  </c:pt>
                  <c:pt idx="832">
                    <c:v>1600</c:v>
                  </c:pt>
                  <c:pt idx="833">
                    <c:v>147</c:v>
                  </c:pt>
                  <c:pt idx="834">
                    <c:v>218</c:v>
                  </c:pt>
                  <c:pt idx="835">
                    <c:v>328</c:v>
                  </c:pt>
                  <c:pt idx="836">
                    <c:v>670</c:v>
                  </c:pt>
                  <c:pt idx="837">
                    <c:v>320</c:v>
                  </c:pt>
                  <c:pt idx="838">
                    <c:v>93</c:v>
                  </c:pt>
                  <c:pt idx="839">
                    <c:v>150</c:v>
                  </c:pt>
                  <c:pt idx="840">
                    <c:v>91</c:v>
                  </c:pt>
                  <c:pt idx="841">
                    <c:v>123</c:v>
                  </c:pt>
                  <c:pt idx="842">
                    <c:v>662,94</c:v>
                  </c:pt>
                  <c:pt idx="843">
                    <c:v>1636</c:v>
                  </c:pt>
                  <c:pt idx="844">
                    <c:v>2454</c:v>
                  </c:pt>
                  <c:pt idx="845">
                    <c:v>1104</c:v>
                  </c:pt>
                  <c:pt idx="846">
                    <c:v>1075,31</c:v>
                  </c:pt>
                  <c:pt idx="847">
                    <c:v>418,43</c:v>
                  </c:pt>
                  <c:pt idx="848">
                    <c:v>731,97</c:v>
                  </c:pt>
                  <c:pt idx="849">
                    <c:v>290</c:v>
                  </c:pt>
                  <c:pt idx="850">
                    <c:v>680</c:v>
                  </c:pt>
                  <c:pt idx="851">
                    <c:v>1900</c:v>
                  </c:pt>
                  <c:pt idx="852">
                    <c:v>1300</c:v>
                  </c:pt>
                  <c:pt idx="853">
                    <c:v>430</c:v>
                  </c:pt>
                  <c:pt idx="854">
                    <c:v>1774,33</c:v>
                  </c:pt>
                  <c:pt idx="855">
                    <c:v>1774,33</c:v>
                  </c:pt>
                  <c:pt idx="856">
                    <c:v>2788,35</c:v>
                  </c:pt>
                  <c:pt idx="857">
                    <c:v>428,06</c:v>
                  </c:pt>
                  <c:pt idx="858">
                    <c:v>400</c:v>
                  </c:pt>
                  <c:pt idx="859">
                    <c:v>1245,97</c:v>
                  </c:pt>
                  <c:pt idx="860">
                    <c:v>430</c:v>
                  </c:pt>
                  <c:pt idx="861">
                    <c:v>430</c:v>
                  </c:pt>
                  <c:pt idx="862">
                    <c:v>1700</c:v>
                  </c:pt>
                  <c:pt idx="863">
                    <c:v>205,7</c:v>
                  </c:pt>
                  <c:pt idx="864">
                    <c:v>178,42</c:v>
                  </c:pt>
                  <c:pt idx="865">
                    <c:v>198</c:v>
                  </c:pt>
                  <c:pt idx="866">
                    <c:v>288</c:v>
                  </c:pt>
                  <c:pt idx="867">
                    <c:v>146,68</c:v>
                  </c:pt>
                  <c:pt idx="868">
                    <c:v>139</c:v>
                  </c:pt>
                  <c:pt idx="869">
                    <c:v>528,05</c:v>
                  </c:pt>
                  <c:pt idx="870">
                    <c:v>119</c:v>
                  </c:pt>
                  <c:pt idx="871">
                    <c:v>128,52</c:v>
                  </c:pt>
                  <c:pt idx="872">
                    <c:v>117</c:v>
                  </c:pt>
                  <c:pt idx="873">
                    <c:v>1452</c:v>
                  </c:pt>
                  <c:pt idx="874">
                    <c:v>1980</c:v>
                  </c:pt>
                  <c:pt idx="875">
                    <c:v>1650</c:v>
                  </c:pt>
                  <c:pt idx="876">
                    <c:v>132,7</c:v>
                  </c:pt>
                  <c:pt idx="877">
                    <c:v>141</c:v>
                  </c:pt>
                  <c:pt idx="878">
                    <c:v>87</c:v>
                  </c:pt>
                  <c:pt idx="879">
                    <c:v>132,67</c:v>
                  </c:pt>
                  <c:pt idx="880">
                    <c:v>75</c:v>
                  </c:pt>
                  <c:pt idx="881">
                    <c:v>119</c:v>
                  </c:pt>
                  <c:pt idx="882">
                    <c:v>10,19</c:v>
                  </c:pt>
                  <c:pt idx="883">
                    <c:v>10,19</c:v>
                  </c:pt>
                  <c:pt idx="884">
                    <c:v>114</c:v>
                  </c:pt>
                  <c:pt idx="885">
                    <c:v>227</c:v>
                  </c:pt>
                  <c:pt idx="886">
                    <c:v>129</c:v>
                  </c:pt>
                  <c:pt idx="887">
                    <c:v>102</c:v>
                  </c:pt>
                  <c:pt idx="888">
                    <c:v>88</c:v>
                  </c:pt>
                  <c:pt idx="889">
                    <c:v>140</c:v>
                  </c:pt>
                  <c:pt idx="890">
                    <c:v>59</c:v>
                  </c:pt>
                  <c:pt idx="891">
                    <c:v>81</c:v>
                  </c:pt>
                  <c:pt idx="892">
                    <c:v>58</c:v>
                  </c:pt>
                  <c:pt idx="893">
                    <c:v>90</c:v>
                  </c:pt>
                  <c:pt idx="894">
                    <c:v>99,9</c:v>
                  </c:pt>
                  <c:pt idx="895">
                    <c:v>124</c:v>
                  </c:pt>
                  <c:pt idx="896">
                    <c:v>48</c:v>
                  </c:pt>
                  <c:pt idx="897">
                    <c:v>97</c:v>
                  </c:pt>
                  <c:pt idx="898">
                    <c:v>50</c:v>
                  </c:pt>
                  <c:pt idx="899">
                    <c:v>46</c:v>
                  </c:pt>
                  <c:pt idx="900">
                    <c:v>94</c:v>
                  </c:pt>
                  <c:pt idx="901">
                    <c:v>67</c:v>
                  </c:pt>
                  <c:pt idx="902">
                    <c:v>69,09</c:v>
                  </c:pt>
                  <c:pt idx="903">
                    <c:v>99</c:v>
                  </c:pt>
                  <c:pt idx="904">
                    <c:v>48</c:v>
                  </c:pt>
                  <c:pt idx="905">
                    <c:v>178,5</c:v>
                  </c:pt>
                  <c:pt idx="906">
                    <c:v>278</c:v>
                  </c:pt>
                  <c:pt idx="907">
                    <c:v>140</c:v>
                  </c:pt>
                  <c:pt idx="908">
                    <c:v>100</c:v>
                  </c:pt>
                  <c:pt idx="909">
                    <c:v>17</c:v>
                  </c:pt>
                  <c:pt idx="910">
                    <c:v>1046,81</c:v>
                  </c:pt>
                  <c:pt idx="911">
                    <c:v>67,78</c:v>
                  </c:pt>
                  <c:pt idx="912">
                    <c:v>10</c:v>
                  </c:pt>
                  <c:pt idx="913">
                    <c:v>492</c:v>
                  </c:pt>
                  <c:pt idx="914">
                    <c:v>620,45</c:v>
                  </c:pt>
                  <c:pt idx="915">
                    <c:v>574</c:v>
                  </c:pt>
                  <c:pt idx="916">
                    <c:v>397</c:v>
                  </c:pt>
                  <c:pt idx="917">
                    <c:v>456</c:v>
                  </c:pt>
                  <c:pt idx="918">
                    <c:v>110</c:v>
                  </c:pt>
                  <c:pt idx="919">
                    <c:v>95</c:v>
                  </c:pt>
                  <c:pt idx="920">
                    <c:v>29,9</c:v>
                  </c:pt>
                  <c:pt idx="922">
                    <c:v>39,8</c:v>
                  </c:pt>
                  <c:pt idx="923">
                    <c:v>49,9</c:v>
                  </c:pt>
                  <c:pt idx="924">
                    <c:v>69,9</c:v>
                  </c:pt>
                  <c:pt idx="925">
                    <c:v>29,9</c:v>
                  </c:pt>
                  <c:pt idx="926">
                    <c:v>41</c:v>
                  </c:pt>
                  <c:pt idx="927">
                    <c:v>129</c:v>
                  </c:pt>
                  <c:pt idx="928">
                    <c:v>288</c:v>
                  </c:pt>
                  <c:pt idx="929">
                    <c:v>654</c:v>
                  </c:pt>
                  <c:pt idx="930">
                    <c:v>1118</c:v>
                  </c:pt>
                  <c:pt idx="931">
                    <c:v>25</c:v>
                  </c:pt>
                  <c:pt idx="932">
                    <c:v>40</c:v>
                  </c:pt>
                  <c:pt idx="933">
                    <c:v>43</c:v>
                  </c:pt>
                  <c:pt idx="934">
                    <c:v>110</c:v>
                  </c:pt>
                  <c:pt idx="935">
                    <c:v>62</c:v>
                  </c:pt>
                  <c:pt idx="936">
                    <c:v>92</c:v>
                  </c:pt>
                  <c:pt idx="937">
                    <c:v>173</c:v>
                  </c:pt>
                  <c:pt idx="938">
                    <c:v>55</c:v>
                  </c:pt>
                  <c:pt idx="939">
                    <c:v>236</c:v>
                  </c:pt>
                  <c:pt idx="940">
                    <c:v>147</c:v>
                  </c:pt>
                  <c:pt idx="941">
                    <c:v>436</c:v>
                  </c:pt>
                  <c:pt idx="942">
                    <c:v>274</c:v>
                  </c:pt>
                  <c:pt idx="943">
                    <c:v>164</c:v>
                  </c:pt>
                  <c:pt idx="944">
                    <c:v>57</c:v>
                  </c:pt>
                  <c:pt idx="945">
                    <c:v>63</c:v>
                  </c:pt>
                  <c:pt idx="946">
                    <c:v>79</c:v>
                  </c:pt>
                  <c:pt idx="947">
                    <c:v>99</c:v>
                  </c:pt>
                  <c:pt idx="948">
                    <c:v>137</c:v>
                  </c:pt>
                  <c:pt idx="949">
                    <c:v>168</c:v>
                  </c:pt>
                  <c:pt idx="950">
                    <c:v>270</c:v>
                  </c:pt>
                  <c:pt idx="951">
                    <c:v>424</c:v>
                  </c:pt>
                  <c:pt idx="952">
                    <c:v>576</c:v>
                  </c:pt>
                  <c:pt idx="953">
                    <c:v>34</c:v>
                  </c:pt>
                  <c:pt idx="954">
                    <c:v>54</c:v>
                  </c:pt>
                  <c:pt idx="955">
                    <c:v>114</c:v>
                  </c:pt>
                  <c:pt idx="956">
                    <c:v>253</c:v>
                  </c:pt>
                  <c:pt idx="957">
                    <c:v>471</c:v>
                  </c:pt>
                  <c:pt idx="958">
                    <c:v>790</c:v>
                  </c:pt>
                  <c:pt idx="960">
                    <c:v>556</c:v>
                  </c:pt>
                  <c:pt idx="962">
                    <c:v>486</c:v>
                  </c:pt>
                  <c:pt idx="963">
                    <c:v>98</c:v>
                  </c:pt>
                  <c:pt idx="964">
                    <c:v>128</c:v>
                  </c:pt>
                  <c:pt idx="965">
                    <c:v>190</c:v>
                  </c:pt>
                  <c:pt idx="966">
                    <c:v>68</c:v>
                  </c:pt>
                  <c:pt idx="967">
                    <c:v>224</c:v>
                  </c:pt>
                  <c:pt idx="968">
                    <c:v>63</c:v>
                  </c:pt>
                  <c:pt idx="969">
                    <c:v>99</c:v>
                  </c:pt>
                  <c:pt idx="971">
                    <c:v>1185</c:v>
                  </c:pt>
                  <c:pt idx="972">
                    <c:v>1809</c:v>
                  </c:pt>
                  <c:pt idx="973">
                    <c:v>2835</c:v>
                  </c:pt>
                  <c:pt idx="974">
                    <c:v>256</c:v>
                  </c:pt>
                  <c:pt idx="975">
                    <c:v>256</c:v>
                  </c:pt>
                  <c:pt idx="976">
                    <c:v>295</c:v>
                  </c:pt>
                  <c:pt idx="977">
                    <c:v>150</c:v>
                  </c:pt>
                  <c:pt idx="978">
                    <c:v>1015</c:v>
                  </c:pt>
                  <c:pt idx="979">
                    <c:v>2300</c:v>
                  </c:pt>
                  <c:pt idx="980">
                    <c:v>537</c:v>
                  </c:pt>
                  <c:pt idx="981">
                    <c:v>897</c:v>
                  </c:pt>
                  <c:pt idx="983">
                    <c:v>110</c:v>
                  </c:pt>
                  <c:pt idx="984">
                    <c:v>13,56</c:v>
                  </c:pt>
                  <c:pt idx="985">
                    <c:v>3,32</c:v>
                  </c:pt>
                  <c:pt idx="986">
                    <c:v>814</c:v>
                  </c:pt>
                  <c:pt idx="987">
                    <c:v>624</c:v>
                  </c:pt>
                  <c:pt idx="988">
                    <c:v>1,73</c:v>
                  </c:pt>
                  <c:pt idx="989">
                    <c:v>1</c:v>
                  </c:pt>
                  <c:pt idx="990">
                    <c:v>506</c:v>
                  </c:pt>
                  <c:pt idx="991">
                    <c:v>519</c:v>
                  </c:pt>
                  <c:pt idx="992">
                    <c:v>64,6</c:v>
                  </c:pt>
                  <c:pt idx="993">
                    <c:v>79</c:v>
                  </c:pt>
                  <c:pt idx="994">
                    <c:v>67,15</c:v>
                  </c:pt>
                  <c:pt idx="995">
                    <c:v>89,26</c:v>
                  </c:pt>
                  <c:pt idx="996">
                    <c:v>76</c:v>
                  </c:pt>
                  <c:pt idx="997">
                    <c:v>52</c:v>
                  </c:pt>
                  <c:pt idx="998">
                    <c:v>75</c:v>
                  </c:pt>
                  <c:pt idx="999">
                    <c:v>130</c:v>
                  </c:pt>
                  <c:pt idx="1000">
                    <c:v>65</c:v>
                  </c:pt>
                  <c:pt idx="1001">
                    <c:v>130</c:v>
                  </c:pt>
                  <c:pt idx="1002">
                    <c:v>23</c:v>
                  </c:pt>
                  <c:pt idx="1003">
                    <c:v>487</c:v>
                  </c:pt>
                  <c:pt idx="1004">
                    <c:v>87</c:v>
                  </c:pt>
                  <c:pt idx="1005">
                    <c:v>114</c:v>
                  </c:pt>
                  <c:pt idx="1006">
                    <c:v>163</c:v>
                  </c:pt>
                  <c:pt idx="1007">
                    <c:v>245</c:v>
                  </c:pt>
                  <c:pt idx="1008">
                    <c:v>356</c:v>
                  </c:pt>
                  <c:pt idx="1009">
                    <c:v>487</c:v>
                  </c:pt>
                  <c:pt idx="1010">
                    <c:v>612</c:v>
                  </c:pt>
                  <c:pt idx="1011">
                    <c:v>375</c:v>
                  </c:pt>
                  <c:pt idx="1012">
                    <c:v>22,09</c:v>
                  </c:pt>
                  <c:pt idx="1013">
                    <c:v>824</c:v>
                  </c:pt>
                  <c:pt idx="1014">
                    <c:v>597</c:v>
                  </c:pt>
                  <c:pt idx="1015">
                    <c:v>546</c:v>
                  </c:pt>
                  <c:pt idx="1016">
                    <c:v>378</c:v>
                  </c:pt>
                  <c:pt idx="1017">
                    <c:v>726</c:v>
                  </c:pt>
                  <c:pt idx="1018">
                    <c:v>86</c:v>
                  </c:pt>
                  <c:pt idx="1019">
                    <c:v>198</c:v>
                  </c:pt>
                  <c:pt idx="1020">
                    <c:v>358</c:v>
                  </c:pt>
                  <c:pt idx="1021">
                    <c:v>555</c:v>
                  </c:pt>
                  <c:pt idx="1022">
                    <c:v>75</c:v>
                  </c:pt>
                  <c:pt idx="1023">
                    <c:v>145</c:v>
                  </c:pt>
                  <c:pt idx="1024">
                    <c:v>120</c:v>
                  </c:pt>
                  <c:pt idx="1025">
                    <c:v>140</c:v>
                  </c:pt>
                  <c:pt idx="1026">
                    <c:v>90</c:v>
                  </c:pt>
                  <c:pt idx="1027">
                    <c:v>102</c:v>
                  </c:pt>
                  <c:pt idx="1028">
                    <c:v>170</c:v>
                  </c:pt>
                  <c:pt idx="1029">
                    <c:v>234</c:v>
                  </c:pt>
                  <c:pt idx="1030">
                    <c:v>149</c:v>
                  </c:pt>
                  <c:pt idx="1031">
                    <c:v>195</c:v>
                  </c:pt>
                  <c:pt idx="1032">
                    <c:v>270</c:v>
                  </c:pt>
                  <c:pt idx="1033">
                    <c:v>62</c:v>
                  </c:pt>
                  <c:pt idx="1034">
                    <c:v>24,23</c:v>
                  </c:pt>
                  <c:pt idx="1035">
                    <c:v>45</c:v>
                  </c:pt>
                  <c:pt idx="1036">
                    <c:v>63</c:v>
                  </c:pt>
                  <c:pt idx="1037">
                    <c:v>75</c:v>
                  </c:pt>
                  <c:pt idx="1038">
                    <c:v>99</c:v>
                  </c:pt>
                  <c:pt idx="1039">
                    <c:v>137</c:v>
                  </c:pt>
                  <c:pt idx="1040">
                    <c:v>168</c:v>
                  </c:pt>
                  <c:pt idx="1041">
                    <c:v>270</c:v>
                  </c:pt>
                  <c:pt idx="1042">
                    <c:v>342</c:v>
                  </c:pt>
                  <c:pt idx="1043">
                    <c:v>424</c:v>
                  </c:pt>
                  <c:pt idx="1044">
                    <c:v>576</c:v>
                  </c:pt>
                  <c:pt idx="1045">
                    <c:v>755</c:v>
                  </c:pt>
                  <c:pt idx="1046">
                    <c:v>1185</c:v>
                  </c:pt>
                  <c:pt idx="1047">
                    <c:v>59</c:v>
                  </c:pt>
                  <c:pt idx="1048">
                    <c:v>117</c:v>
                  </c:pt>
                  <c:pt idx="1049">
                    <c:v>376</c:v>
                  </c:pt>
                  <c:pt idx="1050">
                    <c:v>10,57</c:v>
                  </c:pt>
                  <c:pt idx="1051">
                    <c:v>19,82</c:v>
                  </c:pt>
                  <c:pt idx="1052">
                    <c:v>549,9</c:v>
                  </c:pt>
                  <c:pt idx="1053">
                    <c:v>59,9</c:v>
                  </c:pt>
                  <c:pt idx="1054">
                    <c:v>19</c:v>
                  </c:pt>
                  <c:pt idx="1055">
                    <c:v>24</c:v>
                  </c:pt>
                  <c:pt idx="1056">
                    <c:v>30</c:v>
                  </c:pt>
                  <c:pt idx="1057">
                    <c:v>137</c:v>
                  </c:pt>
                  <c:pt idx="1058">
                    <c:v>83</c:v>
                  </c:pt>
                  <c:pt idx="1059">
                    <c:v>169</c:v>
                  </c:pt>
                  <c:pt idx="1060">
                    <c:v>174</c:v>
                  </c:pt>
                  <c:pt idx="1061">
                    <c:v>129</c:v>
                  </c:pt>
                  <c:pt idx="1062">
                    <c:v>94</c:v>
                  </c:pt>
                  <c:pt idx="1063">
                    <c:v>128</c:v>
                  </c:pt>
                  <c:pt idx="1064">
                    <c:v>142</c:v>
                  </c:pt>
                  <c:pt idx="1065">
                    <c:v>269</c:v>
                  </c:pt>
                  <c:pt idx="1066">
                    <c:v>173</c:v>
                  </c:pt>
                  <c:pt idx="1067">
                    <c:v>199,8</c:v>
                  </c:pt>
                  <c:pt idx="1068">
                    <c:v>257</c:v>
                  </c:pt>
                  <c:pt idx="1069">
                    <c:v>207</c:v>
                  </c:pt>
                  <c:pt idx="1070">
                    <c:v>153</c:v>
                  </c:pt>
                  <c:pt idx="1071">
                    <c:v>74</c:v>
                  </c:pt>
                  <c:pt idx="1072">
                    <c:v>130</c:v>
                  </c:pt>
                  <c:pt idx="1073">
                    <c:v>158</c:v>
                  </c:pt>
                  <c:pt idx="1074">
                    <c:v>202</c:v>
                  </c:pt>
                  <c:pt idx="1075">
                    <c:v>252</c:v>
                  </c:pt>
                  <c:pt idx="1076">
                    <c:v>278</c:v>
                  </c:pt>
                  <c:pt idx="1078">
                    <c:v>103</c:v>
                  </c:pt>
                  <c:pt idx="1079">
                    <c:v>84</c:v>
                  </c:pt>
                  <c:pt idx="1080">
                    <c:v>49</c:v>
                  </c:pt>
                  <c:pt idx="1081">
                    <c:v>104</c:v>
                  </c:pt>
                  <c:pt idx="1082">
                    <c:v>199</c:v>
                  </c:pt>
                  <c:pt idx="1083">
                    <c:v>265</c:v>
                  </c:pt>
                  <c:pt idx="1085">
                    <c:v>84</c:v>
                  </c:pt>
                  <c:pt idx="1086">
                    <c:v>86</c:v>
                  </c:pt>
                  <c:pt idx="1091">
                    <c:v>45,94</c:v>
                  </c:pt>
                  <c:pt idx="1092">
                    <c:v>230</c:v>
                  </c:pt>
                  <c:pt idx="1093">
                    <c:v>588</c:v>
                  </c:pt>
                  <c:pt idx="1094">
                    <c:v>291</c:v>
                  </c:pt>
                  <c:pt idx="1096">
                    <c:v>24,8</c:v>
                  </c:pt>
                  <c:pt idx="1097">
                    <c:v>10,88</c:v>
                  </c:pt>
                  <c:pt idx="1098">
                    <c:v>172</c:v>
                  </c:pt>
                  <c:pt idx="1099">
                    <c:v>153</c:v>
                  </c:pt>
                  <c:pt idx="1100">
                    <c:v>121</c:v>
                  </c:pt>
                  <c:pt idx="1101">
                    <c:v>154</c:v>
                  </c:pt>
                  <c:pt idx="1102">
                    <c:v>119</c:v>
                  </c:pt>
                  <c:pt idx="1103">
                    <c:v>126</c:v>
                  </c:pt>
                  <c:pt idx="1104">
                    <c:v>102</c:v>
                  </c:pt>
                  <c:pt idx="1105">
                    <c:v>216</c:v>
                  </c:pt>
                  <c:pt idx="1106">
                    <c:v>23</c:v>
                  </c:pt>
                  <c:pt idx="1107">
                    <c:v>97</c:v>
                  </c:pt>
                  <c:pt idx="1108">
                    <c:v>79</c:v>
                  </c:pt>
                  <c:pt idx="1109">
                    <c:v>4,8</c:v>
                  </c:pt>
                  <c:pt idx="1110">
                    <c:v>155</c:v>
                  </c:pt>
                  <c:pt idx="1111">
                    <c:v>95</c:v>
                  </c:pt>
                  <c:pt idx="1112">
                    <c:v>37</c:v>
                  </c:pt>
                  <c:pt idx="1113">
                    <c:v>27</c:v>
                  </c:pt>
                  <c:pt idx="1114">
                    <c:v>27</c:v>
                  </c:pt>
                  <c:pt idx="1115">
                    <c:v>4,8</c:v>
                  </c:pt>
                  <c:pt idx="1116">
                    <c:v>4,8</c:v>
                  </c:pt>
                  <c:pt idx="1117">
                    <c:v>2,8</c:v>
                  </c:pt>
                  <c:pt idx="1118">
                    <c:v>137</c:v>
                  </c:pt>
                  <c:pt idx="1119">
                    <c:v>60</c:v>
                  </c:pt>
                  <c:pt idx="1120">
                    <c:v>95</c:v>
                  </c:pt>
                  <c:pt idx="1121">
                    <c:v>184</c:v>
                  </c:pt>
                  <c:pt idx="1122">
                    <c:v>60</c:v>
                  </c:pt>
                  <c:pt idx="1123">
                    <c:v>95</c:v>
                  </c:pt>
                  <c:pt idx="1124">
                    <c:v>131</c:v>
                  </c:pt>
                  <c:pt idx="1125">
                    <c:v>211</c:v>
                  </c:pt>
                  <c:pt idx="1126">
                    <c:v>436</c:v>
                  </c:pt>
                  <c:pt idx="1127">
                    <c:v>160</c:v>
                  </c:pt>
                  <c:pt idx="1128">
                    <c:v>36</c:v>
                  </c:pt>
                  <c:pt idx="1129">
                    <c:v>38</c:v>
                  </c:pt>
                  <c:pt idx="1130">
                    <c:v>42</c:v>
                  </c:pt>
                  <c:pt idx="1131">
                    <c:v>47</c:v>
                  </c:pt>
                  <c:pt idx="1132">
                    <c:v>59</c:v>
                  </c:pt>
                  <c:pt idx="1133">
                    <c:v>78</c:v>
                  </c:pt>
                  <c:pt idx="1134">
                    <c:v>113</c:v>
                  </c:pt>
                  <c:pt idx="1135">
                    <c:v>133</c:v>
                  </c:pt>
                  <c:pt idx="1136">
                    <c:v>105</c:v>
                  </c:pt>
                  <c:pt idx="1137">
                    <c:v>131</c:v>
                  </c:pt>
                  <c:pt idx="1138">
                    <c:v>182</c:v>
                  </c:pt>
                  <c:pt idx="1139">
                    <c:v>249</c:v>
                  </c:pt>
                  <c:pt idx="1140">
                    <c:v>254</c:v>
                  </c:pt>
                  <c:pt idx="1141">
                    <c:v>432</c:v>
                  </c:pt>
                  <c:pt idx="1142">
                    <c:v>110</c:v>
                  </c:pt>
                  <c:pt idx="1143">
                    <c:v>177</c:v>
                  </c:pt>
                  <c:pt idx="1144">
                    <c:v>17,22</c:v>
                  </c:pt>
                  <c:pt idx="1145">
                    <c:v>160</c:v>
                  </c:pt>
                  <c:pt idx="1146">
                    <c:v>10,57</c:v>
                  </c:pt>
                  <c:pt idx="1147">
                    <c:v>194</c:v>
                  </c:pt>
                  <c:pt idx="1148">
                    <c:v>226</c:v>
                  </c:pt>
                  <c:pt idx="1149">
                    <c:v>79</c:v>
                  </c:pt>
                  <c:pt idx="1150">
                    <c:v>91</c:v>
                  </c:pt>
                  <c:pt idx="1151">
                    <c:v>73</c:v>
                  </c:pt>
                  <c:pt idx="1152">
                    <c:v>194</c:v>
                  </c:pt>
                  <c:pt idx="1153">
                    <c:v>249</c:v>
                  </c:pt>
                  <c:pt idx="1154">
                    <c:v>142</c:v>
                  </c:pt>
                  <c:pt idx="1155">
                    <c:v>256</c:v>
                  </c:pt>
                  <c:pt idx="1156">
                    <c:v>102</c:v>
                  </c:pt>
                  <c:pt idx="1157">
                    <c:v>84</c:v>
                  </c:pt>
                  <c:pt idx="1158">
                    <c:v>44</c:v>
                  </c:pt>
                  <c:pt idx="1159">
                    <c:v>54</c:v>
                  </c:pt>
                  <c:pt idx="1160">
                    <c:v>279</c:v>
                  </c:pt>
                  <c:pt idx="1161">
                    <c:v>51</c:v>
                  </c:pt>
                  <c:pt idx="1162">
                    <c:v>142</c:v>
                  </c:pt>
                  <c:pt idx="1163">
                    <c:v>68</c:v>
                  </c:pt>
                  <c:pt idx="1164">
                    <c:v>90</c:v>
                  </c:pt>
                  <c:pt idx="1165">
                    <c:v>130</c:v>
                  </c:pt>
                  <c:pt idx="1166">
                    <c:v>58</c:v>
                  </c:pt>
                  <c:pt idx="1167">
                    <c:v>38</c:v>
                  </c:pt>
                  <c:pt idx="1168">
                    <c:v>64</c:v>
                  </c:pt>
                  <c:pt idx="1169">
                    <c:v>64</c:v>
                  </c:pt>
                  <c:pt idx="1170">
                    <c:v>31</c:v>
                  </c:pt>
                  <c:pt idx="1171">
                    <c:v>11</c:v>
                  </c:pt>
                  <c:pt idx="1172">
                    <c:v>17</c:v>
                  </c:pt>
                  <c:pt idx="1173">
                    <c:v>35</c:v>
                  </c:pt>
                  <c:pt idx="1174">
                    <c:v>39</c:v>
                  </c:pt>
                  <c:pt idx="1175">
                    <c:v>41</c:v>
                  </c:pt>
                  <c:pt idx="1176">
                    <c:v>49</c:v>
                  </c:pt>
                  <c:pt idx="1177">
                    <c:v>145</c:v>
                  </c:pt>
                  <c:pt idx="1178">
                    <c:v>19</c:v>
                  </c:pt>
                  <c:pt idx="1179">
                    <c:v>21</c:v>
                  </c:pt>
                  <c:pt idx="1180">
                    <c:v>25</c:v>
                  </c:pt>
                  <c:pt idx="1181">
                    <c:v>15</c:v>
                  </c:pt>
                  <c:pt idx="1182">
                    <c:v>698</c:v>
                  </c:pt>
                  <c:pt idx="1183">
                    <c:v>524</c:v>
                  </c:pt>
                  <c:pt idx="1184">
                    <c:v>85</c:v>
                  </c:pt>
                  <c:pt idx="1185">
                    <c:v>145</c:v>
                  </c:pt>
                  <c:pt idx="1186">
                    <c:v>234</c:v>
                  </c:pt>
                  <c:pt idx="1187">
                    <c:v>214</c:v>
                  </c:pt>
                  <c:pt idx="1188">
                    <c:v>339</c:v>
                  </c:pt>
                  <c:pt idx="1189">
                    <c:v>177</c:v>
                  </c:pt>
                  <c:pt idx="1190">
                    <c:v>91</c:v>
                  </c:pt>
                  <c:pt idx="1191">
                    <c:v>123</c:v>
                  </c:pt>
                  <c:pt idx="1192">
                    <c:v>388</c:v>
                  </c:pt>
                  <c:pt idx="1193">
                    <c:v>186</c:v>
                  </c:pt>
                  <c:pt idx="1194">
                    <c:v>257</c:v>
                  </c:pt>
                  <c:pt idx="1195">
                    <c:v>257</c:v>
                  </c:pt>
                  <c:pt idx="1196">
                    <c:v>144</c:v>
                  </c:pt>
                  <c:pt idx="1197">
                    <c:v>324</c:v>
                  </c:pt>
                  <c:pt idx="1198">
                    <c:v>107,92</c:v>
                  </c:pt>
                  <c:pt idx="1199">
                    <c:v>38</c:v>
                  </c:pt>
                  <c:pt idx="1200">
                    <c:v>47</c:v>
                  </c:pt>
                  <c:pt idx="1201">
                    <c:v>184</c:v>
                  </c:pt>
                  <c:pt idx="1202">
                    <c:v>319</c:v>
                  </c:pt>
                  <c:pt idx="1203">
                    <c:v>40</c:v>
                  </c:pt>
                  <c:pt idx="1204">
                    <c:v>38</c:v>
                  </c:pt>
                  <c:pt idx="1205">
                    <c:v>47</c:v>
                  </c:pt>
                  <c:pt idx="1206">
                    <c:v>120</c:v>
                  </c:pt>
                  <c:pt idx="1207">
                    <c:v>129</c:v>
                  </c:pt>
                  <c:pt idx="1208">
                    <c:v>296</c:v>
                  </c:pt>
                  <c:pt idx="1209">
                    <c:v>169</c:v>
                  </c:pt>
                  <c:pt idx="1210">
                    <c:v>99</c:v>
                  </c:pt>
                  <c:pt idx="1211">
                    <c:v>55</c:v>
                  </c:pt>
                  <c:pt idx="1212">
                    <c:v>77</c:v>
                  </c:pt>
                  <c:pt idx="1213">
                    <c:v>62</c:v>
                  </c:pt>
                  <c:pt idx="1214">
                    <c:v>94</c:v>
                  </c:pt>
                  <c:pt idx="1215">
                    <c:v>105</c:v>
                  </c:pt>
                  <c:pt idx="1216">
                    <c:v>190</c:v>
                  </c:pt>
                  <c:pt idx="1217">
                    <c:v>326</c:v>
                  </c:pt>
                  <c:pt idx="1218">
                    <c:v>5,12</c:v>
                  </c:pt>
                  <c:pt idx="1219">
                    <c:v>3,13</c:v>
                  </c:pt>
                  <c:pt idx="1220">
                    <c:v>1,5</c:v>
                  </c:pt>
                  <c:pt idx="1221">
                    <c:v>1,81</c:v>
                  </c:pt>
                  <c:pt idx="1222">
                    <c:v>7,21</c:v>
                  </c:pt>
                  <c:pt idx="1223">
                    <c:v>2078,7</c:v>
                  </c:pt>
                  <c:pt idx="1224">
                    <c:v>163</c:v>
                  </c:pt>
                  <c:pt idx="1225">
                    <c:v>133</c:v>
                  </c:pt>
                  <c:pt idx="1226">
                    <c:v>101</c:v>
                  </c:pt>
                  <c:pt idx="1227">
                    <c:v>93</c:v>
                  </c:pt>
                  <c:pt idx="1228">
                    <c:v>59</c:v>
                  </c:pt>
                  <c:pt idx="1229">
                    <c:v>39</c:v>
                  </c:pt>
                  <c:pt idx="1230">
                    <c:v>99</c:v>
                  </c:pt>
                  <c:pt idx="1231">
                    <c:v>76</c:v>
                  </c:pt>
                  <c:pt idx="1232">
                    <c:v>57</c:v>
                  </c:pt>
                  <c:pt idx="1233">
                    <c:v>56</c:v>
                  </c:pt>
                  <c:pt idx="1234">
                    <c:v>125</c:v>
                  </c:pt>
                  <c:pt idx="1235">
                    <c:v>190</c:v>
                  </c:pt>
                  <c:pt idx="1236">
                    <c:v>295</c:v>
                  </c:pt>
                  <c:pt idx="1237">
                    <c:v>44</c:v>
                  </c:pt>
                  <c:pt idx="1238">
                    <c:v>51</c:v>
                  </c:pt>
                  <c:pt idx="1239">
                    <c:v>66</c:v>
                  </c:pt>
                  <c:pt idx="1240">
                    <c:v>160</c:v>
                  </c:pt>
                  <c:pt idx="1241">
                    <c:v>32</c:v>
                  </c:pt>
                  <c:pt idx="1242">
                    <c:v>36</c:v>
                  </c:pt>
                  <c:pt idx="1243">
                    <c:v>45</c:v>
                  </c:pt>
                  <c:pt idx="1244">
                    <c:v>124</c:v>
                  </c:pt>
                  <c:pt idx="1245">
                    <c:v>69,9</c:v>
                  </c:pt>
                  <c:pt idx="1246">
                    <c:v>38</c:v>
                  </c:pt>
                  <c:pt idx="1247">
                    <c:v>39,9</c:v>
                  </c:pt>
                  <c:pt idx="1248">
                    <c:v>99,9</c:v>
                  </c:pt>
                  <c:pt idx="1249">
                    <c:v>28,9</c:v>
                  </c:pt>
                  <c:pt idx="1250">
                    <c:v>22,09</c:v>
                  </c:pt>
                  <c:pt idx="1251">
                    <c:v>89,9</c:v>
                  </c:pt>
                  <c:pt idx="1252">
                    <c:v>39,1</c:v>
                  </c:pt>
                  <c:pt idx="1253">
                    <c:v>74</c:v>
                  </c:pt>
                  <c:pt idx="1254">
                    <c:v>49,9</c:v>
                  </c:pt>
                  <c:pt idx="1255">
                    <c:v>240</c:v>
                  </c:pt>
                  <c:pt idx="1256">
                    <c:v>250</c:v>
                  </c:pt>
                  <c:pt idx="1257">
                    <c:v>78</c:v>
                  </c:pt>
                  <c:pt idx="1258">
                    <c:v>80</c:v>
                  </c:pt>
                  <c:pt idx="1259">
                    <c:v>72</c:v>
                  </c:pt>
                  <c:pt idx="1260">
                    <c:v>51</c:v>
                  </c:pt>
                  <c:pt idx="1261">
                    <c:v>636</c:v>
                  </c:pt>
                  <c:pt idx="1262">
                    <c:v>199</c:v>
                  </c:pt>
                  <c:pt idx="1263">
                    <c:v>119</c:v>
                  </c:pt>
                  <c:pt idx="1264">
                    <c:v>6</c:v>
                  </c:pt>
                  <c:pt idx="1265">
                    <c:v>4</c:v>
                  </c:pt>
                  <c:pt idx="1266">
                    <c:v>150</c:v>
                  </c:pt>
                  <c:pt idx="1267">
                    <c:v>52</c:v>
                  </c:pt>
                  <c:pt idx="1268">
                    <c:v>78</c:v>
                  </c:pt>
                  <c:pt idx="1269">
                    <c:v>105</c:v>
                  </c:pt>
                  <c:pt idx="1270">
                    <c:v>157</c:v>
                  </c:pt>
                  <c:pt idx="1271">
                    <c:v>249</c:v>
                  </c:pt>
                  <c:pt idx="1272">
                    <c:v>326</c:v>
                  </c:pt>
                  <c:pt idx="1273">
                    <c:v>80</c:v>
                  </c:pt>
                  <c:pt idx="1274">
                    <c:v>66</c:v>
                  </c:pt>
                  <c:pt idx="1275">
                    <c:v>94</c:v>
                  </c:pt>
                  <c:pt idx="1276">
                    <c:v>140</c:v>
                  </c:pt>
                  <c:pt idx="1277">
                    <c:v>184</c:v>
                  </c:pt>
                  <c:pt idx="1278">
                    <c:v>68</c:v>
                  </c:pt>
                  <c:pt idx="1279">
                    <c:v>339</c:v>
                  </c:pt>
                  <c:pt idx="1280">
                    <c:v>252</c:v>
                  </c:pt>
                  <c:pt idx="1281">
                    <c:v>217</c:v>
                  </c:pt>
                  <c:pt idx="1282">
                    <c:v>79</c:v>
                  </c:pt>
                  <c:pt idx="1283">
                    <c:v>458</c:v>
                  </c:pt>
                  <c:pt idx="1284">
                    <c:v>297</c:v>
                  </c:pt>
                  <c:pt idx="1285">
                    <c:v>87</c:v>
                  </c:pt>
                  <c:pt idx="1286">
                    <c:v>115</c:v>
                  </c:pt>
                  <c:pt idx="1287">
                    <c:v>209</c:v>
                  </c:pt>
                  <c:pt idx="1288">
                    <c:v>290</c:v>
                  </c:pt>
                  <c:pt idx="1289">
                    <c:v>22</c:v>
                  </c:pt>
                  <c:pt idx="1290">
                    <c:v>450,8</c:v>
                  </c:pt>
                  <c:pt idx="1291">
                    <c:v>614,75</c:v>
                  </c:pt>
                  <c:pt idx="1292">
                    <c:v>112</c:v>
                  </c:pt>
                  <c:pt idx="1293">
                    <c:v>16</c:v>
                  </c:pt>
                  <c:pt idx="1294">
                    <c:v>27</c:v>
                  </c:pt>
                  <c:pt idx="1295">
                    <c:v>42</c:v>
                  </c:pt>
                  <c:pt idx="1296">
                    <c:v>56</c:v>
                  </c:pt>
                  <c:pt idx="1297">
                    <c:v>8</c:v>
                  </c:pt>
                  <c:pt idx="1298">
                    <c:v>11</c:v>
                  </c:pt>
                  <c:pt idx="1299">
                    <c:v>14</c:v>
                  </c:pt>
                  <c:pt idx="1300">
                    <c:v>16</c:v>
                  </c:pt>
                  <c:pt idx="1302">
                    <c:v>7,26</c:v>
                  </c:pt>
                  <c:pt idx="1303">
                    <c:v>11</c:v>
                  </c:pt>
                  <c:pt idx="1304">
                    <c:v>14,85</c:v>
                  </c:pt>
                  <c:pt idx="1305">
                    <c:v>18,7</c:v>
                  </c:pt>
                  <c:pt idx="1306">
                    <c:v>12,1</c:v>
                  </c:pt>
                  <c:pt idx="1307">
                    <c:v>16,5</c:v>
                  </c:pt>
                  <c:pt idx="1308">
                    <c:v>17,05</c:v>
                  </c:pt>
                  <c:pt idx="1309">
                    <c:v>21,67</c:v>
                  </c:pt>
                  <c:pt idx="1310">
                    <c:v>37,95</c:v>
                  </c:pt>
                  <c:pt idx="1311">
                    <c:v>10,45</c:v>
                  </c:pt>
                  <c:pt idx="1312">
                    <c:v>39,6</c:v>
                  </c:pt>
                  <c:pt idx="1313">
                    <c:v>52,8</c:v>
                  </c:pt>
                  <c:pt idx="1314">
                    <c:v>1,21</c:v>
                  </c:pt>
                  <c:pt idx="1319">
                    <c:v>1218</c:v>
                  </c:pt>
                  <c:pt idx="1320">
                    <c:v>600</c:v>
                  </c:pt>
                  <c:pt idx="1321">
                    <c:v>495</c:v>
                  </c:pt>
                  <c:pt idx="1322">
                    <c:v>800</c:v>
                  </c:pt>
                  <c:pt idx="1323">
                    <c:v>574</c:v>
                  </c:pt>
                  <c:pt idx="1324">
                    <c:v>920</c:v>
                  </c:pt>
                  <c:pt idx="1325">
                    <c:v>1008</c:v>
                  </c:pt>
                  <c:pt idx="1328">
                    <c:v>0</c:v>
                  </c:pt>
                  <c:pt idx="1329">
                    <c:v>1035</c:v>
                  </c:pt>
                  <c:pt idx="1330">
                    <c:v>1012</c:v>
                  </c:pt>
                  <c:pt idx="1331">
                    <c:v>1653</c:v>
                  </c:pt>
                  <c:pt idx="1332">
                    <c:v>2280</c:v>
                  </c:pt>
                  <c:pt idx="1335">
                    <c:v>960</c:v>
                  </c:pt>
                  <c:pt idx="1339">
                    <c:v>720</c:v>
                  </c:pt>
                  <c:pt idx="1340">
                    <c:v>1520</c:v>
                  </c:pt>
                  <c:pt idx="1341">
                    <c:v>3760</c:v>
                  </c:pt>
                  <c:pt idx="1348">
                    <c:v>1273</c:v>
                  </c:pt>
                  <c:pt idx="1349">
                    <c:v>1247</c:v>
                  </c:pt>
                  <c:pt idx="1353">
                    <c:v>22</c:v>
                  </c:pt>
                  <c:pt idx="1355">
                    <c:v>836</c:v>
                  </c:pt>
                  <c:pt idx="1356">
                    <c:v>1232</c:v>
                  </c:pt>
                  <c:pt idx="1357">
                    <c:v>1934</c:v>
                  </c:pt>
                  <c:pt idx="1358">
                    <c:v>800</c:v>
                  </c:pt>
                  <c:pt idx="1359">
                    <c:v>153</c:v>
                  </c:pt>
                  <c:pt idx="1360">
                    <c:v>1281</c:v>
                  </c:pt>
                  <c:pt idx="1361">
                    <c:v>125</c:v>
                  </c:pt>
                  <c:pt idx="1362">
                    <c:v>100</c:v>
                  </c:pt>
                  <c:pt idx="1363">
                    <c:v>69</c:v>
                  </c:pt>
                  <c:pt idx="1364">
                    <c:v>115</c:v>
                  </c:pt>
                  <c:pt idx="1365">
                    <c:v>24</c:v>
                  </c:pt>
                  <c:pt idx="1366">
                    <c:v>31</c:v>
                  </c:pt>
                  <c:pt idx="1367">
                    <c:v>44</c:v>
                  </c:pt>
                  <c:pt idx="1368">
                    <c:v>56</c:v>
                  </c:pt>
                  <c:pt idx="1369">
                    <c:v>81</c:v>
                  </c:pt>
                  <c:pt idx="1370">
                    <c:v>20</c:v>
                  </c:pt>
                  <c:pt idx="1371">
                    <c:v>26</c:v>
                  </c:pt>
                  <c:pt idx="1372">
                    <c:v>30</c:v>
                  </c:pt>
                  <c:pt idx="1373">
                    <c:v>45</c:v>
                  </c:pt>
                  <c:pt idx="1374">
                    <c:v>647,54</c:v>
                  </c:pt>
                  <c:pt idx="1375">
                    <c:v>209</c:v>
                  </c:pt>
                  <c:pt idx="1376">
                    <c:v>7</c:v>
                  </c:pt>
                  <c:pt idx="1377">
                    <c:v>18,37</c:v>
                  </c:pt>
                  <c:pt idx="1378">
                    <c:v>31,89</c:v>
                  </c:pt>
                  <c:pt idx="1379">
                    <c:v>42</c:v>
                  </c:pt>
                  <c:pt idx="1380">
                    <c:v>38</c:v>
                  </c:pt>
                  <c:pt idx="1381">
                    <c:v>47</c:v>
                  </c:pt>
                  <c:pt idx="1382">
                    <c:v>8</c:v>
                  </c:pt>
                  <c:pt idx="1383">
                    <c:v>12</c:v>
                  </c:pt>
                  <c:pt idx="1384">
                    <c:v>9</c:v>
                  </c:pt>
                  <c:pt idx="1385">
                    <c:v>9</c:v>
                  </c:pt>
                  <c:pt idx="1386">
                    <c:v>48,46</c:v>
                  </c:pt>
                  <c:pt idx="1388">
                    <c:v>80</c:v>
                  </c:pt>
                  <c:pt idx="1389">
                    <c:v>138</c:v>
                  </c:pt>
                  <c:pt idx="1390">
                    <c:v>192</c:v>
                  </c:pt>
                  <c:pt idx="1391">
                    <c:v>259</c:v>
                  </c:pt>
                  <c:pt idx="1392">
                    <c:v>59</c:v>
                  </c:pt>
                  <c:pt idx="1393">
                    <c:v>138</c:v>
                  </c:pt>
                  <c:pt idx="1394">
                    <c:v>285</c:v>
                  </c:pt>
                  <c:pt idx="1395">
                    <c:v>739</c:v>
                  </c:pt>
                  <c:pt idx="1398">
                    <c:v>254</c:v>
                  </c:pt>
                  <c:pt idx="1399">
                    <c:v>3,93</c:v>
                  </c:pt>
                  <c:pt idx="1400">
                    <c:v>162</c:v>
                  </c:pt>
                  <c:pt idx="1401">
                    <c:v>235</c:v>
                  </c:pt>
                  <c:pt idx="1402">
                    <c:v>127,1</c:v>
                  </c:pt>
                  <c:pt idx="1403">
                    <c:v>137</c:v>
                  </c:pt>
                  <c:pt idx="1404">
                    <c:v>94</c:v>
                  </c:pt>
                  <c:pt idx="1405">
                    <c:v>662</c:v>
                  </c:pt>
                  <c:pt idx="1406">
                    <c:v>270</c:v>
                  </c:pt>
                  <c:pt idx="1407">
                    <c:v>80</c:v>
                  </c:pt>
                  <c:pt idx="1408">
                    <c:v>25</c:v>
                  </c:pt>
                  <c:pt idx="1409">
                    <c:v>31</c:v>
                  </c:pt>
                  <c:pt idx="1410">
                    <c:v>46</c:v>
                  </c:pt>
                  <c:pt idx="1411">
                    <c:v>59</c:v>
                  </c:pt>
                  <c:pt idx="1412">
                    <c:v>67</c:v>
                  </c:pt>
                  <c:pt idx="1413">
                    <c:v>89</c:v>
                  </c:pt>
                  <c:pt idx="1414">
                    <c:v>140</c:v>
                  </c:pt>
                  <c:pt idx="1415">
                    <c:v>185</c:v>
                  </c:pt>
                  <c:pt idx="1416">
                    <c:v>340</c:v>
                  </c:pt>
                  <c:pt idx="1417">
                    <c:v>446</c:v>
                  </c:pt>
                  <c:pt idx="1418">
                    <c:v>990</c:v>
                  </c:pt>
                  <c:pt idx="1419">
                    <c:v>28</c:v>
                  </c:pt>
                  <c:pt idx="1420">
                    <c:v>36</c:v>
                  </c:pt>
                  <c:pt idx="1421">
                    <c:v>40</c:v>
                  </c:pt>
                  <c:pt idx="1422">
                    <c:v>52</c:v>
                  </c:pt>
                  <c:pt idx="1423">
                    <c:v>55</c:v>
                  </c:pt>
                  <c:pt idx="1424">
                    <c:v>57,4</c:v>
                  </c:pt>
                  <c:pt idx="1425">
                    <c:v>71</c:v>
                  </c:pt>
                  <c:pt idx="1426">
                    <c:v>84</c:v>
                  </c:pt>
                  <c:pt idx="1427">
                    <c:v>180,6</c:v>
                  </c:pt>
                  <c:pt idx="1428">
                    <c:v>212</c:v>
                  </c:pt>
                  <c:pt idx="1429">
                    <c:v>317</c:v>
                  </c:pt>
                  <c:pt idx="1430">
                    <c:v>199</c:v>
                  </c:pt>
                  <c:pt idx="1431">
                    <c:v>299</c:v>
                  </c:pt>
                  <c:pt idx="1432">
                    <c:v>259</c:v>
                  </c:pt>
                  <c:pt idx="1433">
                    <c:v>69</c:v>
                  </c:pt>
                  <c:pt idx="1434">
                    <c:v>106</c:v>
                  </c:pt>
                  <c:pt idx="1435">
                    <c:v>269,9</c:v>
                  </c:pt>
                  <c:pt idx="1436">
                    <c:v>11,4</c:v>
                  </c:pt>
                  <c:pt idx="1437">
                    <c:v>285</c:v>
                  </c:pt>
                  <c:pt idx="1438">
                    <c:v>288,6</c:v>
                  </c:pt>
                  <c:pt idx="1439">
                    <c:v>11,7</c:v>
                  </c:pt>
                  <c:pt idx="1440">
                    <c:v>68,03</c:v>
                  </c:pt>
                  <c:pt idx="1441">
                    <c:v>57,6</c:v>
                  </c:pt>
                  <c:pt idx="1442">
                    <c:v>62,32</c:v>
                  </c:pt>
                  <c:pt idx="1443">
                    <c:v>38,124</c:v>
                  </c:pt>
                  <c:pt idx="1446">
                    <c:v>0</c:v>
                  </c:pt>
                  <c:pt idx="1449">
                    <c:v>166</c:v>
                  </c:pt>
                  <c:pt idx="1450">
                    <c:v>189</c:v>
                  </c:pt>
                  <c:pt idx="1451">
                    <c:v>180</c:v>
                  </c:pt>
                  <c:pt idx="1452">
                    <c:v>199,9</c:v>
                  </c:pt>
                  <c:pt idx="1453">
                    <c:v>499,9</c:v>
                  </c:pt>
                  <c:pt idx="1454">
                    <c:v>199,9</c:v>
                  </c:pt>
                  <c:pt idx="1455">
                    <c:v>249,9</c:v>
                  </c:pt>
                  <c:pt idx="1456">
                    <c:v>269,9</c:v>
                  </c:pt>
                  <c:pt idx="1457">
                    <c:v>269,9</c:v>
                  </c:pt>
                  <c:pt idx="1458">
                    <c:v>199,9</c:v>
                  </c:pt>
                  <c:pt idx="1459">
                    <c:v>650</c:v>
                  </c:pt>
                  <c:pt idx="1460">
                    <c:v>70</c:v>
                  </c:pt>
                  <c:pt idx="1461">
                    <c:v>65</c:v>
                  </c:pt>
                  <c:pt idx="1462">
                    <c:v>14,9</c:v>
                  </c:pt>
                  <c:pt idx="1463">
                    <c:v>632</c:v>
                  </c:pt>
                  <c:pt idx="1464">
                    <c:v>5,3</c:v>
                  </c:pt>
                  <c:pt idx="1465">
                    <c:v>79,9</c:v>
                  </c:pt>
                  <c:pt idx="1466">
                    <c:v>71</c:v>
                  </c:pt>
                  <c:pt idx="1467">
                    <c:v>80</c:v>
                  </c:pt>
                  <c:pt idx="1468">
                    <c:v>138,71</c:v>
                  </c:pt>
                  <c:pt idx="1469">
                    <c:v>41</c:v>
                  </c:pt>
                  <c:pt idx="1470">
                    <c:v>179,9</c:v>
                  </c:pt>
                  <c:pt idx="1474">
                    <c:v>380</c:v>
                  </c:pt>
                  <c:pt idx="1475">
                    <c:v>130</c:v>
                  </c:pt>
                  <c:pt idx="1476">
                    <c:v>760</c:v>
                  </c:pt>
                  <c:pt idx="1477">
                    <c:v>0</c:v>
                  </c:pt>
                  <c:pt idx="1478">
                    <c:v>29</c:v>
                  </c:pt>
                  <c:pt idx="1479">
                    <c:v>240</c:v>
                  </c:pt>
                  <c:pt idx="1480">
                    <c:v>79</c:v>
                  </c:pt>
                  <c:pt idx="1481">
                    <c:v>20</c:v>
                  </c:pt>
                  <c:pt idx="1482">
                    <c:v>890</c:v>
                  </c:pt>
                  <c:pt idx="1483">
                    <c:v>1225</c:v>
                  </c:pt>
                  <c:pt idx="1484">
                    <c:v>399,9</c:v>
                  </c:pt>
                  <c:pt idx="1485">
                    <c:v>1200</c:v>
                  </c:pt>
                  <c:pt idx="1486">
                    <c:v>2320</c:v>
                  </c:pt>
                  <c:pt idx="1487">
                    <c:v>58</c:v>
                  </c:pt>
                  <c:pt idx="1488">
                    <c:v>83</c:v>
                  </c:pt>
                  <c:pt idx="1489">
                    <c:v>48</c:v>
                  </c:pt>
                  <c:pt idx="1490">
                    <c:v>130</c:v>
                  </c:pt>
                  <c:pt idx="1491">
                    <c:v>59,9</c:v>
                  </c:pt>
                  <c:pt idx="1492">
                    <c:v>59,9</c:v>
                  </c:pt>
                  <c:pt idx="1493">
                    <c:v>59,9</c:v>
                  </c:pt>
                  <c:pt idx="1494">
                    <c:v>49,9</c:v>
                  </c:pt>
                  <c:pt idx="1495">
                    <c:v>129,9</c:v>
                  </c:pt>
                  <c:pt idx="1496">
                    <c:v>49,9</c:v>
                  </c:pt>
                  <c:pt idx="1497">
                    <c:v>149,09</c:v>
                  </c:pt>
                  <c:pt idx="1498">
                    <c:v>188</c:v>
                  </c:pt>
                  <c:pt idx="1499">
                    <c:v>17,68</c:v>
                  </c:pt>
                  <c:pt idx="1500">
                    <c:v>39,1</c:v>
                  </c:pt>
                  <c:pt idx="1501">
                    <c:v>57,8</c:v>
                  </c:pt>
                  <c:pt idx="1502">
                    <c:v>77,35</c:v>
                  </c:pt>
                  <c:pt idx="1503">
                    <c:v>320</c:v>
                  </c:pt>
                  <c:pt idx="1504">
                    <c:v>551</c:v>
                  </c:pt>
                  <c:pt idx="1505">
                    <c:v>369</c:v>
                  </c:pt>
                  <c:pt idx="1506">
                    <c:v>380</c:v>
                  </c:pt>
                  <c:pt idx="1507">
                    <c:v>16,4</c:v>
                  </c:pt>
                  <c:pt idx="1508">
                    <c:v>2509,92</c:v>
                  </c:pt>
                  <c:pt idx="1509">
                    <c:v>209</c:v>
                  </c:pt>
                  <c:pt idx="1510">
                    <c:v>242</c:v>
                  </c:pt>
                  <c:pt idx="1511">
                    <c:v>245,4</c:v>
                  </c:pt>
                  <c:pt idx="1512">
                    <c:v>217</c:v>
                  </c:pt>
                  <c:pt idx="1513">
                    <c:v>155</c:v>
                  </c:pt>
                  <c:pt idx="1514">
                    <c:v>245,4</c:v>
                  </c:pt>
                  <c:pt idx="1515">
                    <c:v>150</c:v>
                  </c:pt>
                  <c:pt idx="1516">
                    <c:v>140</c:v>
                  </c:pt>
                  <c:pt idx="1517">
                    <c:v>139</c:v>
                  </c:pt>
                  <c:pt idx="1518">
                    <c:v>170</c:v>
                  </c:pt>
                  <c:pt idx="1519">
                    <c:v>1933,8</c:v>
                  </c:pt>
                  <c:pt idx="1520">
                    <c:v>194</c:v>
                  </c:pt>
                  <c:pt idx="1521">
                    <c:v>345</c:v>
                  </c:pt>
                  <c:pt idx="1522">
                    <c:v>261,12</c:v>
                  </c:pt>
                  <c:pt idx="1523">
                    <c:v>150</c:v>
                  </c:pt>
                  <c:pt idx="1524">
                    <c:v>1544</c:v>
                  </c:pt>
                  <c:pt idx="1525">
                    <c:v>59</c:v>
                  </c:pt>
                  <c:pt idx="1526">
                    <c:v>47</c:v>
                  </c:pt>
                  <c:pt idx="1527">
                    <c:v>42</c:v>
                  </c:pt>
                  <c:pt idx="1528">
                    <c:v>47,11</c:v>
                  </c:pt>
                  <c:pt idx="1529">
                    <c:v>0</c:v>
                  </c:pt>
                  <c:pt idx="1530">
                    <c:v>0</c:v>
                  </c:pt>
                  <c:pt idx="1531">
                    <c:v>0</c:v>
                  </c:pt>
                  <c:pt idx="1532">
                    <c:v>62</c:v>
                  </c:pt>
                  <c:pt idx="1533">
                    <c:v>123</c:v>
                  </c:pt>
                  <c:pt idx="1534">
                    <c:v>219</c:v>
                  </c:pt>
                  <c:pt idx="1535">
                    <c:v>80</c:v>
                  </c:pt>
                  <c:pt idx="1536">
                    <c:v>32</c:v>
                  </c:pt>
                  <c:pt idx="1537">
                    <c:v>35,15</c:v>
                  </c:pt>
                  <c:pt idx="1538">
                    <c:v>31,15</c:v>
                  </c:pt>
                  <c:pt idx="1539">
                    <c:v>3,23</c:v>
                  </c:pt>
                  <c:pt idx="1540">
                    <c:v>91</c:v>
                  </c:pt>
                  <c:pt idx="1541">
                    <c:v>62</c:v>
                  </c:pt>
                  <c:pt idx="1542">
                    <c:v>29</c:v>
                  </c:pt>
                  <c:pt idx="1543">
                    <c:v>79</c:v>
                  </c:pt>
                  <c:pt idx="1544">
                    <c:v>209</c:v>
                  </c:pt>
                  <c:pt idx="1545">
                    <c:v>149</c:v>
                  </c:pt>
                  <c:pt idx="1546">
                    <c:v>19,9</c:v>
                  </c:pt>
                  <c:pt idx="1547">
                    <c:v>25,9</c:v>
                  </c:pt>
                  <c:pt idx="1548">
                    <c:v>100</c:v>
                  </c:pt>
                  <c:pt idx="1549">
                    <c:v>184,05</c:v>
                  </c:pt>
                  <c:pt idx="1550">
                    <c:v>409</c:v>
                  </c:pt>
                  <c:pt idx="1551">
                    <c:v>216,77</c:v>
                  </c:pt>
                  <c:pt idx="1552">
                    <c:v>1</c:v>
                  </c:pt>
                  <c:pt idx="1553">
                    <c:v>116,74</c:v>
                  </c:pt>
                  <c:pt idx="1554">
                    <c:v>68,67</c:v>
                  </c:pt>
                  <c:pt idx="1555">
                    <c:v>45</c:v>
                  </c:pt>
                  <c:pt idx="1556">
                    <c:v>330,87</c:v>
                  </c:pt>
                  <c:pt idx="1557">
                    <c:v>410,1</c:v>
                  </c:pt>
                  <c:pt idx="1558">
                    <c:v>243,44</c:v>
                  </c:pt>
                  <c:pt idx="1559">
                    <c:v>212,02</c:v>
                  </c:pt>
                  <c:pt idx="1560">
                    <c:v>86,45</c:v>
                  </c:pt>
                  <c:pt idx="1561">
                    <c:v>1870</c:v>
                  </c:pt>
                  <c:pt idx="1562">
                    <c:v>1220</c:v>
                  </c:pt>
                  <c:pt idx="1563">
                    <c:v>1</c:v>
                  </c:pt>
                  <c:pt idx="1564">
                    <c:v>1</c:v>
                  </c:pt>
                  <c:pt idx="1565">
                    <c:v>1</c:v>
                  </c:pt>
                  <c:pt idx="1566">
                    <c:v>0</c:v>
                  </c:pt>
                  <c:pt idx="1567">
                    <c:v>2940</c:v>
                  </c:pt>
                  <c:pt idx="1568">
                    <c:v>1553</c:v>
                  </c:pt>
                  <c:pt idx="1569">
                    <c:v>153</c:v>
                  </c:pt>
                  <c:pt idx="1570">
                    <c:v>1030,36</c:v>
                  </c:pt>
                  <c:pt idx="1571">
                    <c:v>1935,81</c:v>
                  </c:pt>
                  <c:pt idx="1572">
                    <c:v>24,9</c:v>
                  </c:pt>
                  <c:pt idx="1573">
                    <c:v>145</c:v>
                  </c:pt>
                  <c:pt idx="1574">
                    <c:v>54</c:v>
                  </c:pt>
                  <c:pt idx="1575">
                    <c:v>66</c:v>
                  </c:pt>
                  <c:pt idx="1576">
                    <c:v>108</c:v>
                  </c:pt>
                  <c:pt idx="1577">
                    <c:v>97</c:v>
                  </c:pt>
                  <c:pt idx="1578">
                    <c:v>42,77</c:v>
                  </c:pt>
                  <c:pt idx="1579">
                    <c:v>764,15</c:v>
                  </c:pt>
                  <c:pt idx="1580">
                    <c:v>1319,2</c:v>
                  </c:pt>
                  <c:pt idx="1581">
                    <c:v>578</c:v>
                  </c:pt>
                  <c:pt idx="1582">
                    <c:v>444,56</c:v>
                  </c:pt>
                  <c:pt idx="1583">
                    <c:v>9</c:v>
                  </c:pt>
                  <c:pt idx="1584">
                    <c:v>1805</c:v>
                  </c:pt>
                  <c:pt idx="1585">
                    <c:v>555</c:v>
                  </c:pt>
                  <c:pt idx="1586">
                    <c:v>60</c:v>
                  </c:pt>
                  <c:pt idx="1587">
                    <c:v>461</c:v>
                  </c:pt>
                  <c:pt idx="1588">
                    <c:v>250</c:v>
                  </c:pt>
                  <c:pt idx="1589">
                    <c:v>515</c:v>
                  </c:pt>
                  <c:pt idx="1590">
                    <c:v>265</c:v>
                  </c:pt>
                  <c:pt idx="1591">
                    <c:v>1442,93</c:v>
                  </c:pt>
                  <c:pt idx="1592">
                    <c:v>57</c:v>
                  </c:pt>
                  <c:pt idx="1593">
                    <c:v>1360,81</c:v>
                  </c:pt>
                  <c:pt idx="1594">
                    <c:v>108</c:v>
                  </c:pt>
                  <c:pt idx="1595">
                    <c:v>756,51</c:v>
                  </c:pt>
                  <c:pt idx="1596">
                    <c:v>139,93</c:v>
                  </c:pt>
                  <c:pt idx="1597">
                    <c:v>927,31</c:v>
                  </c:pt>
                  <c:pt idx="1598">
                    <c:v>828</c:v>
                  </c:pt>
                  <c:pt idx="1599">
                    <c:v>882,75</c:v>
                  </c:pt>
                  <c:pt idx="1600">
                    <c:v>49,06</c:v>
                  </c:pt>
                  <c:pt idx="1601">
                    <c:v>362,3</c:v>
                  </c:pt>
                  <c:pt idx="1602">
                    <c:v>980,12</c:v>
                  </c:pt>
                  <c:pt idx="1603">
                    <c:v>54,45</c:v>
                  </c:pt>
                  <c:pt idx="1604">
                    <c:v>457,1</c:v>
                  </c:pt>
                  <c:pt idx="1605">
                    <c:v>1406,17</c:v>
                  </c:pt>
                  <c:pt idx="1606">
                    <c:v>63,92</c:v>
                  </c:pt>
                  <c:pt idx="1607">
                    <c:v>719,67</c:v>
                  </c:pt>
                  <c:pt idx="1608">
                    <c:v>541,66</c:v>
                  </c:pt>
                  <c:pt idx="1609">
                    <c:v>353,28</c:v>
                  </c:pt>
                  <c:pt idx="1610">
                    <c:v>928,24</c:v>
                  </c:pt>
                  <c:pt idx="1611">
                    <c:v>2302,31</c:v>
                  </c:pt>
                  <c:pt idx="1612">
                    <c:v>95,93</c:v>
                  </c:pt>
                  <c:pt idx="1613">
                    <c:v>1970,98</c:v>
                  </c:pt>
                  <c:pt idx="1614">
                    <c:v>82,08</c:v>
                  </c:pt>
                  <c:pt idx="1615">
                    <c:v>1299,18</c:v>
                  </c:pt>
                  <c:pt idx="1616">
                    <c:v>173,224</c:v>
                  </c:pt>
                  <c:pt idx="1617">
                    <c:v>0</c:v>
                  </c:pt>
                  <c:pt idx="1618">
                    <c:v>229</c:v>
                  </c:pt>
                  <c:pt idx="1619">
                    <c:v>767</c:v>
                  </c:pt>
                  <c:pt idx="1621">
                    <c:v>1395</c:v>
                  </c:pt>
                  <c:pt idx="1622">
                    <c:v>715,5</c:v>
                  </c:pt>
                  <c:pt idx="1623">
                    <c:v>63</c:v>
                  </c:pt>
                  <c:pt idx="1624">
                    <c:v>1602</c:v>
                  </c:pt>
                  <c:pt idx="1625">
                    <c:v>285</c:v>
                  </c:pt>
                  <c:pt idx="1626">
                    <c:v>817</c:v>
                  </c:pt>
                  <c:pt idx="1627">
                    <c:v>1097,33</c:v>
                  </c:pt>
                  <c:pt idx="1628">
                    <c:v>2013</c:v>
                  </c:pt>
                  <c:pt idx="1629">
                    <c:v>2142,86</c:v>
                  </c:pt>
                  <c:pt idx="1630">
                    <c:v>1035,07</c:v>
                  </c:pt>
                  <c:pt idx="1631">
                    <c:v>101,8</c:v>
                  </c:pt>
                  <c:pt idx="1632">
                    <c:v>2137,14</c:v>
                  </c:pt>
                  <c:pt idx="1633">
                    <c:v>121</c:v>
                  </c:pt>
                  <c:pt idx="1634">
                    <c:v>142,5</c:v>
                  </c:pt>
                  <c:pt idx="1635">
                    <c:v>742,5</c:v>
                  </c:pt>
                  <c:pt idx="1636">
                    <c:v>1945</c:v>
                  </c:pt>
                  <c:pt idx="1637">
                    <c:v>97</c:v>
                  </c:pt>
                  <c:pt idx="1638">
                    <c:v>145</c:v>
                  </c:pt>
                  <c:pt idx="1639">
                    <c:v>2908,75</c:v>
                  </c:pt>
                  <c:pt idx="1640">
                    <c:v>2232</c:v>
                  </c:pt>
                  <c:pt idx="1641">
                    <c:v>307,38</c:v>
                  </c:pt>
                  <c:pt idx="1642">
                    <c:v>725</c:v>
                  </c:pt>
                  <c:pt idx="1643">
                    <c:v>1165</c:v>
                  </c:pt>
                  <c:pt idx="1644">
                    <c:v>329</c:v>
                  </c:pt>
                  <c:pt idx="1645">
                    <c:v>859</c:v>
                  </c:pt>
                  <c:pt idx="1646">
                    <c:v>639</c:v>
                  </c:pt>
                  <c:pt idx="1647">
                    <c:v>289</c:v>
                  </c:pt>
                  <c:pt idx="1648">
                    <c:v>490</c:v>
                  </c:pt>
                  <c:pt idx="1649">
                    <c:v>158</c:v>
                  </c:pt>
                  <c:pt idx="1650">
                    <c:v>151</c:v>
                  </c:pt>
                  <c:pt idx="1651">
                    <c:v>131,6</c:v>
                  </c:pt>
                  <c:pt idx="1652">
                    <c:v>35</c:v>
                  </c:pt>
                  <c:pt idx="1653">
                    <c:v>1200</c:v>
                  </c:pt>
                  <c:pt idx="1654">
                    <c:v>70</c:v>
                  </c:pt>
                  <c:pt idx="1655">
                    <c:v>138,25</c:v>
                  </c:pt>
                  <c:pt idx="1656">
                    <c:v>18</c:v>
                  </c:pt>
                  <c:pt idx="1657">
                    <c:v>28</c:v>
                  </c:pt>
                  <c:pt idx="1658">
                    <c:v>84</c:v>
                  </c:pt>
                  <c:pt idx="1659">
                    <c:v>46</c:v>
                  </c:pt>
                  <c:pt idx="1660">
                    <c:v>56</c:v>
                  </c:pt>
                  <c:pt idx="1661">
                    <c:v>16,13</c:v>
                  </c:pt>
                  <c:pt idx="1662">
                    <c:v>62,3</c:v>
                  </c:pt>
                  <c:pt idx="1663">
                    <c:v>114,75</c:v>
                  </c:pt>
                  <c:pt idx="1664">
                    <c:v>85</c:v>
                  </c:pt>
                  <c:pt idx="1665">
                    <c:v>260</c:v>
                  </c:pt>
                  <c:pt idx="1666">
                    <c:v>620</c:v>
                  </c:pt>
                  <c:pt idx="1667">
                    <c:v>62</c:v>
                  </c:pt>
                  <c:pt idx="1668">
                    <c:v>44,9</c:v>
                  </c:pt>
                  <c:pt idx="1669">
                    <c:v>28</c:v>
                  </c:pt>
                  <c:pt idx="1670">
                    <c:v>234</c:v>
                  </c:pt>
                  <c:pt idx="1671">
                    <c:v>216</c:v>
                  </c:pt>
                  <c:pt idx="1672">
                    <c:v>155</c:v>
                  </c:pt>
                  <c:pt idx="1673">
                    <c:v>220</c:v>
                  </c:pt>
                  <c:pt idx="1674">
                    <c:v>134,42</c:v>
                  </c:pt>
                  <c:pt idx="1675">
                    <c:v>119,67</c:v>
                  </c:pt>
                  <c:pt idx="1676">
                    <c:v>105,73</c:v>
                  </c:pt>
                  <c:pt idx="1677">
                    <c:v>122,95</c:v>
                  </c:pt>
                  <c:pt idx="1678">
                    <c:v>155,98</c:v>
                  </c:pt>
                  <c:pt idx="1679">
                    <c:v>171,96</c:v>
                  </c:pt>
                  <c:pt idx="1680">
                    <c:v>140,16</c:v>
                  </c:pt>
                  <c:pt idx="1681">
                    <c:v>118,03</c:v>
                  </c:pt>
                  <c:pt idx="1682">
                    <c:v>169,67</c:v>
                  </c:pt>
                  <c:pt idx="1683">
                    <c:v>209,84</c:v>
                  </c:pt>
                  <c:pt idx="1684">
                    <c:v>130</c:v>
                  </c:pt>
                  <c:pt idx="1685">
                    <c:v>102,28</c:v>
                  </c:pt>
                  <c:pt idx="1686">
                    <c:v>93,44</c:v>
                  </c:pt>
                  <c:pt idx="1687">
                    <c:v>111,47</c:v>
                  </c:pt>
                  <c:pt idx="1688">
                    <c:v>156,55</c:v>
                  </c:pt>
                  <c:pt idx="1689">
                    <c:v>98,36</c:v>
                  </c:pt>
                  <c:pt idx="1690">
                    <c:v>285</c:v>
                  </c:pt>
                  <c:pt idx="1691">
                    <c:v>25</c:v>
                  </c:pt>
                  <c:pt idx="1692">
                    <c:v>649,9</c:v>
                  </c:pt>
                  <c:pt idx="1693">
                    <c:v>141</c:v>
                  </c:pt>
                  <c:pt idx="1694">
                    <c:v>86</c:v>
                  </c:pt>
                  <c:pt idx="1695">
                    <c:v>75</c:v>
                  </c:pt>
                  <c:pt idx="1696">
                    <c:v>121,5</c:v>
                  </c:pt>
                  <c:pt idx="1697">
                    <c:v>121,5</c:v>
                  </c:pt>
                  <c:pt idx="1698">
                    <c:v>121,5</c:v>
                  </c:pt>
                  <c:pt idx="1699">
                    <c:v>499,9</c:v>
                  </c:pt>
                  <c:pt idx="1700">
                    <c:v>87,62</c:v>
                  </c:pt>
                  <c:pt idx="1701">
                    <c:v>163,27</c:v>
                  </c:pt>
                  <c:pt idx="1702">
                    <c:v>60,64</c:v>
                  </c:pt>
                  <c:pt idx="1703">
                    <c:v>38,67</c:v>
                  </c:pt>
                  <c:pt idx="1704">
                    <c:v>79,9</c:v>
                  </c:pt>
                  <c:pt idx="1705">
                    <c:v>69,9</c:v>
                  </c:pt>
                  <c:pt idx="1706">
                    <c:v>645</c:v>
                  </c:pt>
                  <c:pt idx="1707">
                    <c:v>195</c:v>
                  </c:pt>
                  <c:pt idx="1708">
                    <c:v>139</c:v>
                  </c:pt>
                  <c:pt idx="1709">
                    <c:v>145,8</c:v>
                  </c:pt>
                  <c:pt idx="1710">
                    <c:v>59</c:v>
                  </c:pt>
                  <c:pt idx="1711">
                    <c:v>64</c:v>
                  </c:pt>
                  <c:pt idx="1712">
                    <c:v>81</c:v>
                  </c:pt>
                  <c:pt idx="1713">
                    <c:v>29</c:v>
                  </c:pt>
                  <c:pt idx="1714">
                    <c:v>238</c:v>
                  </c:pt>
                  <c:pt idx="1715">
                    <c:v>212</c:v>
                  </c:pt>
                  <c:pt idx="1716">
                    <c:v>185</c:v>
                  </c:pt>
                  <c:pt idx="1717">
                    <c:v>46,72</c:v>
                  </c:pt>
                  <c:pt idx="1718">
                    <c:v>68,85</c:v>
                  </c:pt>
                  <c:pt idx="1719">
                    <c:v>100</c:v>
                  </c:pt>
                  <c:pt idx="1720">
                    <c:v>25</c:v>
                  </c:pt>
                  <c:pt idx="1721">
                    <c:v>35</c:v>
                  </c:pt>
                  <c:pt idx="1722">
                    <c:v>90</c:v>
                  </c:pt>
                  <c:pt idx="1723">
                    <c:v>222</c:v>
                  </c:pt>
                  <c:pt idx="1724">
                    <c:v>318</c:v>
                  </c:pt>
                </c:lvl>
                <c:lvl>
                  <c:pt idx="0">
                    <c:v>1,2</c:v>
                  </c:pt>
                  <c:pt idx="1">
                    <c:v>1</c:v>
                  </c:pt>
                  <c:pt idx="2">
                    <c:v>1</c:v>
                  </c:pt>
                  <c:pt idx="3">
                    <c:v>1,22</c:v>
                  </c:pt>
                  <c:pt idx="4">
                    <c:v>1,22</c:v>
                  </c:pt>
                  <c:pt idx="5">
                    <c:v>1</c:v>
                  </c:pt>
                  <c:pt idx="6">
                    <c:v>1</c:v>
                  </c:pt>
                  <c:pt idx="7">
                    <c:v>1</c:v>
                  </c:pt>
                  <c:pt idx="8">
                    <c:v>1,22</c:v>
                  </c:pt>
                  <c:pt idx="9">
                    <c:v>1</c:v>
                  </c:pt>
                  <c:pt idx="10">
                    <c:v>1,22</c:v>
                  </c:pt>
                  <c:pt idx="11">
                    <c:v>1,22</c:v>
                  </c:pt>
                  <c:pt idx="12">
                    <c:v>1,22</c:v>
                  </c:pt>
                  <c:pt idx="13">
                    <c:v>1,22</c:v>
                  </c:pt>
                  <c:pt idx="14">
                    <c:v>1,22</c:v>
                  </c:pt>
                  <c:pt idx="15">
                    <c:v>1,22</c:v>
                  </c:pt>
                  <c:pt idx="16">
                    <c:v>1,22</c:v>
                  </c:pt>
                  <c:pt idx="17">
                    <c:v>1,22</c:v>
                  </c:pt>
                  <c:pt idx="18">
                    <c:v>1,22</c:v>
                  </c:pt>
                  <c:pt idx="19">
                    <c:v>1,22</c:v>
                  </c:pt>
                  <c:pt idx="20">
                    <c:v>1,22</c:v>
                  </c:pt>
                  <c:pt idx="21">
                    <c:v>1,22</c:v>
                  </c:pt>
                  <c:pt idx="22">
                    <c:v>1,22</c:v>
                  </c:pt>
                  <c:pt idx="23">
                    <c:v>1,22</c:v>
                  </c:pt>
                  <c:pt idx="24">
                    <c:v>1</c:v>
                  </c:pt>
                  <c:pt idx="25">
                    <c:v>1</c:v>
                  </c:pt>
                  <c:pt idx="26">
                    <c:v>1,22</c:v>
                  </c:pt>
                  <c:pt idx="27">
                    <c:v>1,22</c:v>
                  </c:pt>
                  <c:pt idx="28">
                    <c:v>1,22</c:v>
                  </c:pt>
                  <c:pt idx="29">
                    <c:v>1,22</c:v>
                  </c:pt>
                  <c:pt idx="30">
                    <c:v>1,22</c:v>
                  </c:pt>
                  <c:pt idx="31">
                    <c:v>1,22</c:v>
                  </c:pt>
                  <c:pt idx="32">
                    <c:v>1,22</c:v>
                  </c:pt>
                  <c:pt idx="33">
                    <c:v>1,22</c:v>
                  </c:pt>
                  <c:pt idx="34">
                    <c:v>1</c:v>
                  </c:pt>
                  <c:pt idx="35">
                    <c:v>1,22</c:v>
                  </c:pt>
                  <c:pt idx="36">
                    <c:v>1,22</c:v>
                  </c:pt>
                  <c:pt idx="37">
                    <c:v>1,22</c:v>
                  </c:pt>
                  <c:pt idx="38">
                    <c:v>1,22</c:v>
                  </c:pt>
                  <c:pt idx="39">
                    <c:v>1,22</c:v>
                  </c:pt>
                  <c:pt idx="40">
                    <c:v>1</c:v>
                  </c:pt>
                  <c:pt idx="41">
                    <c:v>1</c:v>
                  </c:pt>
                  <c:pt idx="42">
                    <c:v>1,22</c:v>
                  </c:pt>
                  <c:pt idx="43">
                    <c:v>1,22</c:v>
                  </c:pt>
                  <c:pt idx="44">
                    <c:v>1</c:v>
                  </c:pt>
                  <c:pt idx="45">
                    <c:v>1</c:v>
                  </c:pt>
                  <c:pt idx="46">
                    <c:v>1,22</c:v>
                  </c:pt>
                  <c:pt idx="47">
                    <c:v>1,22</c:v>
                  </c:pt>
                  <c:pt idx="48">
                    <c:v>1,22</c:v>
                  </c:pt>
                  <c:pt idx="49">
                    <c:v>1,22</c:v>
                  </c:pt>
                  <c:pt idx="50">
                    <c:v>1,22</c:v>
                  </c:pt>
                  <c:pt idx="51">
                    <c:v>1</c:v>
                  </c:pt>
                  <c:pt idx="52">
                    <c:v>1</c:v>
                  </c:pt>
                  <c:pt idx="53">
                    <c:v>1,22</c:v>
                  </c:pt>
                  <c:pt idx="54">
                    <c:v>1,22</c:v>
                  </c:pt>
                  <c:pt idx="55">
                    <c:v>1,22</c:v>
                  </c:pt>
                  <c:pt idx="56">
                    <c:v>1,22</c:v>
                  </c:pt>
                  <c:pt idx="57">
                    <c:v>1,22</c:v>
                  </c:pt>
                  <c:pt idx="58">
                    <c:v>1,22</c:v>
                  </c:pt>
                  <c:pt idx="59">
                    <c:v>1,22</c:v>
                  </c:pt>
                  <c:pt idx="60">
                    <c:v>1</c:v>
                  </c:pt>
                  <c:pt idx="61">
                    <c:v>1,22</c:v>
                  </c:pt>
                  <c:pt idx="62">
                    <c:v>1,22</c:v>
                  </c:pt>
                  <c:pt idx="63">
                    <c:v>1,22</c:v>
                  </c:pt>
                  <c:pt idx="64">
                    <c:v>1,22</c:v>
                  </c:pt>
                  <c:pt idx="65">
                    <c:v>1,22</c:v>
                  </c:pt>
                  <c:pt idx="66">
                    <c:v>1,22</c:v>
                  </c:pt>
                  <c:pt idx="67">
                    <c:v>1,22</c:v>
                  </c:pt>
                  <c:pt idx="68">
                    <c:v>1,22</c:v>
                  </c:pt>
                  <c:pt idx="69">
                    <c:v>1,22</c:v>
                  </c:pt>
                  <c:pt idx="70">
                    <c:v>1,22</c:v>
                  </c:pt>
                  <c:pt idx="71">
                    <c:v>1,22</c:v>
                  </c:pt>
                  <c:pt idx="72">
                    <c:v>1</c:v>
                  </c:pt>
                  <c:pt idx="73">
                    <c:v>1</c:v>
                  </c:pt>
                  <c:pt idx="74">
                    <c:v>1</c:v>
                  </c:pt>
                  <c:pt idx="75">
                    <c:v>1</c:v>
                  </c:pt>
                  <c:pt idx="76">
                    <c:v>1,22</c:v>
                  </c:pt>
                  <c:pt idx="77">
                    <c:v>1,22</c:v>
                  </c:pt>
                  <c:pt idx="78">
                    <c:v>1,22</c:v>
                  </c:pt>
                  <c:pt idx="79">
                    <c:v>1,22</c:v>
                  </c:pt>
                  <c:pt idx="80">
                    <c:v>1,22</c:v>
                  </c:pt>
                  <c:pt idx="81">
                    <c:v>1,22</c:v>
                  </c:pt>
                  <c:pt idx="82">
                    <c:v>1,22</c:v>
                  </c:pt>
                  <c:pt idx="83">
                    <c:v>1,22</c:v>
                  </c:pt>
                  <c:pt idx="84">
                    <c:v>1,22</c:v>
                  </c:pt>
                  <c:pt idx="85">
                    <c:v>1,22</c:v>
                  </c:pt>
                  <c:pt idx="86">
                    <c:v>1,22</c:v>
                  </c:pt>
                  <c:pt idx="87">
                    <c:v>1,22</c:v>
                  </c:pt>
                  <c:pt idx="88">
                    <c:v>1</c:v>
                  </c:pt>
                  <c:pt idx="89">
                    <c:v>1</c:v>
                  </c:pt>
                  <c:pt idx="90">
                    <c:v>1,22</c:v>
                  </c:pt>
                  <c:pt idx="91">
                    <c:v>1,22</c:v>
                  </c:pt>
                  <c:pt idx="92">
                    <c:v>1,22</c:v>
                  </c:pt>
                  <c:pt idx="93">
                    <c:v>1,22</c:v>
                  </c:pt>
                  <c:pt idx="94">
                    <c:v>1,22</c:v>
                  </c:pt>
                  <c:pt idx="95">
                    <c:v>1,22</c:v>
                  </c:pt>
                  <c:pt idx="96">
                    <c:v>1,22</c:v>
                  </c:pt>
                  <c:pt idx="97">
                    <c:v>1</c:v>
                  </c:pt>
                  <c:pt idx="98">
                    <c:v>1,22</c:v>
                  </c:pt>
                  <c:pt idx="99">
                    <c:v>1,22</c:v>
                  </c:pt>
                  <c:pt idx="100">
                    <c:v>1</c:v>
                  </c:pt>
                  <c:pt idx="101">
                    <c:v>1,22</c:v>
                  </c:pt>
                  <c:pt idx="102">
                    <c:v>1,22</c:v>
                  </c:pt>
                  <c:pt idx="103">
                    <c:v>1,22</c:v>
                  </c:pt>
                  <c:pt idx="104">
                    <c:v>1,22</c:v>
                  </c:pt>
                  <c:pt idx="105">
                    <c:v>1,22</c:v>
                  </c:pt>
                  <c:pt idx="106">
                    <c:v>1,22</c:v>
                  </c:pt>
                  <c:pt idx="107">
                    <c:v>1,22</c:v>
                  </c:pt>
                  <c:pt idx="108">
                    <c:v>1,22</c:v>
                  </c:pt>
                  <c:pt idx="109">
                    <c:v>1,22</c:v>
                  </c:pt>
                  <c:pt idx="110">
                    <c:v>1,22</c:v>
                  </c:pt>
                  <c:pt idx="111">
                    <c:v>1,22</c:v>
                  </c:pt>
                  <c:pt idx="112">
                    <c:v>1,22</c:v>
                  </c:pt>
                  <c:pt idx="113">
                    <c:v>1,2</c:v>
                  </c:pt>
                  <c:pt idx="114">
                    <c:v>1,22</c:v>
                  </c:pt>
                  <c:pt idx="115">
                    <c:v>1,22</c:v>
                  </c:pt>
                  <c:pt idx="116">
                    <c:v>1,22</c:v>
                  </c:pt>
                  <c:pt idx="117">
                    <c:v>1,22</c:v>
                  </c:pt>
                  <c:pt idx="118">
                    <c:v>1,22</c:v>
                  </c:pt>
                  <c:pt idx="119">
                    <c:v>1,22</c:v>
                  </c:pt>
                  <c:pt idx="120">
                    <c:v>1,22</c:v>
                  </c:pt>
                  <c:pt idx="121">
                    <c:v>1,22</c:v>
                  </c:pt>
                  <c:pt idx="122">
                    <c:v>1</c:v>
                  </c:pt>
                  <c:pt idx="123">
                    <c:v>1</c:v>
                  </c:pt>
                  <c:pt idx="124">
                    <c:v>1,22</c:v>
                  </c:pt>
                  <c:pt idx="125">
                    <c:v>1,22</c:v>
                  </c:pt>
                  <c:pt idx="126">
                    <c:v>1,22</c:v>
                  </c:pt>
                  <c:pt idx="127">
                    <c:v>1,22</c:v>
                  </c:pt>
                  <c:pt idx="128">
                    <c:v>1,22</c:v>
                  </c:pt>
                  <c:pt idx="129">
                    <c:v>1,22</c:v>
                  </c:pt>
                  <c:pt idx="130">
                    <c:v>1,22</c:v>
                  </c:pt>
                  <c:pt idx="131">
                    <c:v>1,22</c:v>
                  </c:pt>
                  <c:pt idx="132">
                    <c:v>1,22</c:v>
                  </c:pt>
                  <c:pt idx="133">
                    <c:v>1,22</c:v>
                  </c:pt>
                  <c:pt idx="134">
                    <c:v>1,22</c:v>
                  </c:pt>
                  <c:pt idx="135">
                    <c:v>1,22</c:v>
                  </c:pt>
                  <c:pt idx="136">
                    <c:v>1,22</c:v>
                  </c:pt>
                  <c:pt idx="137">
                    <c:v>1,22</c:v>
                  </c:pt>
                  <c:pt idx="138">
                    <c:v>1,22</c:v>
                  </c:pt>
                  <c:pt idx="139">
                    <c:v>1,22</c:v>
                  </c:pt>
                  <c:pt idx="140">
                    <c:v>1,22</c:v>
                  </c:pt>
                  <c:pt idx="141">
                    <c:v>1,22</c:v>
                  </c:pt>
                  <c:pt idx="142">
                    <c:v>1,22</c:v>
                  </c:pt>
                  <c:pt idx="143">
                    <c:v>1,22</c:v>
                  </c:pt>
                  <c:pt idx="144">
                    <c:v>1,22</c:v>
                  </c:pt>
                  <c:pt idx="145">
                    <c:v>1,22</c:v>
                  </c:pt>
                  <c:pt idx="146">
                    <c:v>1,22</c:v>
                  </c:pt>
                  <c:pt idx="147">
                    <c:v>1,22</c:v>
                  </c:pt>
                  <c:pt idx="148">
                    <c:v>1,22</c:v>
                  </c:pt>
                  <c:pt idx="149">
                    <c:v>1,22</c:v>
                  </c:pt>
                  <c:pt idx="150">
                    <c:v>1,22</c:v>
                  </c:pt>
                  <c:pt idx="151">
                    <c:v>1,22</c:v>
                  </c:pt>
                  <c:pt idx="152">
                    <c:v>1,22</c:v>
                  </c:pt>
                  <c:pt idx="153">
                    <c:v>1,22</c:v>
                  </c:pt>
                  <c:pt idx="154">
                    <c:v>1,22</c:v>
                  </c:pt>
                  <c:pt idx="155">
                    <c:v>1,22</c:v>
                  </c:pt>
                  <c:pt idx="156">
                    <c:v>1,22</c:v>
                  </c:pt>
                  <c:pt idx="157">
                    <c:v>1,22</c:v>
                  </c:pt>
                  <c:pt idx="158">
                    <c:v>1,22</c:v>
                  </c:pt>
                  <c:pt idx="159">
                    <c:v>1,22</c:v>
                  </c:pt>
                  <c:pt idx="160">
                    <c:v>1,22</c:v>
                  </c:pt>
                  <c:pt idx="161">
                    <c:v>1</c:v>
                  </c:pt>
                  <c:pt idx="162">
                    <c:v>1,22</c:v>
                  </c:pt>
                  <c:pt idx="163">
                    <c:v>1,22</c:v>
                  </c:pt>
                  <c:pt idx="164">
                    <c:v>1,22</c:v>
                  </c:pt>
                  <c:pt idx="165">
                    <c:v>1</c:v>
                  </c:pt>
                  <c:pt idx="166">
                    <c:v>1,22</c:v>
                  </c:pt>
                  <c:pt idx="167">
                    <c:v>1,22</c:v>
                  </c:pt>
                  <c:pt idx="168">
                    <c:v>1,22</c:v>
                  </c:pt>
                  <c:pt idx="169">
                    <c:v>1,22</c:v>
                  </c:pt>
                  <c:pt idx="170">
                    <c:v>1</c:v>
                  </c:pt>
                  <c:pt idx="171">
                    <c:v>1,22</c:v>
                  </c:pt>
                  <c:pt idx="172">
                    <c:v>1,22</c:v>
                  </c:pt>
                  <c:pt idx="173">
                    <c:v>1</c:v>
                  </c:pt>
                  <c:pt idx="174">
                    <c:v>1,22</c:v>
                  </c:pt>
                  <c:pt idx="175">
                    <c:v>1,22</c:v>
                  </c:pt>
                  <c:pt idx="176">
                    <c:v>1,22</c:v>
                  </c:pt>
                  <c:pt idx="177">
                    <c:v>1,22</c:v>
                  </c:pt>
                  <c:pt idx="178">
                    <c:v>1,22</c:v>
                  </c:pt>
                  <c:pt idx="179">
                    <c:v>1,22</c:v>
                  </c:pt>
                  <c:pt idx="180">
                    <c:v>1,22</c:v>
                  </c:pt>
                  <c:pt idx="181">
                    <c:v>1,22</c:v>
                  </c:pt>
                  <c:pt idx="182">
                    <c:v>1,22</c:v>
                  </c:pt>
                  <c:pt idx="183">
                    <c:v>1,22</c:v>
                  </c:pt>
                  <c:pt idx="184">
                    <c:v>1,22</c:v>
                  </c:pt>
                  <c:pt idx="185">
                    <c:v>1,22</c:v>
                  </c:pt>
                  <c:pt idx="186">
                    <c:v>1,22</c:v>
                  </c:pt>
                  <c:pt idx="187">
                    <c:v>1,22</c:v>
                  </c:pt>
                  <c:pt idx="188">
                    <c:v>1,22</c:v>
                  </c:pt>
                  <c:pt idx="189">
                    <c:v>1,22</c:v>
                  </c:pt>
                  <c:pt idx="190">
                    <c:v>1,22</c:v>
                  </c:pt>
                  <c:pt idx="191">
                    <c:v>1,22</c:v>
                  </c:pt>
                  <c:pt idx="192">
                    <c:v>1,22</c:v>
                  </c:pt>
                  <c:pt idx="193">
                    <c:v>1,22</c:v>
                  </c:pt>
                  <c:pt idx="194">
                    <c:v>1,22</c:v>
                  </c:pt>
                  <c:pt idx="195">
                    <c:v>1,22</c:v>
                  </c:pt>
                  <c:pt idx="196">
                    <c:v>1,22</c:v>
                  </c:pt>
                  <c:pt idx="197">
                    <c:v>1,22</c:v>
                  </c:pt>
                  <c:pt idx="198">
                    <c:v>1,22</c:v>
                  </c:pt>
                  <c:pt idx="199">
                    <c:v>1,22</c:v>
                  </c:pt>
                  <c:pt idx="200">
                    <c:v>1,22</c:v>
                  </c:pt>
                  <c:pt idx="201">
                    <c:v>1,22</c:v>
                  </c:pt>
                  <c:pt idx="202">
                    <c:v>1,22</c:v>
                  </c:pt>
                  <c:pt idx="203">
                    <c:v>1,22</c:v>
                  </c:pt>
                  <c:pt idx="204">
                    <c:v>1,22</c:v>
                  </c:pt>
                  <c:pt idx="205">
                    <c:v>1,22</c:v>
                  </c:pt>
                  <c:pt idx="206">
                    <c:v>1,22</c:v>
                  </c:pt>
                  <c:pt idx="207">
                    <c:v>1,22</c:v>
                  </c:pt>
                  <c:pt idx="208">
                    <c:v>1,22</c:v>
                  </c:pt>
                  <c:pt idx="209">
                    <c:v>1,22</c:v>
                  </c:pt>
                  <c:pt idx="210">
                    <c:v>1,22</c:v>
                  </c:pt>
                  <c:pt idx="211">
                    <c:v>1,22</c:v>
                  </c:pt>
                  <c:pt idx="212">
                    <c:v>1,22</c:v>
                  </c:pt>
                  <c:pt idx="213">
                    <c:v>1,22</c:v>
                  </c:pt>
                  <c:pt idx="214">
                    <c:v>1,22</c:v>
                  </c:pt>
                  <c:pt idx="215">
                    <c:v>1,22</c:v>
                  </c:pt>
                  <c:pt idx="216">
                    <c:v>1</c:v>
                  </c:pt>
                  <c:pt idx="217">
                    <c:v>1</c:v>
                  </c:pt>
                  <c:pt idx="218">
                    <c:v>1,22</c:v>
                  </c:pt>
                  <c:pt idx="219">
                    <c:v>1,22</c:v>
                  </c:pt>
                  <c:pt idx="220">
                    <c:v>1,22</c:v>
                  </c:pt>
                  <c:pt idx="221">
                    <c:v>1,22</c:v>
                  </c:pt>
                  <c:pt idx="222">
                    <c:v>1,22</c:v>
                  </c:pt>
                  <c:pt idx="223">
                    <c:v>1,22</c:v>
                  </c:pt>
                  <c:pt idx="224">
                    <c:v>1,22</c:v>
                  </c:pt>
                  <c:pt idx="225">
                    <c:v>1,22</c:v>
                  </c:pt>
                  <c:pt idx="226">
                    <c:v>1,22</c:v>
                  </c:pt>
                  <c:pt idx="227">
                    <c:v>1,22</c:v>
                  </c:pt>
                  <c:pt idx="228">
                    <c:v>1</c:v>
                  </c:pt>
                  <c:pt idx="229">
                    <c:v>1,22</c:v>
                  </c:pt>
                  <c:pt idx="230">
                    <c:v>1,22</c:v>
                  </c:pt>
                  <c:pt idx="231">
                    <c:v>1,22</c:v>
                  </c:pt>
                  <c:pt idx="232">
                    <c:v>1,22</c:v>
                  </c:pt>
                  <c:pt idx="233">
                    <c:v>1,22</c:v>
                  </c:pt>
                  <c:pt idx="234">
                    <c:v>1,22</c:v>
                  </c:pt>
                  <c:pt idx="235">
                    <c:v>1,22</c:v>
                  </c:pt>
                  <c:pt idx="236">
                    <c:v>1,22</c:v>
                  </c:pt>
                  <c:pt idx="237">
                    <c:v>1,22</c:v>
                  </c:pt>
                  <c:pt idx="238">
                    <c:v>1,22</c:v>
                  </c:pt>
                  <c:pt idx="239">
                    <c:v>1,22</c:v>
                  </c:pt>
                  <c:pt idx="240">
                    <c:v>1,22</c:v>
                  </c:pt>
                  <c:pt idx="241">
                    <c:v>1,22</c:v>
                  </c:pt>
                  <c:pt idx="242">
                    <c:v>1,22</c:v>
                  </c:pt>
                  <c:pt idx="243">
                    <c:v>1,22</c:v>
                  </c:pt>
                  <c:pt idx="244">
                    <c:v>1,22</c:v>
                  </c:pt>
                  <c:pt idx="245">
                    <c:v>1,22</c:v>
                  </c:pt>
                  <c:pt idx="246">
                    <c:v>1,22</c:v>
                  </c:pt>
                  <c:pt idx="247">
                    <c:v>1</c:v>
                  </c:pt>
                  <c:pt idx="248">
                    <c:v>1,22</c:v>
                  </c:pt>
                  <c:pt idx="249">
                    <c:v>1,22</c:v>
                  </c:pt>
                  <c:pt idx="250">
                    <c:v>1,22</c:v>
                  </c:pt>
                  <c:pt idx="251">
                    <c:v>1</c:v>
                  </c:pt>
                  <c:pt idx="252">
                    <c:v>1,22</c:v>
                  </c:pt>
                  <c:pt idx="253">
                    <c:v>1,22</c:v>
                  </c:pt>
                  <c:pt idx="254">
                    <c:v>1,22</c:v>
                  </c:pt>
                  <c:pt idx="255">
                    <c:v>1,22</c:v>
                  </c:pt>
                  <c:pt idx="256">
                    <c:v>1,22</c:v>
                  </c:pt>
                  <c:pt idx="257">
                    <c:v>1,22</c:v>
                  </c:pt>
                  <c:pt idx="258">
                    <c:v>1,22</c:v>
                  </c:pt>
                  <c:pt idx="259">
                    <c:v>1,22</c:v>
                  </c:pt>
                  <c:pt idx="260">
                    <c:v>1,22</c:v>
                  </c:pt>
                  <c:pt idx="261">
                    <c:v>1,22</c:v>
                  </c:pt>
                  <c:pt idx="262">
                    <c:v>1,22</c:v>
                  </c:pt>
                  <c:pt idx="263">
                    <c:v>1</c:v>
                  </c:pt>
                  <c:pt idx="264">
                    <c:v>1</c:v>
                  </c:pt>
                  <c:pt idx="265">
                    <c:v>1</c:v>
                  </c:pt>
                  <c:pt idx="266">
                    <c:v>1</c:v>
                  </c:pt>
                  <c:pt idx="267">
                    <c:v>1</c:v>
                  </c:pt>
                  <c:pt idx="268">
                    <c:v>1,22</c:v>
                  </c:pt>
                  <c:pt idx="269">
                    <c:v>1,22</c:v>
                  </c:pt>
                  <c:pt idx="270">
                    <c:v>1,22</c:v>
                  </c:pt>
                  <c:pt idx="271">
                    <c:v>1,22</c:v>
                  </c:pt>
                  <c:pt idx="272">
                    <c:v>1,22</c:v>
                  </c:pt>
                  <c:pt idx="273">
                    <c:v>1</c:v>
                  </c:pt>
                  <c:pt idx="274">
                    <c:v>1,22</c:v>
                  </c:pt>
                  <c:pt idx="275">
                    <c:v>1,22</c:v>
                  </c:pt>
                  <c:pt idx="276">
                    <c:v>1,22</c:v>
                  </c:pt>
                  <c:pt idx="277">
                    <c:v>1,22</c:v>
                  </c:pt>
                  <c:pt idx="278">
                    <c:v>1,22</c:v>
                  </c:pt>
                  <c:pt idx="279">
                    <c:v>1,22</c:v>
                  </c:pt>
                  <c:pt idx="280">
                    <c:v>1,22</c:v>
                  </c:pt>
                  <c:pt idx="281">
                    <c:v>1,22</c:v>
                  </c:pt>
                  <c:pt idx="282">
                    <c:v>1,22</c:v>
                  </c:pt>
                  <c:pt idx="283">
                    <c:v>1,22</c:v>
                  </c:pt>
                  <c:pt idx="284">
                    <c:v>1,22</c:v>
                  </c:pt>
                  <c:pt idx="285">
                    <c:v>1,22</c:v>
                  </c:pt>
                  <c:pt idx="286">
                    <c:v>1,22</c:v>
                  </c:pt>
                  <c:pt idx="287">
                    <c:v>1,22</c:v>
                  </c:pt>
                  <c:pt idx="288">
                    <c:v>1,22</c:v>
                  </c:pt>
                  <c:pt idx="289">
                    <c:v>1,22</c:v>
                  </c:pt>
                  <c:pt idx="290">
                    <c:v>1,22</c:v>
                  </c:pt>
                  <c:pt idx="291">
                    <c:v>1,22</c:v>
                  </c:pt>
                  <c:pt idx="292">
                    <c:v>1,22</c:v>
                  </c:pt>
                  <c:pt idx="293">
                    <c:v>1,22</c:v>
                  </c:pt>
                  <c:pt idx="294">
                    <c:v>1,22</c:v>
                  </c:pt>
                  <c:pt idx="295">
                    <c:v>1,22</c:v>
                  </c:pt>
                  <c:pt idx="296">
                    <c:v>1,22</c:v>
                  </c:pt>
                  <c:pt idx="297">
                    <c:v>1,22</c:v>
                  </c:pt>
                  <c:pt idx="298">
                    <c:v>1,22</c:v>
                  </c:pt>
                  <c:pt idx="299">
                    <c:v>1</c:v>
                  </c:pt>
                  <c:pt idx="300">
                    <c:v>1</c:v>
                  </c:pt>
                  <c:pt idx="301">
                    <c:v>1</c:v>
                  </c:pt>
                  <c:pt idx="302">
                    <c:v>1</c:v>
                  </c:pt>
                  <c:pt idx="303">
                    <c:v>1</c:v>
                  </c:pt>
                  <c:pt idx="304">
                    <c:v>1</c:v>
                  </c:pt>
                  <c:pt idx="305">
                    <c:v>1</c:v>
                  </c:pt>
                  <c:pt idx="306">
                    <c:v>1</c:v>
                  </c:pt>
                  <c:pt idx="307">
                    <c:v>1</c:v>
                  </c:pt>
                  <c:pt idx="308">
                    <c:v>1</c:v>
                  </c:pt>
                  <c:pt idx="309">
                    <c:v>1,22</c:v>
                  </c:pt>
                  <c:pt idx="310">
                    <c:v>1,22</c:v>
                  </c:pt>
                  <c:pt idx="311">
                    <c:v>1,22</c:v>
                  </c:pt>
                  <c:pt idx="312">
                    <c:v>1,22</c:v>
                  </c:pt>
                  <c:pt idx="313">
                    <c:v>1,22</c:v>
                  </c:pt>
                  <c:pt idx="314">
                    <c:v>1,22</c:v>
                  </c:pt>
                  <c:pt idx="315">
                    <c:v>1,22</c:v>
                  </c:pt>
                  <c:pt idx="316">
                    <c:v>1</c:v>
                  </c:pt>
                  <c:pt idx="317">
                    <c:v>1,22</c:v>
                  </c:pt>
                  <c:pt idx="318">
                    <c:v>1</c:v>
                  </c:pt>
                  <c:pt idx="319">
                    <c:v>1</c:v>
                  </c:pt>
                  <c:pt idx="320">
                    <c:v>1,22</c:v>
                  </c:pt>
                  <c:pt idx="321">
                    <c:v>1,22</c:v>
                  </c:pt>
                  <c:pt idx="322">
                    <c:v>1,22</c:v>
                  </c:pt>
                  <c:pt idx="323">
                    <c:v>1,22</c:v>
                  </c:pt>
                  <c:pt idx="324">
                    <c:v>1,22</c:v>
                  </c:pt>
                  <c:pt idx="325">
                    <c:v>1,22</c:v>
                  </c:pt>
                  <c:pt idx="326">
                    <c:v>1,22</c:v>
                  </c:pt>
                  <c:pt idx="327">
                    <c:v>1</c:v>
                  </c:pt>
                  <c:pt idx="328">
                    <c:v>1,22</c:v>
                  </c:pt>
                  <c:pt idx="329">
                    <c:v>1,22</c:v>
                  </c:pt>
                  <c:pt idx="330">
                    <c:v>1,22</c:v>
                  </c:pt>
                  <c:pt idx="331">
                    <c:v>1,22</c:v>
                  </c:pt>
                  <c:pt idx="332">
                    <c:v>1,22</c:v>
                  </c:pt>
                  <c:pt idx="333">
                    <c:v>1,22</c:v>
                  </c:pt>
                  <c:pt idx="334">
                    <c:v>1,22</c:v>
                  </c:pt>
                  <c:pt idx="335">
                    <c:v>1,22</c:v>
                  </c:pt>
                  <c:pt idx="336">
                    <c:v>1,22</c:v>
                  </c:pt>
                  <c:pt idx="337">
                    <c:v>1,22</c:v>
                  </c:pt>
                  <c:pt idx="338">
                    <c:v>1,22</c:v>
                  </c:pt>
                  <c:pt idx="339">
                    <c:v>1,22</c:v>
                  </c:pt>
                  <c:pt idx="340">
                    <c:v>1,22</c:v>
                  </c:pt>
                  <c:pt idx="341">
                    <c:v>1,22</c:v>
                  </c:pt>
                  <c:pt idx="342">
                    <c:v>1,22</c:v>
                  </c:pt>
                  <c:pt idx="343">
                    <c:v>1,22</c:v>
                  </c:pt>
                  <c:pt idx="344">
                    <c:v>1,22</c:v>
                  </c:pt>
                  <c:pt idx="345">
                    <c:v>1,22</c:v>
                  </c:pt>
                  <c:pt idx="346">
                    <c:v>1,22</c:v>
                  </c:pt>
                  <c:pt idx="347">
                    <c:v>1,22</c:v>
                  </c:pt>
                  <c:pt idx="348">
                    <c:v>1,22</c:v>
                  </c:pt>
                  <c:pt idx="349">
                    <c:v>1,22</c:v>
                  </c:pt>
                  <c:pt idx="350">
                    <c:v>1,22</c:v>
                  </c:pt>
                  <c:pt idx="351">
                    <c:v>1,22</c:v>
                  </c:pt>
                  <c:pt idx="352">
                    <c:v>1,22</c:v>
                  </c:pt>
                  <c:pt idx="353">
                    <c:v>1,22</c:v>
                  </c:pt>
                  <c:pt idx="354">
                    <c:v>1,22</c:v>
                  </c:pt>
                  <c:pt idx="355">
                    <c:v>1,22</c:v>
                  </c:pt>
                  <c:pt idx="356">
                    <c:v>1</c:v>
                  </c:pt>
                  <c:pt idx="357">
                    <c:v>1,22</c:v>
                  </c:pt>
                  <c:pt idx="358">
                    <c:v>1,22</c:v>
                  </c:pt>
                  <c:pt idx="359">
                    <c:v>1,22</c:v>
                  </c:pt>
                  <c:pt idx="360">
                    <c:v>1,22</c:v>
                  </c:pt>
                  <c:pt idx="361">
                    <c:v>1,22</c:v>
                  </c:pt>
                  <c:pt idx="362">
                    <c:v>1,22</c:v>
                  </c:pt>
                  <c:pt idx="363">
                    <c:v>1,22</c:v>
                  </c:pt>
                  <c:pt idx="364">
                    <c:v>1,22</c:v>
                  </c:pt>
                  <c:pt idx="365">
                    <c:v>1,22</c:v>
                  </c:pt>
                  <c:pt idx="366">
                    <c:v>1,22</c:v>
                  </c:pt>
                  <c:pt idx="367">
                    <c:v>1,22</c:v>
                  </c:pt>
                  <c:pt idx="368">
                    <c:v>1,22</c:v>
                  </c:pt>
                  <c:pt idx="369">
                    <c:v>1,22</c:v>
                  </c:pt>
                  <c:pt idx="370">
                    <c:v>1,22</c:v>
                  </c:pt>
                  <c:pt idx="371">
                    <c:v>1,22</c:v>
                  </c:pt>
                  <c:pt idx="372">
                    <c:v>1,22</c:v>
                  </c:pt>
                  <c:pt idx="373">
                    <c:v>1,22</c:v>
                  </c:pt>
                  <c:pt idx="374">
                    <c:v>1,22</c:v>
                  </c:pt>
                  <c:pt idx="375">
                    <c:v>1,22</c:v>
                  </c:pt>
                  <c:pt idx="376">
                    <c:v>1,22</c:v>
                  </c:pt>
                  <c:pt idx="377">
                    <c:v>1,22</c:v>
                  </c:pt>
                  <c:pt idx="378">
                    <c:v>1,22</c:v>
                  </c:pt>
                  <c:pt idx="379">
                    <c:v>1,22</c:v>
                  </c:pt>
                  <c:pt idx="380">
                    <c:v>1,22</c:v>
                  </c:pt>
                  <c:pt idx="381">
                    <c:v>1,22</c:v>
                  </c:pt>
                  <c:pt idx="382">
                    <c:v>1,22</c:v>
                  </c:pt>
                  <c:pt idx="383">
                    <c:v>1</c:v>
                  </c:pt>
                  <c:pt idx="384">
                    <c:v>1</c:v>
                  </c:pt>
                  <c:pt idx="385">
                    <c:v>1,22</c:v>
                  </c:pt>
                  <c:pt idx="386">
                    <c:v>1,22</c:v>
                  </c:pt>
                  <c:pt idx="387">
                    <c:v>1,22</c:v>
                  </c:pt>
                  <c:pt idx="388">
                    <c:v>1,22</c:v>
                  </c:pt>
                  <c:pt idx="389">
                    <c:v>1,22</c:v>
                  </c:pt>
                  <c:pt idx="390">
                    <c:v>1,22</c:v>
                  </c:pt>
                  <c:pt idx="391">
                    <c:v>1,22</c:v>
                  </c:pt>
                  <c:pt idx="392">
                    <c:v>1,22</c:v>
                  </c:pt>
                  <c:pt idx="393">
                    <c:v>1,22</c:v>
                  </c:pt>
                  <c:pt idx="394">
                    <c:v>1,22</c:v>
                  </c:pt>
                  <c:pt idx="395">
                    <c:v>1,22</c:v>
                  </c:pt>
                  <c:pt idx="396">
                    <c:v>1,22</c:v>
                  </c:pt>
                  <c:pt idx="397">
                    <c:v>1,22</c:v>
                  </c:pt>
                  <c:pt idx="398">
                    <c:v>1,22</c:v>
                  </c:pt>
                  <c:pt idx="399">
                    <c:v>1,22</c:v>
                  </c:pt>
                  <c:pt idx="400">
                    <c:v>1,22</c:v>
                  </c:pt>
                  <c:pt idx="401">
                    <c:v>1,22</c:v>
                  </c:pt>
                  <c:pt idx="402">
                    <c:v>1,22</c:v>
                  </c:pt>
                  <c:pt idx="403">
                    <c:v>1,22</c:v>
                  </c:pt>
                  <c:pt idx="404">
                    <c:v>1,22</c:v>
                  </c:pt>
                  <c:pt idx="405">
                    <c:v>1,22</c:v>
                  </c:pt>
                  <c:pt idx="406">
                    <c:v>1,22</c:v>
                  </c:pt>
                  <c:pt idx="407">
                    <c:v>1,22</c:v>
                  </c:pt>
                  <c:pt idx="408">
                    <c:v>1,22</c:v>
                  </c:pt>
                  <c:pt idx="409">
                    <c:v>1,22</c:v>
                  </c:pt>
                  <c:pt idx="410">
                    <c:v>1,22</c:v>
                  </c:pt>
                  <c:pt idx="411">
                    <c:v>1,22</c:v>
                  </c:pt>
                  <c:pt idx="412">
                    <c:v>1,22</c:v>
                  </c:pt>
                  <c:pt idx="413">
                    <c:v>1,22</c:v>
                  </c:pt>
                  <c:pt idx="414">
                    <c:v>1,22</c:v>
                  </c:pt>
                  <c:pt idx="415">
                    <c:v>1,22</c:v>
                  </c:pt>
                  <c:pt idx="416">
                    <c:v>1</c:v>
                  </c:pt>
                  <c:pt idx="417">
                    <c:v>1</c:v>
                  </c:pt>
                  <c:pt idx="418">
                    <c:v>1,22</c:v>
                  </c:pt>
                  <c:pt idx="419">
                    <c:v>1</c:v>
                  </c:pt>
                  <c:pt idx="420">
                    <c:v>1</c:v>
                  </c:pt>
                  <c:pt idx="421">
                    <c:v>1,22</c:v>
                  </c:pt>
                  <c:pt idx="422">
                    <c:v>1,22</c:v>
                  </c:pt>
                  <c:pt idx="423">
                    <c:v>1,22</c:v>
                  </c:pt>
                  <c:pt idx="424">
                    <c:v>1,2</c:v>
                  </c:pt>
                  <c:pt idx="425">
                    <c:v>1,2</c:v>
                  </c:pt>
                  <c:pt idx="426">
                    <c:v>1,2</c:v>
                  </c:pt>
                  <c:pt idx="427">
                    <c:v>1,2</c:v>
                  </c:pt>
                  <c:pt idx="428">
                    <c:v>1,22</c:v>
                  </c:pt>
                  <c:pt idx="429">
                    <c:v>1,22</c:v>
                  </c:pt>
                  <c:pt idx="430">
                    <c:v>1,22</c:v>
                  </c:pt>
                  <c:pt idx="431">
                    <c:v>1,22</c:v>
                  </c:pt>
                  <c:pt idx="432">
                    <c:v>1,22</c:v>
                  </c:pt>
                  <c:pt idx="433">
                    <c:v>1,22</c:v>
                  </c:pt>
                  <c:pt idx="434">
                    <c:v>1,22</c:v>
                  </c:pt>
                  <c:pt idx="435">
                    <c:v>1,22</c:v>
                  </c:pt>
                  <c:pt idx="436">
                    <c:v>1,22</c:v>
                  </c:pt>
                  <c:pt idx="437">
                    <c:v>1,22</c:v>
                  </c:pt>
                  <c:pt idx="438">
                    <c:v>1,22</c:v>
                  </c:pt>
                  <c:pt idx="439">
                    <c:v>1,22</c:v>
                  </c:pt>
                  <c:pt idx="440">
                    <c:v>1,22</c:v>
                  </c:pt>
                  <c:pt idx="441">
                    <c:v>1,22</c:v>
                  </c:pt>
                  <c:pt idx="442">
                    <c:v>1,22</c:v>
                  </c:pt>
                  <c:pt idx="443">
                    <c:v>1,22</c:v>
                  </c:pt>
                  <c:pt idx="444">
                    <c:v>1,22</c:v>
                  </c:pt>
                  <c:pt idx="445">
                    <c:v>1,22</c:v>
                  </c:pt>
                  <c:pt idx="446">
                    <c:v>1,22</c:v>
                  </c:pt>
                  <c:pt idx="447">
                    <c:v>1,22</c:v>
                  </c:pt>
                  <c:pt idx="448">
                    <c:v>1,22</c:v>
                  </c:pt>
                  <c:pt idx="449">
                    <c:v>1,22</c:v>
                  </c:pt>
                  <c:pt idx="450">
                    <c:v>1,22</c:v>
                  </c:pt>
                  <c:pt idx="451">
                    <c:v>1,22</c:v>
                  </c:pt>
                  <c:pt idx="452">
                    <c:v>1,22</c:v>
                  </c:pt>
                  <c:pt idx="453">
                    <c:v>1,22</c:v>
                  </c:pt>
                  <c:pt idx="454">
                    <c:v>1,22</c:v>
                  </c:pt>
                  <c:pt idx="455">
                    <c:v>1,22</c:v>
                  </c:pt>
                  <c:pt idx="456">
                    <c:v>1,22</c:v>
                  </c:pt>
                  <c:pt idx="457">
                    <c:v>1,22</c:v>
                  </c:pt>
                  <c:pt idx="458">
                    <c:v>1,22</c:v>
                  </c:pt>
                  <c:pt idx="459">
                    <c:v>1,22</c:v>
                  </c:pt>
                  <c:pt idx="460">
                    <c:v>1,22</c:v>
                  </c:pt>
                  <c:pt idx="461">
                    <c:v>1,22</c:v>
                  </c:pt>
                  <c:pt idx="462">
                    <c:v>1</c:v>
                  </c:pt>
                  <c:pt idx="463">
                    <c:v>1,22</c:v>
                  </c:pt>
                  <c:pt idx="464">
                    <c:v>1,22</c:v>
                  </c:pt>
                  <c:pt idx="465">
                    <c:v>1,22</c:v>
                  </c:pt>
                  <c:pt idx="466">
                    <c:v>1,22</c:v>
                  </c:pt>
                  <c:pt idx="467">
                    <c:v>1,22</c:v>
                  </c:pt>
                  <c:pt idx="468">
                    <c:v>1,22</c:v>
                  </c:pt>
                  <c:pt idx="469">
                    <c:v>1,22</c:v>
                  </c:pt>
                  <c:pt idx="470">
                    <c:v>1,22</c:v>
                  </c:pt>
                  <c:pt idx="471">
                    <c:v>1,22</c:v>
                  </c:pt>
                  <c:pt idx="472">
                    <c:v>1,22</c:v>
                  </c:pt>
                  <c:pt idx="473">
                    <c:v>1,22</c:v>
                  </c:pt>
                  <c:pt idx="474">
                    <c:v>1</c:v>
                  </c:pt>
                  <c:pt idx="475">
                    <c:v>1</c:v>
                  </c:pt>
                  <c:pt idx="476">
                    <c:v>1,22</c:v>
                  </c:pt>
                  <c:pt idx="477">
                    <c:v>1,22</c:v>
                  </c:pt>
                  <c:pt idx="478">
                    <c:v>1,22</c:v>
                  </c:pt>
                  <c:pt idx="479">
                    <c:v>1,22</c:v>
                  </c:pt>
                  <c:pt idx="480">
                    <c:v>1,22</c:v>
                  </c:pt>
                  <c:pt idx="481">
                    <c:v>1,22</c:v>
                  </c:pt>
                  <c:pt idx="482">
                    <c:v>1,22</c:v>
                  </c:pt>
                  <c:pt idx="483">
                    <c:v>1,22</c:v>
                  </c:pt>
                  <c:pt idx="484">
                    <c:v>1,22</c:v>
                  </c:pt>
                  <c:pt idx="486">
                    <c:v>1,22</c:v>
                  </c:pt>
                  <c:pt idx="487">
                    <c:v>1,22</c:v>
                  </c:pt>
                  <c:pt idx="488">
                    <c:v>1,22</c:v>
                  </c:pt>
                  <c:pt idx="489">
                    <c:v>1,22</c:v>
                  </c:pt>
                  <c:pt idx="490">
                    <c:v>1,22</c:v>
                  </c:pt>
                  <c:pt idx="491">
                    <c:v>1,22</c:v>
                  </c:pt>
                  <c:pt idx="492">
                    <c:v>1,22</c:v>
                  </c:pt>
                  <c:pt idx="493">
                    <c:v>1,22</c:v>
                  </c:pt>
                  <c:pt idx="495">
                    <c:v>1</c:v>
                  </c:pt>
                  <c:pt idx="496">
                    <c:v>1,22</c:v>
                  </c:pt>
                  <c:pt idx="497">
                    <c:v>1,22</c:v>
                  </c:pt>
                  <c:pt idx="498">
                    <c:v>1,22</c:v>
                  </c:pt>
                  <c:pt idx="499">
                    <c:v>1,22</c:v>
                  </c:pt>
                  <c:pt idx="500">
                    <c:v>1,22</c:v>
                  </c:pt>
                  <c:pt idx="501">
                    <c:v>1,22</c:v>
                  </c:pt>
                  <c:pt idx="502">
                    <c:v>1,22</c:v>
                  </c:pt>
                  <c:pt idx="503">
                    <c:v>1,22</c:v>
                  </c:pt>
                  <c:pt idx="504">
                    <c:v>1,22</c:v>
                  </c:pt>
                  <c:pt idx="505">
                    <c:v>1,22</c:v>
                  </c:pt>
                  <c:pt idx="506">
                    <c:v>1,22</c:v>
                  </c:pt>
                  <c:pt idx="507">
                    <c:v>1,22</c:v>
                  </c:pt>
                  <c:pt idx="508">
                    <c:v>1,22</c:v>
                  </c:pt>
                  <c:pt idx="509">
                    <c:v>1,22</c:v>
                  </c:pt>
                  <c:pt idx="510">
                    <c:v>1,22</c:v>
                  </c:pt>
                  <c:pt idx="511">
                    <c:v>1,22</c:v>
                  </c:pt>
                  <c:pt idx="512">
                    <c:v>1,22</c:v>
                  </c:pt>
                  <c:pt idx="513">
                    <c:v>1,22</c:v>
                  </c:pt>
                  <c:pt idx="514">
                    <c:v>1,22</c:v>
                  </c:pt>
                  <c:pt idx="515">
                    <c:v>1,22</c:v>
                  </c:pt>
                  <c:pt idx="516">
                    <c:v>1,22</c:v>
                  </c:pt>
                  <c:pt idx="517">
                    <c:v>1,22</c:v>
                  </c:pt>
                  <c:pt idx="518">
                    <c:v>1,22</c:v>
                  </c:pt>
                  <c:pt idx="519">
                    <c:v>1,22</c:v>
                  </c:pt>
                  <c:pt idx="520">
                    <c:v>1,22</c:v>
                  </c:pt>
                  <c:pt idx="521">
                    <c:v>1</c:v>
                  </c:pt>
                  <c:pt idx="522">
                    <c:v>1,22</c:v>
                  </c:pt>
                  <c:pt idx="524">
                    <c:v>1,22</c:v>
                  </c:pt>
                  <c:pt idx="525">
                    <c:v>1</c:v>
                  </c:pt>
                  <c:pt idx="526">
                    <c:v>1,22</c:v>
                  </c:pt>
                  <c:pt idx="527">
                    <c:v>1,22</c:v>
                  </c:pt>
                  <c:pt idx="528">
                    <c:v>1,22</c:v>
                  </c:pt>
                  <c:pt idx="529">
                    <c:v>1,22</c:v>
                  </c:pt>
                  <c:pt idx="530">
                    <c:v>1,22</c:v>
                  </c:pt>
                  <c:pt idx="531">
                    <c:v>1,22</c:v>
                  </c:pt>
                  <c:pt idx="532">
                    <c:v>1,22</c:v>
                  </c:pt>
                  <c:pt idx="534">
                    <c:v>1,22</c:v>
                  </c:pt>
                  <c:pt idx="535">
                    <c:v>1,22</c:v>
                  </c:pt>
                  <c:pt idx="536">
                    <c:v>1,22</c:v>
                  </c:pt>
                  <c:pt idx="537">
                    <c:v>1,22</c:v>
                  </c:pt>
                  <c:pt idx="538">
                    <c:v>1,22</c:v>
                  </c:pt>
                  <c:pt idx="539">
                    <c:v>1,22</c:v>
                  </c:pt>
                  <c:pt idx="540">
                    <c:v>1,22</c:v>
                  </c:pt>
                  <c:pt idx="541">
                    <c:v>1,22</c:v>
                  </c:pt>
                  <c:pt idx="542">
                    <c:v>1,22</c:v>
                  </c:pt>
                  <c:pt idx="543">
                    <c:v>1,22</c:v>
                  </c:pt>
                  <c:pt idx="544">
                    <c:v>1,22</c:v>
                  </c:pt>
                  <c:pt idx="545">
                    <c:v>1,22</c:v>
                  </c:pt>
                  <c:pt idx="546">
                    <c:v>1,22</c:v>
                  </c:pt>
                  <c:pt idx="547">
                    <c:v>1,22</c:v>
                  </c:pt>
                  <c:pt idx="548">
                    <c:v>1,22</c:v>
                  </c:pt>
                  <c:pt idx="549">
                    <c:v>1</c:v>
                  </c:pt>
                  <c:pt idx="552">
                    <c:v>1,22</c:v>
                  </c:pt>
                  <c:pt idx="553">
                    <c:v>1,22</c:v>
                  </c:pt>
                  <c:pt idx="554">
                    <c:v>1</c:v>
                  </c:pt>
                  <c:pt idx="555">
                    <c:v>1,22</c:v>
                  </c:pt>
                  <c:pt idx="556">
                    <c:v>1,22</c:v>
                  </c:pt>
                  <c:pt idx="557">
                    <c:v>1,22</c:v>
                  </c:pt>
                  <c:pt idx="558">
                    <c:v>1</c:v>
                  </c:pt>
                  <c:pt idx="559">
                    <c:v>1,22</c:v>
                  </c:pt>
                  <c:pt idx="560">
                    <c:v>1,22</c:v>
                  </c:pt>
                  <c:pt idx="561">
                    <c:v>1,22</c:v>
                  </c:pt>
                  <c:pt idx="562">
                    <c:v>1,22</c:v>
                  </c:pt>
                  <c:pt idx="563">
                    <c:v>1,22</c:v>
                  </c:pt>
                  <c:pt idx="564">
                    <c:v>1,22</c:v>
                  </c:pt>
                  <c:pt idx="565">
                    <c:v>1,22</c:v>
                  </c:pt>
                  <c:pt idx="566">
                    <c:v>1</c:v>
                  </c:pt>
                  <c:pt idx="567">
                    <c:v>1,22</c:v>
                  </c:pt>
                  <c:pt idx="568">
                    <c:v>1,22</c:v>
                  </c:pt>
                  <c:pt idx="569">
                    <c:v>1,22</c:v>
                  </c:pt>
                  <c:pt idx="570">
                    <c:v>1,22</c:v>
                  </c:pt>
                  <c:pt idx="571">
                    <c:v>1,22</c:v>
                  </c:pt>
                  <c:pt idx="572">
                    <c:v>1,22</c:v>
                  </c:pt>
                  <c:pt idx="573">
                    <c:v>1,22</c:v>
                  </c:pt>
                  <c:pt idx="574">
                    <c:v>1,22</c:v>
                  </c:pt>
                  <c:pt idx="575">
                    <c:v>1,22</c:v>
                  </c:pt>
                  <c:pt idx="576">
                    <c:v>1,22</c:v>
                  </c:pt>
                  <c:pt idx="577">
                    <c:v>1,22</c:v>
                  </c:pt>
                  <c:pt idx="579">
                    <c:v>1,22</c:v>
                  </c:pt>
                  <c:pt idx="580">
                    <c:v>1,22</c:v>
                  </c:pt>
                  <c:pt idx="582">
                    <c:v>1,22</c:v>
                  </c:pt>
                  <c:pt idx="583">
                    <c:v>1,22</c:v>
                  </c:pt>
                  <c:pt idx="584">
                    <c:v>1</c:v>
                  </c:pt>
                  <c:pt idx="585">
                    <c:v>1,22</c:v>
                  </c:pt>
                  <c:pt idx="586">
                    <c:v>1,22</c:v>
                  </c:pt>
                  <c:pt idx="587">
                    <c:v>1,22</c:v>
                  </c:pt>
                  <c:pt idx="588">
                    <c:v>1,22</c:v>
                  </c:pt>
                  <c:pt idx="589">
                    <c:v>1</c:v>
                  </c:pt>
                  <c:pt idx="590">
                    <c:v>1</c:v>
                  </c:pt>
                  <c:pt idx="591">
                    <c:v>1</c:v>
                  </c:pt>
                  <c:pt idx="592">
                    <c:v>1</c:v>
                  </c:pt>
                  <c:pt idx="593">
                    <c:v>1,22</c:v>
                  </c:pt>
                  <c:pt idx="594">
                    <c:v>1</c:v>
                  </c:pt>
                  <c:pt idx="595">
                    <c:v>1</c:v>
                  </c:pt>
                  <c:pt idx="596">
                    <c:v>1</c:v>
                  </c:pt>
                  <c:pt idx="597">
                    <c:v>1</c:v>
                  </c:pt>
                  <c:pt idx="598">
                    <c:v>1</c:v>
                  </c:pt>
                  <c:pt idx="599">
                    <c:v>1</c:v>
                  </c:pt>
                  <c:pt idx="600">
                    <c:v>1</c:v>
                  </c:pt>
                  <c:pt idx="601">
                    <c:v>1</c:v>
                  </c:pt>
                  <c:pt idx="602">
                    <c:v>1,12</c:v>
                  </c:pt>
                  <c:pt idx="603">
                    <c:v>1,12</c:v>
                  </c:pt>
                  <c:pt idx="604">
                    <c:v>1,22</c:v>
                  </c:pt>
                  <c:pt idx="605">
                    <c:v>1,22</c:v>
                  </c:pt>
                  <c:pt idx="606">
                    <c:v>1,22</c:v>
                  </c:pt>
                  <c:pt idx="607">
                    <c:v>1,22</c:v>
                  </c:pt>
                  <c:pt idx="608">
                    <c:v>1,22</c:v>
                  </c:pt>
                  <c:pt idx="609">
                    <c:v>1,22</c:v>
                  </c:pt>
                  <c:pt idx="610">
                    <c:v>1,22</c:v>
                  </c:pt>
                  <c:pt idx="611">
                    <c:v>1,22</c:v>
                  </c:pt>
                  <c:pt idx="612">
                    <c:v>1,22</c:v>
                  </c:pt>
                  <c:pt idx="613">
                    <c:v>1,22</c:v>
                  </c:pt>
                  <c:pt idx="614">
                    <c:v>1,22</c:v>
                  </c:pt>
                  <c:pt idx="615">
                    <c:v>1,22</c:v>
                  </c:pt>
                  <c:pt idx="616">
                    <c:v>1,22</c:v>
                  </c:pt>
                  <c:pt idx="617">
                    <c:v>1,22</c:v>
                  </c:pt>
                  <c:pt idx="618">
                    <c:v>1,22</c:v>
                  </c:pt>
                  <c:pt idx="619">
                    <c:v>1,22</c:v>
                  </c:pt>
                  <c:pt idx="620">
                    <c:v>1,22</c:v>
                  </c:pt>
                  <c:pt idx="621">
                    <c:v>1,22</c:v>
                  </c:pt>
                  <c:pt idx="622">
                    <c:v>1,22</c:v>
                  </c:pt>
                  <c:pt idx="623">
                    <c:v>1,22</c:v>
                  </c:pt>
                  <c:pt idx="624">
                    <c:v>1,22</c:v>
                  </c:pt>
                  <c:pt idx="625">
                    <c:v>1,22</c:v>
                  </c:pt>
                  <c:pt idx="626">
                    <c:v>1,22</c:v>
                  </c:pt>
                  <c:pt idx="627">
                    <c:v>1,22</c:v>
                  </c:pt>
                  <c:pt idx="628">
                    <c:v>1,22</c:v>
                  </c:pt>
                  <c:pt idx="629">
                    <c:v>1,22</c:v>
                  </c:pt>
                  <c:pt idx="630">
                    <c:v>1,22</c:v>
                  </c:pt>
                  <c:pt idx="631">
                    <c:v>1,22</c:v>
                  </c:pt>
                  <c:pt idx="632">
                    <c:v>1,22</c:v>
                  </c:pt>
                  <c:pt idx="633">
                    <c:v>1,22</c:v>
                  </c:pt>
                  <c:pt idx="634">
                    <c:v>1,22</c:v>
                  </c:pt>
                  <c:pt idx="635">
                    <c:v>1,22</c:v>
                  </c:pt>
                  <c:pt idx="636">
                    <c:v>1,22</c:v>
                  </c:pt>
                  <c:pt idx="637">
                    <c:v>1,22</c:v>
                  </c:pt>
                  <c:pt idx="638">
                    <c:v>1,22</c:v>
                  </c:pt>
                  <c:pt idx="639">
                    <c:v>1,22</c:v>
                  </c:pt>
                  <c:pt idx="640">
                    <c:v>1,22</c:v>
                  </c:pt>
                  <c:pt idx="641">
                    <c:v>1</c:v>
                  </c:pt>
                  <c:pt idx="642">
                    <c:v>1,22</c:v>
                  </c:pt>
                  <c:pt idx="643">
                    <c:v>1,22</c:v>
                  </c:pt>
                  <c:pt idx="644">
                    <c:v>1,22</c:v>
                  </c:pt>
                  <c:pt idx="645">
                    <c:v>1,22</c:v>
                  </c:pt>
                  <c:pt idx="646">
                    <c:v>1,22</c:v>
                  </c:pt>
                  <c:pt idx="647">
                    <c:v>1,22</c:v>
                  </c:pt>
                  <c:pt idx="648">
                    <c:v>1,22</c:v>
                  </c:pt>
                  <c:pt idx="649">
                    <c:v>1,22</c:v>
                  </c:pt>
                  <c:pt idx="650">
                    <c:v>1,22</c:v>
                  </c:pt>
                  <c:pt idx="651">
                    <c:v>1,22</c:v>
                  </c:pt>
                  <c:pt idx="652">
                    <c:v>1,22</c:v>
                  </c:pt>
                  <c:pt idx="653">
                    <c:v>1,22</c:v>
                  </c:pt>
                  <c:pt idx="654">
                    <c:v>1,22</c:v>
                  </c:pt>
                  <c:pt idx="655">
                    <c:v>1,22</c:v>
                  </c:pt>
                  <c:pt idx="656">
                    <c:v>1,22</c:v>
                  </c:pt>
                  <c:pt idx="657">
                    <c:v>1,22</c:v>
                  </c:pt>
                  <c:pt idx="658">
                    <c:v>1,22</c:v>
                  </c:pt>
                  <c:pt idx="659">
                    <c:v>1,22</c:v>
                  </c:pt>
                  <c:pt idx="660">
                    <c:v>1,22</c:v>
                  </c:pt>
                  <c:pt idx="661">
                    <c:v>1,22</c:v>
                  </c:pt>
                  <c:pt idx="662">
                    <c:v>1,22</c:v>
                  </c:pt>
                  <c:pt idx="663">
                    <c:v>1,22</c:v>
                  </c:pt>
                  <c:pt idx="664">
                    <c:v>1,22</c:v>
                  </c:pt>
                  <c:pt idx="665">
                    <c:v>1,22</c:v>
                  </c:pt>
                  <c:pt idx="666">
                    <c:v>1,22</c:v>
                  </c:pt>
                  <c:pt idx="667">
                    <c:v>1,22</c:v>
                  </c:pt>
                  <c:pt idx="668">
                    <c:v>1,22</c:v>
                  </c:pt>
                  <c:pt idx="670">
                    <c:v>1,22</c:v>
                  </c:pt>
                  <c:pt idx="671">
                    <c:v>1,22</c:v>
                  </c:pt>
                  <c:pt idx="672">
                    <c:v>1,22</c:v>
                  </c:pt>
                  <c:pt idx="673">
                    <c:v>1,22</c:v>
                  </c:pt>
                  <c:pt idx="674">
                    <c:v>1,22</c:v>
                  </c:pt>
                  <c:pt idx="675">
                    <c:v>1</c:v>
                  </c:pt>
                  <c:pt idx="676">
                    <c:v>1</c:v>
                  </c:pt>
                  <c:pt idx="677">
                    <c:v>1,22</c:v>
                  </c:pt>
                  <c:pt idx="678">
                    <c:v>1,22</c:v>
                  </c:pt>
                  <c:pt idx="679">
                    <c:v>1,22</c:v>
                  </c:pt>
                  <c:pt idx="680">
                    <c:v>1</c:v>
                  </c:pt>
                  <c:pt idx="681">
                    <c:v>1,22</c:v>
                  </c:pt>
                  <c:pt idx="682">
                    <c:v>1,22</c:v>
                  </c:pt>
                  <c:pt idx="683">
                    <c:v>1,22</c:v>
                  </c:pt>
                  <c:pt idx="684">
                    <c:v>1,22</c:v>
                  </c:pt>
                  <c:pt idx="685">
                    <c:v>1,22</c:v>
                  </c:pt>
                  <c:pt idx="687">
                    <c:v>1</c:v>
                  </c:pt>
                  <c:pt idx="688">
                    <c:v>1,22</c:v>
                  </c:pt>
                  <c:pt idx="689">
                    <c:v>1,22</c:v>
                  </c:pt>
                  <c:pt idx="690">
                    <c:v>1,22</c:v>
                  </c:pt>
                  <c:pt idx="691">
                    <c:v>1,22</c:v>
                  </c:pt>
                  <c:pt idx="692">
                    <c:v>1,22</c:v>
                  </c:pt>
                  <c:pt idx="693">
                    <c:v>1,22</c:v>
                  </c:pt>
                  <c:pt idx="694">
                    <c:v>1,22</c:v>
                  </c:pt>
                  <c:pt idx="695">
                    <c:v>1,22</c:v>
                  </c:pt>
                  <c:pt idx="696">
                    <c:v>1,22</c:v>
                  </c:pt>
                  <c:pt idx="697">
                    <c:v>1,22</c:v>
                  </c:pt>
                  <c:pt idx="698">
                    <c:v>1,22</c:v>
                  </c:pt>
                  <c:pt idx="699">
                    <c:v>1,22</c:v>
                  </c:pt>
                  <c:pt idx="700">
                    <c:v>1,22</c:v>
                  </c:pt>
                  <c:pt idx="701">
                    <c:v>1,22</c:v>
                  </c:pt>
                  <c:pt idx="702">
                    <c:v>1,22</c:v>
                  </c:pt>
                  <c:pt idx="703">
                    <c:v>1,22</c:v>
                  </c:pt>
                  <c:pt idx="704">
                    <c:v>1,22</c:v>
                  </c:pt>
                  <c:pt idx="705">
                    <c:v>1,22</c:v>
                  </c:pt>
                  <c:pt idx="706">
                    <c:v>1,22</c:v>
                  </c:pt>
                  <c:pt idx="707">
                    <c:v>1,22</c:v>
                  </c:pt>
                  <c:pt idx="708">
                    <c:v>1,22</c:v>
                  </c:pt>
                  <c:pt idx="709">
                    <c:v>1,22</c:v>
                  </c:pt>
                  <c:pt idx="710">
                    <c:v>1,22</c:v>
                  </c:pt>
                  <c:pt idx="711">
                    <c:v>1,22</c:v>
                  </c:pt>
                  <c:pt idx="712">
                    <c:v>1,22</c:v>
                  </c:pt>
                  <c:pt idx="713">
                    <c:v>1</c:v>
                  </c:pt>
                  <c:pt idx="714">
                    <c:v>1</c:v>
                  </c:pt>
                  <c:pt idx="715">
                    <c:v>1,22</c:v>
                  </c:pt>
                  <c:pt idx="716">
                    <c:v>1,22</c:v>
                  </c:pt>
                  <c:pt idx="717">
                    <c:v>1,22</c:v>
                  </c:pt>
                  <c:pt idx="718">
                    <c:v>1,22</c:v>
                  </c:pt>
                  <c:pt idx="719">
                    <c:v>1,22</c:v>
                  </c:pt>
                  <c:pt idx="720">
                    <c:v>1,22</c:v>
                  </c:pt>
                  <c:pt idx="721">
                    <c:v>1,22</c:v>
                  </c:pt>
                  <c:pt idx="722">
                    <c:v>1</c:v>
                  </c:pt>
                  <c:pt idx="723">
                    <c:v>1,22</c:v>
                  </c:pt>
                  <c:pt idx="724">
                    <c:v>1</c:v>
                  </c:pt>
                  <c:pt idx="725">
                    <c:v>1</c:v>
                  </c:pt>
                  <c:pt idx="726">
                    <c:v>1</c:v>
                  </c:pt>
                  <c:pt idx="727">
                    <c:v>1</c:v>
                  </c:pt>
                  <c:pt idx="728">
                    <c:v>1</c:v>
                  </c:pt>
                  <c:pt idx="729">
                    <c:v>1</c:v>
                  </c:pt>
                  <c:pt idx="730">
                    <c:v>1</c:v>
                  </c:pt>
                  <c:pt idx="731">
                    <c:v>1</c:v>
                  </c:pt>
                  <c:pt idx="732">
                    <c:v>1</c:v>
                  </c:pt>
                  <c:pt idx="733">
                    <c:v>1,22</c:v>
                  </c:pt>
                  <c:pt idx="734">
                    <c:v>1,22</c:v>
                  </c:pt>
                  <c:pt idx="735">
                    <c:v>1,22</c:v>
                  </c:pt>
                  <c:pt idx="736">
                    <c:v>1,22</c:v>
                  </c:pt>
                  <c:pt idx="737">
                    <c:v>1,22</c:v>
                  </c:pt>
                  <c:pt idx="738">
                    <c:v>1,22</c:v>
                  </c:pt>
                  <c:pt idx="739">
                    <c:v>1,22</c:v>
                  </c:pt>
                  <c:pt idx="740">
                    <c:v>1,22</c:v>
                  </c:pt>
                  <c:pt idx="741">
                    <c:v>1,22</c:v>
                  </c:pt>
                  <c:pt idx="742">
                    <c:v>1,22</c:v>
                  </c:pt>
                  <c:pt idx="743">
                    <c:v>1,22</c:v>
                  </c:pt>
                  <c:pt idx="744">
                    <c:v>1,22</c:v>
                  </c:pt>
                  <c:pt idx="747">
                    <c:v>1,22</c:v>
                  </c:pt>
                  <c:pt idx="748">
                    <c:v>1,22</c:v>
                  </c:pt>
                  <c:pt idx="749">
                    <c:v>1,22</c:v>
                  </c:pt>
                  <c:pt idx="750">
                    <c:v>1,22</c:v>
                  </c:pt>
                  <c:pt idx="751">
                    <c:v>1</c:v>
                  </c:pt>
                  <c:pt idx="752">
                    <c:v>1</c:v>
                  </c:pt>
                  <c:pt idx="753">
                    <c:v>1</c:v>
                  </c:pt>
                  <c:pt idx="754">
                    <c:v>1</c:v>
                  </c:pt>
                  <c:pt idx="755">
                    <c:v>1</c:v>
                  </c:pt>
                  <c:pt idx="756">
                    <c:v>1</c:v>
                  </c:pt>
                  <c:pt idx="757">
                    <c:v>1</c:v>
                  </c:pt>
                  <c:pt idx="758">
                    <c:v>1,22</c:v>
                  </c:pt>
                  <c:pt idx="759">
                    <c:v>1,22</c:v>
                  </c:pt>
                  <c:pt idx="760">
                    <c:v>1,22</c:v>
                  </c:pt>
                  <c:pt idx="761">
                    <c:v>1,22</c:v>
                  </c:pt>
                  <c:pt idx="762">
                    <c:v>1,22</c:v>
                  </c:pt>
                  <c:pt idx="763">
                    <c:v>1,22</c:v>
                  </c:pt>
                  <c:pt idx="764">
                    <c:v>1,22</c:v>
                  </c:pt>
                  <c:pt idx="765">
                    <c:v>1</c:v>
                  </c:pt>
                  <c:pt idx="766">
                    <c:v>1</c:v>
                  </c:pt>
                  <c:pt idx="768">
                    <c:v>1</c:v>
                  </c:pt>
                  <c:pt idx="769">
                    <c:v>1</c:v>
                  </c:pt>
                  <c:pt idx="770">
                    <c:v>1</c:v>
                  </c:pt>
                  <c:pt idx="771">
                    <c:v>1,22</c:v>
                  </c:pt>
                  <c:pt idx="772">
                    <c:v>1</c:v>
                  </c:pt>
                  <c:pt idx="773">
                    <c:v>1</c:v>
                  </c:pt>
                  <c:pt idx="774">
                    <c:v>1,22</c:v>
                  </c:pt>
                  <c:pt idx="775">
                    <c:v>1,22</c:v>
                  </c:pt>
                  <c:pt idx="776">
                    <c:v>1,22</c:v>
                  </c:pt>
                  <c:pt idx="777">
                    <c:v>1,22</c:v>
                  </c:pt>
                  <c:pt idx="778">
                    <c:v>1,22</c:v>
                  </c:pt>
                  <c:pt idx="779">
                    <c:v>1,22</c:v>
                  </c:pt>
                  <c:pt idx="780">
                    <c:v>1</c:v>
                  </c:pt>
                  <c:pt idx="781">
                    <c:v>1,22</c:v>
                  </c:pt>
                  <c:pt idx="782">
                    <c:v>1</c:v>
                  </c:pt>
                  <c:pt idx="783">
                    <c:v>1,22</c:v>
                  </c:pt>
                  <c:pt idx="784">
                    <c:v>1,22</c:v>
                  </c:pt>
                  <c:pt idx="785">
                    <c:v>1,22</c:v>
                  </c:pt>
                  <c:pt idx="786">
                    <c:v>1</c:v>
                  </c:pt>
                  <c:pt idx="787">
                    <c:v>1,22</c:v>
                  </c:pt>
                  <c:pt idx="788">
                    <c:v>1,22</c:v>
                  </c:pt>
                  <c:pt idx="789">
                    <c:v>1,22</c:v>
                  </c:pt>
                  <c:pt idx="790">
                    <c:v>1,22</c:v>
                  </c:pt>
                  <c:pt idx="791">
                    <c:v>1,22</c:v>
                  </c:pt>
                  <c:pt idx="792">
                    <c:v>1,22</c:v>
                  </c:pt>
                  <c:pt idx="793">
                    <c:v>1,22</c:v>
                  </c:pt>
                  <c:pt idx="794">
                    <c:v>1,22</c:v>
                  </c:pt>
                  <c:pt idx="796">
                    <c:v>1,22</c:v>
                  </c:pt>
                  <c:pt idx="797">
                    <c:v>1,22</c:v>
                  </c:pt>
                  <c:pt idx="798">
                    <c:v>1,22</c:v>
                  </c:pt>
                  <c:pt idx="799">
                    <c:v>1,22</c:v>
                  </c:pt>
                  <c:pt idx="800">
                    <c:v>1,22</c:v>
                  </c:pt>
                  <c:pt idx="801">
                    <c:v>1</c:v>
                  </c:pt>
                  <c:pt idx="802">
                    <c:v>1</c:v>
                  </c:pt>
                  <c:pt idx="803">
                    <c:v>1</c:v>
                  </c:pt>
                  <c:pt idx="804">
                    <c:v>1</c:v>
                  </c:pt>
                  <c:pt idx="805">
                    <c:v>1,22</c:v>
                  </c:pt>
                  <c:pt idx="806">
                    <c:v>1,22</c:v>
                  </c:pt>
                  <c:pt idx="807">
                    <c:v>1,22</c:v>
                  </c:pt>
                  <c:pt idx="808">
                    <c:v>1,22</c:v>
                  </c:pt>
                  <c:pt idx="809">
                    <c:v>1,22</c:v>
                  </c:pt>
                  <c:pt idx="810">
                    <c:v>1,22</c:v>
                  </c:pt>
                  <c:pt idx="811">
                    <c:v>1,22</c:v>
                  </c:pt>
                  <c:pt idx="812">
                    <c:v>1,22</c:v>
                  </c:pt>
                  <c:pt idx="813">
                    <c:v>1,22</c:v>
                  </c:pt>
                  <c:pt idx="814">
                    <c:v>1,22</c:v>
                  </c:pt>
                  <c:pt idx="815">
                    <c:v>1,22</c:v>
                  </c:pt>
                  <c:pt idx="816">
                    <c:v>1,22</c:v>
                  </c:pt>
                  <c:pt idx="817">
                    <c:v>1,22</c:v>
                  </c:pt>
                  <c:pt idx="818">
                    <c:v>1,22</c:v>
                  </c:pt>
                  <c:pt idx="819">
                    <c:v>1,22</c:v>
                  </c:pt>
                  <c:pt idx="820">
                    <c:v>1,22</c:v>
                  </c:pt>
                  <c:pt idx="821">
                    <c:v>1,22</c:v>
                  </c:pt>
                  <c:pt idx="822">
                    <c:v>1,22</c:v>
                  </c:pt>
                  <c:pt idx="823">
                    <c:v>1,22</c:v>
                  </c:pt>
                  <c:pt idx="824">
                    <c:v>1,22</c:v>
                  </c:pt>
                  <c:pt idx="825">
                    <c:v>1,22</c:v>
                  </c:pt>
                  <c:pt idx="826">
                    <c:v>1,22</c:v>
                  </c:pt>
                  <c:pt idx="827">
                    <c:v>1,22</c:v>
                  </c:pt>
                  <c:pt idx="828">
                    <c:v>1,22</c:v>
                  </c:pt>
                  <c:pt idx="829">
                    <c:v>1,22</c:v>
                  </c:pt>
                  <c:pt idx="830">
                    <c:v>1,22</c:v>
                  </c:pt>
                  <c:pt idx="831">
                    <c:v>1,22</c:v>
                  </c:pt>
                  <c:pt idx="832">
                    <c:v>1,22</c:v>
                  </c:pt>
                  <c:pt idx="833">
                    <c:v>1,22</c:v>
                  </c:pt>
                  <c:pt idx="834">
                    <c:v>1,22</c:v>
                  </c:pt>
                  <c:pt idx="835">
                    <c:v>1,22</c:v>
                  </c:pt>
                  <c:pt idx="836">
                    <c:v>1,22</c:v>
                  </c:pt>
                  <c:pt idx="837">
                    <c:v>1,22</c:v>
                  </c:pt>
                  <c:pt idx="838">
                    <c:v>1,22</c:v>
                  </c:pt>
                  <c:pt idx="839">
                    <c:v>1,22</c:v>
                  </c:pt>
                  <c:pt idx="840">
                    <c:v>1,22</c:v>
                  </c:pt>
                  <c:pt idx="841">
                    <c:v>1,22</c:v>
                  </c:pt>
                  <c:pt idx="842">
                    <c:v>1,22</c:v>
                  </c:pt>
                  <c:pt idx="843">
                    <c:v>1,22</c:v>
                  </c:pt>
                  <c:pt idx="844">
                    <c:v>1,22</c:v>
                  </c:pt>
                  <c:pt idx="845">
                    <c:v>1,22</c:v>
                  </c:pt>
                  <c:pt idx="846">
                    <c:v>1,22</c:v>
                  </c:pt>
                  <c:pt idx="847">
                    <c:v>1,22</c:v>
                  </c:pt>
                  <c:pt idx="848">
                    <c:v>1,22</c:v>
                  </c:pt>
                  <c:pt idx="849">
                    <c:v>1,22</c:v>
                  </c:pt>
                  <c:pt idx="850">
                    <c:v>1,22</c:v>
                  </c:pt>
                  <c:pt idx="851">
                    <c:v>1,22</c:v>
                  </c:pt>
                  <c:pt idx="852">
                    <c:v>1,22</c:v>
                  </c:pt>
                  <c:pt idx="853">
                    <c:v>1,22</c:v>
                  </c:pt>
                  <c:pt idx="854">
                    <c:v>1,22</c:v>
                  </c:pt>
                  <c:pt idx="855">
                    <c:v>1,22</c:v>
                  </c:pt>
                  <c:pt idx="856">
                    <c:v>1,22</c:v>
                  </c:pt>
                  <c:pt idx="857">
                    <c:v>1,22</c:v>
                  </c:pt>
                  <c:pt idx="858">
                    <c:v>1,22</c:v>
                  </c:pt>
                  <c:pt idx="859">
                    <c:v>1,22</c:v>
                  </c:pt>
                  <c:pt idx="860">
                    <c:v>1,22</c:v>
                  </c:pt>
                  <c:pt idx="861">
                    <c:v>1,22</c:v>
                  </c:pt>
                  <c:pt idx="862">
                    <c:v>1,22</c:v>
                  </c:pt>
                  <c:pt idx="863">
                    <c:v>1,22</c:v>
                  </c:pt>
                  <c:pt idx="864">
                    <c:v>1,22</c:v>
                  </c:pt>
                  <c:pt idx="865">
                    <c:v>1,22</c:v>
                  </c:pt>
                  <c:pt idx="866">
                    <c:v>1</c:v>
                  </c:pt>
                  <c:pt idx="867">
                    <c:v>1,22</c:v>
                  </c:pt>
                  <c:pt idx="868">
                    <c:v>1,22</c:v>
                  </c:pt>
                  <c:pt idx="869">
                    <c:v>1,22</c:v>
                  </c:pt>
                  <c:pt idx="870">
                    <c:v>1,22</c:v>
                  </c:pt>
                  <c:pt idx="871">
                    <c:v>1,22</c:v>
                  </c:pt>
                  <c:pt idx="872">
                    <c:v>1,22</c:v>
                  </c:pt>
                  <c:pt idx="873">
                    <c:v>1,22</c:v>
                  </c:pt>
                  <c:pt idx="874">
                    <c:v>1,22</c:v>
                  </c:pt>
                  <c:pt idx="875">
                    <c:v>1,22</c:v>
                  </c:pt>
                  <c:pt idx="876">
                    <c:v>1,22</c:v>
                  </c:pt>
                  <c:pt idx="877">
                    <c:v>1,22</c:v>
                  </c:pt>
                  <c:pt idx="878">
                    <c:v>1,22</c:v>
                  </c:pt>
                  <c:pt idx="879">
                    <c:v>1,22</c:v>
                  </c:pt>
                  <c:pt idx="880">
                    <c:v>1,22</c:v>
                  </c:pt>
                  <c:pt idx="881">
                    <c:v>1,22</c:v>
                  </c:pt>
                  <c:pt idx="882">
                    <c:v>1,22</c:v>
                  </c:pt>
                  <c:pt idx="883">
                    <c:v>1,22</c:v>
                  </c:pt>
                  <c:pt idx="884">
                    <c:v>1,22</c:v>
                  </c:pt>
                  <c:pt idx="885">
                    <c:v>1,22</c:v>
                  </c:pt>
                  <c:pt idx="886">
                    <c:v>1,22</c:v>
                  </c:pt>
                  <c:pt idx="887">
                    <c:v>1,22</c:v>
                  </c:pt>
                  <c:pt idx="888">
                    <c:v>1,22</c:v>
                  </c:pt>
                  <c:pt idx="889">
                    <c:v>1,22</c:v>
                  </c:pt>
                  <c:pt idx="890">
                    <c:v>1,22</c:v>
                  </c:pt>
                  <c:pt idx="891">
                    <c:v>1,22</c:v>
                  </c:pt>
                  <c:pt idx="892">
                    <c:v>1,22</c:v>
                  </c:pt>
                  <c:pt idx="893">
                    <c:v>1,22</c:v>
                  </c:pt>
                  <c:pt idx="894">
                    <c:v>1,22</c:v>
                  </c:pt>
                  <c:pt idx="895">
                    <c:v>1,22</c:v>
                  </c:pt>
                  <c:pt idx="896">
                    <c:v>1,22</c:v>
                  </c:pt>
                  <c:pt idx="897">
                    <c:v>1,22</c:v>
                  </c:pt>
                  <c:pt idx="898">
                    <c:v>1,22</c:v>
                  </c:pt>
                  <c:pt idx="899">
                    <c:v>1,22</c:v>
                  </c:pt>
                  <c:pt idx="900">
                    <c:v>1,22</c:v>
                  </c:pt>
                  <c:pt idx="901">
                    <c:v>1,22</c:v>
                  </c:pt>
                  <c:pt idx="902">
                    <c:v>1,22</c:v>
                  </c:pt>
                  <c:pt idx="903">
                    <c:v>1,22</c:v>
                  </c:pt>
                  <c:pt idx="904">
                    <c:v>1,22</c:v>
                  </c:pt>
                  <c:pt idx="905">
                    <c:v>1,22</c:v>
                  </c:pt>
                  <c:pt idx="906">
                    <c:v>1,22</c:v>
                  </c:pt>
                  <c:pt idx="907">
                    <c:v>1,22</c:v>
                  </c:pt>
                  <c:pt idx="908">
                    <c:v>1,22</c:v>
                  </c:pt>
                  <c:pt idx="909">
                    <c:v>1,22</c:v>
                  </c:pt>
                  <c:pt idx="910">
                    <c:v>1,22</c:v>
                  </c:pt>
                  <c:pt idx="911">
                    <c:v>1,22</c:v>
                  </c:pt>
                  <c:pt idx="912">
                    <c:v>1,22</c:v>
                  </c:pt>
                  <c:pt idx="913">
                    <c:v>1,22</c:v>
                  </c:pt>
                  <c:pt idx="914">
                    <c:v>1,22</c:v>
                  </c:pt>
                  <c:pt idx="915">
                    <c:v>1,22</c:v>
                  </c:pt>
                  <c:pt idx="916">
                    <c:v>1,22</c:v>
                  </c:pt>
                  <c:pt idx="917">
                    <c:v>1,22</c:v>
                  </c:pt>
                  <c:pt idx="918">
                    <c:v>1,22</c:v>
                  </c:pt>
                  <c:pt idx="919">
                    <c:v>1,22</c:v>
                  </c:pt>
                  <c:pt idx="920">
                    <c:v>1,22</c:v>
                  </c:pt>
                  <c:pt idx="921">
                    <c:v>1,22</c:v>
                  </c:pt>
                  <c:pt idx="922">
                    <c:v>1,22</c:v>
                  </c:pt>
                  <c:pt idx="924">
                    <c:v>1,22</c:v>
                  </c:pt>
                  <c:pt idx="925">
                    <c:v>1,22</c:v>
                  </c:pt>
                  <c:pt idx="926">
                    <c:v>1,22</c:v>
                  </c:pt>
                  <c:pt idx="927">
                    <c:v>1,22</c:v>
                  </c:pt>
                  <c:pt idx="928">
                    <c:v>1,22</c:v>
                  </c:pt>
                  <c:pt idx="929">
                    <c:v>1,22</c:v>
                  </c:pt>
                  <c:pt idx="930">
                    <c:v>1,22</c:v>
                  </c:pt>
                  <c:pt idx="931">
                    <c:v>1,22</c:v>
                  </c:pt>
                  <c:pt idx="932">
                    <c:v>1,22</c:v>
                  </c:pt>
                  <c:pt idx="933">
                    <c:v>1,22</c:v>
                  </c:pt>
                  <c:pt idx="934">
                    <c:v>1,22</c:v>
                  </c:pt>
                  <c:pt idx="935">
                    <c:v>1,22</c:v>
                  </c:pt>
                  <c:pt idx="936">
                    <c:v>1,22</c:v>
                  </c:pt>
                  <c:pt idx="937">
                    <c:v>1,22</c:v>
                  </c:pt>
                  <c:pt idx="938">
                    <c:v>1,22</c:v>
                  </c:pt>
                  <c:pt idx="939">
                    <c:v>1,22</c:v>
                  </c:pt>
                  <c:pt idx="940">
                    <c:v>1,22</c:v>
                  </c:pt>
                  <c:pt idx="941">
                    <c:v>1,22</c:v>
                  </c:pt>
                  <c:pt idx="942">
                    <c:v>1,22</c:v>
                  </c:pt>
                  <c:pt idx="943">
                    <c:v>1,22</c:v>
                  </c:pt>
                  <c:pt idx="944">
                    <c:v>1,22</c:v>
                  </c:pt>
                  <c:pt idx="945">
                    <c:v>1,22</c:v>
                  </c:pt>
                  <c:pt idx="946">
                    <c:v>1,22</c:v>
                  </c:pt>
                  <c:pt idx="947">
                    <c:v>1,22</c:v>
                  </c:pt>
                  <c:pt idx="948">
                    <c:v>1,22</c:v>
                  </c:pt>
                  <c:pt idx="949">
                    <c:v>1,22</c:v>
                  </c:pt>
                  <c:pt idx="950">
                    <c:v>1,22</c:v>
                  </c:pt>
                  <c:pt idx="951">
                    <c:v>1,22</c:v>
                  </c:pt>
                  <c:pt idx="952">
                    <c:v>1,22</c:v>
                  </c:pt>
                  <c:pt idx="953">
                    <c:v>1,22</c:v>
                  </c:pt>
                  <c:pt idx="954">
                    <c:v>1,22</c:v>
                  </c:pt>
                  <c:pt idx="955">
                    <c:v>1,22</c:v>
                  </c:pt>
                  <c:pt idx="956">
                    <c:v>1,22</c:v>
                  </c:pt>
                  <c:pt idx="957">
                    <c:v>1,22</c:v>
                  </c:pt>
                  <c:pt idx="958">
                    <c:v>1,22</c:v>
                  </c:pt>
                  <c:pt idx="959">
                    <c:v>1,22</c:v>
                  </c:pt>
                  <c:pt idx="960">
                    <c:v>1,22</c:v>
                  </c:pt>
                  <c:pt idx="961">
                    <c:v>1,22</c:v>
                  </c:pt>
                  <c:pt idx="962">
                    <c:v>1,22</c:v>
                  </c:pt>
                  <c:pt idx="963">
                    <c:v>1,22</c:v>
                  </c:pt>
                  <c:pt idx="964">
                    <c:v>1,22</c:v>
                  </c:pt>
                  <c:pt idx="965">
                    <c:v>1,22</c:v>
                  </c:pt>
                  <c:pt idx="966">
                    <c:v>1,22</c:v>
                  </c:pt>
                  <c:pt idx="967">
                    <c:v>1,22</c:v>
                  </c:pt>
                  <c:pt idx="968">
                    <c:v>1,22</c:v>
                  </c:pt>
                  <c:pt idx="969">
                    <c:v>1,22</c:v>
                  </c:pt>
                  <c:pt idx="970">
                    <c:v>1,22</c:v>
                  </c:pt>
                  <c:pt idx="971">
                    <c:v>1,22</c:v>
                  </c:pt>
                  <c:pt idx="972">
                    <c:v>1,22</c:v>
                  </c:pt>
                  <c:pt idx="973">
                    <c:v>1,22</c:v>
                  </c:pt>
                  <c:pt idx="974">
                    <c:v>1,22</c:v>
                  </c:pt>
                  <c:pt idx="975">
                    <c:v>1,22</c:v>
                  </c:pt>
                  <c:pt idx="976">
                    <c:v>1,22</c:v>
                  </c:pt>
                  <c:pt idx="977">
                    <c:v>1,22</c:v>
                  </c:pt>
                  <c:pt idx="978">
                    <c:v>1,22</c:v>
                  </c:pt>
                  <c:pt idx="979">
                    <c:v>1,22</c:v>
                  </c:pt>
                  <c:pt idx="980">
                    <c:v>1,22</c:v>
                  </c:pt>
                  <c:pt idx="981">
                    <c:v>1,22</c:v>
                  </c:pt>
                  <c:pt idx="982">
                    <c:v>1,22</c:v>
                  </c:pt>
                  <c:pt idx="983">
                    <c:v>1,22</c:v>
                  </c:pt>
                  <c:pt idx="984">
                    <c:v>1</c:v>
                  </c:pt>
                  <c:pt idx="985">
                    <c:v>1</c:v>
                  </c:pt>
                  <c:pt idx="986">
                    <c:v>1</c:v>
                  </c:pt>
                  <c:pt idx="987">
                    <c:v>1</c:v>
                  </c:pt>
                  <c:pt idx="988">
                    <c:v>1</c:v>
                  </c:pt>
                  <c:pt idx="989">
                    <c:v>1</c:v>
                  </c:pt>
                  <c:pt idx="990">
                    <c:v>1</c:v>
                  </c:pt>
                  <c:pt idx="991">
                    <c:v>1</c:v>
                  </c:pt>
                  <c:pt idx="992">
                    <c:v>1,22</c:v>
                  </c:pt>
                  <c:pt idx="993">
                    <c:v>1,22</c:v>
                  </c:pt>
                  <c:pt idx="994">
                    <c:v>1,22</c:v>
                  </c:pt>
                  <c:pt idx="995">
                    <c:v>1,22</c:v>
                  </c:pt>
                  <c:pt idx="996">
                    <c:v>1,22</c:v>
                  </c:pt>
                  <c:pt idx="997">
                    <c:v>1,22</c:v>
                  </c:pt>
                  <c:pt idx="998">
                    <c:v>1,22</c:v>
                  </c:pt>
                  <c:pt idx="999">
                    <c:v>1,22</c:v>
                  </c:pt>
                  <c:pt idx="1000">
                    <c:v>1,22</c:v>
                  </c:pt>
                  <c:pt idx="1001">
                    <c:v>1,22</c:v>
                  </c:pt>
                  <c:pt idx="1002">
                    <c:v>1,22</c:v>
                  </c:pt>
                  <c:pt idx="1003">
                    <c:v>1,22</c:v>
                  </c:pt>
                  <c:pt idx="1004">
                    <c:v>1,22</c:v>
                  </c:pt>
                  <c:pt idx="1005">
                    <c:v>1,22</c:v>
                  </c:pt>
                  <c:pt idx="1006">
                    <c:v>1,22</c:v>
                  </c:pt>
                  <c:pt idx="1007">
                    <c:v>1,22</c:v>
                  </c:pt>
                  <c:pt idx="1008">
                    <c:v>1,22</c:v>
                  </c:pt>
                  <c:pt idx="1009">
                    <c:v>1,22</c:v>
                  </c:pt>
                  <c:pt idx="1010">
                    <c:v>1,22</c:v>
                  </c:pt>
                  <c:pt idx="1011">
                    <c:v>1,22</c:v>
                  </c:pt>
                  <c:pt idx="1012">
                    <c:v>1,22</c:v>
                  </c:pt>
                  <c:pt idx="1013">
                    <c:v>1</c:v>
                  </c:pt>
                  <c:pt idx="1014">
                    <c:v>1</c:v>
                  </c:pt>
                  <c:pt idx="1015">
                    <c:v>1</c:v>
                  </c:pt>
                  <c:pt idx="1016">
                    <c:v>1</c:v>
                  </c:pt>
                  <c:pt idx="1017">
                    <c:v>1</c:v>
                  </c:pt>
                  <c:pt idx="1018">
                    <c:v>1,22</c:v>
                  </c:pt>
                  <c:pt idx="1019">
                    <c:v>1,22</c:v>
                  </c:pt>
                  <c:pt idx="1020">
                    <c:v>1,22</c:v>
                  </c:pt>
                  <c:pt idx="1021">
                    <c:v>1,22</c:v>
                  </c:pt>
                  <c:pt idx="1022">
                    <c:v>1,22</c:v>
                  </c:pt>
                  <c:pt idx="1023">
                    <c:v>1,22</c:v>
                  </c:pt>
                  <c:pt idx="1024">
                    <c:v>1,22</c:v>
                  </c:pt>
                  <c:pt idx="1025">
                    <c:v>1,22</c:v>
                  </c:pt>
                  <c:pt idx="1026">
                    <c:v>1,22</c:v>
                  </c:pt>
                  <c:pt idx="1027">
                    <c:v>1,22</c:v>
                  </c:pt>
                  <c:pt idx="1028">
                    <c:v>1,22</c:v>
                  </c:pt>
                  <c:pt idx="1029">
                    <c:v>1,22</c:v>
                  </c:pt>
                  <c:pt idx="1030">
                    <c:v>1,22</c:v>
                  </c:pt>
                  <c:pt idx="1031">
                    <c:v>1,22</c:v>
                  </c:pt>
                  <c:pt idx="1032">
                    <c:v>1,22</c:v>
                  </c:pt>
                  <c:pt idx="1033">
                    <c:v>1,22</c:v>
                  </c:pt>
                  <c:pt idx="1034">
                    <c:v>1,22</c:v>
                  </c:pt>
                  <c:pt idx="1035">
                    <c:v>1,22</c:v>
                  </c:pt>
                  <c:pt idx="1036">
                    <c:v>1,22</c:v>
                  </c:pt>
                  <c:pt idx="1037">
                    <c:v>1,22</c:v>
                  </c:pt>
                  <c:pt idx="1038">
                    <c:v>1,22</c:v>
                  </c:pt>
                  <c:pt idx="1039">
                    <c:v>1,22</c:v>
                  </c:pt>
                  <c:pt idx="1040">
                    <c:v>1,22</c:v>
                  </c:pt>
                  <c:pt idx="1041">
                    <c:v>1,22</c:v>
                  </c:pt>
                  <c:pt idx="1042">
                    <c:v>1,22</c:v>
                  </c:pt>
                  <c:pt idx="1043">
                    <c:v>1,22</c:v>
                  </c:pt>
                  <c:pt idx="1044">
                    <c:v>1,22</c:v>
                  </c:pt>
                  <c:pt idx="1045">
                    <c:v>1,22</c:v>
                  </c:pt>
                  <c:pt idx="1046">
                    <c:v>1,22</c:v>
                  </c:pt>
                  <c:pt idx="1047">
                    <c:v>1,22</c:v>
                  </c:pt>
                  <c:pt idx="1048">
                    <c:v>1,22</c:v>
                  </c:pt>
                  <c:pt idx="1049">
                    <c:v>1,22</c:v>
                  </c:pt>
                  <c:pt idx="1050">
                    <c:v>1,22</c:v>
                  </c:pt>
                  <c:pt idx="1051">
                    <c:v>1,22</c:v>
                  </c:pt>
                  <c:pt idx="1052">
                    <c:v>1,22</c:v>
                  </c:pt>
                  <c:pt idx="1053">
                    <c:v>1,22</c:v>
                  </c:pt>
                  <c:pt idx="1054">
                    <c:v>1,22</c:v>
                  </c:pt>
                  <c:pt idx="1055">
                    <c:v>1,22</c:v>
                  </c:pt>
                  <c:pt idx="1056">
                    <c:v>1,22</c:v>
                  </c:pt>
                  <c:pt idx="1057">
                    <c:v>1,22</c:v>
                  </c:pt>
                  <c:pt idx="1058">
                    <c:v>1,22</c:v>
                  </c:pt>
                  <c:pt idx="1059">
                    <c:v>1,22</c:v>
                  </c:pt>
                  <c:pt idx="1060">
                    <c:v>1,22</c:v>
                  </c:pt>
                  <c:pt idx="1061">
                    <c:v>1,22</c:v>
                  </c:pt>
                  <c:pt idx="1062">
                    <c:v>1,22</c:v>
                  </c:pt>
                  <c:pt idx="1063">
                    <c:v>1,22</c:v>
                  </c:pt>
                  <c:pt idx="1064">
                    <c:v>1,22</c:v>
                  </c:pt>
                  <c:pt idx="1065">
                    <c:v>1,22</c:v>
                  </c:pt>
                  <c:pt idx="1066">
                    <c:v>1,22</c:v>
                  </c:pt>
                  <c:pt idx="1067">
                    <c:v>1,22</c:v>
                  </c:pt>
                  <c:pt idx="1068">
                    <c:v>1,22</c:v>
                  </c:pt>
                  <c:pt idx="1069">
                    <c:v>1,22</c:v>
                  </c:pt>
                  <c:pt idx="1070">
                    <c:v>1,22</c:v>
                  </c:pt>
                  <c:pt idx="1071">
                    <c:v>1,22</c:v>
                  </c:pt>
                  <c:pt idx="1072">
                    <c:v>1,22</c:v>
                  </c:pt>
                  <c:pt idx="1073">
                    <c:v>1,22</c:v>
                  </c:pt>
                  <c:pt idx="1074">
                    <c:v>1,22</c:v>
                  </c:pt>
                  <c:pt idx="1075">
                    <c:v>1,22</c:v>
                  </c:pt>
                  <c:pt idx="1076">
                    <c:v>1,22</c:v>
                  </c:pt>
                  <c:pt idx="1078">
                    <c:v>1,22</c:v>
                  </c:pt>
                  <c:pt idx="1079">
                    <c:v>1,22</c:v>
                  </c:pt>
                  <c:pt idx="1080">
                    <c:v>1,22</c:v>
                  </c:pt>
                  <c:pt idx="1081">
                    <c:v>1,22</c:v>
                  </c:pt>
                  <c:pt idx="1082">
                    <c:v>1,22</c:v>
                  </c:pt>
                  <c:pt idx="1083">
                    <c:v>1,22</c:v>
                  </c:pt>
                  <c:pt idx="1084">
                    <c:v>1,22</c:v>
                  </c:pt>
                  <c:pt idx="1085">
                    <c:v>1,22</c:v>
                  </c:pt>
                  <c:pt idx="1086">
                    <c:v>1,22</c:v>
                  </c:pt>
                  <c:pt idx="1087">
                    <c:v>1,22</c:v>
                  </c:pt>
                  <c:pt idx="1088">
                    <c:v>1,22</c:v>
                  </c:pt>
                  <c:pt idx="1089">
                    <c:v>1,22</c:v>
                  </c:pt>
                  <c:pt idx="1090">
                    <c:v>1,22</c:v>
                  </c:pt>
                  <c:pt idx="1091">
                    <c:v>1,22</c:v>
                  </c:pt>
                  <c:pt idx="1092">
                    <c:v>1,22</c:v>
                  </c:pt>
                  <c:pt idx="1093">
                    <c:v>1,22</c:v>
                  </c:pt>
                  <c:pt idx="1094">
                    <c:v>1,22</c:v>
                  </c:pt>
                  <c:pt idx="1095">
                    <c:v>1,22</c:v>
                  </c:pt>
                  <c:pt idx="1096">
                    <c:v>1,22</c:v>
                  </c:pt>
                  <c:pt idx="1097">
                    <c:v>1,22</c:v>
                  </c:pt>
                  <c:pt idx="1098">
                    <c:v>1,22</c:v>
                  </c:pt>
                  <c:pt idx="1099">
                    <c:v>1,22</c:v>
                  </c:pt>
                  <c:pt idx="1100">
                    <c:v>1,22</c:v>
                  </c:pt>
                  <c:pt idx="1101">
                    <c:v>1,22</c:v>
                  </c:pt>
                  <c:pt idx="1102">
                    <c:v>1,22</c:v>
                  </c:pt>
                  <c:pt idx="1103">
                    <c:v>1,22</c:v>
                  </c:pt>
                  <c:pt idx="1104">
                    <c:v>1,22</c:v>
                  </c:pt>
                  <c:pt idx="1105">
                    <c:v>1,22</c:v>
                  </c:pt>
                  <c:pt idx="1106">
                    <c:v>1,22</c:v>
                  </c:pt>
                  <c:pt idx="1107">
                    <c:v>1,22</c:v>
                  </c:pt>
                  <c:pt idx="1108">
                    <c:v>1,22</c:v>
                  </c:pt>
                  <c:pt idx="1109">
                    <c:v>1,22</c:v>
                  </c:pt>
                  <c:pt idx="1110">
                    <c:v>1,22</c:v>
                  </c:pt>
                  <c:pt idx="1111">
                    <c:v>1,22</c:v>
                  </c:pt>
                  <c:pt idx="1112">
                    <c:v>1,22</c:v>
                  </c:pt>
                  <c:pt idx="1113">
                    <c:v>1,22</c:v>
                  </c:pt>
                  <c:pt idx="1114">
                    <c:v>1,22</c:v>
                  </c:pt>
                  <c:pt idx="1115">
                    <c:v>1,22</c:v>
                  </c:pt>
                  <c:pt idx="1116">
                    <c:v>1</c:v>
                  </c:pt>
                  <c:pt idx="1117">
                    <c:v>1</c:v>
                  </c:pt>
                  <c:pt idx="1118">
                    <c:v>1,22</c:v>
                  </c:pt>
                  <c:pt idx="1119">
                    <c:v>1</c:v>
                  </c:pt>
                  <c:pt idx="1120">
                    <c:v>1</c:v>
                  </c:pt>
                  <c:pt idx="1121">
                    <c:v>1,22</c:v>
                  </c:pt>
                  <c:pt idx="1122">
                    <c:v>1,22</c:v>
                  </c:pt>
                  <c:pt idx="1123">
                    <c:v>1,22</c:v>
                  </c:pt>
                  <c:pt idx="1124">
                    <c:v>1,22</c:v>
                  </c:pt>
                  <c:pt idx="1125">
                    <c:v>1,22</c:v>
                  </c:pt>
                  <c:pt idx="1126">
                    <c:v>1,22</c:v>
                  </c:pt>
                  <c:pt idx="1127">
                    <c:v>1,22</c:v>
                  </c:pt>
                  <c:pt idx="1128">
                    <c:v>1,22</c:v>
                  </c:pt>
                  <c:pt idx="1129">
                    <c:v>1,22</c:v>
                  </c:pt>
                  <c:pt idx="1130">
                    <c:v>1,22</c:v>
                  </c:pt>
                  <c:pt idx="1131">
                    <c:v>1,22</c:v>
                  </c:pt>
                  <c:pt idx="1132">
                    <c:v>1,22</c:v>
                  </c:pt>
                  <c:pt idx="1133">
                    <c:v>1,22</c:v>
                  </c:pt>
                  <c:pt idx="1134">
                    <c:v>1,22</c:v>
                  </c:pt>
                  <c:pt idx="1135">
                    <c:v>1,22</c:v>
                  </c:pt>
                  <c:pt idx="1136">
                    <c:v>1,22</c:v>
                  </c:pt>
                  <c:pt idx="1137">
                    <c:v>1,22</c:v>
                  </c:pt>
                  <c:pt idx="1138">
                    <c:v>1,22</c:v>
                  </c:pt>
                  <c:pt idx="1139">
                    <c:v>1,22</c:v>
                  </c:pt>
                  <c:pt idx="1140">
                    <c:v>1,22</c:v>
                  </c:pt>
                  <c:pt idx="1141">
                    <c:v>1,22</c:v>
                  </c:pt>
                  <c:pt idx="1142">
                    <c:v>1,22</c:v>
                  </c:pt>
                  <c:pt idx="1143">
                    <c:v>1,22</c:v>
                  </c:pt>
                  <c:pt idx="1144">
                    <c:v>1,22</c:v>
                  </c:pt>
                  <c:pt idx="1145">
                    <c:v>1,22</c:v>
                  </c:pt>
                  <c:pt idx="1146">
                    <c:v>1,22</c:v>
                  </c:pt>
                  <c:pt idx="1147">
                    <c:v>1,22</c:v>
                  </c:pt>
                  <c:pt idx="1148">
                    <c:v>1,22</c:v>
                  </c:pt>
                  <c:pt idx="1149">
                    <c:v>1,22</c:v>
                  </c:pt>
                  <c:pt idx="1150">
                    <c:v>1,22</c:v>
                  </c:pt>
                  <c:pt idx="1151">
                    <c:v>1,22</c:v>
                  </c:pt>
                  <c:pt idx="1152">
                    <c:v>1,22</c:v>
                  </c:pt>
                  <c:pt idx="1153">
                    <c:v>1,22</c:v>
                  </c:pt>
                  <c:pt idx="1154">
                    <c:v>1,22</c:v>
                  </c:pt>
                  <c:pt idx="1155">
                    <c:v>1,22</c:v>
                  </c:pt>
                  <c:pt idx="1156">
                    <c:v>1,22</c:v>
                  </c:pt>
                  <c:pt idx="1157">
                    <c:v>1,22</c:v>
                  </c:pt>
                  <c:pt idx="1158">
                    <c:v>1,22</c:v>
                  </c:pt>
                  <c:pt idx="1159">
                    <c:v>1,22</c:v>
                  </c:pt>
                  <c:pt idx="1160">
                    <c:v>1,22</c:v>
                  </c:pt>
                  <c:pt idx="1161">
                    <c:v>1,22</c:v>
                  </c:pt>
                  <c:pt idx="1162">
                    <c:v>1,22</c:v>
                  </c:pt>
                  <c:pt idx="1163">
                    <c:v>1,22</c:v>
                  </c:pt>
                  <c:pt idx="1164">
                    <c:v>1,22</c:v>
                  </c:pt>
                  <c:pt idx="1165">
                    <c:v>1,22</c:v>
                  </c:pt>
                  <c:pt idx="1166">
                    <c:v>1,22</c:v>
                  </c:pt>
                  <c:pt idx="1167">
                    <c:v>1,22</c:v>
                  </c:pt>
                  <c:pt idx="1168">
                    <c:v>1,22</c:v>
                  </c:pt>
                  <c:pt idx="1169">
                    <c:v>1,22</c:v>
                  </c:pt>
                  <c:pt idx="1170">
                    <c:v>1,22</c:v>
                  </c:pt>
                  <c:pt idx="1171">
                    <c:v>1,22</c:v>
                  </c:pt>
                  <c:pt idx="1172">
                    <c:v>1,22</c:v>
                  </c:pt>
                  <c:pt idx="1173">
                    <c:v>1,22</c:v>
                  </c:pt>
                  <c:pt idx="1174">
                    <c:v>1,22</c:v>
                  </c:pt>
                  <c:pt idx="1175">
                    <c:v>1,22</c:v>
                  </c:pt>
                  <c:pt idx="1176">
                    <c:v>1,22</c:v>
                  </c:pt>
                  <c:pt idx="1177">
                    <c:v>1,22</c:v>
                  </c:pt>
                  <c:pt idx="1178">
                    <c:v>1,22</c:v>
                  </c:pt>
                  <c:pt idx="1179">
                    <c:v>1,22</c:v>
                  </c:pt>
                  <c:pt idx="1180">
                    <c:v>1,22</c:v>
                  </c:pt>
                  <c:pt idx="1181">
                    <c:v>1,22</c:v>
                  </c:pt>
                  <c:pt idx="1182">
                    <c:v>1</c:v>
                  </c:pt>
                  <c:pt idx="1183">
                    <c:v>1</c:v>
                  </c:pt>
                  <c:pt idx="1184">
                    <c:v>1,22</c:v>
                  </c:pt>
                  <c:pt idx="1185">
                    <c:v>1,22</c:v>
                  </c:pt>
                  <c:pt idx="1186">
                    <c:v>1,22</c:v>
                  </c:pt>
                  <c:pt idx="1187">
                    <c:v>1,22</c:v>
                  </c:pt>
                  <c:pt idx="1188">
                    <c:v>1,22</c:v>
                  </c:pt>
                  <c:pt idx="1189">
                    <c:v>1,22</c:v>
                  </c:pt>
                  <c:pt idx="1190">
                    <c:v>1,22</c:v>
                  </c:pt>
                  <c:pt idx="1191">
                    <c:v>1,22</c:v>
                  </c:pt>
                  <c:pt idx="1192">
                    <c:v>1,22</c:v>
                  </c:pt>
                  <c:pt idx="1193">
                    <c:v>1,22</c:v>
                  </c:pt>
                  <c:pt idx="1194">
                    <c:v>1,22</c:v>
                  </c:pt>
                  <c:pt idx="1195">
                    <c:v>1,22</c:v>
                  </c:pt>
                  <c:pt idx="1196">
                    <c:v>1,22</c:v>
                  </c:pt>
                  <c:pt idx="1197">
                    <c:v>1</c:v>
                  </c:pt>
                  <c:pt idx="1198">
                    <c:v>1,22</c:v>
                  </c:pt>
                  <c:pt idx="1199">
                    <c:v>1,22</c:v>
                  </c:pt>
                  <c:pt idx="1200">
                    <c:v>1,22</c:v>
                  </c:pt>
                  <c:pt idx="1201">
                    <c:v>1,22</c:v>
                  </c:pt>
                  <c:pt idx="1202">
                    <c:v>1</c:v>
                  </c:pt>
                  <c:pt idx="1203">
                    <c:v>1,22</c:v>
                  </c:pt>
                  <c:pt idx="1204">
                    <c:v>1,22</c:v>
                  </c:pt>
                  <c:pt idx="1205">
                    <c:v>1,22</c:v>
                  </c:pt>
                  <c:pt idx="1206">
                    <c:v>1,22</c:v>
                  </c:pt>
                  <c:pt idx="1207">
                    <c:v>1,22</c:v>
                  </c:pt>
                  <c:pt idx="1208">
                    <c:v>1,22</c:v>
                  </c:pt>
                  <c:pt idx="1209">
                    <c:v>1,22</c:v>
                  </c:pt>
                  <c:pt idx="1210">
                    <c:v>1,22</c:v>
                  </c:pt>
                  <c:pt idx="1211">
                    <c:v>1,22</c:v>
                  </c:pt>
                  <c:pt idx="1212">
                    <c:v>1,22</c:v>
                  </c:pt>
                  <c:pt idx="1213">
                    <c:v>1,21</c:v>
                  </c:pt>
                  <c:pt idx="1214">
                    <c:v>1,22</c:v>
                  </c:pt>
                  <c:pt idx="1215">
                    <c:v>1,22</c:v>
                  </c:pt>
                  <c:pt idx="1216">
                    <c:v>1,22</c:v>
                  </c:pt>
                  <c:pt idx="1217">
                    <c:v>1,22</c:v>
                  </c:pt>
                  <c:pt idx="1218">
                    <c:v>1,22</c:v>
                  </c:pt>
                  <c:pt idx="1219">
                    <c:v>1,22</c:v>
                  </c:pt>
                  <c:pt idx="1220">
                    <c:v>1,22</c:v>
                  </c:pt>
                  <c:pt idx="1221">
                    <c:v>1,22</c:v>
                  </c:pt>
                  <c:pt idx="1222">
                    <c:v>1,22</c:v>
                  </c:pt>
                  <c:pt idx="1223">
                    <c:v>1,22</c:v>
                  </c:pt>
                  <c:pt idx="1224">
                    <c:v>1,22</c:v>
                  </c:pt>
                  <c:pt idx="1225">
                    <c:v>1,22</c:v>
                  </c:pt>
                  <c:pt idx="1226">
                    <c:v>1,22</c:v>
                  </c:pt>
                  <c:pt idx="1227">
                    <c:v>1,22</c:v>
                  </c:pt>
                  <c:pt idx="1228">
                    <c:v>1,22</c:v>
                  </c:pt>
                  <c:pt idx="1229">
                    <c:v>1,22</c:v>
                  </c:pt>
                  <c:pt idx="1230">
                    <c:v>1,22</c:v>
                  </c:pt>
                  <c:pt idx="1231">
                    <c:v>1,22</c:v>
                  </c:pt>
                  <c:pt idx="1232">
                    <c:v>1,22</c:v>
                  </c:pt>
                  <c:pt idx="1233">
                    <c:v>1,22</c:v>
                  </c:pt>
                  <c:pt idx="1234">
                    <c:v>1,22</c:v>
                  </c:pt>
                  <c:pt idx="1235">
                    <c:v>1,22</c:v>
                  </c:pt>
                  <c:pt idx="1236">
                    <c:v>1,22</c:v>
                  </c:pt>
                  <c:pt idx="1237">
                    <c:v>1,22</c:v>
                  </c:pt>
                  <c:pt idx="1238">
                    <c:v>1,22</c:v>
                  </c:pt>
                  <c:pt idx="1239">
                    <c:v>1,22</c:v>
                  </c:pt>
                  <c:pt idx="1240">
                    <c:v>1,22</c:v>
                  </c:pt>
                  <c:pt idx="1241">
                    <c:v>1,22</c:v>
                  </c:pt>
                  <c:pt idx="1242">
                    <c:v>1,22</c:v>
                  </c:pt>
                  <c:pt idx="1243">
                    <c:v>1,22</c:v>
                  </c:pt>
                  <c:pt idx="1244">
                    <c:v>1,22</c:v>
                  </c:pt>
                  <c:pt idx="1245">
                    <c:v>1,22</c:v>
                  </c:pt>
                  <c:pt idx="1246">
                    <c:v>1,22</c:v>
                  </c:pt>
                  <c:pt idx="1247">
                    <c:v>1,22</c:v>
                  </c:pt>
                  <c:pt idx="1248">
                    <c:v>1,22</c:v>
                  </c:pt>
                  <c:pt idx="1249">
                    <c:v>1,22</c:v>
                  </c:pt>
                  <c:pt idx="1250">
                    <c:v>1,22</c:v>
                  </c:pt>
                  <c:pt idx="1251">
                    <c:v>1,22</c:v>
                  </c:pt>
                  <c:pt idx="1252">
                    <c:v>1,22</c:v>
                  </c:pt>
                  <c:pt idx="1253">
                    <c:v>1,22</c:v>
                  </c:pt>
                  <c:pt idx="1254">
                    <c:v>1,22</c:v>
                  </c:pt>
                  <c:pt idx="1255">
                    <c:v>1,22</c:v>
                  </c:pt>
                  <c:pt idx="1256">
                    <c:v>1,22</c:v>
                  </c:pt>
                  <c:pt idx="1257">
                    <c:v>1,22</c:v>
                  </c:pt>
                  <c:pt idx="1258">
                    <c:v>1,22</c:v>
                  </c:pt>
                  <c:pt idx="1259">
                    <c:v>1,22</c:v>
                  </c:pt>
                  <c:pt idx="1260">
                    <c:v>1,22</c:v>
                  </c:pt>
                  <c:pt idx="1261">
                    <c:v>1,22</c:v>
                  </c:pt>
                  <c:pt idx="1262">
                    <c:v>1,22</c:v>
                  </c:pt>
                  <c:pt idx="1263">
                    <c:v>1,22</c:v>
                  </c:pt>
                  <c:pt idx="1264">
                    <c:v>1,22</c:v>
                  </c:pt>
                  <c:pt idx="1265">
                    <c:v>1,22</c:v>
                  </c:pt>
                  <c:pt idx="1266">
                    <c:v>1,22</c:v>
                  </c:pt>
                  <c:pt idx="1267">
                    <c:v>1,22</c:v>
                  </c:pt>
                  <c:pt idx="1268">
                    <c:v>1,22</c:v>
                  </c:pt>
                  <c:pt idx="1269">
                    <c:v>1,22</c:v>
                  </c:pt>
                  <c:pt idx="1270">
                    <c:v>1,22</c:v>
                  </c:pt>
                  <c:pt idx="1271">
                    <c:v>1,22</c:v>
                  </c:pt>
                  <c:pt idx="1272">
                    <c:v>1,22</c:v>
                  </c:pt>
                  <c:pt idx="1273">
                    <c:v>1,22</c:v>
                  </c:pt>
                  <c:pt idx="1274">
                    <c:v>1,22</c:v>
                  </c:pt>
                  <c:pt idx="1275">
                    <c:v>1,22</c:v>
                  </c:pt>
                  <c:pt idx="1276">
                    <c:v>1,22</c:v>
                  </c:pt>
                  <c:pt idx="1277">
                    <c:v>1,22</c:v>
                  </c:pt>
                  <c:pt idx="1278">
                    <c:v>1,22</c:v>
                  </c:pt>
                  <c:pt idx="1279">
                    <c:v>1,22</c:v>
                  </c:pt>
                  <c:pt idx="1280">
                    <c:v>1,22</c:v>
                  </c:pt>
                  <c:pt idx="1281">
                    <c:v>1,22</c:v>
                  </c:pt>
                  <c:pt idx="1282">
                    <c:v>1,22</c:v>
                  </c:pt>
                  <c:pt idx="1283">
                    <c:v>1,22</c:v>
                  </c:pt>
                  <c:pt idx="1284">
                    <c:v>1,22</c:v>
                  </c:pt>
                  <c:pt idx="1285">
                    <c:v>1,22</c:v>
                  </c:pt>
                  <c:pt idx="1286">
                    <c:v>1,22</c:v>
                  </c:pt>
                  <c:pt idx="1287">
                    <c:v>1,22</c:v>
                  </c:pt>
                  <c:pt idx="1288">
                    <c:v>1,22</c:v>
                  </c:pt>
                  <c:pt idx="1289">
                    <c:v>1,22</c:v>
                  </c:pt>
                  <c:pt idx="1290">
                    <c:v>1,22</c:v>
                  </c:pt>
                  <c:pt idx="1291">
                    <c:v>1,22</c:v>
                  </c:pt>
                  <c:pt idx="1292">
                    <c:v>1,22</c:v>
                  </c:pt>
                  <c:pt idx="1293">
                    <c:v>1,22</c:v>
                  </c:pt>
                  <c:pt idx="1294">
                    <c:v>1,22</c:v>
                  </c:pt>
                  <c:pt idx="1295">
                    <c:v>1,22</c:v>
                  </c:pt>
                  <c:pt idx="1296">
                    <c:v>1,22</c:v>
                  </c:pt>
                  <c:pt idx="1297">
                    <c:v>1,22</c:v>
                  </c:pt>
                  <c:pt idx="1298">
                    <c:v>1,22</c:v>
                  </c:pt>
                  <c:pt idx="1299">
                    <c:v>1,22</c:v>
                  </c:pt>
                  <c:pt idx="1300">
                    <c:v>1,22</c:v>
                  </c:pt>
                  <c:pt idx="1301">
                    <c:v>1,22</c:v>
                  </c:pt>
                  <c:pt idx="1302">
                    <c:v>1,22</c:v>
                  </c:pt>
                  <c:pt idx="1303">
                    <c:v>1,22</c:v>
                  </c:pt>
                  <c:pt idx="1304">
                    <c:v>1,22</c:v>
                  </c:pt>
                  <c:pt idx="1305">
                    <c:v>1,22</c:v>
                  </c:pt>
                  <c:pt idx="1306">
                    <c:v>1,22</c:v>
                  </c:pt>
                  <c:pt idx="1307">
                    <c:v>1,22</c:v>
                  </c:pt>
                  <c:pt idx="1308">
                    <c:v>1,22</c:v>
                  </c:pt>
                  <c:pt idx="1309">
                    <c:v>1,22</c:v>
                  </c:pt>
                  <c:pt idx="1310">
                    <c:v>1,22</c:v>
                  </c:pt>
                  <c:pt idx="1311">
                    <c:v>1,22</c:v>
                  </c:pt>
                  <c:pt idx="1312">
                    <c:v>1,22</c:v>
                  </c:pt>
                  <c:pt idx="1313">
                    <c:v>1,22</c:v>
                  </c:pt>
                  <c:pt idx="1314">
                    <c:v>1,22</c:v>
                  </c:pt>
                  <c:pt idx="1315">
                    <c:v>1,22</c:v>
                  </c:pt>
                  <c:pt idx="1316">
                    <c:v>1,22</c:v>
                  </c:pt>
                  <c:pt idx="1317">
                    <c:v>1,22</c:v>
                  </c:pt>
                  <c:pt idx="1318">
                    <c:v>1,22</c:v>
                  </c:pt>
                  <c:pt idx="1319">
                    <c:v>1,22</c:v>
                  </c:pt>
                  <c:pt idx="1320">
                    <c:v>1,22</c:v>
                  </c:pt>
                  <c:pt idx="1321">
                    <c:v>1,22</c:v>
                  </c:pt>
                  <c:pt idx="1322">
                    <c:v>1,22</c:v>
                  </c:pt>
                  <c:pt idx="1323">
                    <c:v>1,22</c:v>
                  </c:pt>
                  <c:pt idx="1324">
                    <c:v>1,22</c:v>
                  </c:pt>
                  <c:pt idx="1325">
                    <c:v>1,22</c:v>
                  </c:pt>
                  <c:pt idx="1326">
                    <c:v>1,22</c:v>
                  </c:pt>
                  <c:pt idx="1327">
                    <c:v>1,22</c:v>
                  </c:pt>
                  <c:pt idx="1328">
                    <c:v>1,22</c:v>
                  </c:pt>
                  <c:pt idx="1329">
                    <c:v>1,22</c:v>
                  </c:pt>
                  <c:pt idx="1330">
                    <c:v>1,22</c:v>
                  </c:pt>
                  <c:pt idx="1331">
                    <c:v>1,22</c:v>
                  </c:pt>
                  <c:pt idx="1332">
                    <c:v>1,22</c:v>
                  </c:pt>
                  <c:pt idx="1333">
                    <c:v>1,22</c:v>
                  </c:pt>
                  <c:pt idx="1334">
                    <c:v>1,22</c:v>
                  </c:pt>
                  <c:pt idx="1335">
                    <c:v>1,22</c:v>
                  </c:pt>
                  <c:pt idx="1336">
                    <c:v>1,22</c:v>
                  </c:pt>
                  <c:pt idx="1337">
                    <c:v>1,22</c:v>
                  </c:pt>
                  <c:pt idx="1338">
                    <c:v>1,22</c:v>
                  </c:pt>
                  <c:pt idx="1339">
                    <c:v>1,22</c:v>
                  </c:pt>
                  <c:pt idx="1340">
                    <c:v>1,22</c:v>
                  </c:pt>
                  <c:pt idx="1341">
                    <c:v>1,22</c:v>
                  </c:pt>
                  <c:pt idx="1342">
                    <c:v>1,22</c:v>
                  </c:pt>
                  <c:pt idx="1343">
                    <c:v>1,22</c:v>
                  </c:pt>
                  <c:pt idx="1344">
                    <c:v>1,22</c:v>
                  </c:pt>
                  <c:pt idx="1345">
                    <c:v>1,22</c:v>
                  </c:pt>
                  <c:pt idx="1346">
                    <c:v>1,22</c:v>
                  </c:pt>
                  <c:pt idx="1347">
                    <c:v>1,22</c:v>
                  </c:pt>
                  <c:pt idx="1348">
                    <c:v>1,22</c:v>
                  </c:pt>
                  <c:pt idx="1349">
                    <c:v>1,22</c:v>
                  </c:pt>
                  <c:pt idx="1350">
                    <c:v>1,22</c:v>
                  </c:pt>
                  <c:pt idx="1351">
                    <c:v>1,22</c:v>
                  </c:pt>
                  <c:pt idx="1352">
                    <c:v>1,22</c:v>
                  </c:pt>
                  <c:pt idx="1353">
                    <c:v>1,22</c:v>
                  </c:pt>
                  <c:pt idx="1354">
                    <c:v>1,22</c:v>
                  </c:pt>
                  <c:pt idx="1355">
                    <c:v>1,22</c:v>
                  </c:pt>
                  <c:pt idx="1356">
                    <c:v>1,22</c:v>
                  </c:pt>
                  <c:pt idx="1357">
                    <c:v>1,22</c:v>
                  </c:pt>
                  <c:pt idx="1358">
                    <c:v>1,22</c:v>
                  </c:pt>
                  <c:pt idx="1359">
                    <c:v>1,22</c:v>
                  </c:pt>
                  <c:pt idx="1360">
                    <c:v>1,22</c:v>
                  </c:pt>
                  <c:pt idx="1361">
                    <c:v>1,22</c:v>
                  </c:pt>
                  <c:pt idx="1362">
                    <c:v>1,22</c:v>
                  </c:pt>
                  <c:pt idx="1363">
                    <c:v>1,22</c:v>
                  </c:pt>
                  <c:pt idx="1364">
                    <c:v>1,22</c:v>
                  </c:pt>
                  <c:pt idx="1365">
                    <c:v>1,22</c:v>
                  </c:pt>
                  <c:pt idx="1366">
                    <c:v>1,22</c:v>
                  </c:pt>
                  <c:pt idx="1367">
                    <c:v>1,22</c:v>
                  </c:pt>
                  <c:pt idx="1368">
                    <c:v>1,22</c:v>
                  </c:pt>
                  <c:pt idx="1369">
                    <c:v>1,22</c:v>
                  </c:pt>
                  <c:pt idx="1370">
                    <c:v>1,22</c:v>
                  </c:pt>
                  <c:pt idx="1371">
                    <c:v>1,22</c:v>
                  </c:pt>
                  <c:pt idx="1372">
                    <c:v>1,22</c:v>
                  </c:pt>
                  <c:pt idx="1373">
                    <c:v>1,22</c:v>
                  </c:pt>
                  <c:pt idx="1374">
                    <c:v>1,22</c:v>
                  </c:pt>
                  <c:pt idx="1375">
                    <c:v>1,22</c:v>
                  </c:pt>
                  <c:pt idx="1376">
                    <c:v>1,22</c:v>
                  </c:pt>
                  <c:pt idx="1377">
                    <c:v>1,22</c:v>
                  </c:pt>
                  <c:pt idx="1378">
                    <c:v>1,22</c:v>
                  </c:pt>
                  <c:pt idx="1379">
                    <c:v>1,22</c:v>
                  </c:pt>
                  <c:pt idx="1380">
                    <c:v>1,22</c:v>
                  </c:pt>
                  <c:pt idx="1381">
                    <c:v>1,22</c:v>
                  </c:pt>
                  <c:pt idx="1382">
                    <c:v>1,22</c:v>
                  </c:pt>
                  <c:pt idx="1383">
                    <c:v>1,22</c:v>
                  </c:pt>
                  <c:pt idx="1384">
                    <c:v>1,22</c:v>
                  </c:pt>
                  <c:pt idx="1385">
                    <c:v>1,22</c:v>
                  </c:pt>
                  <c:pt idx="1386">
                    <c:v>1,22</c:v>
                  </c:pt>
                  <c:pt idx="1388">
                    <c:v>1,22</c:v>
                  </c:pt>
                  <c:pt idx="1389">
                    <c:v>1,22</c:v>
                  </c:pt>
                  <c:pt idx="1390">
                    <c:v>1,22</c:v>
                  </c:pt>
                  <c:pt idx="1391">
                    <c:v>1,22</c:v>
                  </c:pt>
                  <c:pt idx="1392">
                    <c:v>1,22</c:v>
                  </c:pt>
                  <c:pt idx="1393">
                    <c:v>1,22</c:v>
                  </c:pt>
                  <c:pt idx="1394">
                    <c:v>1</c:v>
                  </c:pt>
                  <c:pt idx="1395">
                    <c:v>1</c:v>
                  </c:pt>
                  <c:pt idx="1396">
                    <c:v>1</c:v>
                  </c:pt>
                  <c:pt idx="1397">
                    <c:v>1</c:v>
                  </c:pt>
                  <c:pt idx="1398">
                    <c:v>1,22</c:v>
                  </c:pt>
                  <c:pt idx="1399">
                    <c:v>1,22</c:v>
                  </c:pt>
                  <c:pt idx="1400">
                    <c:v>1,22</c:v>
                  </c:pt>
                  <c:pt idx="1401">
                    <c:v>1</c:v>
                  </c:pt>
                  <c:pt idx="1402">
                    <c:v>1,22</c:v>
                  </c:pt>
                  <c:pt idx="1403">
                    <c:v>1,22</c:v>
                  </c:pt>
                  <c:pt idx="1404">
                    <c:v>1,22</c:v>
                  </c:pt>
                  <c:pt idx="1405">
                    <c:v>1,22</c:v>
                  </c:pt>
                  <c:pt idx="1406">
                    <c:v>1,22</c:v>
                  </c:pt>
                  <c:pt idx="1407">
                    <c:v>1,22</c:v>
                  </c:pt>
                  <c:pt idx="1408">
                    <c:v>1,22</c:v>
                  </c:pt>
                  <c:pt idx="1409">
                    <c:v>1,22</c:v>
                  </c:pt>
                  <c:pt idx="1410">
                    <c:v>1,22</c:v>
                  </c:pt>
                  <c:pt idx="1411">
                    <c:v>1,22</c:v>
                  </c:pt>
                  <c:pt idx="1412">
                    <c:v>1,22</c:v>
                  </c:pt>
                  <c:pt idx="1413">
                    <c:v>1,22</c:v>
                  </c:pt>
                  <c:pt idx="1414">
                    <c:v>1,22</c:v>
                  </c:pt>
                  <c:pt idx="1415">
                    <c:v>1,22</c:v>
                  </c:pt>
                  <c:pt idx="1416">
                    <c:v>1,22</c:v>
                  </c:pt>
                  <c:pt idx="1417">
                    <c:v>1,22</c:v>
                  </c:pt>
                  <c:pt idx="1418">
                    <c:v>1,22</c:v>
                  </c:pt>
                  <c:pt idx="1419">
                    <c:v>1,22</c:v>
                  </c:pt>
                  <c:pt idx="1420">
                    <c:v>1,22</c:v>
                  </c:pt>
                  <c:pt idx="1421">
                    <c:v>1,22</c:v>
                  </c:pt>
                  <c:pt idx="1422">
                    <c:v>1,22</c:v>
                  </c:pt>
                  <c:pt idx="1423">
                    <c:v>1,22</c:v>
                  </c:pt>
                  <c:pt idx="1424">
                    <c:v>1,22</c:v>
                  </c:pt>
                  <c:pt idx="1425">
                    <c:v>1,22</c:v>
                  </c:pt>
                  <c:pt idx="1426">
                    <c:v>1,22</c:v>
                  </c:pt>
                  <c:pt idx="1427">
                    <c:v>1,22</c:v>
                  </c:pt>
                  <c:pt idx="1428">
                    <c:v>1,22</c:v>
                  </c:pt>
                  <c:pt idx="1429">
                    <c:v>1,22</c:v>
                  </c:pt>
                  <c:pt idx="1430">
                    <c:v>1,22</c:v>
                  </c:pt>
                  <c:pt idx="1431">
                    <c:v>1,22</c:v>
                  </c:pt>
                  <c:pt idx="1432">
                    <c:v>1,22</c:v>
                  </c:pt>
                  <c:pt idx="1433">
                    <c:v>1,22</c:v>
                  </c:pt>
                  <c:pt idx="1434">
                    <c:v>1,22</c:v>
                  </c:pt>
                  <c:pt idx="1435">
                    <c:v>1,22</c:v>
                  </c:pt>
                  <c:pt idx="1436">
                    <c:v>1</c:v>
                  </c:pt>
                  <c:pt idx="1437">
                    <c:v>1</c:v>
                  </c:pt>
                  <c:pt idx="1438">
                    <c:v>1</c:v>
                  </c:pt>
                  <c:pt idx="1439">
                    <c:v>1</c:v>
                  </c:pt>
                  <c:pt idx="1440">
                    <c:v>1,22</c:v>
                  </c:pt>
                  <c:pt idx="1441">
                    <c:v>1,22</c:v>
                  </c:pt>
                  <c:pt idx="1442">
                    <c:v>1,22</c:v>
                  </c:pt>
                  <c:pt idx="1443">
                    <c:v>1</c:v>
                  </c:pt>
                  <c:pt idx="1444">
                    <c:v>1,22</c:v>
                  </c:pt>
                  <c:pt idx="1446">
                    <c:v>1,22</c:v>
                  </c:pt>
                  <c:pt idx="1447">
                    <c:v>1,22</c:v>
                  </c:pt>
                  <c:pt idx="1448">
                    <c:v>1,22</c:v>
                  </c:pt>
                  <c:pt idx="1449">
                    <c:v>1</c:v>
                  </c:pt>
                  <c:pt idx="1450">
                    <c:v>1,22</c:v>
                  </c:pt>
                  <c:pt idx="1451">
                    <c:v>1,22</c:v>
                  </c:pt>
                  <c:pt idx="1452">
                    <c:v>1,22</c:v>
                  </c:pt>
                  <c:pt idx="1453">
                    <c:v>1,22</c:v>
                  </c:pt>
                  <c:pt idx="1454">
                    <c:v>1,22</c:v>
                  </c:pt>
                  <c:pt idx="1455">
                    <c:v>1,22</c:v>
                  </c:pt>
                  <c:pt idx="1456">
                    <c:v>1,22</c:v>
                  </c:pt>
                  <c:pt idx="1458">
                    <c:v>1,22</c:v>
                  </c:pt>
                  <c:pt idx="1459">
                    <c:v>1,22</c:v>
                  </c:pt>
                  <c:pt idx="1460">
                    <c:v>1,22</c:v>
                  </c:pt>
                  <c:pt idx="1461">
                    <c:v>1,22</c:v>
                  </c:pt>
                  <c:pt idx="1462">
                    <c:v>1,22</c:v>
                  </c:pt>
                  <c:pt idx="1463">
                    <c:v>1,22</c:v>
                  </c:pt>
                  <c:pt idx="1464">
                    <c:v>1,22</c:v>
                  </c:pt>
                  <c:pt idx="1465">
                    <c:v>1,22</c:v>
                  </c:pt>
                  <c:pt idx="1466">
                    <c:v>1,22</c:v>
                  </c:pt>
                  <c:pt idx="1467">
                    <c:v>1,22</c:v>
                  </c:pt>
                  <c:pt idx="1468">
                    <c:v>1,22</c:v>
                  </c:pt>
                  <c:pt idx="1469">
                    <c:v>1,22</c:v>
                  </c:pt>
                  <c:pt idx="1470">
                    <c:v>1,22</c:v>
                  </c:pt>
                  <c:pt idx="1471">
                    <c:v>1,22</c:v>
                  </c:pt>
                  <c:pt idx="1472">
                    <c:v>1,22</c:v>
                  </c:pt>
                  <c:pt idx="1473">
                    <c:v>1,22</c:v>
                  </c:pt>
                  <c:pt idx="1474">
                    <c:v>1,22</c:v>
                  </c:pt>
                  <c:pt idx="1475">
                    <c:v>1,22</c:v>
                  </c:pt>
                  <c:pt idx="1476">
                    <c:v>1,22</c:v>
                  </c:pt>
                  <c:pt idx="1477">
                    <c:v>1</c:v>
                  </c:pt>
                  <c:pt idx="1478">
                    <c:v>1,22</c:v>
                  </c:pt>
                  <c:pt idx="1479">
                    <c:v>1,22</c:v>
                  </c:pt>
                  <c:pt idx="1480">
                    <c:v>1</c:v>
                  </c:pt>
                  <c:pt idx="1481">
                    <c:v>1</c:v>
                  </c:pt>
                  <c:pt idx="1482">
                    <c:v>1,22</c:v>
                  </c:pt>
                  <c:pt idx="1483">
                    <c:v>1,22</c:v>
                  </c:pt>
                  <c:pt idx="1484">
                    <c:v>1,22</c:v>
                  </c:pt>
                  <c:pt idx="1485">
                    <c:v>1</c:v>
                  </c:pt>
                  <c:pt idx="1486">
                    <c:v>1</c:v>
                  </c:pt>
                  <c:pt idx="1487">
                    <c:v>1</c:v>
                  </c:pt>
                  <c:pt idx="1488">
                    <c:v>1,22</c:v>
                  </c:pt>
                  <c:pt idx="1489">
                    <c:v>1</c:v>
                  </c:pt>
                  <c:pt idx="1490">
                    <c:v>1,22</c:v>
                  </c:pt>
                  <c:pt idx="1491">
                    <c:v>1,22</c:v>
                  </c:pt>
                  <c:pt idx="1492">
                    <c:v>1,22</c:v>
                  </c:pt>
                  <c:pt idx="1493">
                    <c:v>1,22</c:v>
                  </c:pt>
                  <c:pt idx="1494">
                    <c:v>1,22</c:v>
                  </c:pt>
                  <c:pt idx="1495">
                    <c:v>1,22</c:v>
                  </c:pt>
                  <c:pt idx="1496">
                    <c:v>1,22</c:v>
                  </c:pt>
                  <c:pt idx="1497">
                    <c:v>1,22</c:v>
                  </c:pt>
                  <c:pt idx="1498">
                    <c:v>1,22</c:v>
                  </c:pt>
                  <c:pt idx="1499">
                    <c:v>1,22</c:v>
                  </c:pt>
                  <c:pt idx="1500">
                    <c:v>1,22</c:v>
                  </c:pt>
                  <c:pt idx="1501">
                    <c:v>1,22</c:v>
                  </c:pt>
                  <c:pt idx="1502">
                    <c:v>1,22</c:v>
                  </c:pt>
                  <c:pt idx="1503">
                    <c:v>1,22</c:v>
                  </c:pt>
                  <c:pt idx="1504">
                    <c:v>1,22</c:v>
                  </c:pt>
                  <c:pt idx="1505">
                    <c:v>1,22</c:v>
                  </c:pt>
                  <c:pt idx="1506">
                    <c:v>1,22</c:v>
                  </c:pt>
                  <c:pt idx="1507">
                    <c:v>1,22</c:v>
                  </c:pt>
                  <c:pt idx="1508">
                    <c:v>1,22</c:v>
                  </c:pt>
                  <c:pt idx="1509">
                    <c:v>1,22</c:v>
                  </c:pt>
                  <c:pt idx="1510">
                    <c:v>1,22</c:v>
                  </c:pt>
                  <c:pt idx="1511">
                    <c:v>1,22</c:v>
                  </c:pt>
                  <c:pt idx="1512">
                    <c:v>1,22</c:v>
                  </c:pt>
                  <c:pt idx="1513">
                    <c:v>1,22</c:v>
                  </c:pt>
                  <c:pt idx="1514">
                    <c:v>1,22</c:v>
                  </c:pt>
                  <c:pt idx="1515">
                    <c:v>1,22</c:v>
                  </c:pt>
                  <c:pt idx="1516">
                    <c:v>1,22</c:v>
                  </c:pt>
                  <c:pt idx="1517">
                    <c:v>1,22</c:v>
                  </c:pt>
                  <c:pt idx="1518">
                    <c:v>1,22</c:v>
                  </c:pt>
                  <c:pt idx="1519">
                    <c:v>1</c:v>
                  </c:pt>
                  <c:pt idx="1520">
                    <c:v>1</c:v>
                  </c:pt>
                  <c:pt idx="1521">
                    <c:v>1</c:v>
                  </c:pt>
                  <c:pt idx="1522">
                    <c:v>1,22</c:v>
                  </c:pt>
                  <c:pt idx="1523">
                    <c:v>1,22</c:v>
                  </c:pt>
                  <c:pt idx="1524">
                    <c:v>1,22</c:v>
                  </c:pt>
                  <c:pt idx="1525">
                    <c:v>1,22</c:v>
                  </c:pt>
                  <c:pt idx="1526">
                    <c:v>1,22</c:v>
                  </c:pt>
                  <c:pt idx="1527">
                    <c:v>1,22</c:v>
                  </c:pt>
                  <c:pt idx="1528">
                    <c:v>1,22</c:v>
                  </c:pt>
                  <c:pt idx="1529">
                    <c:v>1,22</c:v>
                  </c:pt>
                  <c:pt idx="1530">
                    <c:v>1</c:v>
                  </c:pt>
                  <c:pt idx="1531">
                    <c:v>1</c:v>
                  </c:pt>
                  <c:pt idx="1532">
                    <c:v>1,22</c:v>
                  </c:pt>
                  <c:pt idx="1533">
                    <c:v>1,22</c:v>
                  </c:pt>
                  <c:pt idx="1534">
                    <c:v>1,22</c:v>
                  </c:pt>
                  <c:pt idx="1535">
                    <c:v>1,22</c:v>
                  </c:pt>
                  <c:pt idx="1536">
                    <c:v>1,22</c:v>
                  </c:pt>
                  <c:pt idx="1537">
                    <c:v>1,22</c:v>
                  </c:pt>
                  <c:pt idx="1538">
                    <c:v>1,22</c:v>
                  </c:pt>
                  <c:pt idx="1539">
                    <c:v>1,22</c:v>
                  </c:pt>
                  <c:pt idx="1540">
                    <c:v>1,22</c:v>
                  </c:pt>
                  <c:pt idx="1541">
                    <c:v>1,22</c:v>
                  </c:pt>
                  <c:pt idx="1542">
                    <c:v>1,22</c:v>
                  </c:pt>
                  <c:pt idx="1543">
                    <c:v>1,22</c:v>
                  </c:pt>
                  <c:pt idx="1544">
                    <c:v>1,22</c:v>
                  </c:pt>
                  <c:pt idx="1545">
                    <c:v>1,22</c:v>
                  </c:pt>
                  <c:pt idx="1546">
                    <c:v>1,22</c:v>
                  </c:pt>
                  <c:pt idx="1547">
                    <c:v>1,22</c:v>
                  </c:pt>
                  <c:pt idx="1548">
                    <c:v>1,22</c:v>
                  </c:pt>
                  <c:pt idx="1549">
                    <c:v>1,22</c:v>
                  </c:pt>
                  <c:pt idx="1550">
                    <c:v>1,22</c:v>
                  </c:pt>
                  <c:pt idx="1551">
                    <c:v>1,22</c:v>
                  </c:pt>
                  <c:pt idx="1552">
                    <c:v>1</c:v>
                  </c:pt>
                  <c:pt idx="1553">
                    <c:v>1,22</c:v>
                  </c:pt>
                  <c:pt idx="1554">
                    <c:v>1,22</c:v>
                  </c:pt>
                  <c:pt idx="1555">
                    <c:v>1</c:v>
                  </c:pt>
                  <c:pt idx="1556">
                    <c:v>1,22</c:v>
                  </c:pt>
                  <c:pt idx="1557">
                    <c:v>1,22</c:v>
                  </c:pt>
                  <c:pt idx="1558">
                    <c:v>1,22</c:v>
                  </c:pt>
                  <c:pt idx="1559">
                    <c:v>1,22</c:v>
                  </c:pt>
                  <c:pt idx="1560">
                    <c:v>1,22</c:v>
                  </c:pt>
                  <c:pt idx="1561">
                    <c:v>1,22</c:v>
                  </c:pt>
                  <c:pt idx="1562">
                    <c:v>1,22</c:v>
                  </c:pt>
                  <c:pt idx="1563">
                    <c:v>1,22</c:v>
                  </c:pt>
                  <c:pt idx="1564">
                    <c:v>1,22</c:v>
                  </c:pt>
                  <c:pt idx="1565">
                    <c:v>1,22</c:v>
                  </c:pt>
                  <c:pt idx="1566">
                    <c:v>1,22</c:v>
                  </c:pt>
                  <c:pt idx="1567">
                    <c:v>1,22</c:v>
                  </c:pt>
                  <c:pt idx="1568">
                    <c:v>1,22</c:v>
                  </c:pt>
                  <c:pt idx="1569">
                    <c:v>1,22</c:v>
                  </c:pt>
                  <c:pt idx="1570">
                    <c:v>1,22</c:v>
                  </c:pt>
                  <c:pt idx="1571">
                    <c:v>1,22</c:v>
                  </c:pt>
                  <c:pt idx="1572">
                    <c:v>1,22</c:v>
                  </c:pt>
                  <c:pt idx="1573">
                    <c:v>1</c:v>
                  </c:pt>
                  <c:pt idx="1574">
                    <c:v>1,22</c:v>
                  </c:pt>
                  <c:pt idx="1575">
                    <c:v>1,22</c:v>
                  </c:pt>
                  <c:pt idx="1576">
                    <c:v>1,22</c:v>
                  </c:pt>
                  <c:pt idx="1577">
                    <c:v>1,22</c:v>
                  </c:pt>
                  <c:pt idx="1578">
                    <c:v>1,22</c:v>
                  </c:pt>
                  <c:pt idx="1579">
                    <c:v>1,22</c:v>
                  </c:pt>
                  <c:pt idx="1580">
                    <c:v>1,22</c:v>
                  </c:pt>
                  <c:pt idx="1581">
                    <c:v>1,22</c:v>
                  </c:pt>
                  <c:pt idx="1582">
                    <c:v>1,22</c:v>
                  </c:pt>
                  <c:pt idx="1583">
                    <c:v>1,22</c:v>
                  </c:pt>
                  <c:pt idx="1584">
                    <c:v>1,22</c:v>
                  </c:pt>
                  <c:pt idx="1585">
                    <c:v>1,22</c:v>
                  </c:pt>
                  <c:pt idx="1586">
                    <c:v>1,22</c:v>
                  </c:pt>
                  <c:pt idx="1587">
                    <c:v>1</c:v>
                  </c:pt>
                  <c:pt idx="1588">
                    <c:v>1</c:v>
                  </c:pt>
                  <c:pt idx="1589">
                    <c:v>1</c:v>
                  </c:pt>
                  <c:pt idx="1590">
                    <c:v>1,22</c:v>
                  </c:pt>
                  <c:pt idx="1591">
                    <c:v>1,22</c:v>
                  </c:pt>
                  <c:pt idx="1592">
                    <c:v>1,22</c:v>
                  </c:pt>
                  <c:pt idx="1593">
                    <c:v>1,22</c:v>
                  </c:pt>
                  <c:pt idx="1594">
                    <c:v>1,22</c:v>
                  </c:pt>
                  <c:pt idx="1595">
                    <c:v>1,22</c:v>
                  </c:pt>
                  <c:pt idx="1596">
                    <c:v>1,22</c:v>
                  </c:pt>
                  <c:pt idx="1597">
                    <c:v>1,22</c:v>
                  </c:pt>
                  <c:pt idx="1598">
                    <c:v>1</c:v>
                  </c:pt>
                  <c:pt idx="1599">
                    <c:v>1,22</c:v>
                  </c:pt>
                  <c:pt idx="1600">
                    <c:v>1,22</c:v>
                  </c:pt>
                  <c:pt idx="1601">
                    <c:v>1,22</c:v>
                  </c:pt>
                  <c:pt idx="1602">
                    <c:v>1,22</c:v>
                  </c:pt>
                  <c:pt idx="1603">
                    <c:v>1,22</c:v>
                  </c:pt>
                  <c:pt idx="1604">
                    <c:v>1,22</c:v>
                  </c:pt>
                  <c:pt idx="1605">
                    <c:v>1,22</c:v>
                  </c:pt>
                  <c:pt idx="1606">
                    <c:v>1,22</c:v>
                  </c:pt>
                  <c:pt idx="1607">
                    <c:v>1,22</c:v>
                  </c:pt>
                  <c:pt idx="1608">
                    <c:v>1,22</c:v>
                  </c:pt>
                  <c:pt idx="1609">
                    <c:v>1,22</c:v>
                  </c:pt>
                  <c:pt idx="1610">
                    <c:v>1,22</c:v>
                  </c:pt>
                  <c:pt idx="1611">
                    <c:v>1,22</c:v>
                  </c:pt>
                  <c:pt idx="1612">
                    <c:v>1,22</c:v>
                  </c:pt>
                  <c:pt idx="1613">
                    <c:v>1,22</c:v>
                  </c:pt>
                  <c:pt idx="1614">
                    <c:v>1,22</c:v>
                  </c:pt>
                  <c:pt idx="1615">
                    <c:v>1,22</c:v>
                  </c:pt>
                  <c:pt idx="1616">
                    <c:v>1,22</c:v>
                  </c:pt>
                  <c:pt idx="1617">
                    <c:v>1,22</c:v>
                  </c:pt>
                  <c:pt idx="1618">
                    <c:v>1</c:v>
                  </c:pt>
                  <c:pt idx="1619">
                    <c:v>1</c:v>
                  </c:pt>
                  <c:pt idx="1620">
                    <c:v>1,22</c:v>
                  </c:pt>
                  <c:pt idx="1621">
                    <c:v>1,22</c:v>
                  </c:pt>
                  <c:pt idx="1622">
                    <c:v>1,22</c:v>
                  </c:pt>
                  <c:pt idx="1623">
                    <c:v>1,22</c:v>
                  </c:pt>
                  <c:pt idx="1624">
                    <c:v>1,22</c:v>
                  </c:pt>
                  <c:pt idx="1625">
                    <c:v>1</c:v>
                  </c:pt>
                  <c:pt idx="1626">
                    <c:v>1</c:v>
                  </c:pt>
                  <c:pt idx="1627">
                    <c:v>1,22</c:v>
                  </c:pt>
                  <c:pt idx="1628">
                    <c:v>1,22</c:v>
                  </c:pt>
                  <c:pt idx="1629">
                    <c:v>1,22</c:v>
                  </c:pt>
                  <c:pt idx="1630">
                    <c:v>1,22</c:v>
                  </c:pt>
                  <c:pt idx="1631">
                    <c:v>1,22</c:v>
                  </c:pt>
                  <c:pt idx="1632">
                    <c:v>1,22</c:v>
                  </c:pt>
                  <c:pt idx="1633">
                    <c:v>1,22</c:v>
                  </c:pt>
                  <c:pt idx="1634">
                    <c:v>1,22</c:v>
                  </c:pt>
                  <c:pt idx="1635">
                    <c:v>1</c:v>
                  </c:pt>
                  <c:pt idx="1636">
                    <c:v>1</c:v>
                  </c:pt>
                  <c:pt idx="1637">
                    <c:v>1</c:v>
                  </c:pt>
                  <c:pt idx="1638">
                    <c:v>1</c:v>
                  </c:pt>
                  <c:pt idx="1639">
                    <c:v>1</c:v>
                  </c:pt>
                  <c:pt idx="1640">
                    <c:v>1,22</c:v>
                  </c:pt>
                  <c:pt idx="1641">
                    <c:v>1,22</c:v>
                  </c:pt>
                  <c:pt idx="1642">
                    <c:v>1</c:v>
                  </c:pt>
                  <c:pt idx="1643">
                    <c:v>1</c:v>
                  </c:pt>
                  <c:pt idx="1644">
                    <c:v>1</c:v>
                  </c:pt>
                  <c:pt idx="1645">
                    <c:v>1</c:v>
                  </c:pt>
                  <c:pt idx="1646">
                    <c:v>1,22</c:v>
                  </c:pt>
                  <c:pt idx="1647">
                    <c:v>1,22</c:v>
                  </c:pt>
                  <c:pt idx="1648">
                    <c:v>1,22</c:v>
                  </c:pt>
                  <c:pt idx="1649">
                    <c:v>1,22</c:v>
                  </c:pt>
                  <c:pt idx="1650">
                    <c:v>1,22</c:v>
                  </c:pt>
                  <c:pt idx="1651">
                    <c:v>1,22</c:v>
                  </c:pt>
                  <c:pt idx="1652">
                    <c:v>1,22</c:v>
                  </c:pt>
                  <c:pt idx="1653">
                    <c:v>1,2</c:v>
                  </c:pt>
                  <c:pt idx="1654">
                    <c:v>1,22</c:v>
                  </c:pt>
                  <c:pt idx="1655">
                    <c:v>1,22</c:v>
                  </c:pt>
                  <c:pt idx="1656">
                    <c:v>1,22</c:v>
                  </c:pt>
                  <c:pt idx="1657">
                    <c:v>1,22</c:v>
                  </c:pt>
                  <c:pt idx="1658">
                    <c:v>1,22</c:v>
                  </c:pt>
                  <c:pt idx="1659">
                    <c:v>1,22</c:v>
                  </c:pt>
                  <c:pt idx="1660">
                    <c:v>1,22</c:v>
                  </c:pt>
                  <c:pt idx="1661">
                    <c:v>1,22</c:v>
                  </c:pt>
                  <c:pt idx="1662">
                    <c:v>1,22</c:v>
                  </c:pt>
                  <c:pt idx="1663">
                    <c:v>1,22</c:v>
                  </c:pt>
                  <c:pt idx="1664">
                    <c:v>1,22</c:v>
                  </c:pt>
                  <c:pt idx="1665">
                    <c:v>1,22</c:v>
                  </c:pt>
                  <c:pt idx="1666">
                    <c:v>1,22</c:v>
                  </c:pt>
                  <c:pt idx="1667">
                    <c:v>1,22</c:v>
                  </c:pt>
                  <c:pt idx="1668">
                    <c:v>1,22</c:v>
                  </c:pt>
                  <c:pt idx="1669">
                    <c:v>1,22</c:v>
                  </c:pt>
                  <c:pt idx="1670">
                    <c:v>1,22</c:v>
                  </c:pt>
                  <c:pt idx="1671">
                    <c:v>1,22</c:v>
                  </c:pt>
                  <c:pt idx="1672">
                    <c:v>1</c:v>
                  </c:pt>
                  <c:pt idx="1673">
                    <c:v>1</c:v>
                  </c:pt>
                  <c:pt idx="1674">
                    <c:v>1,22</c:v>
                  </c:pt>
                  <c:pt idx="1675">
                    <c:v>1,22</c:v>
                  </c:pt>
                  <c:pt idx="1676">
                    <c:v>1,22</c:v>
                  </c:pt>
                  <c:pt idx="1677">
                    <c:v>1,22</c:v>
                  </c:pt>
                  <c:pt idx="1678">
                    <c:v>1,22</c:v>
                  </c:pt>
                  <c:pt idx="1679">
                    <c:v>1,22</c:v>
                  </c:pt>
                  <c:pt idx="1680">
                    <c:v>1,55</c:v>
                  </c:pt>
                  <c:pt idx="1681">
                    <c:v>1,22</c:v>
                  </c:pt>
                  <c:pt idx="1682">
                    <c:v>1,22</c:v>
                  </c:pt>
                  <c:pt idx="1683">
                    <c:v>1,22</c:v>
                  </c:pt>
                  <c:pt idx="1684">
                    <c:v>1,22</c:v>
                  </c:pt>
                  <c:pt idx="1685">
                    <c:v>1,22</c:v>
                  </c:pt>
                  <c:pt idx="1686">
                    <c:v>1,22</c:v>
                  </c:pt>
                  <c:pt idx="1687">
                    <c:v>1</c:v>
                  </c:pt>
                  <c:pt idx="1688">
                    <c:v>1</c:v>
                  </c:pt>
                  <c:pt idx="1689">
                    <c:v>1,22</c:v>
                  </c:pt>
                  <c:pt idx="1690">
                    <c:v>1,22</c:v>
                  </c:pt>
                  <c:pt idx="1691">
                    <c:v>1,22</c:v>
                  </c:pt>
                  <c:pt idx="1692">
                    <c:v>1,22</c:v>
                  </c:pt>
                  <c:pt idx="1693">
                    <c:v>1,22</c:v>
                  </c:pt>
                  <c:pt idx="1694">
                    <c:v>1,22</c:v>
                  </c:pt>
                  <c:pt idx="1695">
                    <c:v>1,22</c:v>
                  </c:pt>
                  <c:pt idx="1696">
                    <c:v>1,22</c:v>
                  </c:pt>
                  <c:pt idx="1697">
                    <c:v>1,22</c:v>
                  </c:pt>
                  <c:pt idx="1698">
                    <c:v>1,22</c:v>
                  </c:pt>
                  <c:pt idx="1699">
                    <c:v>1,22</c:v>
                  </c:pt>
                  <c:pt idx="1700">
                    <c:v>1,22</c:v>
                  </c:pt>
                  <c:pt idx="1701">
                    <c:v>1,22</c:v>
                  </c:pt>
                  <c:pt idx="1702">
                    <c:v>1,22</c:v>
                  </c:pt>
                  <c:pt idx="1703">
                    <c:v>1,22</c:v>
                  </c:pt>
                  <c:pt idx="1704">
                    <c:v>1,22</c:v>
                  </c:pt>
                  <c:pt idx="1705">
                    <c:v>1,22</c:v>
                  </c:pt>
                  <c:pt idx="1706">
                    <c:v>1,22</c:v>
                  </c:pt>
                  <c:pt idx="1707">
                    <c:v>1,22</c:v>
                  </c:pt>
                  <c:pt idx="1708">
                    <c:v>1</c:v>
                  </c:pt>
                  <c:pt idx="1709">
                    <c:v>1,22</c:v>
                  </c:pt>
                  <c:pt idx="1710">
                    <c:v>1,22</c:v>
                  </c:pt>
                  <c:pt idx="1711">
                    <c:v>1,22</c:v>
                  </c:pt>
                  <c:pt idx="1712">
                    <c:v>1,22</c:v>
                  </c:pt>
                  <c:pt idx="1713">
                    <c:v>1,22</c:v>
                  </c:pt>
                  <c:pt idx="1714">
                    <c:v>1,22</c:v>
                  </c:pt>
                  <c:pt idx="1715">
                    <c:v>1</c:v>
                  </c:pt>
                  <c:pt idx="1716">
                    <c:v>1</c:v>
                  </c:pt>
                  <c:pt idx="1717">
                    <c:v>1,22</c:v>
                  </c:pt>
                  <c:pt idx="1718">
                    <c:v>1,22</c:v>
                  </c:pt>
                  <c:pt idx="1719">
                    <c:v>1,22</c:v>
                  </c:pt>
                  <c:pt idx="1720">
                    <c:v>1,22</c:v>
                  </c:pt>
                  <c:pt idx="1721">
                    <c:v>1,22</c:v>
                  </c:pt>
                  <c:pt idx="1722">
                    <c:v>1,22</c:v>
                  </c:pt>
                  <c:pt idx="1723">
                    <c:v>1,22</c:v>
                  </c:pt>
                  <c:pt idx="1724">
                    <c:v>1,22</c:v>
                  </c:pt>
                </c:lvl>
                <c:lvl>
                  <c:pt idx="0">
                    <c:v>corona</c:v>
                  </c:pt>
                  <c:pt idx="1">
                    <c:v>agraciada</c:v>
                  </c:pt>
                  <c:pt idx="2">
                    <c:v>magric</c:v>
                  </c:pt>
                  <c:pt idx="3">
                    <c:v>merlin</c:v>
                  </c:pt>
                  <c:pt idx="4">
                    <c:v>merlin</c:v>
                  </c:pt>
                  <c:pt idx="5">
                    <c:v>copagran</c:v>
                  </c:pt>
                  <c:pt idx="6">
                    <c:v>copagran</c:v>
                  </c:pt>
                  <c:pt idx="7">
                    <c:v>copagran</c:v>
                  </c:pt>
                  <c:pt idx="8">
                    <c:v>merlin</c:v>
                  </c:pt>
                  <c:pt idx="9">
                    <c:v>magric</c:v>
                  </c:pt>
                  <c:pt idx="10">
                    <c:v>grispix</c:v>
                  </c:pt>
                  <c:pt idx="11">
                    <c:v>grispix</c:v>
                  </c:pt>
                  <c:pt idx="12">
                    <c:v>GRISPIX</c:v>
                  </c:pt>
                  <c:pt idx="13">
                    <c:v>bioterra</c:v>
                  </c:pt>
                  <c:pt idx="14">
                    <c:v>denucio</c:v>
                  </c:pt>
                  <c:pt idx="15">
                    <c:v>diego</c:v>
                  </c:pt>
                  <c:pt idx="16">
                    <c:v>diego</c:v>
                  </c:pt>
                  <c:pt idx="17">
                    <c:v>diego</c:v>
                  </c:pt>
                  <c:pt idx="18">
                    <c:v>diego</c:v>
                  </c:pt>
                  <c:pt idx="19">
                    <c:v>diego</c:v>
                  </c:pt>
                  <c:pt idx="20">
                    <c:v>diego</c:v>
                  </c:pt>
                  <c:pt idx="21">
                    <c:v>diego</c:v>
                  </c:pt>
                  <c:pt idx="22">
                    <c:v>diego</c:v>
                  </c:pt>
                  <c:pt idx="24">
                    <c:v>cousa</c:v>
                  </c:pt>
                  <c:pt idx="25">
                    <c:v>cousa</c:v>
                  </c:pt>
                  <c:pt idx="26">
                    <c:v>deribal</c:v>
                  </c:pt>
                  <c:pt idx="27">
                    <c:v>valagu</c:v>
                  </c:pt>
                  <c:pt idx="28">
                    <c:v>valagu</c:v>
                  </c:pt>
                  <c:pt idx="29">
                    <c:v>valagu</c:v>
                  </c:pt>
                  <c:pt idx="30">
                    <c:v>valagu</c:v>
                  </c:pt>
                  <c:pt idx="31">
                    <c:v>valagu</c:v>
                  </c:pt>
                  <c:pt idx="32">
                    <c:v>valagu</c:v>
                  </c:pt>
                  <c:pt idx="33">
                    <c:v>valagu</c:v>
                  </c:pt>
                  <c:pt idx="34">
                    <c:v>agraciada</c:v>
                  </c:pt>
                  <c:pt idx="35">
                    <c:v>grispix</c:v>
                  </c:pt>
                  <c:pt idx="36">
                    <c:v>denucio</c:v>
                  </c:pt>
                  <c:pt idx="37">
                    <c:v>valagu</c:v>
                  </c:pt>
                  <c:pt idx="38">
                    <c:v>valagu</c:v>
                  </c:pt>
                  <c:pt idx="39">
                    <c:v>valagu</c:v>
                  </c:pt>
                  <c:pt idx="40">
                    <c:v>valagu</c:v>
                  </c:pt>
                  <c:pt idx="41">
                    <c:v>valagu</c:v>
                  </c:pt>
                  <c:pt idx="42">
                    <c:v>valagu</c:v>
                  </c:pt>
                  <c:pt idx="43">
                    <c:v>valagu</c:v>
                  </c:pt>
                  <c:pt idx="44">
                    <c:v>valagu</c:v>
                  </c:pt>
                  <c:pt idx="45">
                    <c:v>valagu</c:v>
                  </c:pt>
                  <c:pt idx="46">
                    <c:v>valagu</c:v>
                  </c:pt>
                  <c:pt idx="47">
                    <c:v>valagu</c:v>
                  </c:pt>
                  <c:pt idx="48">
                    <c:v>valagu</c:v>
                  </c:pt>
                  <c:pt idx="49">
                    <c:v>valagu </c:v>
                  </c:pt>
                  <c:pt idx="50">
                    <c:v>valagu</c:v>
                  </c:pt>
                  <c:pt idx="51">
                    <c:v>valagu</c:v>
                  </c:pt>
                  <c:pt idx="52">
                    <c:v>valagu</c:v>
                  </c:pt>
                  <c:pt idx="53">
                    <c:v>valagu</c:v>
                  </c:pt>
                  <c:pt idx="54">
                    <c:v>valagu</c:v>
                  </c:pt>
                  <c:pt idx="55">
                    <c:v>valagu</c:v>
                  </c:pt>
                  <c:pt idx="56">
                    <c:v>valagu</c:v>
                  </c:pt>
                  <c:pt idx="57">
                    <c:v>valagu</c:v>
                  </c:pt>
                  <c:pt idx="58">
                    <c:v>valagu</c:v>
                  </c:pt>
                  <c:pt idx="59">
                    <c:v>denucio</c:v>
                  </c:pt>
                  <c:pt idx="60">
                    <c:v>beltrame</c:v>
                  </c:pt>
                  <c:pt idx="61">
                    <c:v>alvarez</c:v>
                  </c:pt>
                  <c:pt idx="62">
                    <c:v>alvarez</c:v>
                  </c:pt>
                  <c:pt idx="63">
                    <c:v>agraciada</c:v>
                  </c:pt>
                  <c:pt idx="64">
                    <c:v>damian macetas</c:v>
                  </c:pt>
                  <c:pt idx="65">
                    <c:v>damian macetas</c:v>
                  </c:pt>
                  <c:pt idx="66">
                    <c:v>diego</c:v>
                  </c:pt>
                  <c:pt idx="67">
                    <c:v>diego</c:v>
                  </c:pt>
                  <c:pt idx="68">
                    <c:v>diego</c:v>
                  </c:pt>
                  <c:pt idx="69">
                    <c:v>diego</c:v>
                  </c:pt>
                  <c:pt idx="70">
                    <c:v>diego</c:v>
                  </c:pt>
                  <c:pt idx="71">
                    <c:v>maestro</c:v>
                  </c:pt>
                  <c:pt idx="72">
                    <c:v>rimart</c:v>
                  </c:pt>
                  <c:pt idx="73">
                    <c:v>rimart</c:v>
                  </c:pt>
                  <c:pt idx="74">
                    <c:v>lima</c:v>
                  </c:pt>
                  <c:pt idx="75">
                    <c:v>lima</c:v>
                  </c:pt>
                  <c:pt idx="76">
                    <c:v>maestro</c:v>
                  </c:pt>
                  <c:pt idx="77">
                    <c:v>maestro</c:v>
                  </c:pt>
                  <c:pt idx="78">
                    <c:v>diego</c:v>
                  </c:pt>
                  <c:pt idx="79">
                    <c:v>diego</c:v>
                  </c:pt>
                  <c:pt idx="80">
                    <c:v>fermara</c:v>
                  </c:pt>
                  <c:pt idx="81">
                    <c:v>fermara</c:v>
                  </c:pt>
                  <c:pt idx="82">
                    <c:v>fermara</c:v>
                  </c:pt>
                  <c:pt idx="83">
                    <c:v>casa cristina</c:v>
                  </c:pt>
                  <c:pt idx="84">
                    <c:v>casa cristina</c:v>
                  </c:pt>
                  <c:pt idx="85">
                    <c:v>aros y coronas</c:v>
                  </c:pt>
                  <c:pt idx="86">
                    <c:v>aros y coronas</c:v>
                  </c:pt>
                  <c:pt idx="87">
                    <c:v>aros y coronas</c:v>
                  </c:pt>
                  <c:pt idx="88">
                    <c:v>rimart</c:v>
                  </c:pt>
                  <c:pt idx="89">
                    <c:v>rimart</c:v>
                  </c:pt>
                  <c:pt idx="90">
                    <c:v>diego</c:v>
                  </c:pt>
                  <c:pt idx="91">
                    <c:v>DIEGO</c:v>
                  </c:pt>
                  <c:pt idx="93">
                    <c:v>casa cristina</c:v>
                  </c:pt>
                  <c:pt idx="96">
                    <c:v>yaques</c:v>
                  </c:pt>
                  <c:pt idx="97">
                    <c:v>bioterra</c:v>
                  </c:pt>
                  <c:pt idx="98">
                    <c:v>droqueria paysandu</c:v>
                  </c:pt>
                  <c:pt idx="99">
                    <c:v>droqueria paysandu</c:v>
                  </c:pt>
                  <c:pt idx="100">
                    <c:v>drogueria paysandu</c:v>
                  </c:pt>
                  <c:pt idx="101">
                    <c:v>agropecuaria agraciada</c:v>
                  </c:pt>
                  <c:pt idx="102">
                    <c:v>drogueria paysandu</c:v>
                  </c:pt>
                  <c:pt idx="103">
                    <c:v>beltrame</c:v>
                  </c:pt>
                  <c:pt idx="104">
                    <c:v>beltrame</c:v>
                  </c:pt>
                  <c:pt idx="105">
                    <c:v>parque trebol</c:v>
                  </c:pt>
                  <c:pt idx="106">
                    <c:v>parque trebol</c:v>
                  </c:pt>
                  <c:pt idx="107">
                    <c:v>parque trebol</c:v>
                  </c:pt>
                  <c:pt idx="108">
                    <c:v>parque trebol</c:v>
                  </c:pt>
                  <c:pt idx="110">
                    <c:v>empack</c:v>
                  </c:pt>
                  <c:pt idx="111">
                    <c:v>valagu</c:v>
                  </c:pt>
                  <c:pt idx="112">
                    <c:v>MAYORPET</c:v>
                  </c:pt>
                  <c:pt idx="113">
                    <c:v>MAYORPET</c:v>
                  </c:pt>
                  <c:pt idx="114">
                    <c:v>valagu</c:v>
                  </c:pt>
                  <c:pt idx="115">
                    <c:v>valagu</c:v>
                  </c:pt>
                  <c:pt idx="116">
                    <c:v>valagu</c:v>
                  </c:pt>
                  <c:pt idx="117">
                    <c:v>MAYORPET</c:v>
                  </c:pt>
                  <c:pt idx="118">
                    <c:v>MAYORPET</c:v>
                  </c:pt>
                  <c:pt idx="119">
                    <c:v>valagu</c:v>
                  </c:pt>
                  <c:pt idx="120">
                    <c:v>valagu</c:v>
                  </c:pt>
                  <c:pt idx="121">
                    <c:v>beltrame</c:v>
                  </c:pt>
                  <c:pt idx="122">
                    <c:v>volpe</c:v>
                  </c:pt>
                  <c:pt idx="123">
                    <c:v>volpe</c:v>
                  </c:pt>
                  <c:pt idx="124">
                    <c:v>parque trebol</c:v>
                  </c:pt>
                  <c:pt idx="125">
                    <c:v>agroinsumos</c:v>
                  </c:pt>
                  <c:pt idx="126">
                    <c:v>agroinsumos</c:v>
                  </c:pt>
                  <c:pt idx="127">
                    <c:v>agroinsumos</c:v>
                  </c:pt>
                  <c:pt idx="128">
                    <c:v>agroinsumos</c:v>
                  </c:pt>
                  <c:pt idx="129">
                    <c:v>valagu</c:v>
                  </c:pt>
                  <c:pt idx="130">
                    <c:v>beltrame</c:v>
                  </c:pt>
                  <c:pt idx="131">
                    <c:v>beltrame</c:v>
                  </c:pt>
                  <c:pt idx="132">
                    <c:v>beltrame</c:v>
                  </c:pt>
                  <c:pt idx="133">
                    <c:v>beltrame</c:v>
                  </c:pt>
                  <c:pt idx="134">
                    <c:v>MAYORPET</c:v>
                  </c:pt>
                  <c:pt idx="135">
                    <c:v>MAYORPET</c:v>
                  </c:pt>
                  <c:pt idx="136">
                    <c:v>valagu</c:v>
                  </c:pt>
                  <c:pt idx="137">
                    <c:v>beltrame</c:v>
                  </c:pt>
                  <c:pt idx="138">
                    <c:v>MAYORPET</c:v>
                  </c:pt>
                  <c:pt idx="139">
                    <c:v>MAYORPET</c:v>
                  </c:pt>
                  <c:pt idx="140">
                    <c:v>MAYORPET</c:v>
                  </c:pt>
                  <c:pt idx="141">
                    <c:v>MAYORPET</c:v>
                  </c:pt>
                  <c:pt idx="142">
                    <c:v>MAYORPET</c:v>
                  </c:pt>
                  <c:pt idx="143">
                    <c:v>MAYORPET</c:v>
                  </c:pt>
                  <c:pt idx="144">
                    <c:v>valagu</c:v>
                  </c:pt>
                  <c:pt idx="145">
                    <c:v>valagu</c:v>
                  </c:pt>
                  <c:pt idx="146">
                    <c:v>valagu</c:v>
                  </c:pt>
                  <c:pt idx="147">
                    <c:v>damian macetas</c:v>
                  </c:pt>
                  <c:pt idx="148">
                    <c:v>valagu</c:v>
                  </c:pt>
                  <c:pt idx="149">
                    <c:v>valagu</c:v>
                  </c:pt>
                  <c:pt idx="150">
                    <c:v>valagu</c:v>
                  </c:pt>
                  <c:pt idx="151">
                    <c:v>MAYORPET</c:v>
                  </c:pt>
                  <c:pt idx="152">
                    <c:v>damian macetas</c:v>
                  </c:pt>
                  <c:pt idx="153">
                    <c:v>valagu</c:v>
                  </c:pt>
                  <c:pt idx="154">
                    <c:v>valagu</c:v>
                  </c:pt>
                  <c:pt idx="155">
                    <c:v>valagu</c:v>
                  </c:pt>
                  <c:pt idx="156">
                    <c:v>valagu</c:v>
                  </c:pt>
                  <c:pt idx="157">
                    <c:v>valagu</c:v>
                  </c:pt>
                  <c:pt idx="158">
                    <c:v>valagu</c:v>
                  </c:pt>
                  <c:pt idx="159">
                    <c:v>es</c:v>
                  </c:pt>
                  <c:pt idx="160">
                    <c:v>valagu</c:v>
                  </c:pt>
                  <c:pt idx="161">
                    <c:v>drogueria paysandu</c:v>
                  </c:pt>
                  <c:pt idx="165">
                    <c:v>yaques</c:v>
                  </c:pt>
                  <c:pt idx="166">
                    <c:v>agroinsumos</c:v>
                  </c:pt>
                  <c:pt idx="167">
                    <c:v>bioterra</c:v>
                  </c:pt>
                  <c:pt idx="168">
                    <c:v>bioterra</c:v>
                  </c:pt>
                  <c:pt idx="169">
                    <c:v>bioterra</c:v>
                  </c:pt>
                  <c:pt idx="170">
                    <c:v>bioterra</c:v>
                  </c:pt>
                  <c:pt idx="171">
                    <c:v>bioterra</c:v>
                  </c:pt>
                  <c:pt idx="172">
                    <c:v>bioterra</c:v>
                  </c:pt>
                  <c:pt idx="173">
                    <c:v>bioterra</c:v>
                  </c:pt>
                  <c:pt idx="174">
                    <c:v>bioterra</c:v>
                  </c:pt>
                  <c:pt idx="175">
                    <c:v>bioterra</c:v>
                  </c:pt>
                  <c:pt idx="176">
                    <c:v>bioterra</c:v>
                  </c:pt>
                  <c:pt idx="177">
                    <c:v>belsir</c:v>
                  </c:pt>
                  <c:pt idx="178">
                    <c:v>belsir</c:v>
                  </c:pt>
                  <c:pt idx="179">
                    <c:v>GRISPIX</c:v>
                  </c:pt>
                  <c:pt idx="180">
                    <c:v>GRISPIX</c:v>
                  </c:pt>
                  <c:pt idx="181">
                    <c:v>damian macetas</c:v>
                  </c:pt>
                  <c:pt idx="182">
                    <c:v>damian macetas</c:v>
                  </c:pt>
                  <c:pt idx="183">
                    <c:v>damian macetas</c:v>
                  </c:pt>
                  <c:pt idx="184">
                    <c:v>damian macetas</c:v>
                  </c:pt>
                  <c:pt idx="185">
                    <c:v>damian macetas</c:v>
                  </c:pt>
                  <c:pt idx="186">
                    <c:v>damian macetas</c:v>
                  </c:pt>
                  <c:pt idx="187">
                    <c:v>damian macetas</c:v>
                  </c:pt>
                  <c:pt idx="188">
                    <c:v>damian macetas</c:v>
                  </c:pt>
                  <c:pt idx="189">
                    <c:v>damian macetas</c:v>
                  </c:pt>
                  <c:pt idx="190">
                    <c:v>damian macetas</c:v>
                  </c:pt>
                  <c:pt idx="191">
                    <c:v>damian macetas</c:v>
                  </c:pt>
                  <c:pt idx="192">
                    <c:v>damian macetas</c:v>
                  </c:pt>
                  <c:pt idx="193">
                    <c:v>damian macetas</c:v>
                  </c:pt>
                  <c:pt idx="194">
                    <c:v>damian macetas</c:v>
                  </c:pt>
                  <c:pt idx="195">
                    <c:v>damian macetas</c:v>
                  </c:pt>
                  <c:pt idx="196">
                    <c:v>damian macetas</c:v>
                  </c:pt>
                  <c:pt idx="197">
                    <c:v>damian macetas</c:v>
                  </c:pt>
                  <c:pt idx="198">
                    <c:v>damian macetas</c:v>
                  </c:pt>
                  <c:pt idx="199">
                    <c:v>damian macetas</c:v>
                  </c:pt>
                  <c:pt idx="200">
                    <c:v>damian macetas</c:v>
                  </c:pt>
                  <c:pt idx="201">
                    <c:v>damian macetas</c:v>
                  </c:pt>
                  <c:pt idx="202">
                    <c:v>damian macetas</c:v>
                  </c:pt>
                  <c:pt idx="203">
                    <c:v>empack</c:v>
                  </c:pt>
                  <c:pt idx="204">
                    <c:v>empack</c:v>
                  </c:pt>
                  <c:pt idx="205">
                    <c:v>empack</c:v>
                  </c:pt>
                  <c:pt idx="206">
                    <c:v>empack</c:v>
                  </c:pt>
                  <c:pt idx="207">
                    <c:v>empack</c:v>
                  </c:pt>
                  <c:pt idx="208">
                    <c:v>empack</c:v>
                  </c:pt>
                  <c:pt idx="209">
                    <c:v>empack</c:v>
                  </c:pt>
                  <c:pt idx="210">
                    <c:v>diego</c:v>
                  </c:pt>
                  <c:pt idx="211">
                    <c:v>empack</c:v>
                  </c:pt>
                  <c:pt idx="212">
                    <c:v>empack</c:v>
                  </c:pt>
                  <c:pt idx="213">
                    <c:v>baldivia</c:v>
                  </c:pt>
                  <c:pt idx="214">
                    <c:v>baldivia</c:v>
                  </c:pt>
                  <c:pt idx="215">
                    <c:v>baldivia</c:v>
                  </c:pt>
                  <c:pt idx="216">
                    <c:v>baldivia</c:v>
                  </c:pt>
                  <c:pt idx="217">
                    <c:v>baldivia</c:v>
                  </c:pt>
                  <c:pt idx="218">
                    <c:v>maestro</c:v>
                  </c:pt>
                  <c:pt idx="219">
                    <c:v>mazzoni</c:v>
                  </c:pt>
                  <c:pt idx="220">
                    <c:v>mazzoni</c:v>
                  </c:pt>
                  <c:pt idx="221">
                    <c:v>valagu</c:v>
                  </c:pt>
                  <c:pt idx="222">
                    <c:v>valagu</c:v>
                  </c:pt>
                  <c:pt idx="223">
                    <c:v>valagu</c:v>
                  </c:pt>
                  <c:pt idx="224">
                    <c:v>valagu</c:v>
                  </c:pt>
                  <c:pt idx="225">
                    <c:v>valagu</c:v>
                  </c:pt>
                  <c:pt idx="226">
                    <c:v>valagu</c:v>
                  </c:pt>
                  <c:pt idx="227">
                    <c:v>diego</c:v>
                  </c:pt>
                  <c:pt idx="229">
                    <c:v>MAYORPET</c:v>
                  </c:pt>
                  <c:pt idx="230">
                    <c:v>MAYORPET</c:v>
                  </c:pt>
                  <c:pt idx="231">
                    <c:v>MAYORPET</c:v>
                  </c:pt>
                  <c:pt idx="232">
                    <c:v>MAYORPET</c:v>
                  </c:pt>
                  <c:pt idx="233">
                    <c:v>MAYORPET</c:v>
                  </c:pt>
                  <c:pt idx="234">
                    <c:v>denucio</c:v>
                  </c:pt>
                  <c:pt idx="235">
                    <c:v>aros y coronas</c:v>
                  </c:pt>
                  <c:pt idx="236">
                    <c:v>agroinsumos</c:v>
                  </c:pt>
                  <c:pt idx="237">
                    <c:v>grispix</c:v>
                  </c:pt>
                  <c:pt idx="238">
                    <c:v>denucio</c:v>
                  </c:pt>
                  <c:pt idx="239">
                    <c:v>bioterra</c:v>
                  </c:pt>
                  <c:pt idx="240">
                    <c:v>MAYORPET</c:v>
                  </c:pt>
                  <c:pt idx="241">
                    <c:v>MAYORPET</c:v>
                  </c:pt>
                  <c:pt idx="242">
                    <c:v>MAYORPET</c:v>
                  </c:pt>
                  <c:pt idx="243">
                    <c:v>MAYORPET</c:v>
                  </c:pt>
                  <c:pt idx="244">
                    <c:v>MAYORPET</c:v>
                  </c:pt>
                  <c:pt idx="245">
                    <c:v>MAYORPET</c:v>
                  </c:pt>
                  <c:pt idx="246">
                    <c:v>MAYORPET</c:v>
                  </c:pt>
                  <c:pt idx="248">
                    <c:v>ATMA</c:v>
                  </c:pt>
                  <c:pt idx="249">
                    <c:v>valagu</c:v>
                  </c:pt>
                  <c:pt idx="250">
                    <c:v>valagu</c:v>
                  </c:pt>
                  <c:pt idx="251">
                    <c:v>beltrame</c:v>
                  </c:pt>
                  <c:pt idx="252">
                    <c:v>valagu</c:v>
                  </c:pt>
                  <c:pt idx="253">
                    <c:v>valagu</c:v>
                  </c:pt>
                  <c:pt idx="254">
                    <c:v>MAYORPET</c:v>
                  </c:pt>
                  <c:pt idx="255">
                    <c:v>valagu</c:v>
                  </c:pt>
                  <c:pt idx="256">
                    <c:v>valagu</c:v>
                  </c:pt>
                  <c:pt idx="257">
                    <c:v>valagu</c:v>
                  </c:pt>
                  <c:pt idx="258">
                    <c:v>ATMA</c:v>
                  </c:pt>
                  <c:pt idx="259">
                    <c:v>damian macetas</c:v>
                  </c:pt>
                  <c:pt idx="260">
                    <c:v>valagu</c:v>
                  </c:pt>
                  <c:pt idx="261">
                    <c:v>uruquim</c:v>
                  </c:pt>
                  <c:pt idx="262">
                    <c:v>uruquim</c:v>
                  </c:pt>
                  <c:pt idx="263">
                    <c:v>agropecuaria agraciada</c:v>
                  </c:pt>
                  <c:pt idx="264">
                    <c:v>beltrame</c:v>
                  </c:pt>
                  <c:pt idx="265">
                    <c:v>magric</c:v>
                  </c:pt>
                  <c:pt idx="266">
                    <c:v>agritec</c:v>
                  </c:pt>
                  <c:pt idx="267">
                    <c:v>agritec</c:v>
                  </c:pt>
                  <c:pt idx="269">
                    <c:v>BOTICA</c:v>
                  </c:pt>
                  <c:pt idx="270">
                    <c:v>valagu</c:v>
                  </c:pt>
                  <c:pt idx="271">
                    <c:v>valagu</c:v>
                  </c:pt>
                  <c:pt idx="272">
                    <c:v>MAYORPET</c:v>
                  </c:pt>
                  <c:pt idx="273">
                    <c:v>damian macetas</c:v>
                  </c:pt>
                  <c:pt idx="274">
                    <c:v>damian macetas</c:v>
                  </c:pt>
                  <c:pt idx="275">
                    <c:v>lima</c:v>
                  </c:pt>
                  <c:pt idx="276">
                    <c:v>valagu</c:v>
                  </c:pt>
                  <c:pt idx="277">
                    <c:v>valagu</c:v>
                  </c:pt>
                  <c:pt idx="278">
                    <c:v>diego</c:v>
                  </c:pt>
                  <c:pt idx="279">
                    <c:v>damian macetas</c:v>
                  </c:pt>
                  <c:pt idx="280">
                    <c:v>damian macetas</c:v>
                  </c:pt>
                  <c:pt idx="281">
                    <c:v>damian macetas</c:v>
                  </c:pt>
                  <c:pt idx="283">
                    <c:v>grispix</c:v>
                  </c:pt>
                  <c:pt idx="284">
                    <c:v>grispix</c:v>
                  </c:pt>
                  <c:pt idx="285">
                    <c:v>denucio</c:v>
                  </c:pt>
                  <c:pt idx="286">
                    <c:v>denucio</c:v>
                  </c:pt>
                  <c:pt idx="287">
                    <c:v>denucio</c:v>
                  </c:pt>
                  <c:pt idx="288">
                    <c:v>denucio</c:v>
                  </c:pt>
                  <c:pt idx="289">
                    <c:v>denucio</c:v>
                  </c:pt>
                  <c:pt idx="290">
                    <c:v>denucio</c:v>
                  </c:pt>
                  <c:pt idx="291">
                    <c:v>denucio</c:v>
                  </c:pt>
                  <c:pt idx="292">
                    <c:v>denucio</c:v>
                  </c:pt>
                  <c:pt idx="293">
                    <c:v>denucio</c:v>
                  </c:pt>
                  <c:pt idx="294">
                    <c:v>denucio</c:v>
                  </c:pt>
                  <c:pt idx="295">
                    <c:v>denucio</c:v>
                  </c:pt>
                  <c:pt idx="296">
                    <c:v>denucio</c:v>
                  </c:pt>
                  <c:pt idx="297">
                    <c:v>denucio</c:v>
                  </c:pt>
                  <c:pt idx="298">
                    <c:v>denucio</c:v>
                  </c:pt>
                  <c:pt idx="299">
                    <c:v>beltrame</c:v>
                  </c:pt>
                  <c:pt idx="300">
                    <c:v>beltrame</c:v>
                  </c:pt>
                  <c:pt idx="301">
                    <c:v>agropecuaria santa rosa</c:v>
                  </c:pt>
                  <c:pt idx="302">
                    <c:v>agropecuaria santa rosa</c:v>
                  </c:pt>
                  <c:pt idx="303">
                    <c:v>beltrame</c:v>
                  </c:pt>
                  <c:pt idx="304">
                    <c:v>beltrame</c:v>
                  </c:pt>
                  <c:pt idx="305">
                    <c:v>beltrame</c:v>
                  </c:pt>
                  <c:pt idx="306">
                    <c:v>beltrame</c:v>
                  </c:pt>
                  <c:pt idx="307">
                    <c:v>beltrame</c:v>
                  </c:pt>
                  <c:pt idx="308">
                    <c:v>baldivia</c:v>
                  </c:pt>
                  <c:pt idx="309">
                    <c:v>damian macetas</c:v>
                  </c:pt>
                  <c:pt idx="310">
                    <c:v>damian macetas</c:v>
                  </c:pt>
                  <c:pt idx="311">
                    <c:v>maestro</c:v>
                  </c:pt>
                  <c:pt idx="312">
                    <c:v>grispix</c:v>
                  </c:pt>
                  <c:pt idx="313">
                    <c:v>alvarez</c:v>
                  </c:pt>
                  <c:pt idx="314">
                    <c:v>parque trebol</c:v>
                  </c:pt>
                  <c:pt idx="315">
                    <c:v>diego</c:v>
                  </c:pt>
                  <c:pt idx="316">
                    <c:v>magric</c:v>
                  </c:pt>
                  <c:pt idx="317">
                    <c:v>magric</c:v>
                  </c:pt>
                  <c:pt idx="318">
                    <c:v>volpe</c:v>
                  </c:pt>
                  <c:pt idx="319">
                    <c:v>volpe</c:v>
                  </c:pt>
                  <c:pt idx="320">
                    <c:v>denucio</c:v>
                  </c:pt>
                  <c:pt idx="321">
                    <c:v>yaques</c:v>
                  </c:pt>
                  <c:pt idx="322">
                    <c:v>valagu</c:v>
                  </c:pt>
                  <c:pt idx="323">
                    <c:v>damian macetas</c:v>
                  </c:pt>
                  <c:pt idx="324">
                    <c:v>damian macetas</c:v>
                  </c:pt>
                  <c:pt idx="325">
                    <c:v>damian macetas</c:v>
                  </c:pt>
                  <c:pt idx="326">
                    <c:v>damian macetas</c:v>
                  </c:pt>
                  <c:pt idx="327">
                    <c:v>alvarez</c:v>
                  </c:pt>
                  <c:pt idx="328">
                    <c:v>insumos cultivador</c:v>
                  </c:pt>
                  <c:pt idx="329">
                    <c:v>insumos cultivador</c:v>
                  </c:pt>
                  <c:pt idx="330">
                    <c:v>insumos cultivador</c:v>
                  </c:pt>
                  <c:pt idx="331">
                    <c:v>MAYORPET</c:v>
                  </c:pt>
                  <c:pt idx="332">
                    <c:v>damian macetas</c:v>
                  </c:pt>
                  <c:pt idx="333">
                    <c:v>damian macetas</c:v>
                  </c:pt>
                  <c:pt idx="334">
                    <c:v>damian macetas</c:v>
                  </c:pt>
                  <c:pt idx="335">
                    <c:v>MAYORPET</c:v>
                  </c:pt>
                  <c:pt idx="336">
                    <c:v>MAYORPET</c:v>
                  </c:pt>
                  <c:pt idx="337">
                    <c:v>MAYORPET</c:v>
                  </c:pt>
                  <c:pt idx="338">
                    <c:v>MAYORPET</c:v>
                  </c:pt>
                  <c:pt idx="339">
                    <c:v>MAYORPET</c:v>
                  </c:pt>
                  <c:pt idx="340">
                    <c:v>MAYORPET</c:v>
                  </c:pt>
                  <c:pt idx="341">
                    <c:v>MAYORPET</c:v>
                  </c:pt>
                  <c:pt idx="342">
                    <c:v>MAYORPET</c:v>
                  </c:pt>
                  <c:pt idx="343">
                    <c:v>MAYORPET</c:v>
                  </c:pt>
                  <c:pt idx="344">
                    <c:v>MAYORPET</c:v>
                  </c:pt>
                  <c:pt idx="345">
                    <c:v>MAYORPET</c:v>
                  </c:pt>
                  <c:pt idx="346">
                    <c:v>MAYORPET</c:v>
                  </c:pt>
                  <c:pt idx="347">
                    <c:v>MAYORPET</c:v>
                  </c:pt>
                  <c:pt idx="348">
                    <c:v>MAYORPET</c:v>
                  </c:pt>
                  <c:pt idx="349">
                    <c:v>MAYORPET</c:v>
                  </c:pt>
                  <c:pt idx="350">
                    <c:v>MAYORPET</c:v>
                  </c:pt>
                  <c:pt idx="351">
                    <c:v>MAYORPET</c:v>
                  </c:pt>
                  <c:pt idx="352">
                    <c:v>MAYORPET</c:v>
                  </c:pt>
                  <c:pt idx="353">
                    <c:v>MAYORPET</c:v>
                  </c:pt>
                  <c:pt idx="354">
                    <c:v>grispix</c:v>
                  </c:pt>
                  <c:pt idx="355">
                    <c:v>grispix</c:v>
                  </c:pt>
                  <c:pt idx="356">
                    <c:v>grispix</c:v>
                  </c:pt>
                  <c:pt idx="357">
                    <c:v>MAYORPET</c:v>
                  </c:pt>
                  <c:pt idx="358">
                    <c:v>MAYORPET</c:v>
                  </c:pt>
                  <c:pt idx="359">
                    <c:v>MAYORPET</c:v>
                  </c:pt>
                  <c:pt idx="360">
                    <c:v>MAYORPET</c:v>
                  </c:pt>
                  <c:pt idx="361">
                    <c:v>deribal</c:v>
                  </c:pt>
                  <c:pt idx="362">
                    <c:v>deribal</c:v>
                  </c:pt>
                  <c:pt idx="363">
                    <c:v>fermara</c:v>
                  </c:pt>
                  <c:pt idx="364">
                    <c:v>deribal</c:v>
                  </c:pt>
                  <c:pt idx="365">
                    <c:v>volpe</c:v>
                  </c:pt>
                  <c:pt idx="366">
                    <c:v>deribal</c:v>
                  </c:pt>
                  <c:pt idx="367">
                    <c:v>deribal</c:v>
                  </c:pt>
                  <c:pt idx="368">
                    <c:v>volpe</c:v>
                  </c:pt>
                  <c:pt idx="369">
                    <c:v>MAYORPET</c:v>
                  </c:pt>
                  <c:pt idx="370">
                    <c:v>MAYORPET</c:v>
                  </c:pt>
                  <c:pt idx="371">
                    <c:v>grispix</c:v>
                  </c:pt>
                  <c:pt idx="372">
                    <c:v>grispix</c:v>
                  </c:pt>
                  <c:pt idx="373">
                    <c:v>MAYORPET</c:v>
                  </c:pt>
                  <c:pt idx="374">
                    <c:v>MAYORPET</c:v>
                  </c:pt>
                  <c:pt idx="375">
                    <c:v>MAYORPET</c:v>
                  </c:pt>
                  <c:pt idx="376">
                    <c:v>grispix</c:v>
                  </c:pt>
                  <c:pt idx="377">
                    <c:v>MAYORPET</c:v>
                  </c:pt>
                  <c:pt idx="378">
                    <c:v>MAYORPET</c:v>
                  </c:pt>
                  <c:pt idx="379">
                    <c:v>MAYORPET</c:v>
                  </c:pt>
                  <c:pt idx="380">
                    <c:v>MAYORPET</c:v>
                  </c:pt>
                  <c:pt idx="381">
                    <c:v>MAYORPET</c:v>
                  </c:pt>
                  <c:pt idx="382">
                    <c:v>MAYORPET</c:v>
                  </c:pt>
                  <c:pt idx="383">
                    <c:v>rimart</c:v>
                  </c:pt>
                  <c:pt idx="384">
                    <c:v>rimart</c:v>
                  </c:pt>
                  <c:pt idx="385">
                    <c:v>MAYORPET</c:v>
                  </c:pt>
                  <c:pt idx="386">
                    <c:v>damian macetas</c:v>
                  </c:pt>
                  <c:pt idx="387">
                    <c:v>MAYORPET</c:v>
                  </c:pt>
                  <c:pt idx="388">
                    <c:v>MAYORPET</c:v>
                  </c:pt>
                  <c:pt idx="389">
                    <c:v>MAYORPET</c:v>
                  </c:pt>
                  <c:pt idx="390">
                    <c:v>valagu</c:v>
                  </c:pt>
                  <c:pt idx="391">
                    <c:v>MAYORPET</c:v>
                  </c:pt>
                  <c:pt idx="392">
                    <c:v>MAYORPET</c:v>
                  </c:pt>
                  <c:pt idx="393">
                    <c:v>MAYORPET</c:v>
                  </c:pt>
                  <c:pt idx="394">
                    <c:v>MAYORPET</c:v>
                  </c:pt>
                  <c:pt idx="395">
                    <c:v>MAYORPET</c:v>
                  </c:pt>
                  <c:pt idx="396">
                    <c:v>MAYORPET</c:v>
                  </c:pt>
                  <c:pt idx="397">
                    <c:v>MAYORPET</c:v>
                  </c:pt>
                  <c:pt idx="398">
                    <c:v>MAYORPET</c:v>
                  </c:pt>
                  <c:pt idx="399">
                    <c:v>MAYORPET</c:v>
                  </c:pt>
                  <c:pt idx="400">
                    <c:v>MAYORPET</c:v>
                  </c:pt>
                  <c:pt idx="401">
                    <c:v>MAYORPET</c:v>
                  </c:pt>
                  <c:pt idx="402">
                    <c:v>MAYORPET</c:v>
                  </c:pt>
                  <c:pt idx="403">
                    <c:v>MAYORPET</c:v>
                  </c:pt>
                  <c:pt idx="404">
                    <c:v>MAYORPET</c:v>
                  </c:pt>
                  <c:pt idx="405">
                    <c:v>valagu</c:v>
                  </c:pt>
                  <c:pt idx="406">
                    <c:v>valagu</c:v>
                  </c:pt>
                  <c:pt idx="407">
                    <c:v>damian macetas</c:v>
                  </c:pt>
                  <c:pt idx="408">
                    <c:v>valagu</c:v>
                  </c:pt>
                  <c:pt idx="409">
                    <c:v>beltrame</c:v>
                  </c:pt>
                  <c:pt idx="410">
                    <c:v>valagu</c:v>
                  </c:pt>
                  <c:pt idx="411">
                    <c:v>valagu</c:v>
                  </c:pt>
                  <c:pt idx="412">
                    <c:v>damian macetas</c:v>
                  </c:pt>
                  <c:pt idx="413">
                    <c:v>MAYORPET</c:v>
                  </c:pt>
                  <c:pt idx="414">
                    <c:v>damian macetas</c:v>
                  </c:pt>
                  <c:pt idx="415">
                    <c:v>MAYORPET</c:v>
                  </c:pt>
                  <c:pt idx="416">
                    <c:v>bioterra</c:v>
                  </c:pt>
                  <c:pt idx="417">
                    <c:v>bioterra</c:v>
                  </c:pt>
                  <c:pt idx="418">
                    <c:v>diego</c:v>
                  </c:pt>
                  <c:pt idx="419">
                    <c:v>damian macetas</c:v>
                  </c:pt>
                  <c:pt idx="420">
                    <c:v>damian macetas</c:v>
                  </c:pt>
                  <c:pt idx="422">
                    <c:v>valagu</c:v>
                  </c:pt>
                  <c:pt idx="423">
                    <c:v>yaques</c:v>
                  </c:pt>
                  <c:pt idx="424">
                    <c:v>corona</c:v>
                  </c:pt>
                  <c:pt idx="425">
                    <c:v>corona</c:v>
                  </c:pt>
                  <c:pt idx="426">
                    <c:v>corona</c:v>
                  </c:pt>
                  <c:pt idx="427">
                    <c:v>corona</c:v>
                  </c:pt>
                  <c:pt idx="428">
                    <c:v>MAYORPET</c:v>
                  </c:pt>
                  <c:pt idx="429">
                    <c:v>MAYORPET</c:v>
                  </c:pt>
                  <c:pt idx="430">
                    <c:v>MAYORPET</c:v>
                  </c:pt>
                  <c:pt idx="431">
                    <c:v>MAYORPET</c:v>
                  </c:pt>
                  <c:pt idx="432">
                    <c:v>grispix</c:v>
                  </c:pt>
                  <c:pt idx="433">
                    <c:v>MAYORPET</c:v>
                  </c:pt>
                  <c:pt idx="434">
                    <c:v>mayorpet</c:v>
                  </c:pt>
                  <c:pt idx="435">
                    <c:v>MAYORPET</c:v>
                  </c:pt>
                  <c:pt idx="436">
                    <c:v>MAYORPET</c:v>
                  </c:pt>
                  <c:pt idx="437">
                    <c:v>alvarez</c:v>
                  </c:pt>
                  <c:pt idx="438">
                    <c:v>denucio</c:v>
                  </c:pt>
                  <c:pt idx="439">
                    <c:v>denucio</c:v>
                  </c:pt>
                  <c:pt idx="440">
                    <c:v>denucio</c:v>
                  </c:pt>
                  <c:pt idx="441">
                    <c:v>denucio</c:v>
                  </c:pt>
                  <c:pt idx="442">
                    <c:v>denucio</c:v>
                  </c:pt>
                  <c:pt idx="443">
                    <c:v>denucio</c:v>
                  </c:pt>
                  <c:pt idx="444">
                    <c:v>denucio</c:v>
                  </c:pt>
                  <c:pt idx="445">
                    <c:v>denucio</c:v>
                  </c:pt>
                  <c:pt idx="446">
                    <c:v>denucio</c:v>
                  </c:pt>
                  <c:pt idx="447">
                    <c:v>denucio</c:v>
                  </c:pt>
                  <c:pt idx="448">
                    <c:v>denucio</c:v>
                  </c:pt>
                  <c:pt idx="449">
                    <c:v>denucio</c:v>
                  </c:pt>
                  <c:pt idx="450">
                    <c:v>denucio</c:v>
                  </c:pt>
                  <c:pt idx="451">
                    <c:v>deribal</c:v>
                  </c:pt>
                  <c:pt idx="452">
                    <c:v>lima</c:v>
                  </c:pt>
                  <c:pt idx="453">
                    <c:v>vet volpe</c:v>
                  </c:pt>
                  <c:pt idx="454">
                    <c:v>vet volpe</c:v>
                  </c:pt>
                  <c:pt idx="455">
                    <c:v>parque trebol</c:v>
                  </c:pt>
                  <c:pt idx="456">
                    <c:v>parque trebol</c:v>
                  </c:pt>
                  <c:pt idx="457">
                    <c:v>parque trebol</c:v>
                  </c:pt>
                  <c:pt idx="458">
                    <c:v>lima</c:v>
                  </c:pt>
                  <c:pt idx="459">
                    <c:v>yaques</c:v>
                  </c:pt>
                  <c:pt idx="460">
                    <c:v>uruquim</c:v>
                  </c:pt>
                  <c:pt idx="461">
                    <c:v>uruquim</c:v>
                  </c:pt>
                  <c:pt idx="462">
                    <c:v>deribal</c:v>
                  </c:pt>
                  <c:pt idx="463">
                    <c:v>uruquim</c:v>
                  </c:pt>
                  <c:pt idx="464">
                    <c:v>damian macetas</c:v>
                  </c:pt>
                  <c:pt idx="465">
                    <c:v>damian macetas</c:v>
                  </c:pt>
                  <c:pt idx="466">
                    <c:v>damian macetas</c:v>
                  </c:pt>
                  <c:pt idx="467">
                    <c:v>damian macetas</c:v>
                  </c:pt>
                  <c:pt idx="468">
                    <c:v>damian macetas</c:v>
                  </c:pt>
                  <c:pt idx="469">
                    <c:v>damian macetas</c:v>
                  </c:pt>
                  <c:pt idx="470">
                    <c:v>damian macetas</c:v>
                  </c:pt>
                  <c:pt idx="471">
                    <c:v>damian macetas</c:v>
                  </c:pt>
                  <c:pt idx="472">
                    <c:v>MAYORPET</c:v>
                  </c:pt>
                  <c:pt idx="473">
                    <c:v>MAYORPET</c:v>
                  </c:pt>
                  <c:pt idx="474">
                    <c:v>volpe</c:v>
                  </c:pt>
                  <c:pt idx="475">
                    <c:v>deribal</c:v>
                  </c:pt>
                  <c:pt idx="476">
                    <c:v>damian macetas</c:v>
                  </c:pt>
                  <c:pt idx="477">
                    <c:v>damian macetas</c:v>
                  </c:pt>
                  <c:pt idx="478">
                    <c:v>belsir</c:v>
                  </c:pt>
                  <c:pt idx="479">
                    <c:v>ds</c:v>
                  </c:pt>
                  <c:pt idx="480">
                    <c:v>ds</c:v>
                  </c:pt>
                  <c:pt idx="481">
                    <c:v>ds</c:v>
                  </c:pt>
                  <c:pt idx="482">
                    <c:v>ds</c:v>
                  </c:pt>
                  <c:pt idx="483">
                    <c:v>dsd</c:v>
                  </c:pt>
                  <c:pt idx="484">
                    <c:v>ds</c:v>
                  </c:pt>
                  <c:pt idx="485">
                    <c:v>DS</c:v>
                  </c:pt>
                  <c:pt idx="486">
                    <c:v>DS</c:v>
                  </c:pt>
                  <c:pt idx="487">
                    <c:v>DS</c:v>
                  </c:pt>
                  <c:pt idx="488">
                    <c:v>ds</c:v>
                  </c:pt>
                  <c:pt idx="489">
                    <c:v>ds</c:v>
                  </c:pt>
                  <c:pt idx="490">
                    <c:v>ds</c:v>
                  </c:pt>
                  <c:pt idx="491">
                    <c:v>ds</c:v>
                  </c:pt>
                  <c:pt idx="492">
                    <c:v>ds</c:v>
                  </c:pt>
                  <c:pt idx="493">
                    <c:v>ds</c:v>
                  </c:pt>
                  <c:pt idx="494">
                    <c:v>ds</c:v>
                  </c:pt>
                  <c:pt idx="495">
                    <c:v>ds</c:v>
                  </c:pt>
                  <c:pt idx="496">
                    <c:v>ds</c:v>
                  </c:pt>
                  <c:pt idx="497">
                    <c:v>ds</c:v>
                  </c:pt>
                  <c:pt idx="498">
                    <c:v>ds</c:v>
                  </c:pt>
                  <c:pt idx="499">
                    <c:v>ds</c:v>
                  </c:pt>
                  <c:pt idx="500">
                    <c:v>ds</c:v>
                  </c:pt>
                  <c:pt idx="501">
                    <c:v>ds</c:v>
                  </c:pt>
                  <c:pt idx="502">
                    <c:v>ds</c:v>
                  </c:pt>
                  <c:pt idx="503">
                    <c:v>ds</c:v>
                  </c:pt>
                  <c:pt idx="504">
                    <c:v>ds</c:v>
                  </c:pt>
                  <c:pt idx="505">
                    <c:v>ds</c:v>
                  </c:pt>
                  <c:pt idx="506">
                    <c:v>ds</c:v>
                  </c:pt>
                  <c:pt idx="507">
                    <c:v>ds</c:v>
                  </c:pt>
                  <c:pt idx="508">
                    <c:v>ds</c:v>
                  </c:pt>
                  <c:pt idx="509">
                    <c:v>ds</c:v>
                  </c:pt>
                  <c:pt idx="510">
                    <c:v>ds</c:v>
                  </c:pt>
                  <c:pt idx="511">
                    <c:v>ds</c:v>
                  </c:pt>
                  <c:pt idx="512">
                    <c:v>ds</c:v>
                  </c:pt>
                  <c:pt idx="513">
                    <c:v>ds</c:v>
                  </c:pt>
                  <c:pt idx="514">
                    <c:v>ds</c:v>
                  </c:pt>
                  <c:pt idx="515">
                    <c:v>ds</c:v>
                  </c:pt>
                  <c:pt idx="516">
                    <c:v>ds</c:v>
                  </c:pt>
                  <c:pt idx="517">
                    <c:v>ds</c:v>
                  </c:pt>
                  <c:pt idx="518">
                    <c:v>ds</c:v>
                  </c:pt>
                  <c:pt idx="519">
                    <c:v>ds</c:v>
                  </c:pt>
                  <c:pt idx="520">
                    <c:v>ds</c:v>
                  </c:pt>
                  <c:pt idx="521">
                    <c:v>ds</c:v>
                  </c:pt>
                  <c:pt idx="522">
                    <c:v>damian macetas</c:v>
                  </c:pt>
                  <c:pt idx="536">
                    <c:v>ds</c:v>
                  </c:pt>
                  <c:pt idx="537">
                    <c:v>ds</c:v>
                  </c:pt>
                  <c:pt idx="538">
                    <c:v>ds</c:v>
                  </c:pt>
                  <c:pt idx="542">
                    <c:v>ds</c:v>
                  </c:pt>
                  <c:pt idx="543">
                    <c:v>ds</c:v>
                  </c:pt>
                  <c:pt idx="544">
                    <c:v>ds</c:v>
                  </c:pt>
                  <c:pt idx="545">
                    <c:v>ds</c:v>
                  </c:pt>
                  <c:pt idx="546">
                    <c:v>ds</c:v>
                  </c:pt>
                  <c:pt idx="547">
                    <c:v>ds</c:v>
                  </c:pt>
                  <c:pt idx="548">
                    <c:v>ds</c:v>
                  </c:pt>
                  <c:pt idx="549">
                    <c:v>ds</c:v>
                  </c:pt>
                  <c:pt idx="552">
                    <c:v>damian macetas</c:v>
                  </c:pt>
                  <c:pt idx="553">
                    <c:v>damian macetas</c:v>
                  </c:pt>
                  <c:pt idx="554">
                    <c:v>beltrame</c:v>
                  </c:pt>
                  <c:pt idx="555">
                    <c:v>volpe</c:v>
                  </c:pt>
                  <c:pt idx="556">
                    <c:v>volpe</c:v>
                  </c:pt>
                  <c:pt idx="557">
                    <c:v>damian macetas</c:v>
                  </c:pt>
                  <c:pt idx="558">
                    <c:v>beltrame</c:v>
                  </c:pt>
                  <c:pt idx="559">
                    <c:v>parque trebol</c:v>
                  </c:pt>
                  <c:pt idx="560">
                    <c:v>denucio</c:v>
                  </c:pt>
                  <c:pt idx="561">
                    <c:v>damian macetas</c:v>
                  </c:pt>
                  <c:pt idx="562">
                    <c:v>damian macetas</c:v>
                  </c:pt>
                  <c:pt idx="563">
                    <c:v>beltrame</c:v>
                  </c:pt>
                  <c:pt idx="564">
                    <c:v>denucio</c:v>
                  </c:pt>
                  <c:pt idx="565">
                    <c:v>denucio</c:v>
                  </c:pt>
                  <c:pt idx="567">
                    <c:v>damian macetas</c:v>
                  </c:pt>
                  <c:pt idx="568">
                    <c:v>grispix</c:v>
                  </c:pt>
                  <c:pt idx="569">
                    <c:v>damian macetas</c:v>
                  </c:pt>
                  <c:pt idx="570">
                    <c:v>damian macetas</c:v>
                  </c:pt>
                  <c:pt idx="571">
                    <c:v>damian macetas</c:v>
                  </c:pt>
                  <c:pt idx="572">
                    <c:v>beltrame</c:v>
                  </c:pt>
                  <c:pt idx="573">
                    <c:v>de navarra</c:v>
                  </c:pt>
                  <c:pt idx="577">
                    <c:v>damian macetas</c:v>
                  </c:pt>
                  <c:pt idx="578">
                    <c:v>damian macetas</c:v>
                  </c:pt>
                  <c:pt idx="579">
                    <c:v>valagu</c:v>
                  </c:pt>
                  <c:pt idx="580">
                    <c:v>valagu</c:v>
                  </c:pt>
                  <c:pt idx="582">
                    <c:v>distribuciones KRM</c:v>
                  </c:pt>
                  <c:pt idx="583">
                    <c:v>damian macetas</c:v>
                  </c:pt>
                  <c:pt idx="585">
                    <c:v>valagu</c:v>
                  </c:pt>
                  <c:pt idx="586">
                    <c:v>deribal</c:v>
                  </c:pt>
                  <c:pt idx="587">
                    <c:v>deribal</c:v>
                  </c:pt>
                  <c:pt idx="588">
                    <c:v>deribal</c:v>
                  </c:pt>
                  <c:pt idx="589">
                    <c:v>damian macetas</c:v>
                  </c:pt>
                  <c:pt idx="590">
                    <c:v>magric</c:v>
                  </c:pt>
                  <c:pt idx="591">
                    <c:v>magric</c:v>
                  </c:pt>
                  <c:pt idx="592">
                    <c:v>MAGRIC</c:v>
                  </c:pt>
                  <c:pt idx="593">
                    <c:v>beltrame</c:v>
                  </c:pt>
                  <c:pt idx="594">
                    <c:v>magric</c:v>
                  </c:pt>
                  <c:pt idx="595">
                    <c:v>magric</c:v>
                  </c:pt>
                  <c:pt idx="596">
                    <c:v>magric</c:v>
                  </c:pt>
                  <c:pt idx="598">
                    <c:v>magric</c:v>
                  </c:pt>
                  <c:pt idx="599">
                    <c:v>magric</c:v>
                  </c:pt>
                  <c:pt idx="605">
                    <c:v>alvarez</c:v>
                  </c:pt>
                  <c:pt idx="606">
                    <c:v>alvarez</c:v>
                  </c:pt>
                  <c:pt idx="607">
                    <c:v>alvarez</c:v>
                  </c:pt>
                  <c:pt idx="609">
                    <c:v>alvarez</c:v>
                  </c:pt>
                  <c:pt idx="610">
                    <c:v>alvarez</c:v>
                  </c:pt>
                  <c:pt idx="611">
                    <c:v>alvarez</c:v>
                  </c:pt>
                  <c:pt idx="613">
                    <c:v>alvarez</c:v>
                  </c:pt>
                  <c:pt idx="614">
                    <c:v>bioterra</c:v>
                  </c:pt>
                  <c:pt idx="617">
                    <c:v>alvarez</c:v>
                  </c:pt>
                  <c:pt idx="618">
                    <c:v>alvarez</c:v>
                  </c:pt>
                  <c:pt idx="619">
                    <c:v>valagu</c:v>
                  </c:pt>
                  <c:pt idx="620">
                    <c:v>valagu</c:v>
                  </c:pt>
                  <c:pt idx="621">
                    <c:v>valagu</c:v>
                  </c:pt>
                  <c:pt idx="622">
                    <c:v>valagu</c:v>
                  </c:pt>
                  <c:pt idx="623">
                    <c:v>valagu</c:v>
                  </c:pt>
                  <c:pt idx="624">
                    <c:v>valagu</c:v>
                  </c:pt>
                  <c:pt idx="625">
                    <c:v>valagu</c:v>
                  </c:pt>
                  <c:pt idx="626">
                    <c:v>valagu</c:v>
                  </c:pt>
                  <c:pt idx="627">
                    <c:v>valagu</c:v>
                  </c:pt>
                  <c:pt idx="628">
                    <c:v>valagu</c:v>
                  </c:pt>
                  <c:pt idx="629">
                    <c:v>valagu</c:v>
                  </c:pt>
                  <c:pt idx="630">
                    <c:v>valagu</c:v>
                  </c:pt>
                  <c:pt idx="631">
                    <c:v>damian macetas</c:v>
                  </c:pt>
                  <c:pt idx="632">
                    <c:v>valagu</c:v>
                  </c:pt>
                  <c:pt idx="633">
                    <c:v>parque trebol</c:v>
                  </c:pt>
                  <c:pt idx="634">
                    <c:v>parque trebol</c:v>
                  </c:pt>
                  <c:pt idx="635">
                    <c:v>parque trebol</c:v>
                  </c:pt>
                  <c:pt idx="636">
                    <c:v>parque trebol</c:v>
                  </c:pt>
                  <c:pt idx="637">
                    <c:v>parque trebol</c:v>
                  </c:pt>
                  <c:pt idx="638">
                    <c:v>diego</c:v>
                  </c:pt>
                  <c:pt idx="640">
                    <c:v>damian macetas</c:v>
                  </c:pt>
                  <c:pt idx="641">
                    <c:v>damian macetas</c:v>
                  </c:pt>
                  <c:pt idx="642">
                    <c:v>damian macetas</c:v>
                  </c:pt>
                  <c:pt idx="643">
                    <c:v>damian macetas</c:v>
                  </c:pt>
                  <c:pt idx="644">
                    <c:v>damian macetas</c:v>
                  </c:pt>
                  <c:pt idx="645">
                    <c:v>damian macetas</c:v>
                  </c:pt>
                  <c:pt idx="647">
                    <c:v>diego</c:v>
                  </c:pt>
                  <c:pt idx="651">
                    <c:v>damian macetas</c:v>
                  </c:pt>
                  <c:pt idx="652">
                    <c:v>damian macetas</c:v>
                  </c:pt>
                  <c:pt idx="653">
                    <c:v>damian macetas</c:v>
                  </c:pt>
                  <c:pt idx="654">
                    <c:v>damian macetas</c:v>
                  </c:pt>
                  <c:pt idx="655">
                    <c:v>damian macetas</c:v>
                  </c:pt>
                  <c:pt idx="656">
                    <c:v>grispix</c:v>
                  </c:pt>
                  <c:pt idx="657">
                    <c:v>yaques</c:v>
                  </c:pt>
                  <c:pt idx="658">
                    <c:v>damian macetas</c:v>
                  </c:pt>
                  <c:pt idx="659">
                    <c:v>yaques</c:v>
                  </c:pt>
                  <c:pt idx="660">
                    <c:v>casa cristina</c:v>
                  </c:pt>
                  <c:pt idx="661">
                    <c:v>casa cristina</c:v>
                  </c:pt>
                  <c:pt idx="662">
                    <c:v>casa cristina</c:v>
                  </c:pt>
                  <c:pt idx="663">
                    <c:v>casa cristina</c:v>
                  </c:pt>
                  <c:pt idx="664">
                    <c:v>casa cristina</c:v>
                  </c:pt>
                  <c:pt idx="665">
                    <c:v>casa cristina</c:v>
                  </c:pt>
                  <c:pt idx="666">
                    <c:v>diego</c:v>
                  </c:pt>
                  <c:pt idx="667">
                    <c:v>empack</c:v>
                  </c:pt>
                  <c:pt idx="668">
                    <c:v>empack</c:v>
                  </c:pt>
                  <c:pt idx="670">
                    <c:v>attack</c:v>
                  </c:pt>
                  <c:pt idx="671">
                    <c:v>atack</c:v>
                  </c:pt>
                  <c:pt idx="674">
                    <c:v>parque trebol</c:v>
                  </c:pt>
                  <c:pt idx="675">
                    <c:v>volpe</c:v>
                  </c:pt>
                  <c:pt idx="676">
                    <c:v>volpe</c:v>
                  </c:pt>
                  <c:pt idx="677">
                    <c:v>grispix</c:v>
                  </c:pt>
                  <c:pt idx="678">
                    <c:v>damian macetas</c:v>
                  </c:pt>
                  <c:pt idx="679">
                    <c:v>belsir</c:v>
                  </c:pt>
                  <c:pt idx="680">
                    <c:v>negley</c:v>
                  </c:pt>
                  <c:pt idx="681">
                    <c:v>fermara</c:v>
                  </c:pt>
                  <c:pt idx="682">
                    <c:v>fermara</c:v>
                  </c:pt>
                  <c:pt idx="683">
                    <c:v>damian macetas</c:v>
                  </c:pt>
                  <c:pt idx="684">
                    <c:v>damian macetas</c:v>
                  </c:pt>
                  <c:pt idx="685">
                    <c:v>carrau</c:v>
                  </c:pt>
                  <c:pt idx="686">
                    <c:v>carrau</c:v>
                  </c:pt>
                  <c:pt idx="687">
                    <c:v>negley</c:v>
                  </c:pt>
                  <c:pt idx="688">
                    <c:v>deribal</c:v>
                  </c:pt>
                  <c:pt idx="689">
                    <c:v>belsir</c:v>
                  </c:pt>
                  <c:pt idx="690">
                    <c:v>belsir</c:v>
                  </c:pt>
                  <c:pt idx="691">
                    <c:v>belsir</c:v>
                  </c:pt>
                  <c:pt idx="692">
                    <c:v>belsir</c:v>
                  </c:pt>
                  <c:pt idx="693">
                    <c:v>belsir</c:v>
                  </c:pt>
                  <c:pt idx="694">
                    <c:v>deribal</c:v>
                  </c:pt>
                  <c:pt idx="695">
                    <c:v>REMIPLAT</c:v>
                  </c:pt>
                  <c:pt idx="696">
                    <c:v>REMIPLAT</c:v>
                  </c:pt>
                  <c:pt idx="697">
                    <c:v>REMIPLAT</c:v>
                  </c:pt>
                  <c:pt idx="698">
                    <c:v>REMIPLAT</c:v>
                  </c:pt>
                  <c:pt idx="699">
                    <c:v>fermara</c:v>
                  </c:pt>
                  <c:pt idx="700">
                    <c:v>fermara</c:v>
                  </c:pt>
                  <c:pt idx="703">
                    <c:v>REMIPLAT</c:v>
                  </c:pt>
                  <c:pt idx="704">
                    <c:v>heroica</c:v>
                  </c:pt>
                  <c:pt idx="705">
                    <c:v>heroica</c:v>
                  </c:pt>
                  <c:pt idx="706">
                    <c:v>distribuidora del sol</c:v>
                  </c:pt>
                  <c:pt idx="707">
                    <c:v>distribuidora del sol</c:v>
                  </c:pt>
                  <c:pt idx="708">
                    <c:v>distribuidora del sol</c:v>
                  </c:pt>
                  <c:pt idx="709">
                    <c:v>distribuidora del sol</c:v>
                  </c:pt>
                  <c:pt idx="710">
                    <c:v>distribuidora del sol</c:v>
                  </c:pt>
                  <c:pt idx="711">
                    <c:v>distribuidora del sol</c:v>
                  </c:pt>
                  <c:pt idx="712">
                    <c:v>distribuidora del sol</c:v>
                  </c:pt>
                  <c:pt idx="713">
                    <c:v>negley</c:v>
                  </c:pt>
                  <c:pt idx="714">
                    <c:v>negley</c:v>
                  </c:pt>
                  <c:pt idx="715">
                    <c:v>belsir</c:v>
                  </c:pt>
                  <c:pt idx="716">
                    <c:v>belsir</c:v>
                  </c:pt>
                  <c:pt idx="717">
                    <c:v>belsir</c:v>
                  </c:pt>
                  <c:pt idx="718">
                    <c:v>belsir</c:v>
                  </c:pt>
                  <c:pt idx="719">
                    <c:v>belsir</c:v>
                  </c:pt>
                  <c:pt idx="720">
                    <c:v>belsir</c:v>
                  </c:pt>
                  <c:pt idx="721">
                    <c:v>belsir</c:v>
                  </c:pt>
                  <c:pt idx="722">
                    <c:v>negley</c:v>
                  </c:pt>
                  <c:pt idx="723">
                    <c:v>DERIBAL</c:v>
                  </c:pt>
                  <c:pt idx="726">
                    <c:v>rimart</c:v>
                  </c:pt>
                  <c:pt idx="727">
                    <c:v>rimart</c:v>
                  </c:pt>
                  <c:pt idx="730">
                    <c:v>magric</c:v>
                  </c:pt>
                  <c:pt idx="731">
                    <c:v>magric</c:v>
                  </c:pt>
                  <c:pt idx="732">
                    <c:v>manfredi</c:v>
                  </c:pt>
                  <c:pt idx="733">
                    <c:v>denucio</c:v>
                  </c:pt>
                  <c:pt idx="734">
                    <c:v>denucio</c:v>
                  </c:pt>
                  <c:pt idx="736">
                    <c:v>bioterra</c:v>
                  </c:pt>
                  <c:pt idx="739">
                    <c:v>damian macetas</c:v>
                  </c:pt>
                  <c:pt idx="740">
                    <c:v>grispix</c:v>
                  </c:pt>
                  <c:pt idx="741">
                    <c:v>damian macetas</c:v>
                  </c:pt>
                  <c:pt idx="742">
                    <c:v>grispix</c:v>
                  </c:pt>
                  <c:pt idx="743">
                    <c:v>yaques</c:v>
                  </c:pt>
                  <c:pt idx="744">
                    <c:v>diego</c:v>
                  </c:pt>
                  <c:pt idx="745">
                    <c:v>yaques</c:v>
                  </c:pt>
                  <c:pt idx="746">
                    <c:v>yaques</c:v>
                  </c:pt>
                  <c:pt idx="749">
                    <c:v>alvarez</c:v>
                  </c:pt>
                  <c:pt idx="750">
                    <c:v>damian macetas</c:v>
                  </c:pt>
                  <c:pt idx="751">
                    <c:v>copagran</c:v>
                  </c:pt>
                  <c:pt idx="752">
                    <c:v>copagran</c:v>
                  </c:pt>
                  <c:pt idx="753">
                    <c:v>copagran</c:v>
                  </c:pt>
                  <c:pt idx="754">
                    <c:v>agritec</c:v>
                  </c:pt>
                  <c:pt idx="755">
                    <c:v>magric</c:v>
                  </c:pt>
                  <c:pt idx="756">
                    <c:v>magric</c:v>
                  </c:pt>
                  <c:pt idx="757">
                    <c:v>copagran</c:v>
                  </c:pt>
                  <c:pt idx="758">
                    <c:v>diego</c:v>
                  </c:pt>
                  <c:pt idx="759">
                    <c:v>diego</c:v>
                  </c:pt>
                  <c:pt idx="760">
                    <c:v>damian macetas</c:v>
                  </c:pt>
                  <c:pt idx="761">
                    <c:v>damian macetas</c:v>
                  </c:pt>
                  <c:pt idx="762">
                    <c:v>damian macetas</c:v>
                  </c:pt>
                  <c:pt idx="763">
                    <c:v>yaques</c:v>
                  </c:pt>
                  <c:pt idx="764">
                    <c:v>parque trebol</c:v>
                  </c:pt>
                  <c:pt idx="765">
                    <c:v>beltrame</c:v>
                  </c:pt>
                  <c:pt idx="766">
                    <c:v>magric</c:v>
                  </c:pt>
                  <c:pt idx="767">
                    <c:v>beltrame</c:v>
                  </c:pt>
                  <c:pt idx="768">
                    <c:v>beltrame</c:v>
                  </c:pt>
                  <c:pt idx="769">
                    <c:v>beltrame</c:v>
                  </c:pt>
                  <c:pt idx="770">
                    <c:v>copagran</c:v>
                  </c:pt>
                  <c:pt idx="771">
                    <c:v>parque trebol</c:v>
                  </c:pt>
                  <c:pt idx="772">
                    <c:v>copagran</c:v>
                  </c:pt>
                  <c:pt idx="773">
                    <c:v>beltrame</c:v>
                  </c:pt>
                  <c:pt idx="774">
                    <c:v>uruquim</c:v>
                  </c:pt>
                  <c:pt idx="776">
                    <c:v>damian macetas</c:v>
                  </c:pt>
                  <c:pt idx="777">
                    <c:v>damian macetas</c:v>
                  </c:pt>
                  <c:pt idx="778">
                    <c:v>MAYORPET</c:v>
                  </c:pt>
                  <c:pt idx="779">
                    <c:v>MAYORPET</c:v>
                  </c:pt>
                  <c:pt idx="780">
                    <c:v>MAYORPET</c:v>
                  </c:pt>
                  <c:pt idx="781">
                    <c:v>damian macetas</c:v>
                  </c:pt>
                  <c:pt idx="782">
                    <c:v>damian macetas</c:v>
                  </c:pt>
                  <c:pt idx="783">
                    <c:v>alvarez</c:v>
                  </c:pt>
                  <c:pt idx="787">
                    <c:v>damian macetas</c:v>
                  </c:pt>
                  <c:pt idx="788">
                    <c:v>damian macetas</c:v>
                  </c:pt>
                  <c:pt idx="789">
                    <c:v>MAYORPET</c:v>
                  </c:pt>
                  <c:pt idx="790">
                    <c:v>MAYORPET</c:v>
                  </c:pt>
                  <c:pt idx="791">
                    <c:v>MAYORPET</c:v>
                  </c:pt>
                  <c:pt idx="792">
                    <c:v>parque trebol</c:v>
                  </c:pt>
                  <c:pt idx="796">
                    <c:v>parque trebol</c:v>
                  </c:pt>
                  <c:pt idx="797">
                    <c:v>parque trebol</c:v>
                  </c:pt>
                  <c:pt idx="798">
                    <c:v>distribuidora del sol</c:v>
                  </c:pt>
                  <c:pt idx="799">
                    <c:v>distribuidora del sol</c:v>
                  </c:pt>
                  <c:pt idx="800">
                    <c:v>distribuidora del sol</c:v>
                  </c:pt>
                  <c:pt idx="801">
                    <c:v>meril</c:v>
                  </c:pt>
                  <c:pt idx="802">
                    <c:v>meril</c:v>
                  </c:pt>
                  <c:pt idx="803">
                    <c:v>meril</c:v>
                  </c:pt>
                  <c:pt idx="804">
                    <c:v>meril</c:v>
                  </c:pt>
                  <c:pt idx="805">
                    <c:v>damian macetas</c:v>
                  </c:pt>
                  <c:pt idx="806">
                    <c:v>damian macetas</c:v>
                  </c:pt>
                  <c:pt idx="807">
                    <c:v>damian macetas</c:v>
                  </c:pt>
                  <c:pt idx="808">
                    <c:v>damian macetas</c:v>
                  </c:pt>
                  <c:pt idx="809">
                    <c:v>damian macetas</c:v>
                  </c:pt>
                  <c:pt idx="810">
                    <c:v>damian macetas</c:v>
                  </c:pt>
                  <c:pt idx="811">
                    <c:v>damian macetas</c:v>
                  </c:pt>
                  <c:pt idx="812">
                    <c:v>damian macetas</c:v>
                  </c:pt>
                  <c:pt idx="813">
                    <c:v>damian macetas</c:v>
                  </c:pt>
                  <c:pt idx="814">
                    <c:v>damian macetas</c:v>
                  </c:pt>
                  <c:pt idx="815">
                    <c:v>damian macetas</c:v>
                  </c:pt>
                  <c:pt idx="816">
                    <c:v>damian macetas</c:v>
                  </c:pt>
                  <c:pt idx="817">
                    <c:v>damian macetas</c:v>
                  </c:pt>
                  <c:pt idx="818">
                    <c:v>damian macetas</c:v>
                  </c:pt>
                  <c:pt idx="819">
                    <c:v>alvarez</c:v>
                  </c:pt>
                  <c:pt idx="820">
                    <c:v>alvarez</c:v>
                  </c:pt>
                  <c:pt idx="821">
                    <c:v>damian macetas</c:v>
                  </c:pt>
                  <c:pt idx="822">
                    <c:v>damian macetas</c:v>
                  </c:pt>
                  <c:pt idx="823">
                    <c:v>damian macetas</c:v>
                  </c:pt>
                  <c:pt idx="824">
                    <c:v>damian macetas</c:v>
                  </c:pt>
                  <c:pt idx="825">
                    <c:v>damian macetas</c:v>
                  </c:pt>
                  <c:pt idx="826">
                    <c:v>damian macetas</c:v>
                  </c:pt>
                  <c:pt idx="827">
                    <c:v>damian macetas</c:v>
                  </c:pt>
                  <c:pt idx="828">
                    <c:v>damian macetas</c:v>
                  </c:pt>
                  <c:pt idx="829">
                    <c:v>grispix</c:v>
                  </c:pt>
                  <c:pt idx="830">
                    <c:v>damian macetas</c:v>
                  </c:pt>
                  <c:pt idx="831">
                    <c:v>damian macetas</c:v>
                  </c:pt>
                  <c:pt idx="832">
                    <c:v>damian macetas</c:v>
                  </c:pt>
                  <c:pt idx="833">
                    <c:v>damian macetas</c:v>
                  </c:pt>
                  <c:pt idx="834">
                    <c:v>damian macetas</c:v>
                  </c:pt>
                  <c:pt idx="835">
                    <c:v>damian macetas</c:v>
                  </c:pt>
                  <c:pt idx="836">
                    <c:v>damian macetas</c:v>
                  </c:pt>
                  <c:pt idx="837">
                    <c:v>damian macetas</c:v>
                  </c:pt>
                  <c:pt idx="838">
                    <c:v>damian macetas</c:v>
                  </c:pt>
                  <c:pt idx="839">
                    <c:v>damian macetas</c:v>
                  </c:pt>
                  <c:pt idx="840">
                    <c:v>damian macetas</c:v>
                  </c:pt>
                  <c:pt idx="841">
                    <c:v>damian macetas</c:v>
                  </c:pt>
                  <c:pt idx="842">
                    <c:v>valagu</c:v>
                  </c:pt>
                  <c:pt idx="843">
                    <c:v>valagu</c:v>
                  </c:pt>
                  <c:pt idx="844">
                    <c:v>valagu</c:v>
                  </c:pt>
                  <c:pt idx="845">
                    <c:v>valagu</c:v>
                  </c:pt>
                  <c:pt idx="846">
                    <c:v>valagu</c:v>
                  </c:pt>
                  <c:pt idx="847">
                    <c:v>valagu</c:v>
                  </c:pt>
                  <c:pt idx="848">
                    <c:v>valagu</c:v>
                  </c:pt>
                  <c:pt idx="849">
                    <c:v>valagu</c:v>
                  </c:pt>
                  <c:pt idx="850">
                    <c:v>casciato</c:v>
                  </c:pt>
                  <c:pt idx="853">
                    <c:v>valagu</c:v>
                  </c:pt>
                  <c:pt idx="854">
                    <c:v>valagu</c:v>
                  </c:pt>
                  <c:pt idx="855">
                    <c:v>valagu</c:v>
                  </c:pt>
                  <c:pt idx="856">
                    <c:v>valagu</c:v>
                  </c:pt>
                  <c:pt idx="857">
                    <c:v>valagu</c:v>
                  </c:pt>
                  <c:pt idx="858">
                    <c:v>valagu</c:v>
                  </c:pt>
                  <c:pt idx="859">
                    <c:v>valagu</c:v>
                  </c:pt>
                  <c:pt idx="860">
                    <c:v>valagu</c:v>
                  </c:pt>
                  <c:pt idx="861">
                    <c:v>valagu</c:v>
                  </c:pt>
                  <c:pt idx="864">
                    <c:v>uruquim</c:v>
                  </c:pt>
                  <c:pt idx="865">
                    <c:v>parque trebol</c:v>
                  </c:pt>
                  <c:pt idx="867">
                    <c:v>parque trebol</c:v>
                  </c:pt>
                  <c:pt idx="868">
                    <c:v>parque trebol</c:v>
                  </c:pt>
                  <c:pt idx="869">
                    <c:v>valagu</c:v>
                  </c:pt>
                  <c:pt idx="870">
                    <c:v>delta</c:v>
                  </c:pt>
                  <c:pt idx="871">
                    <c:v>distribuciones KRM</c:v>
                  </c:pt>
                  <c:pt idx="872">
                    <c:v>distribuciones KRM</c:v>
                  </c:pt>
                  <c:pt idx="873">
                    <c:v>damian macetas</c:v>
                  </c:pt>
                  <c:pt idx="874">
                    <c:v>damian macetas</c:v>
                  </c:pt>
                  <c:pt idx="875">
                    <c:v>damian macetas</c:v>
                  </c:pt>
                  <c:pt idx="876">
                    <c:v>MAYORPET</c:v>
                  </c:pt>
                  <c:pt idx="877">
                    <c:v>MAYORPET</c:v>
                  </c:pt>
                  <c:pt idx="878">
                    <c:v>MAYORPET</c:v>
                  </c:pt>
                  <c:pt idx="879">
                    <c:v>MAYORPET</c:v>
                  </c:pt>
                  <c:pt idx="880">
                    <c:v>diego</c:v>
                  </c:pt>
                  <c:pt idx="881">
                    <c:v>MAYORPET</c:v>
                  </c:pt>
                  <c:pt idx="882">
                    <c:v>MAYORPET</c:v>
                  </c:pt>
                  <c:pt idx="883">
                    <c:v>beltrame</c:v>
                  </c:pt>
                  <c:pt idx="884">
                    <c:v>MAYORPET</c:v>
                  </c:pt>
                  <c:pt idx="885">
                    <c:v>MAYORPET</c:v>
                  </c:pt>
                  <c:pt idx="886">
                    <c:v>MAYORPET</c:v>
                  </c:pt>
                  <c:pt idx="887">
                    <c:v>MAYORPET</c:v>
                  </c:pt>
                  <c:pt idx="888">
                    <c:v>MAYORPET</c:v>
                  </c:pt>
                  <c:pt idx="889">
                    <c:v>MAYORPET</c:v>
                  </c:pt>
                  <c:pt idx="890">
                    <c:v>grispix</c:v>
                  </c:pt>
                  <c:pt idx="891">
                    <c:v>MAYORPET</c:v>
                  </c:pt>
                  <c:pt idx="892">
                    <c:v>MAYORPET</c:v>
                  </c:pt>
                  <c:pt idx="893">
                    <c:v>MAYORPET</c:v>
                  </c:pt>
                  <c:pt idx="894">
                    <c:v>DIEGO</c:v>
                  </c:pt>
                  <c:pt idx="895">
                    <c:v>grispix</c:v>
                  </c:pt>
                  <c:pt idx="896">
                    <c:v>grispix</c:v>
                  </c:pt>
                  <c:pt idx="897">
                    <c:v>MAYORPET</c:v>
                  </c:pt>
                  <c:pt idx="898">
                    <c:v>MAYORPET</c:v>
                  </c:pt>
                  <c:pt idx="899">
                    <c:v>MAYORPET</c:v>
                  </c:pt>
                  <c:pt idx="900">
                    <c:v>MAYORPET</c:v>
                  </c:pt>
                  <c:pt idx="901">
                    <c:v>MAYORPET</c:v>
                  </c:pt>
                  <c:pt idx="902">
                    <c:v>MAYORPET</c:v>
                  </c:pt>
                  <c:pt idx="903">
                    <c:v>MAYORPET</c:v>
                  </c:pt>
                  <c:pt idx="904">
                    <c:v>MAYORPET</c:v>
                  </c:pt>
                  <c:pt idx="905">
                    <c:v>lima</c:v>
                  </c:pt>
                  <c:pt idx="906">
                    <c:v>MAYORPET</c:v>
                  </c:pt>
                  <c:pt idx="907">
                    <c:v>damian macetas</c:v>
                  </c:pt>
                  <c:pt idx="908">
                    <c:v>valagu</c:v>
                  </c:pt>
                  <c:pt idx="909">
                    <c:v>valagu</c:v>
                  </c:pt>
                  <c:pt idx="910">
                    <c:v>valagu</c:v>
                  </c:pt>
                  <c:pt idx="911">
                    <c:v>valagu</c:v>
                  </c:pt>
                  <c:pt idx="912">
                    <c:v>valagu</c:v>
                  </c:pt>
                  <c:pt idx="913">
                    <c:v>valagu</c:v>
                  </c:pt>
                  <c:pt idx="914">
                    <c:v>valagu</c:v>
                  </c:pt>
                  <c:pt idx="915">
                    <c:v>valagu</c:v>
                  </c:pt>
                  <c:pt idx="916">
                    <c:v>valagu</c:v>
                  </c:pt>
                  <c:pt idx="917">
                    <c:v>valagu</c:v>
                  </c:pt>
                  <c:pt idx="918">
                    <c:v>damian macetas</c:v>
                  </c:pt>
                  <c:pt idx="919">
                    <c:v>damian macetas</c:v>
                  </c:pt>
                  <c:pt idx="920">
                    <c:v>damian macetas</c:v>
                  </c:pt>
                  <c:pt idx="921">
                    <c:v>damian macetas</c:v>
                  </c:pt>
                  <c:pt idx="922">
                    <c:v>diego</c:v>
                  </c:pt>
                  <c:pt idx="923">
                    <c:v>damian macetas</c:v>
                  </c:pt>
                  <c:pt idx="924">
                    <c:v>damian macetas</c:v>
                  </c:pt>
                  <c:pt idx="925">
                    <c:v>diego</c:v>
                  </c:pt>
                  <c:pt idx="926">
                    <c:v>damian macetas</c:v>
                  </c:pt>
                  <c:pt idx="927">
                    <c:v>alvarez</c:v>
                  </c:pt>
                  <c:pt idx="928">
                    <c:v>alvarez</c:v>
                  </c:pt>
                  <c:pt idx="929">
                    <c:v>alvarez</c:v>
                  </c:pt>
                  <c:pt idx="930">
                    <c:v>alvarez</c:v>
                  </c:pt>
                  <c:pt idx="931">
                    <c:v>damian macetas</c:v>
                  </c:pt>
                  <c:pt idx="932">
                    <c:v>damian macetas</c:v>
                  </c:pt>
                  <c:pt idx="933">
                    <c:v>damian macetas</c:v>
                  </c:pt>
                  <c:pt idx="934">
                    <c:v>damian macetas</c:v>
                  </c:pt>
                  <c:pt idx="935">
                    <c:v>damian macetas</c:v>
                  </c:pt>
                  <c:pt idx="936">
                    <c:v>damian macetas</c:v>
                  </c:pt>
                  <c:pt idx="937">
                    <c:v>damian macetas</c:v>
                  </c:pt>
                  <c:pt idx="938">
                    <c:v>damian macetas</c:v>
                  </c:pt>
                  <c:pt idx="939">
                    <c:v>grispix</c:v>
                  </c:pt>
                  <c:pt idx="940">
                    <c:v>grispix</c:v>
                  </c:pt>
                  <c:pt idx="941">
                    <c:v>damian macetas</c:v>
                  </c:pt>
                  <c:pt idx="942">
                    <c:v>damian macetas</c:v>
                  </c:pt>
                  <c:pt idx="943">
                    <c:v>damian macetas</c:v>
                  </c:pt>
                  <c:pt idx="944">
                    <c:v>damian macetas</c:v>
                  </c:pt>
                  <c:pt idx="945">
                    <c:v>damian macetas</c:v>
                  </c:pt>
                  <c:pt idx="946">
                    <c:v>damian macetas</c:v>
                  </c:pt>
                  <c:pt idx="947">
                    <c:v>damian macetas</c:v>
                  </c:pt>
                  <c:pt idx="948">
                    <c:v>damian macetas</c:v>
                  </c:pt>
                  <c:pt idx="949">
                    <c:v>damian macetas</c:v>
                  </c:pt>
                  <c:pt idx="950">
                    <c:v>damian macetas</c:v>
                  </c:pt>
                  <c:pt idx="951">
                    <c:v>damian macetas</c:v>
                  </c:pt>
                  <c:pt idx="952">
                    <c:v>damian macetas</c:v>
                  </c:pt>
                  <c:pt idx="953">
                    <c:v>damian macetas</c:v>
                  </c:pt>
                  <c:pt idx="954">
                    <c:v>damian macetas</c:v>
                  </c:pt>
                  <c:pt idx="955">
                    <c:v>damian macetas</c:v>
                  </c:pt>
                  <c:pt idx="956">
                    <c:v>damian macetas</c:v>
                  </c:pt>
                  <c:pt idx="957">
                    <c:v>damian macetas</c:v>
                  </c:pt>
                  <c:pt idx="958">
                    <c:v>damian macetas</c:v>
                  </c:pt>
                  <c:pt idx="959">
                    <c:v>alvarez</c:v>
                  </c:pt>
                  <c:pt idx="960">
                    <c:v>damian macetas</c:v>
                  </c:pt>
                  <c:pt idx="961">
                    <c:v>alvarez</c:v>
                  </c:pt>
                  <c:pt idx="962">
                    <c:v>damian macetas</c:v>
                  </c:pt>
                  <c:pt idx="963">
                    <c:v>damian macetas</c:v>
                  </c:pt>
                  <c:pt idx="964">
                    <c:v>damian macetas</c:v>
                  </c:pt>
                  <c:pt idx="965">
                    <c:v>damian macetas</c:v>
                  </c:pt>
                  <c:pt idx="966">
                    <c:v>damian macetas</c:v>
                  </c:pt>
                  <c:pt idx="967">
                    <c:v>damian macetas</c:v>
                  </c:pt>
                  <c:pt idx="968">
                    <c:v>damian macetas</c:v>
                  </c:pt>
                  <c:pt idx="969">
                    <c:v>damian macetas</c:v>
                  </c:pt>
                  <c:pt idx="970">
                    <c:v>damian macetas</c:v>
                  </c:pt>
                  <c:pt idx="971">
                    <c:v>damian macetas</c:v>
                  </c:pt>
                  <c:pt idx="972">
                    <c:v>damian macetas</c:v>
                  </c:pt>
                  <c:pt idx="973">
                    <c:v>damian macetas</c:v>
                  </c:pt>
                  <c:pt idx="974">
                    <c:v>damian macetas</c:v>
                  </c:pt>
                  <c:pt idx="975">
                    <c:v>damian macetas</c:v>
                  </c:pt>
                  <c:pt idx="976">
                    <c:v>damian macetas</c:v>
                  </c:pt>
                  <c:pt idx="977">
                    <c:v>damian macetas</c:v>
                  </c:pt>
                  <c:pt idx="978">
                    <c:v>damian macetas</c:v>
                  </c:pt>
                  <c:pt idx="979">
                    <c:v>damian macetas</c:v>
                  </c:pt>
                  <c:pt idx="980">
                    <c:v>damian macetas</c:v>
                  </c:pt>
                  <c:pt idx="981">
                    <c:v>damian macetas</c:v>
                  </c:pt>
                  <c:pt idx="982">
                    <c:v>alvarez</c:v>
                  </c:pt>
                  <c:pt idx="983">
                    <c:v>damian macetas</c:v>
                  </c:pt>
                  <c:pt idx="984">
                    <c:v>maple vila</c:v>
                  </c:pt>
                  <c:pt idx="985">
                    <c:v>maple vila</c:v>
                  </c:pt>
                  <c:pt idx="986">
                    <c:v>maple vila</c:v>
                  </c:pt>
                  <c:pt idx="987">
                    <c:v>maple vila</c:v>
                  </c:pt>
                  <c:pt idx="988">
                    <c:v>maple vila</c:v>
                  </c:pt>
                  <c:pt idx="989">
                    <c:v>maple vila</c:v>
                  </c:pt>
                  <c:pt idx="990">
                    <c:v>maple vila</c:v>
                  </c:pt>
                  <c:pt idx="991">
                    <c:v>maple vila</c:v>
                  </c:pt>
                  <c:pt idx="992">
                    <c:v>maestro</c:v>
                  </c:pt>
                  <c:pt idx="993">
                    <c:v>damian macetas</c:v>
                  </c:pt>
                  <c:pt idx="994">
                    <c:v>maestro</c:v>
                  </c:pt>
                  <c:pt idx="995">
                    <c:v>maestro</c:v>
                  </c:pt>
                  <c:pt idx="996">
                    <c:v>damian macetas</c:v>
                  </c:pt>
                  <c:pt idx="997">
                    <c:v>damian macetas</c:v>
                  </c:pt>
                  <c:pt idx="998">
                    <c:v>damian macetas</c:v>
                  </c:pt>
                  <c:pt idx="999">
                    <c:v>damian macetas</c:v>
                  </c:pt>
                  <c:pt idx="1000">
                    <c:v>damian macetas</c:v>
                  </c:pt>
                  <c:pt idx="1001">
                    <c:v>damian macetas</c:v>
                  </c:pt>
                  <c:pt idx="1002">
                    <c:v>damian macetas</c:v>
                  </c:pt>
                  <c:pt idx="1003">
                    <c:v>damian macetas</c:v>
                  </c:pt>
                  <c:pt idx="1004">
                    <c:v>damian macetas</c:v>
                  </c:pt>
                  <c:pt idx="1005">
                    <c:v>damian macetas</c:v>
                  </c:pt>
                  <c:pt idx="1006">
                    <c:v>damian macetas</c:v>
                  </c:pt>
                  <c:pt idx="1007">
                    <c:v>damian macetas</c:v>
                  </c:pt>
                  <c:pt idx="1008">
                    <c:v>damian macetas</c:v>
                  </c:pt>
                  <c:pt idx="1009">
                    <c:v>damian macetas</c:v>
                  </c:pt>
                  <c:pt idx="1010">
                    <c:v>damian macetas</c:v>
                  </c:pt>
                  <c:pt idx="1011">
                    <c:v>damian macetas</c:v>
                  </c:pt>
                  <c:pt idx="1012">
                    <c:v>maestro</c:v>
                  </c:pt>
                  <c:pt idx="1013">
                    <c:v>damian macetas</c:v>
                  </c:pt>
                  <c:pt idx="1014">
                    <c:v>damian macetas</c:v>
                  </c:pt>
                  <c:pt idx="1015">
                    <c:v>damian macetas</c:v>
                  </c:pt>
                  <c:pt idx="1016">
                    <c:v>damian macetas</c:v>
                  </c:pt>
                  <c:pt idx="1017">
                    <c:v>damian macetas</c:v>
                  </c:pt>
                  <c:pt idx="1018">
                    <c:v>damian macetas</c:v>
                  </c:pt>
                  <c:pt idx="1019">
                    <c:v>damian macetas</c:v>
                  </c:pt>
                  <c:pt idx="1020">
                    <c:v>damian macetas</c:v>
                  </c:pt>
                  <c:pt idx="1021">
                    <c:v>damian macetas</c:v>
                  </c:pt>
                  <c:pt idx="1022">
                    <c:v>damian macetas</c:v>
                  </c:pt>
                  <c:pt idx="1023">
                    <c:v>damian macetas</c:v>
                  </c:pt>
                  <c:pt idx="1024">
                    <c:v>damian macetas</c:v>
                  </c:pt>
                  <c:pt idx="1025">
                    <c:v>ds</c:v>
                  </c:pt>
                  <c:pt idx="1026">
                    <c:v>damian macetas</c:v>
                  </c:pt>
                  <c:pt idx="1027">
                    <c:v>damian macetas</c:v>
                  </c:pt>
                  <c:pt idx="1028">
                    <c:v>damian macetas</c:v>
                  </c:pt>
                  <c:pt idx="1029">
                    <c:v>damian macetas</c:v>
                  </c:pt>
                  <c:pt idx="1030">
                    <c:v>damian macetas</c:v>
                  </c:pt>
                  <c:pt idx="1031">
                    <c:v>damian macetas</c:v>
                  </c:pt>
                  <c:pt idx="1032">
                    <c:v>damian macetas</c:v>
                  </c:pt>
                  <c:pt idx="1033">
                    <c:v>alvarez</c:v>
                  </c:pt>
                  <c:pt idx="1034">
                    <c:v>alvarez</c:v>
                  </c:pt>
                  <c:pt idx="1035">
                    <c:v>alvarez</c:v>
                  </c:pt>
                  <c:pt idx="1036">
                    <c:v>damian macetas</c:v>
                  </c:pt>
                  <c:pt idx="1037">
                    <c:v>damian macetas</c:v>
                  </c:pt>
                  <c:pt idx="1038">
                    <c:v>damian macetas</c:v>
                  </c:pt>
                  <c:pt idx="1039">
                    <c:v>damian macetas</c:v>
                  </c:pt>
                  <c:pt idx="1040">
                    <c:v>damian macetas</c:v>
                  </c:pt>
                  <c:pt idx="1041">
                    <c:v>damian macetas</c:v>
                  </c:pt>
                  <c:pt idx="1042">
                    <c:v>damian macetas</c:v>
                  </c:pt>
                  <c:pt idx="1043">
                    <c:v>damian macetas</c:v>
                  </c:pt>
                  <c:pt idx="1044">
                    <c:v>damian macetas</c:v>
                  </c:pt>
                  <c:pt idx="1045">
                    <c:v>damian macetas</c:v>
                  </c:pt>
                  <c:pt idx="1046">
                    <c:v>damian macetas</c:v>
                  </c:pt>
                  <c:pt idx="1047">
                    <c:v>damian macetas</c:v>
                  </c:pt>
                  <c:pt idx="1048">
                    <c:v>damian macetas</c:v>
                  </c:pt>
                  <c:pt idx="1049">
                    <c:v>damian macetas</c:v>
                  </c:pt>
                  <c:pt idx="1050">
                    <c:v>alvarez</c:v>
                  </c:pt>
                  <c:pt idx="1051">
                    <c:v>alvarez</c:v>
                  </c:pt>
                  <c:pt idx="1052">
                    <c:v>damian macetas</c:v>
                  </c:pt>
                  <c:pt idx="1053">
                    <c:v>casino</c:v>
                  </c:pt>
                  <c:pt idx="1054">
                    <c:v>alvarez</c:v>
                  </c:pt>
                  <c:pt idx="1055">
                    <c:v>alvarez</c:v>
                  </c:pt>
                  <c:pt idx="1056">
                    <c:v>alvarez</c:v>
                  </c:pt>
                  <c:pt idx="1057">
                    <c:v>grispix</c:v>
                  </c:pt>
                  <c:pt idx="1058">
                    <c:v>grispix</c:v>
                  </c:pt>
                  <c:pt idx="1059">
                    <c:v>grispix</c:v>
                  </c:pt>
                  <c:pt idx="1060">
                    <c:v>grispix</c:v>
                  </c:pt>
                  <c:pt idx="1061">
                    <c:v>grispix</c:v>
                  </c:pt>
                  <c:pt idx="1062">
                    <c:v>grispix</c:v>
                  </c:pt>
                  <c:pt idx="1063">
                    <c:v>damian macetas</c:v>
                  </c:pt>
                  <c:pt idx="1064">
                    <c:v>damian macetas</c:v>
                  </c:pt>
                  <c:pt idx="1065">
                    <c:v>grispix</c:v>
                  </c:pt>
                  <c:pt idx="1066">
                    <c:v>grispix</c:v>
                  </c:pt>
                  <c:pt idx="1067">
                    <c:v>diego</c:v>
                  </c:pt>
                  <c:pt idx="1068">
                    <c:v>damian macetas</c:v>
                  </c:pt>
                  <c:pt idx="1069">
                    <c:v>plastolit</c:v>
                  </c:pt>
                  <c:pt idx="1070">
                    <c:v>plastolit</c:v>
                  </c:pt>
                  <c:pt idx="1071">
                    <c:v>grispix</c:v>
                  </c:pt>
                  <c:pt idx="1072">
                    <c:v>damian macetas</c:v>
                  </c:pt>
                  <c:pt idx="1073">
                    <c:v>damian macetas</c:v>
                  </c:pt>
                  <c:pt idx="1074">
                    <c:v>damian macetas</c:v>
                  </c:pt>
                  <c:pt idx="1075">
                    <c:v>damian macetas</c:v>
                  </c:pt>
                  <c:pt idx="1076">
                    <c:v>damian macetas</c:v>
                  </c:pt>
                  <c:pt idx="1077">
                    <c:v>damian macetas</c:v>
                  </c:pt>
                  <c:pt idx="1078">
                    <c:v>grispix</c:v>
                  </c:pt>
                  <c:pt idx="1079">
                    <c:v>grispix</c:v>
                  </c:pt>
                  <c:pt idx="1080">
                    <c:v>damian macetas</c:v>
                  </c:pt>
                  <c:pt idx="1081">
                    <c:v>damian macetas</c:v>
                  </c:pt>
                  <c:pt idx="1082">
                    <c:v>damian macetas</c:v>
                  </c:pt>
                  <c:pt idx="1083">
                    <c:v>damian macetas</c:v>
                  </c:pt>
                  <c:pt idx="1084">
                    <c:v>damian macetas</c:v>
                  </c:pt>
                  <c:pt idx="1085">
                    <c:v>alvarez</c:v>
                  </c:pt>
                  <c:pt idx="1086">
                    <c:v>alvarez</c:v>
                  </c:pt>
                  <c:pt idx="1087">
                    <c:v>damian macetas</c:v>
                  </c:pt>
                  <c:pt idx="1088">
                    <c:v>damian macetas</c:v>
                  </c:pt>
                  <c:pt idx="1089">
                    <c:v>damian macetas</c:v>
                  </c:pt>
                  <c:pt idx="1090">
                    <c:v>damian macetas</c:v>
                  </c:pt>
                  <c:pt idx="1091">
                    <c:v>damian macetas</c:v>
                  </c:pt>
                  <c:pt idx="1092">
                    <c:v>damian macetas</c:v>
                  </c:pt>
                  <c:pt idx="1093">
                    <c:v>damian macetas</c:v>
                  </c:pt>
                  <c:pt idx="1094">
                    <c:v>damian macetas</c:v>
                  </c:pt>
                  <c:pt idx="1095">
                    <c:v>alvarez</c:v>
                  </c:pt>
                  <c:pt idx="1096">
                    <c:v>damian macetas</c:v>
                  </c:pt>
                  <c:pt idx="1097">
                    <c:v>damian macetas</c:v>
                  </c:pt>
                  <c:pt idx="1098">
                    <c:v>damian macetas</c:v>
                  </c:pt>
                  <c:pt idx="1099">
                    <c:v>damian macetas</c:v>
                  </c:pt>
                  <c:pt idx="1100">
                    <c:v>grspix</c:v>
                  </c:pt>
                  <c:pt idx="1101">
                    <c:v>grispix</c:v>
                  </c:pt>
                  <c:pt idx="1102">
                    <c:v>grispix</c:v>
                  </c:pt>
                  <c:pt idx="1103">
                    <c:v>grispix</c:v>
                  </c:pt>
                  <c:pt idx="1104">
                    <c:v>damian macetas</c:v>
                  </c:pt>
                  <c:pt idx="1105">
                    <c:v>damian macetas</c:v>
                  </c:pt>
                  <c:pt idx="1106">
                    <c:v>damian macetas</c:v>
                  </c:pt>
                  <c:pt idx="1107">
                    <c:v>damian macetas</c:v>
                  </c:pt>
                  <c:pt idx="1108">
                    <c:v>diego</c:v>
                  </c:pt>
                  <c:pt idx="1109">
                    <c:v>damian macetas</c:v>
                  </c:pt>
                  <c:pt idx="1110">
                    <c:v>damian macetas</c:v>
                  </c:pt>
                  <c:pt idx="1111">
                    <c:v>damian macetas</c:v>
                  </c:pt>
                  <c:pt idx="1112">
                    <c:v>damian macetas</c:v>
                  </c:pt>
                  <c:pt idx="1113">
                    <c:v>damian macetas</c:v>
                  </c:pt>
                  <c:pt idx="1114">
                    <c:v>damian macetas</c:v>
                  </c:pt>
                  <c:pt idx="1115">
                    <c:v>beltrame</c:v>
                  </c:pt>
                  <c:pt idx="1116">
                    <c:v>damian macetas</c:v>
                  </c:pt>
                  <c:pt idx="1117">
                    <c:v>damian macetas</c:v>
                  </c:pt>
                  <c:pt idx="1118">
                    <c:v>damian macetas</c:v>
                  </c:pt>
                  <c:pt idx="1119">
                    <c:v>damian macetas</c:v>
                  </c:pt>
                  <c:pt idx="1120">
                    <c:v>damian macetas</c:v>
                  </c:pt>
                  <c:pt idx="1121">
                    <c:v>damian macetas</c:v>
                  </c:pt>
                  <c:pt idx="1122">
                    <c:v>damian macetas</c:v>
                  </c:pt>
                  <c:pt idx="1123">
                    <c:v>damian macetas</c:v>
                  </c:pt>
                  <c:pt idx="1124">
                    <c:v>damian macetas</c:v>
                  </c:pt>
                  <c:pt idx="1125">
                    <c:v>damian macetas</c:v>
                  </c:pt>
                  <c:pt idx="1126">
                    <c:v>damian macetas</c:v>
                  </c:pt>
                  <c:pt idx="1127">
                    <c:v>damian macetas</c:v>
                  </c:pt>
                  <c:pt idx="1128">
                    <c:v>damian macetas</c:v>
                  </c:pt>
                  <c:pt idx="1129">
                    <c:v>damian macetas</c:v>
                  </c:pt>
                  <c:pt idx="1130">
                    <c:v>damian macetas</c:v>
                  </c:pt>
                  <c:pt idx="1131">
                    <c:v>damian macetas</c:v>
                  </c:pt>
                  <c:pt idx="1132">
                    <c:v>damian macetas</c:v>
                  </c:pt>
                  <c:pt idx="1133">
                    <c:v>damian macetas</c:v>
                  </c:pt>
                  <c:pt idx="1134">
                    <c:v>damian macetas</c:v>
                  </c:pt>
                  <c:pt idx="1135">
                    <c:v>damian macetas</c:v>
                  </c:pt>
                  <c:pt idx="1136">
                    <c:v>damian macetas</c:v>
                  </c:pt>
                  <c:pt idx="1137">
                    <c:v>damian macetas</c:v>
                  </c:pt>
                  <c:pt idx="1138">
                    <c:v>damian macetas</c:v>
                  </c:pt>
                  <c:pt idx="1139">
                    <c:v>damian macetas</c:v>
                  </c:pt>
                  <c:pt idx="1140">
                    <c:v>damian macetas</c:v>
                  </c:pt>
                  <c:pt idx="1141">
                    <c:v>damian macetas</c:v>
                  </c:pt>
                  <c:pt idx="1142">
                    <c:v>damian macetas</c:v>
                  </c:pt>
                  <c:pt idx="1143">
                    <c:v>damian macetas</c:v>
                  </c:pt>
                  <c:pt idx="1144">
                    <c:v>alvarez</c:v>
                  </c:pt>
                  <c:pt idx="1145">
                    <c:v>damian macetas</c:v>
                  </c:pt>
                  <c:pt idx="1146">
                    <c:v>alvarez</c:v>
                  </c:pt>
                  <c:pt idx="1147">
                    <c:v>damian macetas</c:v>
                  </c:pt>
                  <c:pt idx="1148">
                    <c:v>grispix</c:v>
                  </c:pt>
                  <c:pt idx="1149">
                    <c:v>grispix</c:v>
                  </c:pt>
                  <c:pt idx="1150">
                    <c:v>damian macetas</c:v>
                  </c:pt>
                  <c:pt idx="1151">
                    <c:v>damian macetas</c:v>
                  </c:pt>
                  <c:pt idx="1152">
                    <c:v>grispix</c:v>
                  </c:pt>
                  <c:pt idx="1153">
                    <c:v>grispix</c:v>
                  </c:pt>
                  <c:pt idx="1154">
                    <c:v>grispix</c:v>
                  </c:pt>
                  <c:pt idx="1155">
                    <c:v>damian macetas</c:v>
                  </c:pt>
                  <c:pt idx="1156">
                    <c:v>damian macetas</c:v>
                  </c:pt>
                  <c:pt idx="1157">
                    <c:v>damian macetas</c:v>
                  </c:pt>
                  <c:pt idx="1158">
                    <c:v>damian macetas</c:v>
                  </c:pt>
                  <c:pt idx="1159">
                    <c:v>damian macetas</c:v>
                  </c:pt>
                  <c:pt idx="1160">
                    <c:v>grispix</c:v>
                  </c:pt>
                  <c:pt idx="1161">
                    <c:v>grispix</c:v>
                  </c:pt>
                  <c:pt idx="1162">
                    <c:v>damian macetas</c:v>
                  </c:pt>
                  <c:pt idx="1163">
                    <c:v>grispix</c:v>
                  </c:pt>
                  <c:pt idx="1164">
                    <c:v>damian macetas</c:v>
                  </c:pt>
                  <c:pt idx="1165">
                    <c:v>damian macetas</c:v>
                  </c:pt>
                  <c:pt idx="1166">
                    <c:v>damian macetas</c:v>
                  </c:pt>
                  <c:pt idx="1167">
                    <c:v>damian macetas</c:v>
                  </c:pt>
                  <c:pt idx="1168">
                    <c:v>damian macetas</c:v>
                  </c:pt>
                  <c:pt idx="1169">
                    <c:v>damian macetas</c:v>
                  </c:pt>
                  <c:pt idx="1170">
                    <c:v>damian macetas</c:v>
                  </c:pt>
                  <c:pt idx="1171">
                    <c:v>damian macetas</c:v>
                  </c:pt>
                  <c:pt idx="1172">
                    <c:v>damian macetas</c:v>
                  </c:pt>
                  <c:pt idx="1173">
                    <c:v>damian macetas</c:v>
                  </c:pt>
                  <c:pt idx="1174">
                    <c:v>damian macetas</c:v>
                  </c:pt>
                  <c:pt idx="1175">
                    <c:v>damian macetas</c:v>
                  </c:pt>
                  <c:pt idx="1176">
                    <c:v>damian macetas</c:v>
                  </c:pt>
                  <c:pt idx="1177">
                    <c:v>damian macetas</c:v>
                  </c:pt>
                  <c:pt idx="1178">
                    <c:v>damian macetas</c:v>
                  </c:pt>
                  <c:pt idx="1179">
                    <c:v>damian macetas</c:v>
                  </c:pt>
                  <c:pt idx="1180">
                    <c:v>damian macetas</c:v>
                  </c:pt>
                  <c:pt idx="1181">
                    <c:v>damian macetas</c:v>
                  </c:pt>
                  <c:pt idx="1182">
                    <c:v>damian macetas</c:v>
                  </c:pt>
                  <c:pt idx="1183">
                    <c:v>damian macetas</c:v>
                  </c:pt>
                  <c:pt idx="1184">
                    <c:v>damian macetas</c:v>
                  </c:pt>
                  <c:pt idx="1185">
                    <c:v>damian macetas</c:v>
                  </c:pt>
                  <c:pt idx="1186">
                    <c:v>damian macetas</c:v>
                  </c:pt>
                  <c:pt idx="1187">
                    <c:v>grispix</c:v>
                  </c:pt>
                  <c:pt idx="1188">
                    <c:v>grispix</c:v>
                  </c:pt>
                  <c:pt idx="1189">
                    <c:v>grispix</c:v>
                  </c:pt>
                  <c:pt idx="1190">
                    <c:v>grispix</c:v>
                  </c:pt>
                  <c:pt idx="1191">
                    <c:v>grispix</c:v>
                  </c:pt>
                  <c:pt idx="1192">
                    <c:v>grispix</c:v>
                  </c:pt>
                  <c:pt idx="1193">
                    <c:v>grispix</c:v>
                  </c:pt>
                  <c:pt idx="1194">
                    <c:v>grispix</c:v>
                  </c:pt>
                  <c:pt idx="1195">
                    <c:v>grispix</c:v>
                  </c:pt>
                  <c:pt idx="1196">
                    <c:v>grispix</c:v>
                  </c:pt>
                  <c:pt idx="1197">
                    <c:v>damian macetas</c:v>
                  </c:pt>
                  <c:pt idx="1198">
                    <c:v>alvarez</c:v>
                  </c:pt>
                  <c:pt idx="1199">
                    <c:v>damian macetas</c:v>
                  </c:pt>
                  <c:pt idx="1200">
                    <c:v>damian macetas</c:v>
                  </c:pt>
                  <c:pt idx="1201">
                    <c:v>damian macetas</c:v>
                  </c:pt>
                  <c:pt idx="1202">
                    <c:v>damian macetas</c:v>
                  </c:pt>
                  <c:pt idx="1203">
                    <c:v>damian macetas</c:v>
                  </c:pt>
                  <c:pt idx="1204">
                    <c:v>damian macetas</c:v>
                  </c:pt>
                  <c:pt idx="1205">
                    <c:v>damian macetas</c:v>
                  </c:pt>
                  <c:pt idx="1206">
                    <c:v>damian macetas</c:v>
                  </c:pt>
                  <c:pt idx="1207">
                    <c:v>damian macetas</c:v>
                  </c:pt>
                  <c:pt idx="1208">
                    <c:v>damian macetas</c:v>
                  </c:pt>
                  <c:pt idx="1209">
                    <c:v>grispix</c:v>
                  </c:pt>
                  <c:pt idx="1210">
                    <c:v>damian macetas</c:v>
                  </c:pt>
                  <c:pt idx="1211">
                    <c:v>damian macetas</c:v>
                  </c:pt>
                  <c:pt idx="1212">
                    <c:v>damian macetas</c:v>
                  </c:pt>
                  <c:pt idx="1213">
                    <c:v>grispix</c:v>
                  </c:pt>
                  <c:pt idx="1214">
                    <c:v>grispix</c:v>
                  </c:pt>
                  <c:pt idx="1215">
                    <c:v>damian macetas</c:v>
                  </c:pt>
                  <c:pt idx="1216">
                    <c:v>damian macetas</c:v>
                  </c:pt>
                  <c:pt idx="1217">
                    <c:v>damian macetas</c:v>
                  </c:pt>
                  <c:pt idx="1218">
                    <c:v>beltrame</c:v>
                  </c:pt>
                  <c:pt idx="1219">
                    <c:v>beltrame</c:v>
                  </c:pt>
                  <c:pt idx="1220">
                    <c:v>beltrame</c:v>
                  </c:pt>
                  <c:pt idx="1221">
                    <c:v>beltrame</c:v>
                  </c:pt>
                  <c:pt idx="1222">
                    <c:v>beltrame</c:v>
                  </c:pt>
                  <c:pt idx="1223">
                    <c:v>grispix</c:v>
                  </c:pt>
                  <c:pt idx="1224">
                    <c:v>grispix</c:v>
                  </c:pt>
                  <c:pt idx="1225">
                    <c:v>grispix</c:v>
                  </c:pt>
                  <c:pt idx="1226">
                    <c:v>grispix</c:v>
                  </c:pt>
                  <c:pt idx="1227">
                    <c:v>grispix</c:v>
                  </c:pt>
                  <c:pt idx="1228">
                    <c:v>grispix</c:v>
                  </c:pt>
                  <c:pt idx="1229">
                    <c:v>grispix</c:v>
                  </c:pt>
                  <c:pt idx="1230">
                    <c:v>grispix</c:v>
                  </c:pt>
                  <c:pt idx="1231">
                    <c:v>grispix</c:v>
                  </c:pt>
                  <c:pt idx="1232">
                    <c:v>grispix</c:v>
                  </c:pt>
                  <c:pt idx="1233">
                    <c:v>grispix</c:v>
                  </c:pt>
                  <c:pt idx="1234">
                    <c:v>damian macetas</c:v>
                  </c:pt>
                  <c:pt idx="1235">
                    <c:v>damian macetas</c:v>
                  </c:pt>
                  <c:pt idx="1236">
                    <c:v>damian macetas</c:v>
                  </c:pt>
                  <c:pt idx="1237">
                    <c:v>damian macetas</c:v>
                  </c:pt>
                  <c:pt idx="1238">
                    <c:v>damian macetas</c:v>
                  </c:pt>
                  <c:pt idx="1239">
                    <c:v>damian macetas</c:v>
                  </c:pt>
                  <c:pt idx="1240">
                    <c:v>damian macetas</c:v>
                  </c:pt>
                  <c:pt idx="1241">
                    <c:v>damian macetas</c:v>
                  </c:pt>
                  <c:pt idx="1242">
                    <c:v>damian macetas</c:v>
                  </c:pt>
                  <c:pt idx="1243">
                    <c:v>damian macetas</c:v>
                  </c:pt>
                  <c:pt idx="1244">
                    <c:v>damian macetas</c:v>
                  </c:pt>
                  <c:pt idx="1245">
                    <c:v>diego</c:v>
                  </c:pt>
                  <c:pt idx="1246">
                    <c:v>damian macetas</c:v>
                  </c:pt>
                  <c:pt idx="1247">
                    <c:v>damian macetas</c:v>
                  </c:pt>
                  <c:pt idx="1249">
                    <c:v>maestro</c:v>
                  </c:pt>
                  <c:pt idx="1250">
                    <c:v>maestro</c:v>
                  </c:pt>
                  <c:pt idx="1251">
                    <c:v>casino</c:v>
                  </c:pt>
                  <c:pt idx="1252">
                    <c:v>maestro</c:v>
                  </c:pt>
                  <c:pt idx="1253">
                    <c:v>grispix</c:v>
                  </c:pt>
                  <c:pt idx="1254">
                    <c:v>diego</c:v>
                  </c:pt>
                  <c:pt idx="1255">
                    <c:v>insumos cultivador</c:v>
                  </c:pt>
                  <c:pt idx="1256">
                    <c:v>insumos cultivador</c:v>
                  </c:pt>
                  <c:pt idx="1257">
                    <c:v>insumos cultivador</c:v>
                  </c:pt>
                  <c:pt idx="1258">
                    <c:v>insumos cultivador</c:v>
                  </c:pt>
                  <c:pt idx="1259">
                    <c:v>insumos cultivador</c:v>
                  </c:pt>
                  <c:pt idx="1260">
                    <c:v>insumos cultivador</c:v>
                  </c:pt>
                  <c:pt idx="1261">
                    <c:v>grispix</c:v>
                  </c:pt>
                  <c:pt idx="1262">
                    <c:v>grispix</c:v>
                  </c:pt>
                  <c:pt idx="1263">
                    <c:v>grispix</c:v>
                  </c:pt>
                  <c:pt idx="1264">
                    <c:v>damian macetas</c:v>
                  </c:pt>
                  <c:pt idx="1265">
                    <c:v>damian macetas</c:v>
                  </c:pt>
                  <c:pt idx="1266">
                    <c:v>damian macetas</c:v>
                  </c:pt>
                  <c:pt idx="1267">
                    <c:v>damian macetas</c:v>
                  </c:pt>
                  <c:pt idx="1268">
                    <c:v>damian macetas</c:v>
                  </c:pt>
                  <c:pt idx="1269">
                    <c:v>damian macetas</c:v>
                  </c:pt>
                  <c:pt idx="1270">
                    <c:v>damian macetas</c:v>
                  </c:pt>
                  <c:pt idx="1271">
                    <c:v>damian macetas</c:v>
                  </c:pt>
                  <c:pt idx="1272">
                    <c:v>damian macetas</c:v>
                  </c:pt>
                  <c:pt idx="1273">
                    <c:v>damian macetas</c:v>
                  </c:pt>
                  <c:pt idx="1274">
                    <c:v>damian macetas</c:v>
                  </c:pt>
                  <c:pt idx="1275">
                    <c:v>damian macetas</c:v>
                  </c:pt>
                  <c:pt idx="1276">
                    <c:v>                                      ,              </c:v>
                  </c:pt>
                  <c:pt idx="1277">
                    <c:v>damian macetas</c:v>
                  </c:pt>
                  <c:pt idx="1278">
                    <c:v>grispix</c:v>
                  </c:pt>
                  <c:pt idx="1279">
                    <c:v>grispix</c:v>
                  </c:pt>
                  <c:pt idx="1280">
                    <c:v>grispix</c:v>
                  </c:pt>
                  <c:pt idx="1281">
                    <c:v>grispix</c:v>
                  </c:pt>
                  <c:pt idx="1282">
                    <c:v>grispix</c:v>
                  </c:pt>
                  <c:pt idx="1283">
                    <c:v>grispix</c:v>
                  </c:pt>
                  <c:pt idx="1284">
                    <c:v>plastolit</c:v>
                  </c:pt>
                  <c:pt idx="1285">
                    <c:v>plastolit</c:v>
                  </c:pt>
                  <c:pt idx="1286">
                    <c:v>plastolit</c:v>
                  </c:pt>
                  <c:pt idx="1287">
                    <c:v>plastolit</c:v>
                  </c:pt>
                  <c:pt idx="1288">
                    <c:v>damian macetas</c:v>
                  </c:pt>
                  <c:pt idx="1289">
                    <c:v>damian macetas</c:v>
                  </c:pt>
                  <c:pt idx="1290">
                    <c:v>mercoplant</c:v>
                  </c:pt>
                  <c:pt idx="1291">
                    <c:v>mercoplant</c:v>
                  </c:pt>
                  <c:pt idx="1292">
                    <c:v>damian macetas</c:v>
                  </c:pt>
                  <c:pt idx="1293">
                    <c:v>damian macetas1,22</c:v>
                  </c:pt>
                  <c:pt idx="1294">
                    <c:v>damian macetas</c:v>
                  </c:pt>
                  <c:pt idx="1295">
                    <c:v>damian macetas</c:v>
                  </c:pt>
                  <c:pt idx="1296">
                    <c:v>damian macetas</c:v>
                  </c:pt>
                  <c:pt idx="1297">
                    <c:v>damian macetas</c:v>
                  </c:pt>
                  <c:pt idx="1298">
                    <c:v>damian macetas</c:v>
                  </c:pt>
                  <c:pt idx="1299">
                    <c:v>damian macetas</c:v>
                  </c:pt>
                  <c:pt idx="1300">
                    <c:v>damian macetas</c:v>
                  </c:pt>
                  <c:pt idx="1301">
                    <c:v>damian macetas</c:v>
                  </c:pt>
                  <c:pt idx="1302">
                    <c:v>rial</c:v>
                  </c:pt>
                  <c:pt idx="1303">
                    <c:v>rial</c:v>
                  </c:pt>
                  <c:pt idx="1304">
                    <c:v>rial</c:v>
                  </c:pt>
                  <c:pt idx="1305">
                    <c:v>rial</c:v>
                  </c:pt>
                  <c:pt idx="1306">
                    <c:v>rial</c:v>
                  </c:pt>
                  <c:pt idx="1307">
                    <c:v>rial</c:v>
                  </c:pt>
                  <c:pt idx="1308">
                    <c:v>rial</c:v>
                  </c:pt>
                  <c:pt idx="1309">
                    <c:v>rial</c:v>
                  </c:pt>
                  <c:pt idx="1310">
                    <c:v>rial</c:v>
                  </c:pt>
                  <c:pt idx="1311">
                    <c:v>rial</c:v>
                  </c:pt>
                  <c:pt idx="1312">
                    <c:v>rial</c:v>
                  </c:pt>
                  <c:pt idx="1313">
                    <c:v>rial</c:v>
                  </c:pt>
                  <c:pt idx="1314">
                    <c:v>rial</c:v>
                  </c:pt>
                  <c:pt idx="1315">
                    <c:v>damian macetas</c:v>
                  </c:pt>
                  <c:pt idx="1316">
                    <c:v>damian macetas</c:v>
                  </c:pt>
                  <c:pt idx="1317">
                    <c:v>damian macetas</c:v>
                  </c:pt>
                  <c:pt idx="1318">
                    <c:v>damian macetas</c:v>
                  </c:pt>
                  <c:pt idx="1319">
                    <c:v>damian macetas</c:v>
                  </c:pt>
                  <c:pt idx="1320">
                    <c:v>damian macetas</c:v>
                  </c:pt>
                  <c:pt idx="1321">
                    <c:v>damian macetas</c:v>
                  </c:pt>
                  <c:pt idx="1322">
                    <c:v>damian macetas</c:v>
                  </c:pt>
                  <c:pt idx="1323">
                    <c:v>damian macetas</c:v>
                  </c:pt>
                  <c:pt idx="1324">
                    <c:v>damian macetas</c:v>
                  </c:pt>
                  <c:pt idx="1325">
                    <c:v>damian macetas</c:v>
                  </c:pt>
                  <c:pt idx="1326">
                    <c:v>damian macetas</c:v>
                  </c:pt>
                  <c:pt idx="1327">
                    <c:v>damian macetas</c:v>
                  </c:pt>
                  <c:pt idx="1328">
                    <c:v>damian macetas</c:v>
                  </c:pt>
                  <c:pt idx="1329">
                    <c:v>damian macetas</c:v>
                  </c:pt>
                  <c:pt idx="1330">
                    <c:v>damian macetas</c:v>
                  </c:pt>
                  <c:pt idx="1331">
                    <c:v>damian macetas</c:v>
                  </c:pt>
                  <c:pt idx="1332">
                    <c:v>damian macetas</c:v>
                  </c:pt>
                  <c:pt idx="1333">
                    <c:v>damian macetas</c:v>
                  </c:pt>
                  <c:pt idx="1334">
                    <c:v>damian macetas</c:v>
                  </c:pt>
                  <c:pt idx="1335">
                    <c:v>damian macetas</c:v>
                  </c:pt>
                  <c:pt idx="1336">
                    <c:v>damian macetas</c:v>
                  </c:pt>
                  <c:pt idx="1337">
                    <c:v>damian macetas</c:v>
                  </c:pt>
                  <c:pt idx="1338">
                    <c:v>damian macetas</c:v>
                  </c:pt>
                  <c:pt idx="1339">
                    <c:v>damian macetas</c:v>
                  </c:pt>
                  <c:pt idx="1340">
                    <c:v>damian macetas</c:v>
                  </c:pt>
                  <c:pt idx="1341">
                    <c:v>damian macetas</c:v>
                  </c:pt>
                  <c:pt idx="1342">
                    <c:v>casa cristina</c:v>
                  </c:pt>
                  <c:pt idx="1343">
                    <c:v>damian macetas</c:v>
                  </c:pt>
                  <c:pt idx="1344">
                    <c:v>damian macetas</c:v>
                  </c:pt>
                  <c:pt idx="1345">
                    <c:v>damian macetas</c:v>
                  </c:pt>
                  <c:pt idx="1346">
                    <c:v>damian macetas</c:v>
                  </c:pt>
                  <c:pt idx="1347">
                    <c:v>damian macetas</c:v>
                  </c:pt>
                  <c:pt idx="1348">
                    <c:v>damian macetas</c:v>
                  </c:pt>
                  <c:pt idx="1349">
                    <c:v>damian macetas</c:v>
                  </c:pt>
                  <c:pt idx="1350">
                    <c:v>damian macetas</c:v>
                  </c:pt>
                  <c:pt idx="1351">
                    <c:v>damian macetas</c:v>
                  </c:pt>
                  <c:pt idx="1352">
                    <c:v>damian macetas</c:v>
                  </c:pt>
                  <c:pt idx="1353">
                    <c:v>damian macetas</c:v>
                  </c:pt>
                  <c:pt idx="1354">
                    <c:v>damian macetas</c:v>
                  </c:pt>
                  <c:pt idx="1355">
                    <c:v>damian macetas</c:v>
                  </c:pt>
                  <c:pt idx="1356">
                    <c:v>damian macetas</c:v>
                  </c:pt>
                  <c:pt idx="1357">
                    <c:v>damian macetas</c:v>
                  </c:pt>
                  <c:pt idx="1358">
                    <c:v>damian macetas</c:v>
                  </c:pt>
                  <c:pt idx="1359">
                    <c:v>alvarez</c:v>
                  </c:pt>
                  <c:pt idx="1360">
                    <c:v>damian macetas</c:v>
                  </c:pt>
                  <c:pt idx="1361">
                    <c:v>damian macetas</c:v>
                  </c:pt>
                  <c:pt idx="1362">
                    <c:v>damian macetas</c:v>
                  </c:pt>
                  <c:pt idx="1363">
                    <c:v>damian macetas</c:v>
                  </c:pt>
                  <c:pt idx="1364">
                    <c:v>damian macetas</c:v>
                  </c:pt>
                  <c:pt idx="1365">
                    <c:v>damian macetas</c:v>
                  </c:pt>
                  <c:pt idx="1366">
                    <c:v>damian macetas</c:v>
                  </c:pt>
                  <c:pt idx="1367">
                    <c:v>damian macetas</c:v>
                  </c:pt>
                  <c:pt idx="1368">
                    <c:v>damian macetas</c:v>
                  </c:pt>
                  <c:pt idx="1369">
                    <c:v>damian macetas</c:v>
                  </c:pt>
                  <c:pt idx="1370">
                    <c:v>damian macetas</c:v>
                  </c:pt>
                  <c:pt idx="1371">
                    <c:v>damian macetas</c:v>
                  </c:pt>
                  <c:pt idx="1372">
                    <c:v>damian macetas</c:v>
                  </c:pt>
                  <c:pt idx="1373">
                    <c:v>damian macetas</c:v>
                  </c:pt>
                  <c:pt idx="1374">
                    <c:v>mercoplant</c:v>
                  </c:pt>
                  <c:pt idx="1375">
                    <c:v>grispix</c:v>
                  </c:pt>
                  <c:pt idx="1376">
                    <c:v>alvarez</c:v>
                  </c:pt>
                  <c:pt idx="1377">
                    <c:v>alvarez</c:v>
                  </c:pt>
                  <c:pt idx="1378">
                    <c:v>alvarez</c:v>
                  </c:pt>
                  <c:pt idx="1379">
                    <c:v>grispix</c:v>
                  </c:pt>
                  <c:pt idx="1380">
                    <c:v>damian macetas</c:v>
                  </c:pt>
                  <c:pt idx="1381">
                    <c:v>damian macetas</c:v>
                  </c:pt>
                  <c:pt idx="1382">
                    <c:v>damian macetas</c:v>
                  </c:pt>
                  <c:pt idx="1383">
                    <c:v>damian macetas</c:v>
                  </c:pt>
                  <c:pt idx="1384">
                    <c:v>damian macetas</c:v>
                  </c:pt>
                  <c:pt idx="1385">
                    <c:v>damian macetas</c:v>
                  </c:pt>
                  <c:pt idx="1386">
                    <c:v>alvarez</c:v>
                  </c:pt>
                  <c:pt idx="1388">
                    <c:v>damian macetas</c:v>
                  </c:pt>
                  <c:pt idx="1389">
                    <c:v>damian macetas</c:v>
                  </c:pt>
                  <c:pt idx="1390">
                    <c:v>damian macetas</c:v>
                  </c:pt>
                  <c:pt idx="1391">
                    <c:v>damian macetas</c:v>
                  </c:pt>
                  <c:pt idx="1392">
                    <c:v>damian macetas</c:v>
                  </c:pt>
                  <c:pt idx="1393">
                    <c:v>damian macetas</c:v>
                  </c:pt>
                  <c:pt idx="1394">
                    <c:v>alvarez</c:v>
                  </c:pt>
                  <c:pt idx="1395">
                    <c:v>alvarez</c:v>
                  </c:pt>
                  <c:pt idx="1396">
                    <c:v>alvarez</c:v>
                  </c:pt>
                  <c:pt idx="1397">
                    <c:v>alvarez</c:v>
                  </c:pt>
                  <c:pt idx="1398">
                    <c:v>alvarez</c:v>
                  </c:pt>
                  <c:pt idx="1399">
                    <c:v>damian macetas</c:v>
                  </c:pt>
                  <c:pt idx="1400">
                    <c:v>damian macetas</c:v>
                  </c:pt>
                  <c:pt idx="1401">
                    <c:v>damian macetas</c:v>
                  </c:pt>
                  <c:pt idx="1402">
                    <c:v>alvarez</c:v>
                  </c:pt>
                  <c:pt idx="1403">
                    <c:v>grispix</c:v>
                  </c:pt>
                  <c:pt idx="1404">
                    <c:v>grispix</c:v>
                  </c:pt>
                  <c:pt idx="1405">
                    <c:v>damian macetas</c:v>
                  </c:pt>
                  <c:pt idx="1406">
                    <c:v>damian macetas</c:v>
                  </c:pt>
                  <c:pt idx="1407">
                    <c:v>damian macetas</c:v>
                  </c:pt>
                  <c:pt idx="1408">
                    <c:v>damian macetas</c:v>
                  </c:pt>
                  <c:pt idx="1409">
                    <c:v>damian macetas</c:v>
                  </c:pt>
                  <c:pt idx="1410">
                    <c:v>damian macetas</c:v>
                  </c:pt>
                  <c:pt idx="1411">
                    <c:v>damian macetas</c:v>
                  </c:pt>
                  <c:pt idx="1412">
                    <c:v>damian macetas</c:v>
                  </c:pt>
                  <c:pt idx="1413">
                    <c:v>damian macetas</c:v>
                  </c:pt>
                  <c:pt idx="1414">
                    <c:v>damian macetas</c:v>
                  </c:pt>
                  <c:pt idx="1415">
                    <c:v>damian macetas</c:v>
                  </c:pt>
                  <c:pt idx="1416">
                    <c:v>damian macetas</c:v>
                  </c:pt>
                  <c:pt idx="1417">
                    <c:v>damian macetas</c:v>
                  </c:pt>
                  <c:pt idx="1418">
                    <c:v>damian macetas</c:v>
                  </c:pt>
                  <c:pt idx="1419">
                    <c:v>alvarez</c:v>
                  </c:pt>
                  <c:pt idx="1420">
                    <c:v>alvarez</c:v>
                  </c:pt>
                  <c:pt idx="1421">
                    <c:v>alvarez</c:v>
                  </c:pt>
                  <c:pt idx="1422">
                    <c:v>alvarez</c:v>
                  </c:pt>
                  <c:pt idx="1423">
                    <c:v>alvarez</c:v>
                  </c:pt>
                  <c:pt idx="1424">
                    <c:v>alvarez</c:v>
                  </c:pt>
                  <c:pt idx="1425">
                    <c:v>alvarez</c:v>
                  </c:pt>
                  <c:pt idx="1426">
                    <c:v>alvarez</c:v>
                  </c:pt>
                  <c:pt idx="1427">
                    <c:v>alvarez</c:v>
                  </c:pt>
                  <c:pt idx="1428">
                    <c:v>alvarez</c:v>
                  </c:pt>
                  <c:pt idx="1429">
                    <c:v>alvarez</c:v>
                  </c:pt>
                  <c:pt idx="1430">
                    <c:v>damian macetas</c:v>
                  </c:pt>
                  <c:pt idx="1431">
                    <c:v>damian macetas</c:v>
                  </c:pt>
                  <c:pt idx="1432">
                    <c:v>damian macetas</c:v>
                  </c:pt>
                  <c:pt idx="1433">
                    <c:v>grispix</c:v>
                  </c:pt>
                  <c:pt idx="1434">
                    <c:v>grispix</c:v>
                  </c:pt>
                  <c:pt idx="1436">
                    <c:v>cousa</c:v>
                  </c:pt>
                  <c:pt idx="1437">
                    <c:v>cousa</c:v>
                  </c:pt>
                  <c:pt idx="1438">
                    <c:v>cousa</c:v>
                  </c:pt>
                  <c:pt idx="1439">
                    <c:v>cousa</c:v>
                  </c:pt>
                  <c:pt idx="1441">
                    <c:v>baldivia</c:v>
                  </c:pt>
                  <c:pt idx="1442">
                    <c:v>baldivia</c:v>
                  </c:pt>
                  <c:pt idx="1443">
                    <c:v>magric</c:v>
                  </c:pt>
                  <c:pt idx="1444">
                    <c:v>baldivia</c:v>
                  </c:pt>
                  <c:pt idx="1445">
                    <c:v>baldivia</c:v>
                  </c:pt>
                  <c:pt idx="1446">
                    <c:v>baldivia</c:v>
                  </c:pt>
                  <c:pt idx="1447">
                    <c:v>baldivia</c:v>
                  </c:pt>
                  <c:pt idx="1448">
                    <c:v>baldivia</c:v>
                  </c:pt>
                  <c:pt idx="1449">
                    <c:v>agraciada</c:v>
                  </c:pt>
                  <c:pt idx="1450">
                    <c:v>agropecuaria agraciada</c:v>
                  </c:pt>
                  <c:pt idx="1452">
                    <c:v>diego</c:v>
                  </c:pt>
                  <c:pt idx="1453">
                    <c:v>diego</c:v>
                  </c:pt>
                  <c:pt idx="1454">
                    <c:v>diego</c:v>
                  </c:pt>
                  <c:pt idx="1456">
                    <c:v>damian macetas</c:v>
                  </c:pt>
                  <c:pt idx="1458">
                    <c:v>diego</c:v>
                  </c:pt>
                  <c:pt idx="1459">
                    <c:v>damian macetas</c:v>
                  </c:pt>
                  <c:pt idx="1460">
                    <c:v>damian macetas</c:v>
                  </c:pt>
                  <c:pt idx="1463">
                    <c:v>maple vila</c:v>
                  </c:pt>
                  <c:pt idx="1464">
                    <c:v>maple vila</c:v>
                  </c:pt>
                  <c:pt idx="1465">
                    <c:v>diego</c:v>
                  </c:pt>
                  <c:pt idx="1466">
                    <c:v>damian macetas</c:v>
                  </c:pt>
                  <c:pt idx="1468">
                    <c:v>distribuidora del sol</c:v>
                  </c:pt>
                  <c:pt idx="1469">
                    <c:v>ATMA</c:v>
                  </c:pt>
                  <c:pt idx="1470">
                    <c:v>casino</c:v>
                  </c:pt>
                  <c:pt idx="1474">
                    <c:v>agroinsumos</c:v>
                  </c:pt>
                  <c:pt idx="1475">
                    <c:v>agroinsumos</c:v>
                  </c:pt>
                  <c:pt idx="1476">
                    <c:v>beltrame</c:v>
                  </c:pt>
                  <c:pt idx="1477">
                    <c:v>beltrame</c:v>
                  </c:pt>
                  <c:pt idx="1478">
                    <c:v>valagu</c:v>
                  </c:pt>
                  <c:pt idx="1479">
                    <c:v>agroinsumos</c:v>
                  </c:pt>
                  <c:pt idx="1481">
                    <c:v>damian macetas</c:v>
                  </c:pt>
                  <c:pt idx="1483">
                    <c:v>damian macetas</c:v>
                  </c:pt>
                  <c:pt idx="1484">
                    <c:v>diego</c:v>
                  </c:pt>
                  <c:pt idx="1485">
                    <c:v>rimart</c:v>
                  </c:pt>
                  <c:pt idx="1486">
                    <c:v>mayans</c:v>
                  </c:pt>
                  <c:pt idx="1487">
                    <c:v>mayans</c:v>
                  </c:pt>
                  <c:pt idx="1488">
                    <c:v>casa cristina</c:v>
                  </c:pt>
                  <c:pt idx="1490">
                    <c:v>casa cristina</c:v>
                  </c:pt>
                  <c:pt idx="1491">
                    <c:v>diego</c:v>
                  </c:pt>
                  <c:pt idx="1492">
                    <c:v>diego</c:v>
                  </c:pt>
                  <c:pt idx="1493">
                    <c:v>diego</c:v>
                  </c:pt>
                  <c:pt idx="1494">
                    <c:v>diego</c:v>
                  </c:pt>
                  <c:pt idx="1495">
                    <c:v>diego</c:v>
                  </c:pt>
                  <c:pt idx="1496">
                    <c:v>damian macetas</c:v>
                  </c:pt>
                  <c:pt idx="1499">
                    <c:v>MAYORPET</c:v>
                  </c:pt>
                  <c:pt idx="1500">
                    <c:v>MAYORPET</c:v>
                  </c:pt>
                  <c:pt idx="1501">
                    <c:v>MAYORPET</c:v>
                  </c:pt>
                  <c:pt idx="1502">
                    <c:v>MAYORPET</c:v>
                  </c:pt>
                  <c:pt idx="1503">
                    <c:v>bioterra</c:v>
                  </c:pt>
                  <c:pt idx="1505">
                    <c:v>yaques</c:v>
                  </c:pt>
                  <c:pt idx="1506">
                    <c:v>musaco</c:v>
                  </c:pt>
                  <c:pt idx="1507">
                    <c:v>merlin</c:v>
                  </c:pt>
                  <c:pt idx="1508">
                    <c:v>beltrame</c:v>
                  </c:pt>
                  <c:pt idx="1509">
                    <c:v>beltrame</c:v>
                  </c:pt>
                  <c:pt idx="1510">
                    <c:v>MAYORPET</c:v>
                  </c:pt>
                  <c:pt idx="1511">
                    <c:v>valagu</c:v>
                  </c:pt>
                  <c:pt idx="1512">
                    <c:v>MAYORPET</c:v>
                  </c:pt>
                  <c:pt idx="1513">
                    <c:v>valagu</c:v>
                  </c:pt>
                  <c:pt idx="1514">
                    <c:v>valagu</c:v>
                  </c:pt>
                  <c:pt idx="1515">
                    <c:v>MAYORPET</c:v>
                  </c:pt>
                  <c:pt idx="1516">
                    <c:v>MAYORPET</c:v>
                  </c:pt>
                  <c:pt idx="1517">
                    <c:v>MAYORPET</c:v>
                  </c:pt>
                  <c:pt idx="1518">
                    <c:v>MAYORPET</c:v>
                  </c:pt>
                  <c:pt idx="1519">
                    <c:v>volpe</c:v>
                  </c:pt>
                  <c:pt idx="1520">
                    <c:v>volpe</c:v>
                  </c:pt>
                  <c:pt idx="1522">
                    <c:v>valagu</c:v>
                  </c:pt>
                  <c:pt idx="1523">
                    <c:v>valagu</c:v>
                  </c:pt>
                  <c:pt idx="1524">
                    <c:v>valagu</c:v>
                  </c:pt>
                  <c:pt idx="1525">
                    <c:v>valagu</c:v>
                  </c:pt>
                  <c:pt idx="1526">
                    <c:v>damian macetas</c:v>
                  </c:pt>
                  <c:pt idx="1527">
                    <c:v>musaco</c:v>
                  </c:pt>
                  <c:pt idx="1528">
                    <c:v>BELSIR</c:v>
                  </c:pt>
                  <c:pt idx="1529">
                    <c:v>exportagro</c:v>
                  </c:pt>
                  <c:pt idx="1530">
                    <c:v>magric</c:v>
                  </c:pt>
                  <c:pt idx="1531">
                    <c:v>magric</c:v>
                  </c:pt>
                  <c:pt idx="1532">
                    <c:v>alvarez</c:v>
                  </c:pt>
                  <c:pt idx="1533">
                    <c:v>damian macetas</c:v>
                  </c:pt>
                  <c:pt idx="1534">
                    <c:v>damian macetas</c:v>
                  </c:pt>
                  <c:pt idx="1535">
                    <c:v>damian macetas</c:v>
                  </c:pt>
                  <c:pt idx="1536">
                    <c:v>grispix</c:v>
                  </c:pt>
                  <c:pt idx="1537">
                    <c:v>damian macetas</c:v>
                  </c:pt>
                  <c:pt idx="1538">
                    <c:v>deribal</c:v>
                  </c:pt>
                  <c:pt idx="1539">
                    <c:v>damian macetas</c:v>
                  </c:pt>
                  <c:pt idx="1540">
                    <c:v>damian macetas</c:v>
                  </c:pt>
                  <c:pt idx="1541">
                    <c:v>MAYORPET</c:v>
                  </c:pt>
                  <c:pt idx="1542">
                    <c:v>damian macetas</c:v>
                  </c:pt>
                  <c:pt idx="1544">
                    <c:v>yaques</c:v>
                  </c:pt>
                  <c:pt idx="1545">
                    <c:v>yaques</c:v>
                  </c:pt>
                  <c:pt idx="1546">
                    <c:v>diego</c:v>
                  </c:pt>
                  <c:pt idx="1547">
                    <c:v>diego</c:v>
                  </c:pt>
                  <c:pt idx="1548">
                    <c:v>empack</c:v>
                  </c:pt>
                  <c:pt idx="1549">
                    <c:v>valagu</c:v>
                  </c:pt>
                  <c:pt idx="1550">
                    <c:v>valagu</c:v>
                  </c:pt>
                  <c:pt idx="1551">
                    <c:v>valagu</c:v>
                  </c:pt>
                  <c:pt idx="1552">
                    <c:v>beltrame</c:v>
                  </c:pt>
                  <c:pt idx="1553">
                    <c:v>uruquim</c:v>
                  </c:pt>
                  <c:pt idx="1554">
                    <c:v>uruquim</c:v>
                  </c:pt>
                  <c:pt idx="1555">
                    <c:v>lezama</c:v>
                  </c:pt>
                  <c:pt idx="1556">
                    <c:v>fermara</c:v>
                  </c:pt>
                  <c:pt idx="1557">
                    <c:v>FERMARA</c:v>
                  </c:pt>
                  <c:pt idx="1558">
                    <c:v>fermara</c:v>
                  </c:pt>
                  <c:pt idx="1559">
                    <c:v>fermara</c:v>
                  </c:pt>
                  <c:pt idx="1560">
                    <c:v>damian macetas</c:v>
                  </c:pt>
                  <c:pt idx="1567">
                    <c:v>valagu</c:v>
                  </c:pt>
                  <c:pt idx="1568">
                    <c:v>valagu</c:v>
                  </c:pt>
                  <c:pt idx="1570">
                    <c:v>belsir</c:v>
                  </c:pt>
                  <c:pt idx="1571">
                    <c:v>belsir</c:v>
                  </c:pt>
                  <c:pt idx="1572">
                    <c:v>valagu</c:v>
                  </c:pt>
                  <c:pt idx="1574">
                    <c:v>MAYORPET</c:v>
                  </c:pt>
                  <c:pt idx="1575">
                    <c:v>MAYORPET</c:v>
                  </c:pt>
                  <c:pt idx="1577">
                    <c:v>grispix</c:v>
                  </c:pt>
                  <c:pt idx="1579">
                    <c:v>damian macetas</c:v>
                  </c:pt>
                  <c:pt idx="1580">
                    <c:v>damian macetas</c:v>
                  </c:pt>
                  <c:pt idx="1581">
                    <c:v>damian macetas</c:v>
                  </c:pt>
                  <c:pt idx="1582">
                    <c:v>damian macetas</c:v>
                  </c:pt>
                  <c:pt idx="1583">
                    <c:v>alvarez</c:v>
                  </c:pt>
                  <c:pt idx="1587">
                    <c:v>bioterra</c:v>
                  </c:pt>
                  <c:pt idx="1588">
                    <c:v>negley</c:v>
                  </c:pt>
                  <c:pt idx="1589">
                    <c:v>negley</c:v>
                  </c:pt>
                  <c:pt idx="1590">
                    <c:v>negley</c:v>
                  </c:pt>
                  <c:pt idx="1591">
                    <c:v>distribuidora del sol</c:v>
                  </c:pt>
                  <c:pt idx="1592">
                    <c:v>distribuidora del sol</c:v>
                  </c:pt>
                  <c:pt idx="1594">
                    <c:v>fermara</c:v>
                  </c:pt>
                  <c:pt idx="1596">
                    <c:v>REMIPLAT</c:v>
                  </c:pt>
                  <c:pt idx="1597">
                    <c:v>REMIPLAT</c:v>
                  </c:pt>
                  <c:pt idx="1599">
                    <c:v>intor</c:v>
                  </c:pt>
                  <c:pt idx="1600">
                    <c:v>intor</c:v>
                  </c:pt>
                  <c:pt idx="1601">
                    <c:v>intor</c:v>
                  </c:pt>
                  <c:pt idx="1602">
                    <c:v>intor</c:v>
                  </c:pt>
                  <c:pt idx="1603">
                    <c:v>intor</c:v>
                  </c:pt>
                  <c:pt idx="1604">
                    <c:v>intor</c:v>
                  </c:pt>
                  <c:pt idx="1607">
                    <c:v>REMIPLAT</c:v>
                  </c:pt>
                  <c:pt idx="1609">
                    <c:v>REMIPLAT</c:v>
                  </c:pt>
                  <c:pt idx="1613">
                    <c:v>damian macetas</c:v>
                  </c:pt>
                  <c:pt idx="1615">
                    <c:v>fermara</c:v>
                  </c:pt>
                  <c:pt idx="1616">
                    <c:v>fermara</c:v>
                  </c:pt>
                  <c:pt idx="1618">
                    <c:v>negley</c:v>
                  </c:pt>
                  <c:pt idx="1619">
                    <c:v>negley</c:v>
                  </c:pt>
                  <c:pt idx="1620">
                    <c:v>intor</c:v>
                  </c:pt>
                  <c:pt idx="1621">
                    <c:v>damian macetas</c:v>
                  </c:pt>
                  <c:pt idx="1624">
                    <c:v>damian macetas</c:v>
                  </c:pt>
                  <c:pt idx="1625">
                    <c:v>negley</c:v>
                  </c:pt>
                  <c:pt idx="1626">
                    <c:v>negley</c:v>
                  </c:pt>
                  <c:pt idx="1627">
                    <c:v>belsir</c:v>
                  </c:pt>
                  <c:pt idx="1629">
                    <c:v>belsir</c:v>
                  </c:pt>
                  <c:pt idx="1630">
                    <c:v>belsir</c:v>
                  </c:pt>
                  <c:pt idx="1631">
                    <c:v>belsir</c:v>
                  </c:pt>
                  <c:pt idx="1632">
                    <c:v>belsir</c:v>
                  </c:pt>
                  <c:pt idx="1633">
                    <c:v>belsir</c:v>
                  </c:pt>
                  <c:pt idx="1634">
                    <c:v>distribuidora del sol</c:v>
                  </c:pt>
                  <c:pt idx="1635">
                    <c:v>distribuidora del sol</c:v>
                  </c:pt>
                  <c:pt idx="1636">
                    <c:v>distribuidora del sol</c:v>
                  </c:pt>
                  <c:pt idx="1637">
                    <c:v>distribuidora del sol</c:v>
                  </c:pt>
                  <c:pt idx="1638">
                    <c:v>distribuidora del sol</c:v>
                  </c:pt>
                  <c:pt idx="1639">
                    <c:v>distribuidora del sol</c:v>
                  </c:pt>
                  <c:pt idx="1640">
                    <c:v>distribuidora del sol</c:v>
                  </c:pt>
                  <c:pt idx="1641">
                    <c:v>negley</c:v>
                  </c:pt>
                  <c:pt idx="1642">
                    <c:v>negley</c:v>
                  </c:pt>
                  <c:pt idx="1643">
                    <c:v>negley</c:v>
                  </c:pt>
                  <c:pt idx="1644">
                    <c:v>negley</c:v>
                  </c:pt>
                  <c:pt idx="1645">
                    <c:v>negley</c:v>
                  </c:pt>
                  <c:pt idx="1646">
                    <c:v>negley</c:v>
                  </c:pt>
                  <c:pt idx="1647">
                    <c:v>negley</c:v>
                  </c:pt>
                  <c:pt idx="1649">
                    <c:v>valagu</c:v>
                  </c:pt>
                  <c:pt idx="1650">
                    <c:v>valagu</c:v>
                  </c:pt>
                  <c:pt idx="1651">
                    <c:v>beltrame</c:v>
                  </c:pt>
                  <c:pt idx="1652">
                    <c:v>valagu</c:v>
                  </c:pt>
                  <c:pt idx="1653">
                    <c:v>corona</c:v>
                  </c:pt>
                  <c:pt idx="1654">
                    <c:v>valagu</c:v>
                  </c:pt>
                  <c:pt idx="1655">
                    <c:v>valagu</c:v>
                  </c:pt>
                  <c:pt idx="1656">
                    <c:v>mayorpet</c:v>
                  </c:pt>
                  <c:pt idx="1657">
                    <c:v>valagu</c:v>
                  </c:pt>
                  <c:pt idx="1658">
                    <c:v>valagu</c:v>
                  </c:pt>
                  <c:pt idx="1659">
                    <c:v>valagu</c:v>
                  </c:pt>
                  <c:pt idx="1660">
                    <c:v>valagu</c:v>
                  </c:pt>
                  <c:pt idx="1661">
                    <c:v>valagu</c:v>
                  </c:pt>
                  <c:pt idx="1662">
                    <c:v>deribal</c:v>
                  </c:pt>
                  <c:pt idx="1663">
                    <c:v>deribal</c:v>
                  </c:pt>
                  <c:pt idx="1664">
                    <c:v>animalitos</c:v>
                  </c:pt>
                  <c:pt idx="1666">
                    <c:v>alvarez</c:v>
                  </c:pt>
                  <c:pt idx="1667">
                    <c:v>alvarez</c:v>
                  </c:pt>
                  <c:pt idx="1668">
                    <c:v>damian macetas</c:v>
                  </c:pt>
                  <c:pt idx="1669">
                    <c:v>MAYORPET</c:v>
                  </c:pt>
                  <c:pt idx="1670">
                    <c:v>ds</c:v>
                  </c:pt>
                  <c:pt idx="1671">
                    <c:v>damian macetas</c:v>
                  </c:pt>
                  <c:pt idx="1672">
                    <c:v>damian macetas</c:v>
                  </c:pt>
                  <c:pt idx="1674">
                    <c:v>fermara</c:v>
                  </c:pt>
                  <c:pt idx="1675">
                    <c:v>fermara</c:v>
                  </c:pt>
                  <c:pt idx="1676">
                    <c:v>fermara</c:v>
                  </c:pt>
                  <c:pt idx="1677">
                    <c:v>fermara</c:v>
                  </c:pt>
                  <c:pt idx="1678">
                    <c:v>DERIBAL</c:v>
                  </c:pt>
                  <c:pt idx="1679">
                    <c:v>DERIBAL</c:v>
                  </c:pt>
                  <c:pt idx="1680">
                    <c:v>DERIBAL</c:v>
                  </c:pt>
                  <c:pt idx="1681">
                    <c:v>fermara</c:v>
                  </c:pt>
                  <c:pt idx="1682">
                    <c:v>deribal</c:v>
                  </c:pt>
                  <c:pt idx="1683">
                    <c:v>deribal</c:v>
                  </c:pt>
                  <c:pt idx="1684">
                    <c:v>DERIBAL</c:v>
                  </c:pt>
                  <c:pt idx="1685">
                    <c:v>deribal</c:v>
                  </c:pt>
                  <c:pt idx="1686">
                    <c:v>deribal</c:v>
                  </c:pt>
                  <c:pt idx="1687">
                    <c:v>fermara</c:v>
                  </c:pt>
                  <c:pt idx="1688">
                    <c:v>fermara</c:v>
                  </c:pt>
                  <c:pt idx="1689">
                    <c:v>fermara</c:v>
                  </c:pt>
                  <c:pt idx="1690">
                    <c:v>damian macetas</c:v>
                  </c:pt>
                  <c:pt idx="1691">
                    <c:v>valagu</c:v>
                  </c:pt>
                  <c:pt idx="1693">
                    <c:v>valagu</c:v>
                  </c:pt>
                  <c:pt idx="1694">
                    <c:v>valagu</c:v>
                  </c:pt>
                  <c:pt idx="1695">
                    <c:v>valagu</c:v>
                  </c:pt>
                  <c:pt idx="1696">
                    <c:v>valagu</c:v>
                  </c:pt>
                  <c:pt idx="1697">
                    <c:v>valagu</c:v>
                  </c:pt>
                  <c:pt idx="1698">
                    <c:v>valagu</c:v>
                  </c:pt>
                  <c:pt idx="1699">
                    <c:v>diego</c:v>
                  </c:pt>
                  <c:pt idx="1700">
                    <c:v>valagu</c:v>
                  </c:pt>
                  <c:pt idx="1701">
                    <c:v>valagu</c:v>
                  </c:pt>
                  <c:pt idx="1702">
                    <c:v>valagu</c:v>
                  </c:pt>
                  <c:pt idx="1703">
                    <c:v>valagu</c:v>
                  </c:pt>
                  <c:pt idx="1704">
                    <c:v>diego</c:v>
                  </c:pt>
                  <c:pt idx="1705">
                    <c:v>diego</c:v>
                  </c:pt>
                  <c:pt idx="1706">
                    <c:v>damian macetas</c:v>
                  </c:pt>
                  <c:pt idx="1707">
                    <c:v>casa cristina</c:v>
                  </c:pt>
                  <c:pt idx="1709">
                    <c:v>valagu</c:v>
                  </c:pt>
                  <c:pt idx="1710">
                    <c:v>valagu</c:v>
                  </c:pt>
                  <c:pt idx="1711">
                    <c:v>valagu</c:v>
                  </c:pt>
                  <c:pt idx="1712">
                    <c:v>valagu</c:v>
                  </c:pt>
                  <c:pt idx="1713">
                    <c:v>valagu</c:v>
                  </c:pt>
                  <c:pt idx="1714">
                    <c:v>agropecuaria agraciada</c:v>
                  </c:pt>
                  <c:pt idx="1715">
                    <c:v>agraciada</c:v>
                  </c:pt>
                  <c:pt idx="1716">
                    <c:v>parque trebol</c:v>
                  </c:pt>
                  <c:pt idx="1717">
                    <c:v>damian macetas</c:v>
                  </c:pt>
                  <c:pt idx="1718">
                    <c:v>damian macetas</c:v>
                  </c:pt>
                  <c:pt idx="1719">
                    <c:v>damian macetas</c:v>
                  </c:pt>
                  <c:pt idx="1720">
                    <c:v>damian macetas</c:v>
                  </c:pt>
                  <c:pt idx="1721">
                    <c:v>damian macetas</c:v>
                  </c:pt>
                  <c:pt idx="1722">
                    <c:v>damian macetas</c:v>
                  </c:pt>
                  <c:pt idx="1723">
                    <c:v>damian macetas</c:v>
                  </c:pt>
                  <c:pt idx="1724">
                    <c:v>damian macetas</c:v>
                  </c:pt>
                </c:lvl>
                <c:lvl>
                  <c:pt idx="0">
                    <c:v>1 doc clavel 2 ilusion 2 rosas</c:v>
                  </c:pt>
                  <c:pt idx="1">
                    <c:v>100 c,c</c:v>
                  </c:pt>
                  <c:pt idx="2">
                    <c:v>100 cc</c:v>
                  </c:pt>
                  <c:pt idx="3">
                    <c:v>10litr</c:v>
                  </c:pt>
                  <c:pt idx="4">
                    <c:v>250 gr</c:v>
                  </c:pt>
                  <c:pt idx="5">
                    <c:v>1lt</c:v>
                  </c:pt>
                  <c:pt idx="6">
                    <c:v>100 cc</c:v>
                  </c:pt>
                  <c:pt idx="7">
                    <c:v>20lt</c:v>
                  </c:pt>
                  <c:pt idx="8">
                    <c:v>1 lt</c:v>
                  </c:pt>
                  <c:pt idx="9">
                    <c:v>1 LT</c:v>
                  </c:pt>
                  <c:pt idx="12">
                    <c:v>4pcs</c:v>
                  </c:pt>
                  <c:pt idx="13">
                    <c:v>600 cc</c:v>
                  </c:pt>
                  <c:pt idx="14">
                    <c:v>1,200 ltr</c:v>
                  </c:pt>
                  <c:pt idx="15">
                    <c:v>c/u</c:v>
                  </c:pt>
                  <c:pt idx="23">
                    <c:v>30 cm</c:v>
                  </c:pt>
                  <c:pt idx="24">
                    <c:v>1 kg</c:v>
                  </c:pt>
                  <c:pt idx="25">
                    <c:v>25 kg</c:v>
                  </c:pt>
                  <c:pt idx="26">
                    <c:v>350 ml</c:v>
                  </c:pt>
                  <c:pt idx="27">
                    <c:v>2,5L/mmrs-RS510</c:v>
                  </c:pt>
                  <c:pt idx="28">
                    <c:v>RS 290</c:v>
                  </c:pt>
                  <c:pt idx="29">
                    <c:v>rs-160</c:v>
                  </c:pt>
                  <c:pt idx="30">
                    <c:v>rs610</c:v>
                  </c:pt>
                  <c:pt idx="31">
                    <c:v>4w 4lt/min</c:v>
                  </c:pt>
                  <c:pt idx="32">
                    <c:v>5w4,5 1/min sile</c:v>
                  </c:pt>
                  <c:pt idx="33">
                    <c:v> 2,5lm  sl-2800</c:v>
                  </c:pt>
                  <c:pt idx="34">
                    <c:v>30 CC</c:v>
                  </c:pt>
                  <c:pt idx="35">
                    <c:v>11,5cm</c:v>
                  </c:pt>
                  <c:pt idx="36">
                    <c:v>60 cc</c:v>
                  </c:pt>
                  <c:pt idx="37">
                    <c:v>400 grs caja</c:v>
                  </c:pt>
                  <c:pt idx="38">
                    <c:v>10gr</c:v>
                  </c:pt>
                  <c:pt idx="39">
                    <c:v>250 gr</c:v>
                  </c:pt>
                  <c:pt idx="40">
                    <c:v>10 gr</c:v>
                  </c:pt>
                  <c:pt idx="41">
                    <c:v>100 gr</c:v>
                  </c:pt>
                  <c:pt idx="42">
                    <c:v>500gr</c:v>
                  </c:pt>
                  <c:pt idx="43">
                    <c:v>120 grs</c:v>
                  </c:pt>
                  <c:pt idx="44">
                    <c:v>100 gr</c:v>
                  </c:pt>
                  <c:pt idx="45">
                    <c:v>15 gr</c:v>
                  </c:pt>
                  <c:pt idx="46">
                    <c:v>500 gr</c:v>
                  </c:pt>
                  <c:pt idx="47">
                    <c:v>500 grs</c:v>
                  </c:pt>
                  <c:pt idx="48">
                    <c:v>270 grs</c:v>
                  </c:pt>
                  <c:pt idx="49">
                    <c:v>kg</c:v>
                  </c:pt>
                  <c:pt idx="50">
                    <c:v>500  GR</c:v>
                  </c:pt>
                  <c:pt idx="51">
                    <c:v>100 GR</c:v>
                  </c:pt>
                  <c:pt idx="52">
                    <c:v>50 gr</c:v>
                  </c:pt>
                  <c:pt idx="53">
                    <c:v>10 GR</c:v>
                  </c:pt>
                  <c:pt idx="54">
                    <c:v>1,1 kg</c:v>
                  </c:pt>
                  <c:pt idx="55">
                    <c:v>75 gr</c:v>
                  </c:pt>
                  <c:pt idx="56">
                    <c:v>1kg</c:v>
                  </c:pt>
                  <c:pt idx="57">
                    <c:v>100 gr</c:v>
                  </c:pt>
                  <c:pt idx="58">
                    <c:v>10 gr</c:v>
                  </c:pt>
                  <c:pt idx="59">
                    <c:v>400 CC</c:v>
                  </c:pt>
                  <c:pt idx="60">
                    <c:v>128 cv,</c:v>
                  </c:pt>
                  <c:pt idx="61">
                    <c:v>32 cav</c:v>
                  </c:pt>
                  <c:pt idx="62">
                    <c:v>50 cavidades</c:v>
                  </c:pt>
                  <c:pt idx="63">
                    <c:v> 105 CAVIDADES</c:v>
                  </c:pt>
                  <c:pt idx="64">
                    <c:v>288 cavidades</c:v>
                  </c:pt>
                  <c:pt idx="65">
                    <c:v>50 cavidades</c:v>
                  </c:pt>
                  <c:pt idx="66">
                    <c:v>98 cavidades</c:v>
                  </c:pt>
                  <c:pt idx="72">
                    <c:v>25 kg</c:v>
                  </c:pt>
                  <c:pt idx="73">
                    <c:v>1 kg</c:v>
                  </c:pt>
                  <c:pt idx="74">
                    <c:v>25 kg</c:v>
                  </c:pt>
                  <c:pt idx="75">
                    <c:v>1 kg</c:v>
                  </c:pt>
                  <c:pt idx="78">
                    <c:v>0</c:v>
                  </c:pt>
                  <c:pt idx="80">
                    <c:v>c/u</c:v>
                  </c:pt>
                  <c:pt idx="81">
                    <c:v>blister de 10 comp</c:v>
                  </c:pt>
                  <c:pt idx="82">
                    <c:v>caja 240 comp</c:v>
                  </c:pt>
                  <c:pt idx="83">
                    <c:v>20 CM</c:v>
                  </c:pt>
                  <c:pt idx="84">
                    <c:v>24 CM</c:v>
                  </c:pt>
                  <c:pt idx="85">
                    <c:v>30 cm</c:v>
                  </c:pt>
                  <c:pt idx="86">
                    <c:v>40 cm</c:v>
                  </c:pt>
                  <c:pt idx="87">
                    <c:v>70 cm</c:v>
                  </c:pt>
                  <c:pt idx="88">
                    <c:v>25 kg</c:v>
                  </c:pt>
                  <c:pt idx="89">
                    <c:v>kg</c:v>
                  </c:pt>
                  <c:pt idx="90">
                    <c:v>0</c:v>
                  </c:pt>
                  <c:pt idx="97">
                    <c:v>500 grs</c:v>
                  </c:pt>
                  <c:pt idx="98">
                    <c:v>kg</c:v>
                  </c:pt>
                  <c:pt idx="99">
                    <c:v>100 gr</c:v>
                  </c:pt>
                  <c:pt idx="100">
                    <c:v>C/U</c:v>
                  </c:pt>
                  <c:pt idx="102">
                    <c:v>kg</c:v>
                  </c:pt>
                  <c:pt idx="103">
                    <c:v>125 grs</c:v>
                  </c:pt>
                  <c:pt idx="104">
                    <c:v>50 gr</c:v>
                  </c:pt>
                  <c:pt idx="105">
                    <c:v>50gr</c:v>
                  </c:pt>
                  <c:pt idx="106">
                    <c:v>500 GRS</c:v>
                  </c:pt>
                  <c:pt idx="107">
                    <c:v>500 grs</c:v>
                  </c:pt>
                  <c:pt idx="108">
                    <c:v>50gr</c:v>
                  </c:pt>
                  <c:pt idx="109">
                    <c:v>21 LTS</c:v>
                  </c:pt>
                  <c:pt idx="110">
                    <c:v>141 cristal</c:v>
                  </c:pt>
                  <c:pt idx="111">
                    <c:v>46x32x10</c:v>
                  </c:pt>
                  <c:pt idx="112">
                    <c:v>40x27x7</c:v>
                  </c:pt>
                  <c:pt idx="113">
                    <c:v>0</c:v>
                  </c:pt>
                  <c:pt idx="115">
                    <c:v>c/u</c:v>
                  </c:pt>
                  <c:pt idx="116">
                    <c:v>gigante</c:v>
                  </c:pt>
                  <c:pt idx="117">
                    <c:v>350 ml</c:v>
                  </c:pt>
                  <c:pt idx="118">
                    <c:v>260ml</c:v>
                  </c:pt>
                  <c:pt idx="121">
                    <c:v>mts</c:v>
                  </c:pt>
                  <c:pt idx="122">
                    <c:v>20 c,c</c:v>
                  </c:pt>
                  <c:pt idx="123">
                    <c:v>20 c,c</c:v>
                  </c:pt>
                  <c:pt idx="124">
                    <c:v>30 c,c,</c:v>
                  </c:pt>
                  <c:pt idx="125">
                    <c:v>500 gr</c:v>
                  </c:pt>
                  <c:pt idx="126">
                    <c:v>100gr</c:v>
                  </c:pt>
                  <c:pt idx="127">
                    <c:v>1 ltr</c:v>
                  </c:pt>
                  <c:pt idx="128">
                    <c:v>1,8 ltr</c:v>
                  </c:pt>
                  <c:pt idx="129">
                    <c:v>3,5 LTR</c:v>
                  </c:pt>
                  <c:pt idx="130">
                    <c:v>6 lt</c:v>
                  </c:pt>
                  <c:pt idx="131">
                    <c:v>1,5 lts</c:v>
                  </c:pt>
                  <c:pt idx="132">
                    <c:v>1,5 lts</c:v>
                  </c:pt>
                  <c:pt idx="133">
                    <c:v>6 lt</c:v>
                  </c:pt>
                  <c:pt idx="134">
                    <c:v>125 ML</c:v>
                  </c:pt>
                  <c:pt idx="135">
                    <c:v>80ml</c:v>
                  </c:pt>
                  <c:pt idx="137">
                    <c:v>5 lt </c:v>
                  </c:pt>
                  <c:pt idx="138">
                    <c:v>7x16</c:v>
                  </c:pt>
                  <c:pt idx="139">
                    <c:v>300ml</c:v>
                  </c:pt>
                  <c:pt idx="140">
                    <c:v>50 ml</c:v>
                  </c:pt>
                  <c:pt idx="141">
                    <c:v>150 ml</c:v>
                  </c:pt>
                  <c:pt idx="142">
                    <c:v>c/u</c:v>
                  </c:pt>
                  <c:pt idx="143">
                    <c:v>0</c:v>
                  </c:pt>
                  <c:pt idx="145">
                    <c:v>c/u</c:v>
                  </c:pt>
                  <c:pt idx="146">
                    <c:v>c/u</c:v>
                  </c:pt>
                  <c:pt idx="148">
                    <c:v>0</c:v>
                  </c:pt>
                  <c:pt idx="149">
                    <c:v>c/u</c:v>
                  </c:pt>
                  <c:pt idx="151">
                    <c:v>17,8x10,5x10,5 cm</c:v>
                  </c:pt>
                  <c:pt idx="152">
                    <c:v>0</c:v>
                  </c:pt>
                  <c:pt idx="153">
                    <c:v>n 1</c:v>
                  </c:pt>
                  <c:pt idx="154">
                    <c:v>n 2</c:v>
                  </c:pt>
                  <c:pt idx="155">
                    <c:v>n 3</c:v>
                  </c:pt>
                  <c:pt idx="156">
                    <c:v>80 ml</c:v>
                  </c:pt>
                  <c:pt idx="157">
                    <c:v>500 ml</c:v>
                  </c:pt>
                  <c:pt idx="158">
                    <c:v>250 cc</c:v>
                  </c:pt>
                  <c:pt idx="159">
                    <c:v>1000 ml</c:v>
                  </c:pt>
                  <c:pt idx="160">
                    <c:v>1000 cc</c:v>
                  </c:pt>
                  <c:pt idx="161">
                    <c:v>kg</c:v>
                  </c:pt>
                  <c:pt idx="166">
                    <c:v>250 CC</c:v>
                  </c:pt>
                  <c:pt idx="167">
                    <c:v>600 cc</c:v>
                  </c:pt>
                  <c:pt idx="168">
                    <c:v>1 lt</c:v>
                  </c:pt>
                  <c:pt idx="169">
                    <c:v>10 ltr</c:v>
                  </c:pt>
                  <c:pt idx="170">
                    <c:v>1 litro suelto</c:v>
                  </c:pt>
                  <c:pt idx="171">
                    <c:v>1 ltr</c:v>
                  </c:pt>
                  <c:pt idx="172">
                    <c:v>20 ltr</c:v>
                  </c:pt>
                  <c:pt idx="173">
                    <c:v>5 lt</c:v>
                  </c:pt>
                  <c:pt idx="174">
                    <c:v>600 ml,</c:v>
                  </c:pt>
                  <c:pt idx="175">
                    <c:v>7lt</c:v>
                  </c:pt>
                  <c:pt idx="176">
                    <c:v>20 ltr</c:v>
                  </c:pt>
                  <c:pt idx="177">
                    <c:v>100 gr</c:v>
                  </c:pt>
                  <c:pt idx="178">
                    <c:v>500 gr</c:v>
                  </c:pt>
                  <c:pt idx="179">
                    <c:v>12 unidades</c:v>
                  </c:pt>
                  <c:pt idx="180">
                    <c:v>X 12 UNID.</c:v>
                  </c:pt>
                  <c:pt idx="181">
                    <c:v>15</c:v>
                  </c:pt>
                  <c:pt idx="182">
                    <c:v>20</c:v>
                  </c:pt>
                  <c:pt idx="183">
                    <c:v>25</c:v>
                  </c:pt>
                  <c:pt idx="184">
                    <c:v>30 cm</c:v>
                  </c:pt>
                  <c:pt idx="185">
                    <c:v>35</c:v>
                  </c:pt>
                  <c:pt idx="186">
                    <c:v>24</c:v>
                  </c:pt>
                  <c:pt idx="187">
                    <c:v>27</c:v>
                  </c:pt>
                  <c:pt idx="188">
                    <c:v>N20</c:v>
                  </c:pt>
                  <c:pt idx="189">
                    <c:v>N24</c:v>
                  </c:pt>
                  <c:pt idx="190">
                    <c:v>28</c:v>
                  </c:pt>
                  <c:pt idx="191">
                    <c:v>34</c:v>
                  </c:pt>
                  <c:pt idx="192">
                    <c:v>22</c:v>
                  </c:pt>
                  <c:pt idx="193">
                    <c:v>chico</c:v>
                  </c:pt>
                  <c:pt idx="194">
                    <c:v>gde</c:v>
                  </c:pt>
                  <c:pt idx="196">
                    <c:v>16cm</c:v>
                  </c:pt>
                  <c:pt idx="197">
                    <c:v>18cm</c:v>
                  </c:pt>
                  <c:pt idx="198">
                    <c:v>20cm</c:v>
                  </c:pt>
                  <c:pt idx="199">
                    <c:v>22 cm</c:v>
                  </c:pt>
                  <c:pt idx="200">
                    <c:v>25cm</c:v>
                  </c:pt>
                  <c:pt idx="201">
                    <c:v>20</c:v>
                  </c:pt>
                  <c:pt idx="202">
                    <c:v>25</c:v>
                  </c:pt>
                  <c:pt idx="203">
                    <c:v>1 kg</c:v>
                  </c:pt>
                  <c:pt idx="204">
                    <c:v>3 kg</c:v>
                  </c:pt>
                  <c:pt idx="205">
                    <c:v>5 kg</c:v>
                  </c:pt>
                  <c:pt idx="206">
                    <c:v>codigo 22</c:v>
                  </c:pt>
                  <c:pt idx="207">
                    <c:v>0</c:v>
                  </c:pt>
                  <c:pt idx="208">
                    <c:v>45x50</c:v>
                  </c:pt>
                  <c:pt idx="209">
                    <c:v>45x60</c:v>
                  </c:pt>
                  <c:pt idx="210">
                    <c:v>c/u</c:v>
                  </c:pt>
                  <c:pt idx="211">
                    <c:v>8x15</c:v>
                  </c:pt>
                  <c:pt idx="212">
                    <c:v>n 3</c:v>
                  </c:pt>
                  <c:pt idx="213">
                    <c:v>24X35 5 LTS</c:v>
                  </c:pt>
                  <c:pt idx="214">
                    <c:v>38X41 10 LTS</c:v>
                  </c:pt>
                  <c:pt idx="215">
                    <c:v>45X49 15 LTS</c:v>
                  </c:pt>
                  <c:pt idx="216">
                    <c:v>14x23 1 lt</c:v>
                  </c:pt>
                  <c:pt idx="217">
                    <c:v>20x24 2 lt</c:v>
                  </c:pt>
                  <c:pt idx="218">
                    <c:v>58x58c14,5</c:v>
                  </c:pt>
                  <c:pt idx="219">
                    <c:v>c/u</c:v>
                  </c:pt>
                  <c:pt idx="220">
                    <c:v>c/u</c:v>
                  </c:pt>
                  <c:pt idx="221">
                    <c:v>3w230lt/hr</c:v>
                  </c:pt>
                  <c:pt idx="222">
                    <c:v>rs-003 15w 1hr/1mts</c:v>
                  </c:pt>
                  <c:pt idx="223">
                    <c:v>RS-3400,12W,8801/H,1,2 MTR</c:v>
                  </c:pt>
                  <c:pt idx="224">
                    <c:v>RS-4100-A</c:v>
                  </c:pt>
                  <c:pt idx="225">
                    <c:v>rs-901</c:v>
                  </c:pt>
                  <c:pt idx="226">
                    <c:v>RS730</c:v>
                  </c:pt>
                  <c:pt idx="227">
                    <c:v>0</c:v>
                  </c:pt>
                  <c:pt idx="229">
                    <c:v>xl</c:v>
                  </c:pt>
                  <c:pt idx="230">
                    <c:v>4</c:v>
                  </c:pt>
                  <c:pt idx="231">
                    <c:v>5</c:v>
                  </c:pt>
                  <c:pt idx="232">
                    <c:v>6</c:v>
                  </c:pt>
                  <c:pt idx="233">
                    <c:v>8</c:v>
                  </c:pt>
                  <c:pt idx="234">
                    <c:v>230 c.c</c:v>
                  </c:pt>
                  <c:pt idx="235">
                    <c:v>40 cm</c:v>
                  </c:pt>
                  <c:pt idx="238">
                    <c:v>sachet</c:v>
                  </c:pt>
                  <c:pt idx="239">
                    <c:v>7 lt</c:v>
                  </c:pt>
                  <c:pt idx="240">
                    <c:v>2mm 120cm</c:v>
                  </c:pt>
                  <c:pt idx="241">
                    <c:v>180*3,5</c:v>
                  </c:pt>
                  <c:pt idx="242">
                    <c:v>3,5x1,5 mtr,</c:v>
                  </c:pt>
                  <c:pt idx="243">
                    <c:v>1,8*4</c:v>
                  </c:pt>
                  <c:pt idx="244">
                    <c:v>180x3,5</c:v>
                  </c:pt>
                  <c:pt idx="245">
                    <c:v>180x3,5</c:v>
                  </c:pt>
                  <c:pt idx="246">
                    <c:v>180x2,5</c:v>
                  </c:pt>
                  <c:pt idx="249">
                    <c:v>15 gr</c:v>
                  </c:pt>
                  <c:pt idx="250">
                    <c:v>30 grs</c:v>
                  </c:pt>
                  <c:pt idx="251">
                    <c:v>100 grs</c:v>
                  </c:pt>
                  <c:pt idx="252">
                    <c:v>30 w</c:v>
                  </c:pt>
                  <c:pt idx="253">
                    <c:v>100 w rs-688</c:v>
                  </c:pt>
                  <c:pt idx="254">
                    <c:v>300 w</c:v>
                  </c:pt>
                  <c:pt idx="256">
                    <c:v>29x29x33</c:v>
                  </c:pt>
                  <c:pt idx="257">
                    <c:v>34x34x36</c:v>
                  </c:pt>
                  <c:pt idx="260">
                    <c:v>mtr</c:v>
                  </c:pt>
                  <c:pt idx="261">
                    <c:v>100 grs,</c:v>
                  </c:pt>
                  <c:pt idx="262">
                    <c:v>100 gr</c:v>
                  </c:pt>
                  <c:pt idx="263">
                    <c:v>100grs</c:v>
                  </c:pt>
                  <c:pt idx="264">
                    <c:v>200 grs</c:v>
                  </c:pt>
                  <c:pt idx="265">
                    <c:v>1 kg</c:v>
                  </c:pt>
                  <c:pt idx="266">
                    <c:v>500 gr</c:v>
                  </c:pt>
                  <c:pt idx="267">
                    <c:v>150 grs</c:v>
                  </c:pt>
                  <c:pt idx="268">
                    <c:v>90 grs,</c:v>
                  </c:pt>
                  <c:pt idx="269">
                    <c:v>90 GR</c:v>
                  </c:pt>
                  <c:pt idx="270">
                    <c:v>500 gr</c:v>
                  </c:pt>
                  <c:pt idx="271">
                    <c:v>100 gr</c:v>
                  </c:pt>
                  <c:pt idx="272">
                    <c:v>14x8,5</c:v>
                  </c:pt>
                  <c:pt idx="273">
                    <c:v>45*35*55</c:v>
                  </c:pt>
                  <c:pt idx="274">
                    <c:v>400 grs caja</c:v>
                  </c:pt>
                  <c:pt idx="275">
                    <c:v>6</c:v>
                  </c:pt>
                  <c:pt idx="283">
                    <c:v>58X32</c:v>
                  </c:pt>
                  <c:pt idx="284">
                    <c:v>50x21</c:v>
                  </c:pt>
                  <c:pt idx="285">
                    <c:v>650 c,c,</c:v>
                  </c:pt>
                  <c:pt idx="286">
                    <c:v>180 cc</c:v>
                  </c:pt>
                  <c:pt idx="287">
                    <c:v>50 cm</c:v>
                  </c:pt>
                  <c:pt idx="288">
                    <c:v>300 CC</c:v>
                  </c:pt>
                  <c:pt idx="289">
                    <c:v>cebo 50 gr</c:v>
                  </c:pt>
                  <c:pt idx="290">
                    <c:v>650 c,c</c:v>
                  </c:pt>
                  <c:pt idx="291">
                    <c:v>100 gr</c:v>
                  </c:pt>
                  <c:pt idx="292">
                    <c:v>300 cc</c:v>
                  </c:pt>
                  <c:pt idx="293">
                    <c:v>650 cc</c:v>
                  </c:pt>
                  <c:pt idx="294">
                    <c:v>225</c:v>
                  </c:pt>
                  <c:pt idx="295">
                    <c:v>225 cc</c:v>
                  </c:pt>
                  <c:pt idx="296">
                    <c:v>650 cc</c:v>
                  </c:pt>
                  <c:pt idx="297">
                    <c:v>300 CC</c:v>
                  </c:pt>
                  <c:pt idx="298">
                    <c:v>300 c,c,</c:v>
                  </c:pt>
                  <c:pt idx="299">
                    <c:v>500 grs</c:v>
                  </c:pt>
                  <c:pt idx="300">
                    <c:v>100 grs</c:v>
                  </c:pt>
                  <c:pt idx="301">
                    <c:v>10 mts 2</c:v>
                  </c:pt>
                  <c:pt idx="302">
                    <c:v>25 mts 2</c:v>
                  </c:pt>
                  <c:pt idx="303">
                    <c:v>4kg</c:v>
                  </c:pt>
                  <c:pt idx="304">
                    <c:v>500 gr</c:v>
                  </c:pt>
                  <c:pt idx="305">
                    <c:v>250 gr</c:v>
                  </c:pt>
                  <c:pt idx="307">
                    <c:v>5 kg</c:v>
                  </c:pt>
                  <c:pt idx="308">
                    <c:v>2 MTS ANCHO</c:v>
                  </c:pt>
                  <c:pt idx="310">
                    <c:v>bolsa 4,250kg</c:v>
                  </c:pt>
                  <c:pt idx="316">
                    <c:v>100c,c,</c:v>
                  </c:pt>
                  <c:pt idx="317">
                    <c:v>1 ltr</c:v>
                  </c:pt>
                  <c:pt idx="318">
                    <c:v>1 lts</c:v>
                  </c:pt>
                  <c:pt idx="319">
                    <c:v>5 ltr</c:v>
                  </c:pt>
                  <c:pt idx="320">
                    <c:v>650 c,c</c:v>
                  </c:pt>
                  <c:pt idx="322">
                    <c:v>30 ml</c:v>
                  </c:pt>
                  <c:pt idx="323">
                    <c:v>15</c:v>
                  </c:pt>
                  <c:pt idx="324">
                    <c:v>25</c:v>
                  </c:pt>
                  <c:pt idx="325">
                    <c:v>35</c:v>
                  </c:pt>
                  <c:pt idx="326">
                    <c:v>40</c:v>
                  </c:pt>
                  <c:pt idx="327">
                    <c:v>10 lt</c:v>
                  </c:pt>
                  <c:pt idx="328">
                    <c:v>7,6</c:v>
                  </c:pt>
                  <c:pt idx="329">
                    <c:v>11,4 lt</c:v>
                  </c:pt>
                  <c:pt idx="330">
                    <c:v>220 lt</c:v>
                  </c:pt>
                  <c:pt idx="331">
                    <c:v>2 kg</c:v>
                  </c:pt>
                  <c:pt idx="335">
                    <c:v>54X2,5</c:v>
                  </c:pt>
                  <c:pt idx="336">
                    <c:v>31 cmx10mm con piedritas</c:v>
                  </c:pt>
                  <c:pt idx="337">
                    <c:v>3,mm 55cm</c:v>
                  </c:pt>
                  <c:pt idx="338">
                    <c:v>2 mm 40 cm</c:v>
                  </c:pt>
                  <c:pt idx="339">
                    <c:v>4mm 65cm</c:v>
                  </c:pt>
                  <c:pt idx="340">
                    <c:v>2,5x50cm</c:v>
                  </c:pt>
                  <c:pt idx="341">
                    <c:v>2,5x55 cm</c:v>
                  </c:pt>
                  <c:pt idx="342">
                    <c:v>2 cmx45cm</c:v>
                  </c:pt>
                  <c:pt idx="343">
                    <c:v>3,5 cmx65 cm</c:v>
                  </c:pt>
                  <c:pt idx="344">
                    <c:v>3,5 cmx75 cm</c:v>
                  </c:pt>
                  <c:pt idx="345">
                    <c:v>1,2 cm-30 cm</c:v>
                  </c:pt>
                  <c:pt idx="346">
                    <c:v>3 cm-60 cm</c:v>
                  </c:pt>
                  <c:pt idx="347">
                    <c:v>3cm *60cm doble cinta</c:v>
                  </c:pt>
                  <c:pt idx="348">
                    <c:v>1,2x25 cm</c:v>
                  </c:pt>
                  <c:pt idx="349">
                    <c:v>35 cm x 1 cm</c:v>
                  </c:pt>
                  <c:pt idx="350">
                    <c:v>40 cm</c:v>
                  </c:pt>
                  <c:pt idx="351">
                    <c:v>3,5x70</c:v>
                  </c:pt>
                  <c:pt idx="352">
                    <c:v>N6 </c:v>
                  </c:pt>
                  <c:pt idx="354">
                    <c:v>72 cm</c:v>
                  </c:pt>
                  <c:pt idx="355">
                    <c:v>63 cm</c:v>
                  </c:pt>
                  <c:pt idx="356">
                    <c:v>40cm</c:v>
                  </c:pt>
                  <c:pt idx="357">
                    <c:v>55x30</c:v>
                  </c:pt>
                  <c:pt idx="358">
                    <c:v>72 cm</c:v>
                  </c:pt>
                  <c:pt idx="359">
                    <c:v>65x4</c:v>
                  </c:pt>
                  <c:pt idx="360">
                    <c:v>80x5</c:v>
                  </c:pt>
                  <c:pt idx="363">
                    <c:v>0</c:v>
                  </c:pt>
                  <c:pt idx="364">
                    <c:v>13 gr</c:v>
                  </c:pt>
                  <c:pt idx="369">
                    <c:v>1 cm</c:v>
                  </c:pt>
                  <c:pt idx="370">
                    <c:v>40x1,5</c:v>
                  </c:pt>
                  <c:pt idx="371">
                    <c:v>36x1,5</c:v>
                  </c:pt>
                  <c:pt idx="372">
                    <c:v>39</c:v>
                  </c:pt>
                  <c:pt idx="373">
                    <c:v>0</c:v>
                  </c:pt>
                  <c:pt idx="374">
                    <c:v>63 cn</c:v>
                  </c:pt>
                  <c:pt idx="375">
                    <c:v>30x14</c:v>
                  </c:pt>
                  <c:pt idx="376">
                    <c:v>55 cm</c:v>
                  </c:pt>
                  <c:pt idx="377">
                    <c:v>72 cm</c:v>
                  </c:pt>
                  <c:pt idx="378">
                    <c:v>2,5mm45cm</c:v>
                  </c:pt>
                  <c:pt idx="379">
                    <c:v>4 mm60cm</c:v>
                  </c:pt>
                  <c:pt idx="380">
                    <c:v>1 CM</c:v>
                  </c:pt>
                  <c:pt idx="382">
                    <c:v>c/u</c:v>
                  </c:pt>
                  <c:pt idx="383">
                    <c:v>1kg</c:v>
                  </c:pt>
                  <c:pt idx="384">
                    <c:v>25 kg</c:v>
                  </c:pt>
                  <c:pt idx="385">
                    <c:v>22 cm</c:v>
                  </c:pt>
                  <c:pt idx="386">
                    <c:v>0</c:v>
                  </c:pt>
                  <c:pt idx="387">
                    <c:v>1100 ml</c:v>
                  </c:pt>
                  <c:pt idx="388">
                    <c:v>15cm</c:v>
                  </c:pt>
                  <c:pt idx="392">
                    <c:v>6,5X5</c:v>
                  </c:pt>
                  <c:pt idx="393">
                    <c:v>10X5</c:v>
                  </c:pt>
                  <c:pt idx="394">
                    <c:v>c/u</c:v>
                  </c:pt>
                  <c:pt idx="395">
                    <c:v>600 ml</c:v>
                  </c:pt>
                  <c:pt idx="396">
                    <c:v>300 ml </c:v>
                  </c:pt>
                  <c:pt idx="397">
                    <c:v>27x14,5</c:v>
                  </c:pt>
                  <c:pt idx="398">
                    <c:v>22 cm</c:v>
                  </c:pt>
                  <c:pt idx="399">
                    <c:v>30*16*5,5</c:v>
                  </c:pt>
                  <c:pt idx="400">
                    <c:v>23x12x3</c:v>
                  </c:pt>
                  <c:pt idx="401">
                    <c:v>22x6</c:v>
                  </c:pt>
                  <c:pt idx="402">
                    <c:v>14,8*3,8</c:v>
                  </c:pt>
                  <c:pt idx="403">
                    <c:v>c/u</c:v>
                  </c:pt>
                  <c:pt idx="405">
                    <c:v>c/u</c:v>
                  </c:pt>
                  <c:pt idx="406">
                    <c:v>0</c:v>
                  </c:pt>
                  <c:pt idx="407">
                    <c:v>grde</c:v>
                  </c:pt>
                  <c:pt idx="408">
                    <c:v>10 cm</c:v>
                  </c:pt>
                  <c:pt idx="409">
                    <c:v>50 cm</c:v>
                  </c:pt>
                  <c:pt idx="410">
                    <c:v>50 cm</c:v>
                  </c:pt>
                  <c:pt idx="411">
                    <c:v>12x8x3,5 cm</c:v>
                  </c:pt>
                  <c:pt idx="413">
                    <c:v>45cm lata</c:v>
                  </c:pt>
                  <c:pt idx="414">
                    <c:v>c/u</c:v>
                  </c:pt>
                  <c:pt idx="415">
                    <c:v>17,5x5</c:v>
                  </c:pt>
                  <c:pt idx="416">
                    <c:v>20 lt,</c:v>
                  </c:pt>
                  <c:pt idx="417">
                    <c:v>7</c:v>
                  </c:pt>
                  <c:pt idx="423">
                    <c:v>6 unidades</c:v>
                  </c:pt>
                  <c:pt idx="424">
                    <c:v>2 doc claveles</c:v>
                  </c:pt>
                  <c:pt idx="426">
                    <c:v>4 doc claveles</c:v>
                  </c:pt>
                  <c:pt idx="427">
                    <c:v>2,5 doc claveles ilusion flpilla</c:v>
                  </c:pt>
                  <c:pt idx="428">
                    <c:v>1,2*120</c:v>
                  </c:pt>
                  <c:pt idx="429">
                    <c:v>1,5x120</c:v>
                  </c:pt>
                  <c:pt idx="430">
                    <c:v>2x116</c:v>
                  </c:pt>
                  <c:pt idx="431">
                    <c:v>2,5x116</c:v>
                  </c:pt>
                  <c:pt idx="434">
                    <c:v>3,5 cm-110cm</c:v>
                  </c:pt>
                  <c:pt idx="435">
                    <c:v>3x110</c:v>
                  </c:pt>
                  <c:pt idx="436">
                    <c:v>resiste 15kg aprox,</c:v>
                  </c:pt>
                  <c:pt idx="437">
                    <c:v>bolsa</c:v>
                  </c:pt>
                  <c:pt idx="438">
                    <c:v>345 c,c</c:v>
                  </c:pt>
                  <c:pt idx="439">
                    <c:v>60 c,c</c:v>
                  </c:pt>
                  <c:pt idx="440">
                    <c:v>345 cc</c:v>
                  </c:pt>
                  <c:pt idx="441">
                    <c:v>345</c:v>
                  </c:pt>
                  <c:pt idx="442">
                    <c:v>600 grs</c:v>
                  </c:pt>
                  <c:pt idx="443">
                    <c:v>60 c,,c</c:v>
                  </c:pt>
                  <c:pt idx="444">
                    <c:v>600 grs</c:v>
                  </c:pt>
                  <c:pt idx="445">
                    <c:v>1,2lt</c:v>
                  </c:pt>
                  <c:pt idx="446">
                    <c:v>345 c,c,</c:v>
                  </c:pt>
                  <c:pt idx="447">
                    <c:v>600 grs</c:v>
                  </c:pt>
                  <c:pt idx="448">
                    <c:v>650 cc</c:v>
                  </c:pt>
                  <c:pt idx="449">
                    <c:v>345 c,c,</c:v>
                  </c:pt>
                  <c:pt idx="450">
                    <c:v>sachet 60 grs</c:v>
                  </c:pt>
                  <c:pt idx="451">
                    <c:v>ltr</c:v>
                  </c:pt>
                  <c:pt idx="452">
                    <c:v>1 ltr</c:v>
                  </c:pt>
                  <c:pt idx="453">
                    <c:v>1/2 ltr</c:v>
                  </c:pt>
                  <c:pt idx="454">
                    <c:v>1 ltr</c:v>
                  </c:pt>
                  <c:pt idx="455">
                    <c:v>1 ltr</c:v>
                  </c:pt>
                  <c:pt idx="456">
                    <c:v>500 c,c,</c:v>
                  </c:pt>
                  <c:pt idx="457">
                    <c:v>250 c.c.</c:v>
                  </c:pt>
                  <c:pt idx="458">
                    <c:v>1/2 ltr</c:v>
                  </c:pt>
                  <c:pt idx="460">
                    <c:v>100 gr</c:v>
                  </c:pt>
                  <c:pt idx="461">
                    <c:v>200 grs</c:v>
                  </c:pt>
                  <c:pt idx="462">
                    <c:v>0</c:v>
                  </c:pt>
                  <c:pt idx="463">
                    <c:v>100 grs</c:v>
                  </c:pt>
                  <c:pt idx="464">
                    <c:v>26 cm 2 nudos 2 pelotas</c:v>
                  </c:pt>
                  <c:pt idx="466">
                    <c:v>0</c:v>
                  </c:pt>
                  <c:pt idx="468">
                    <c:v>grande</c:v>
                  </c:pt>
                  <c:pt idx="469">
                    <c:v>mediana</c:v>
                  </c:pt>
                  <c:pt idx="470">
                    <c:v>chica</c:v>
                  </c:pt>
                  <c:pt idx="471">
                    <c:v>50v29x15</c:v>
                  </c:pt>
                  <c:pt idx="472">
                    <c:v>50*29*15</c:v>
                  </c:pt>
                  <c:pt idx="473">
                    <c:v>56*33*15</c:v>
                  </c:pt>
                  <c:pt idx="474">
                    <c:v>451 c,c</c:v>
                  </c:pt>
                  <c:pt idx="475">
                    <c:v>440 ml</c:v>
                  </c:pt>
                  <c:pt idx="477">
                    <c:v>1 ltr</c:v>
                  </c:pt>
                  <c:pt idx="478">
                    <c:v>47,5 gr</c:v>
                  </c:pt>
                  <c:pt idx="479">
                    <c:v>C/U</c:v>
                  </c:pt>
                  <c:pt idx="480">
                    <c:v>40 CC</c:v>
                  </c:pt>
                  <c:pt idx="481">
                    <c:v>100 CC</c:v>
                  </c:pt>
                  <c:pt idx="482">
                    <c:v>100gr</c:v>
                  </c:pt>
                  <c:pt idx="483">
                    <c:v>360 cc</c:v>
                  </c:pt>
                  <c:pt idx="484">
                    <c:v>50 lts</c:v>
                  </c:pt>
                  <c:pt idx="489">
                    <c:v>24</c:v>
                  </c:pt>
                  <c:pt idx="492">
                    <c:v>c/u</c:v>
                  </c:pt>
                  <c:pt idx="493">
                    <c:v>c/u</c:v>
                  </c:pt>
                  <c:pt idx="495">
                    <c:v>c/u</c:v>
                  </c:pt>
                  <c:pt idx="496">
                    <c:v>2 ltr</c:v>
                  </c:pt>
                  <c:pt idx="497">
                    <c:v>tejido en hilo</c:v>
                  </c:pt>
                  <c:pt idx="498">
                    <c:v>c/u</c:v>
                  </c:pt>
                  <c:pt idx="499">
                    <c:v>MEDIANIO</c:v>
                  </c:pt>
                  <c:pt idx="500">
                    <c:v>madera</c:v>
                  </c:pt>
                  <c:pt idx="502">
                    <c:v>900 gr</c:v>
                  </c:pt>
                  <c:pt idx="503">
                    <c:v>C/U</c:v>
                  </c:pt>
                  <c:pt idx="504">
                    <c:v>2</c:v>
                  </c:pt>
                  <c:pt idx="505">
                    <c:v>N28</c:v>
                  </c:pt>
                  <c:pt idx="507">
                    <c:v>2 lt</c:v>
                  </c:pt>
                  <c:pt idx="509">
                    <c:v>37X30</c:v>
                  </c:pt>
                  <c:pt idx="511">
                    <c:v>18 cm</c:v>
                  </c:pt>
                  <c:pt idx="512">
                    <c:v>12cm</c:v>
                  </c:pt>
                  <c:pt idx="513">
                    <c:v>C/U</c:v>
                  </c:pt>
                  <c:pt idx="516">
                    <c:v>200 grs</c:v>
                  </c:pt>
                  <c:pt idx="517">
                    <c:v>100 grs</c:v>
                  </c:pt>
                  <c:pt idx="519">
                    <c:v>100 gr</c:v>
                  </c:pt>
                  <c:pt idx="520">
                    <c:v>3</c:v>
                  </c:pt>
                  <c:pt idx="521">
                    <c:v>20 lt</c:v>
                  </c:pt>
                  <c:pt idx="522">
                    <c:v>12 PASTILLAS</c:v>
                  </c:pt>
                  <c:pt idx="526">
                    <c:v>5 a 10 kg</c:v>
                  </c:pt>
                  <c:pt idx="527">
                    <c:v>10 a 20 kg</c:v>
                  </c:pt>
                  <c:pt idx="528">
                    <c:v>20 a 40 kg</c:v>
                  </c:pt>
                  <c:pt idx="529">
                    <c:v>40 a 60 kg</c:v>
                  </c:pt>
                  <c:pt idx="530">
                    <c:v>0</c:v>
                  </c:pt>
                  <c:pt idx="532">
                    <c:v>2 kg</c:v>
                  </c:pt>
                  <c:pt idx="534">
                    <c:v>6 grs</c:v>
                  </c:pt>
                  <c:pt idx="535">
                    <c:v>15 kg</c:v>
                  </c:pt>
                  <c:pt idx="536">
                    <c:v>500 c,c,</c:v>
                  </c:pt>
                  <c:pt idx="537">
                    <c:v>100 grs</c:v>
                  </c:pt>
                  <c:pt idx="539">
                    <c:v>7,5 kg</c:v>
                  </c:pt>
                  <c:pt idx="540">
                    <c:v>5 lt c/roseta</c:v>
                  </c:pt>
                  <c:pt idx="541">
                    <c:v>1kg</c:v>
                  </c:pt>
                  <c:pt idx="544">
                    <c:v>23x23x72</c:v>
                  </c:pt>
                  <c:pt idx="545">
                    <c:v>paquete</c:v>
                  </c:pt>
                  <c:pt idx="546">
                    <c:v>c/u</c:v>
                  </c:pt>
                  <c:pt idx="547">
                    <c:v>pte 10</c:v>
                  </c:pt>
                  <c:pt idx="548">
                    <c:v>paq.</c:v>
                  </c:pt>
                  <c:pt idx="550">
                    <c:v>250cc</c:v>
                  </c:pt>
                  <c:pt idx="551">
                    <c:v>1/2lt</c:v>
                  </c:pt>
                  <c:pt idx="552">
                    <c:v>9 cm</c:v>
                  </c:pt>
                  <c:pt idx="553">
                    <c:v>5 cm</c:v>
                  </c:pt>
                  <c:pt idx="555">
                    <c:v>caja</c:v>
                  </c:pt>
                  <c:pt idx="556">
                    <c:v>c/u</c:v>
                  </c:pt>
                  <c:pt idx="558">
                    <c:v>20 ml</c:v>
                  </c:pt>
                  <c:pt idx="559">
                    <c:v>600 cc</c:v>
                  </c:pt>
                  <c:pt idx="560">
                    <c:v>700 cc</c:v>
                  </c:pt>
                  <c:pt idx="562">
                    <c:v>10 cm</c:v>
                  </c:pt>
                  <c:pt idx="563">
                    <c:v>50 grs</c:v>
                  </c:pt>
                  <c:pt idx="564">
                    <c:v>345 c,c,</c:v>
                  </c:pt>
                  <c:pt idx="565">
                    <c:v>4 l</c:v>
                  </c:pt>
                  <c:pt idx="566">
                    <c:v>32,5 gr</c:v>
                  </c:pt>
                  <c:pt idx="568">
                    <c:v>39 cm</c:v>
                  </c:pt>
                  <c:pt idx="569">
                    <c:v>c/u</c:v>
                  </c:pt>
                  <c:pt idx="571">
                    <c:v>40x45</c:v>
                  </c:pt>
                  <c:pt idx="572">
                    <c:v>24 dientes</c:v>
                  </c:pt>
                  <c:pt idx="579">
                    <c:v>20cm</c:v>
                  </c:pt>
                  <c:pt idx="582">
                    <c:v>cajax10</c:v>
                  </c:pt>
                  <c:pt idx="584">
                    <c:v>1x2 mt</c:v>
                  </c:pt>
                  <c:pt idx="586">
                    <c:v>c/u</c:v>
                  </c:pt>
                  <c:pt idx="587">
                    <c:v>blister</c:v>
                  </c:pt>
                  <c:pt idx="588">
                    <c:v>c/u</c:v>
                  </c:pt>
                  <c:pt idx="589">
                    <c:v>450 GR</c:v>
                  </c:pt>
                  <c:pt idx="590">
                    <c:v>25kg</c:v>
                  </c:pt>
                  <c:pt idx="591">
                    <c:v>1 kg</c:v>
                  </c:pt>
                  <c:pt idx="592">
                    <c:v>25 kg</c:v>
                  </c:pt>
                  <c:pt idx="593">
                    <c:v>1 kg</c:v>
                  </c:pt>
                  <c:pt idx="594">
                    <c:v>1 kg</c:v>
                  </c:pt>
                  <c:pt idx="595">
                    <c:v>1 kg</c:v>
                  </c:pt>
                  <c:pt idx="596">
                    <c:v>25 kg</c:v>
                  </c:pt>
                  <c:pt idx="597">
                    <c:v>100 gr</c:v>
                  </c:pt>
                  <c:pt idx="598">
                    <c:v>25kg</c:v>
                  </c:pt>
                  <c:pt idx="599">
                    <c:v>1 kg</c:v>
                  </c:pt>
                  <c:pt idx="600">
                    <c:v>25 kg</c:v>
                  </c:pt>
                  <c:pt idx="601">
                    <c:v>1 kg</c:v>
                  </c:pt>
                  <c:pt idx="602">
                    <c:v>25 kg</c:v>
                  </c:pt>
                  <c:pt idx="603">
                    <c:v>1 kg</c:v>
                  </c:pt>
                  <c:pt idx="604">
                    <c:v>100 gr</c:v>
                  </c:pt>
                  <c:pt idx="606">
                    <c:v>150 gr</c:v>
                  </c:pt>
                  <c:pt idx="607">
                    <c:v>1 kg</c:v>
                  </c:pt>
                  <c:pt idx="608">
                    <c:v>150 grs</c:v>
                  </c:pt>
                  <c:pt idx="609">
                    <c:v>150 gr</c:v>
                  </c:pt>
                  <c:pt idx="611">
                    <c:v>150 gr</c:v>
                  </c:pt>
                  <c:pt idx="612">
                    <c:v>150 gr</c:v>
                  </c:pt>
                  <c:pt idx="613">
                    <c:v>150 gr</c:v>
                  </c:pt>
                  <c:pt idx="614">
                    <c:v>50 ltr</c:v>
                  </c:pt>
                  <c:pt idx="615">
                    <c:v>200 grs</c:v>
                  </c:pt>
                  <c:pt idx="616">
                    <c:v>1 kg</c:v>
                  </c:pt>
                  <c:pt idx="617">
                    <c:v>200 gr</c:v>
                  </c:pt>
                  <c:pt idx="618">
                    <c:v>10 lt</c:v>
                  </c:pt>
                  <c:pt idx="619">
                    <c:v>1 carbon-2esponja</c:v>
                  </c:pt>
                  <c:pt idx="620">
                    <c:v>430 k</c:v>
                  </c:pt>
                  <c:pt idx="621">
                    <c:v>rs-230</c:v>
                  </c:pt>
                  <c:pt idx="622">
                    <c:v>rs-130 k</c:v>
                  </c:pt>
                  <c:pt idx="623">
                    <c:v>rs-280</c:v>
                  </c:pt>
                  <c:pt idx="624">
                    <c:v>RS-1000 600 LT/HR</c:v>
                  </c:pt>
                  <c:pt idx="625">
                    <c:v>RS188 12w 800lt hr</c:v>
                  </c:pt>
                  <c:pt idx="626">
                    <c:v>350 lt / hr</c:v>
                  </c:pt>
                  <c:pt idx="627">
                    <c:v>450 lt / hr</c:v>
                  </c:pt>
                  <c:pt idx="628">
                    <c:v>1000 lt/hr</c:v>
                  </c:pt>
                  <c:pt idx="629">
                    <c:v>600 lt/hr</c:v>
                  </c:pt>
                  <c:pt idx="630">
                    <c:v>300 lt/hr</c:v>
                  </c:pt>
                  <c:pt idx="631">
                    <c:v>c/u</c:v>
                  </c:pt>
                  <c:pt idx="632">
                    <c:v>rs-4500</c:v>
                  </c:pt>
                  <c:pt idx="633">
                    <c:v>250,c,c</c:v>
                  </c:pt>
                  <c:pt idx="634">
                    <c:v>5 ltr</c:v>
                  </c:pt>
                  <c:pt idx="635">
                    <c:v>250 c,c</c:v>
                  </c:pt>
                  <c:pt idx="636">
                    <c:v>250 cc</c:v>
                  </c:pt>
                  <c:pt idx="638">
                    <c:v>c/u</c:v>
                  </c:pt>
                  <c:pt idx="639">
                    <c:v>c/u</c:v>
                  </c:pt>
                  <c:pt idx="645">
                    <c:v>c/u</c:v>
                  </c:pt>
                  <c:pt idx="652">
                    <c:v>9,5X19</c:v>
                  </c:pt>
                  <c:pt idx="653">
                    <c:v>13X23,5</c:v>
                  </c:pt>
                  <c:pt idx="654">
                    <c:v>6X18,5</c:v>
                  </c:pt>
                  <c:pt idx="655">
                    <c:v>839X19</c:v>
                  </c:pt>
                  <c:pt idx="658">
                    <c:v>15 varas</c:v>
                  </c:pt>
                  <c:pt idx="659">
                    <c:v>1v</c:v>
                  </c:pt>
                  <c:pt idx="666">
                    <c:v>0</c:v>
                  </c:pt>
                  <c:pt idx="667">
                    <c:v>30 c,c</c:v>
                  </c:pt>
                  <c:pt idx="668">
                    <c:v>100 c,c</c:v>
                  </c:pt>
                  <c:pt idx="670">
                    <c:v>4 lts</c:v>
                  </c:pt>
                  <c:pt idx="671">
                    <c:v>1,9 lt</c:v>
                  </c:pt>
                  <c:pt idx="672">
                    <c:v>410 ml</c:v>
                  </c:pt>
                  <c:pt idx="673">
                    <c:v>1 LT</c:v>
                  </c:pt>
                  <c:pt idx="674">
                    <c:v>50 cc</c:v>
                  </c:pt>
                  <c:pt idx="675">
                    <c:v>1 ltr</c:v>
                  </c:pt>
                  <c:pt idx="676">
                    <c:v>100 c,c</c:v>
                  </c:pt>
                  <c:pt idx="679">
                    <c:v>10 kg</c:v>
                  </c:pt>
                  <c:pt idx="680">
                    <c:v>5 kg</c:v>
                  </c:pt>
                  <c:pt idx="681">
                    <c:v>7,5 kg</c:v>
                  </c:pt>
                  <c:pt idx="682">
                    <c:v>1/2 kg</c:v>
                  </c:pt>
                  <c:pt idx="683">
                    <c:v>25 kg</c:v>
                  </c:pt>
                  <c:pt idx="684">
                    <c:v>1/2 kg</c:v>
                  </c:pt>
                  <c:pt idx="685">
                    <c:v>7 kg</c:v>
                  </c:pt>
                  <c:pt idx="686">
                    <c:v>1/2 kg</c:v>
                  </c:pt>
                  <c:pt idx="687">
                    <c:v>1/2 kg</c:v>
                  </c:pt>
                  <c:pt idx="688">
                    <c:v>500 gr</c:v>
                  </c:pt>
                  <c:pt idx="689">
                    <c:v>1/2 kg</c:v>
                  </c:pt>
                  <c:pt idx="690">
                    <c:v>1/2 kg</c:v>
                  </c:pt>
                  <c:pt idx="691">
                    <c:v>15 kg</c:v>
                  </c:pt>
                  <c:pt idx="692">
                    <c:v>15 kg</c:v>
                  </c:pt>
                  <c:pt idx="693">
                    <c:v>1/2 kg</c:v>
                  </c:pt>
                  <c:pt idx="694">
                    <c:v>kg</c:v>
                  </c:pt>
                  <c:pt idx="695">
                    <c:v>1 KG</c:v>
                  </c:pt>
                  <c:pt idx="696">
                    <c:v>8 KG</c:v>
                  </c:pt>
                  <c:pt idx="697">
                    <c:v>7 KG</c:v>
                  </c:pt>
                  <c:pt idx="698">
                    <c:v>1 KG</c:v>
                  </c:pt>
                  <c:pt idx="699">
                    <c:v>1/2 kg</c:v>
                  </c:pt>
                  <c:pt idx="700">
                    <c:v>7,5 kg</c:v>
                  </c:pt>
                  <c:pt idx="701">
                    <c:v>15 kg</c:v>
                  </c:pt>
                  <c:pt idx="702">
                    <c:v>1/2 kg</c:v>
                  </c:pt>
                  <c:pt idx="703">
                    <c:v>0,5</c:v>
                  </c:pt>
                  <c:pt idx="704">
                    <c:v>7 kg</c:v>
                  </c:pt>
                  <c:pt idx="705">
                    <c:v>500 gr</c:v>
                  </c:pt>
                  <c:pt idx="706">
                    <c:v>10 kg</c:v>
                  </c:pt>
                  <c:pt idx="707">
                    <c:v>22</c:v>
                  </c:pt>
                  <c:pt idx="708">
                    <c:v>1/2 kg</c:v>
                  </c:pt>
                  <c:pt idx="709">
                    <c:v>15 kg</c:v>
                  </c:pt>
                  <c:pt idx="710">
                    <c:v>1/2 kg</c:v>
                  </c:pt>
                  <c:pt idx="711">
                    <c:v>10 kg</c:v>
                  </c:pt>
                  <c:pt idx="712">
                    <c:v>1/2 kg</c:v>
                  </c:pt>
                  <c:pt idx="713">
                    <c:v>8 kgr</c:v>
                  </c:pt>
                  <c:pt idx="714">
                    <c:v>20kg</c:v>
                  </c:pt>
                  <c:pt idx="715">
                    <c:v>60x35</c:v>
                  </c:pt>
                  <c:pt idx="716">
                    <c:v>1 kg</c:v>
                  </c:pt>
                  <c:pt idx="717">
                    <c:v>85grs</c:v>
                  </c:pt>
                  <c:pt idx="718">
                    <c:v>1/2 kg</c:v>
                  </c:pt>
                  <c:pt idx="719">
                    <c:v>1/2 kg</c:v>
                  </c:pt>
                  <c:pt idx="720">
                    <c:v>10kg</c:v>
                  </c:pt>
                  <c:pt idx="721">
                    <c:v>10kg</c:v>
                  </c:pt>
                  <c:pt idx="722">
                    <c:v>7kg</c:v>
                  </c:pt>
                  <c:pt idx="724">
                    <c:v>25 kg</c:v>
                  </c:pt>
                  <c:pt idx="725">
                    <c:v>kg</c:v>
                  </c:pt>
                  <c:pt idx="726">
                    <c:v>20 kg</c:v>
                  </c:pt>
                  <c:pt idx="727">
                    <c:v>kg</c:v>
                  </c:pt>
                  <c:pt idx="728">
                    <c:v>1 kg</c:v>
                  </c:pt>
                  <c:pt idx="729">
                    <c:v>200 gr</c:v>
                  </c:pt>
                  <c:pt idx="730">
                    <c:v>20 ltr</c:v>
                  </c:pt>
                  <c:pt idx="731">
                    <c:v>1 ltr</c:v>
                  </c:pt>
                  <c:pt idx="732">
                    <c:v>5 kg</c:v>
                  </c:pt>
                  <c:pt idx="733">
                    <c:v>500 c.c.</c:v>
                  </c:pt>
                  <c:pt idx="734">
                    <c:v>500 cc</c:v>
                  </c:pt>
                  <c:pt idx="735">
                    <c:v>250 ml</c:v>
                  </c:pt>
                  <c:pt idx="736">
                    <c:v>500 grs</c:v>
                  </c:pt>
                  <c:pt idx="740">
                    <c:v>j&amp;G</c:v>
                  </c:pt>
                  <c:pt idx="741">
                    <c:v>0</c:v>
                  </c:pt>
                  <c:pt idx="742">
                    <c:v>0</c:v>
                  </c:pt>
                  <c:pt idx="744">
                    <c:v>0</c:v>
                  </c:pt>
                  <c:pt idx="750">
                    <c:v>1 kg</c:v>
                  </c:pt>
                  <c:pt idx="751">
                    <c:v>100 c,c</c:v>
                  </c:pt>
                  <c:pt idx="752">
                    <c:v>1/4 lt</c:v>
                  </c:pt>
                  <c:pt idx="753">
                    <c:v>1/2 lt</c:v>
                  </c:pt>
                  <c:pt idx="754">
                    <c:v>100 cc</c:v>
                  </c:pt>
                  <c:pt idx="755">
                    <c:v>1 ltr</c:v>
                  </c:pt>
                  <c:pt idx="756">
                    <c:v>1 lt</c:v>
                  </c:pt>
                  <c:pt idx="757">
                    <c:v>20 lt</c:v>
                  </c:pt>
                  <c:pt idx="758">
                    <c:v>c/u</c:v>
                  </c:pt>
                  <c:pt idx="759">
                    <c:v>0</c:v>
                  </c:pt>
                  <c:pt idx="760">
                    <c:v>5 grs</c:v>
                  </c:pt>
                  <c:pt idx="761">
                    <c:v>10 ltr</c:v>
                  </c:pt>
                  <c:pt idx="762">
                    <c:v>c/u</c:v>
                  </c:pt>
                  <c:pt idx="764">
                    <c:v>100 gr</c:v>
                  </c:pt>
                  <c:pt idx="765">
                    <c:v>250 grs</c:v>
                  </c:pt>
                  <c:pt idx="766">
                    <c:v>500 grs</c:v>
                  </c:pt>
                  <c:pt idx="767">
                    <c:v>500 gr</c:v>
                  </c:pt>
                  <c:pt idx="768">
                    <c:v>250</c:v>
                  </c:pt>
                  <c:pt idx="769">
                    <c:v>100 gr</c:v>
                  </c:pt>
                  <c:pt idx="770">
                    <c:v>1 kg</c:v>
                  </c:pt>
                  <c:pt idx="771">
                    <c:v>1 kg</c:v>
                  </c:pt>
                  <c:pt idx="772">
                    <c:v>1 kg</c:v>
                  </c:pt>
                  <c:pt idx="773">
                    <c:v>100 gr</c:v>
                  </c:pt>
                  <c:pt idx="774">
                    <c:v>100 gr</c:v>
                  </c:pt>
                  <c:pt idx="777">
                    <c:v>c/u</c:v>
                  </c:pt>
                  <c:pt idx="778">
                    <c:v>c/u</c:v>
                  </c:pt>
                  <c:pt idx="779">
                    <c:v>24 unidades</c:v>
                  </c:pt>
                  <c:pt idx="780">
                    <c:v>1 unidad</c:v>
                  </c:pt>
                  <c:pt idx="781">
                    <c:v>pte. 5 huevos</c:v>
                  </c:pt>
                  <c:pt idx="782">
                    <c:v>2 lt </c:v>
                  </c:pt>
                  <c:pt idx="783">
                    <c:v>6 lt</c:v>
                  </c:pt>
                  <c:pt idx="784">
                    <c:v>4 lts</c:v>
                  </c:pt>
                  <c:pt idx="785">
                    <c:v>10 lts</c:v>
                  </c:pt>
                  <c:pt idx="786">
                    <c:v>360 cc</c:v>
                  </c:pt>
                  <c:pt idx="788">
                    <c:v>c/u</c:v>
                  </c:pt>
                  <c:pt idx="789">
                    <c:v>36*31*31</c:v>
                  </c:pt>
                  <c:pt idx="790">
                    <c:v>45*40*36</c:v>
                  </c:pt>
                  <c:pt idx="791">
                    <c:v>35*35</c:v>
                  </c:pt>
                  <c:pt idx="792">
                    <c:v>50 C.C</c:v>
                  </c:pt>
                  <c:pt idx="793">
                    <c:v>100 c,c</c:v>
                  </c:pt>
                  <c:pt idx="796">
                    <c:v>1 ltr</c:v>
                  </c:pt>
                  <c:pt idx="797">
                    <c:v>50 ml</c:v>
                  </c:pt>
                  <c:pt idx="799">
                    <c:v>1Lt</c:v>
                  </c:pt>
                  <c:pt idx="800">
                    <c:v>360 cc</c:v>
                  </c:pt>
                  <c:pt idx="801">
                    <c:v>100 cc</c:v>
                  </c:pt>
                  <c:pt idx="802">
                    <c:v>500</c:v>
                  </c:pt>
                  <c:pt idx="803">
                    <c:v>1 lt</c:v>
                  </c:pt>
                  <c:pt idx="804">
                    <c:v>5 lts</c:v>
                  </c:pt>
                  <c:pt idx="805">
                    <c:v>50 cm</c:v>
                  </c:pt>
                  <c:pt idx="806">
                    <c:v>31X16X12</c:v>
                  </c:pt>
                  <c:pt idx="807">
                    <c:v>35X14</c:v>
                  </c:pt>
                  <c:pt idx="808">
                    <c:v>44,5X14</c:v>
                  </c:pt>
                  <c:pt idx="809">
                    <c:v>57X22</c:v>
                  </c:pt>
                  <c:pt idx="810">
                    <c:v>DOBLE balcon</c:v>
                  </c:pt>
                  <c:pt idx="811">
                    <c:v>35 cm </c:v>
                  </c:pt>
                  <c:pt idx="812">
                    <c:v>80 cm </c:v>
                  </c:pt>
                  <c:pt idx="814">
                    <c:v>20 cm</c:v>
                  </c:pt>
                  <c:pt idx="815">
                    <c:v>30 cm</c:v>
                  </c:pt>
                  <c:pt idx="816">
                    <c:v>40 cm</c:v>
                  </c:pt>
                  <c:pt idx="817">
                    <c:v>50 cm</c:v>
                  </c:pt>
                  <c:pt idx="818">
                    <c:v>60 cm</c:v>
                  </c:pt>
                  <c:pt idx="819">
                    <c:v>jd45</c:v>
                  </c:pt>
                  <c:pt idx="820">
                    <c:v>jd33</c:v>
                  </c:pt>
                  <c:pt idx="821">
                    <c:v>20</c:v>
                  </c:pt>
                  <c:pt idx="822">
                    <c:v>36</c:v>
                  </c:pt>
                  <c:pt idx="823">
                    <c:v>30 cm</c:v>
                  </c:pt>
                  <c:pt idx="824">
                    <c:v>40 cm</c:v>
                  </c:pt>
                  <c:pt idx="825">
                    <c:v>50 cm</c:v>
                  </c:pt>
                  <c:pt idx="826">
                    <c:v>60 cm</c:v>
                  </c:pt>
                  <c:pt idx="827">
                    <c:v>50 cm</c:v>
                  </c:pt>
                  <c:pt idx="828">
                    <c:v>67 CM</c:v>
                  </c:pt>
                  <c:pt idx="829">
                    <c:v>31x16x13cm</c:v>
                  </c:pt>
                  <c:pt idx="832">
                    <c:v>73 CN</c:v>
                  </c:pt>
                  <c:pt idx="833">
                    <c:v>35</c:v>
                  </c:pt>
                  <c:pt idx="834">
                    <c:v>45</c:v>
                  </c:pt>
                  <c:pt idx="835">
                    <c:v>55</c:v>
                  </c:pt>
                  <c:pt idx="836">
                    <c:v>50cm</c:v>
                  </c:pt>
                  <c:pt idx="837">
                    <c:v>25cm</c:v>
                  </c:pt>
                  <c:pt idx="838">
                    <c:v>37x17x13 </c:v>
                  </c:pt>
                  <c:pt idx="839">
                    <c:v>40x19</c:v>
                  </c:pt>
                  <c:pt idx="840">
                    <c:v>31x16x13</c:v>
                  </c:pt>
                  <c:pt idx="841">
                    <c:v>35 cm</c:v>
                  </c:pt>
                  <c:pt idx="842">
                    <c:v>34,5x28x46</c:v>
                  </c:pt>
                  <c:pt idx="843">
                    <c:v>69x45x36</c:v>
                  </c:pt>
                  <c:pt idx="844">
                    <c:v>85x49x38</c:v>
                  </c:pt>
                  <c:pt idx="845">
                    <c:v>60x36x32</c:v>
                  </c:pt>
                  <c:pt idx="846">
                    <c:v>3 pisos</c:v>
                  </c:pt>
                  <c:pt idx="847">
                    <c:v>30x23x21</c:v>
                  </c:pt>
                  <c:pt idx="848">
                    <c:v>30*23*41</c:v>
                  </c:pt>
                  <c:pt idx="849">
                    <c:v>kg.</c:v>
                  </c:pt>
                  <c:pt idx="851">
                    <c:v>grande</c:v>
                  </c:pt>
                  <c:pt idx="852">
                    <c:v>c/u</c:v>
                  </c:pt>
                  <c:pt idx="853">
                    <c:v>30x23x39</c:v>
                  </c:pt>
                  <c:pt idx="854">
                    <c:v>76,46,46,d610</c:v>
                  </c:pt>
                  <c:pt idx="855">
                    <c:v>76x46x46,d610</c:v>
                  </c:pt>
                  <c:pt idx="857">
                    <c:v>30x23x39</c:v>
                  </c:pt>
                  <c:pt idx="858">
                    <c:v>30x23x39</c:v>
                  </c:pt>
                  <c:pt idx="859">
                    <c:v>60x36x32</c:v>
                  </c:pt>
                  <c:pt idx="860">
                    <c:v>30x23x39</c:v>
                  </c:pt>
                  <c:pt idx="861">
                    <c:v>30*23*39</c:v>
                  </c:pt>
                  <c:pt idx="863">
                    <c:v>6 grs</c:v>
                  </c:pt>
                  <c:pt idx="864">
                    <c:v>8 gr</c:v>
                  </c:pt>
                  <c:pt idx="865">
                    <c:v>6 gr</c:v>
                  </c:pt>
                  <c:pt idx="866">
                    <c:v>3 grs</c:v>
                  </c:pt>
                  <c:pt idx="867">
                    <c:v>c/u</c:v>
                  </c:pt>
                  <c:pt idx="868">
                    <c:v>3gr</c:v>
                  </c:pt>
                  <c:pt idx="870">
                    <c:v>300 cc</c:v>
                  </c:pt>
                  <c:pt idx="871">
                    <c:v>300cc</c:v>
                  </c:pt>
                  <c:pt idx="872">
                    <c:v>2 tarro</c:v>
                  </c:pt>
                  <c:pt idx="876">
                    <c:v>38x1,5</c:v>
                  </c:pt>
                  <c:pt idx="877">
                    <c:v>45X2</c:v>
                  </c:pt>
                  <c:pt idx="878">
                    <c:v>34X1</c:v>
                  </c:pt>
                  <c:pt idx="880">
                    <c:v>0</c:v>
                  </c:pt>
                  <c:pt idx="881">
                    <c:v>3 PIEZAS</c:v>
                  </c:pt>
                  <c:pt idx="882">
                    <c:v>0</c:v>
                  </c:pt>
                  <c:pt idx="886">
                    <c:v>20cm</c:v>
                  </c:pt>
                  <c:pt idx="887">
                    <c:v>1,5cm</c:v>
                  </c:pt>
                  <c:pt idx="888">
                    <c:v>1cm</c:v>
                  </c:pt>
                  <c:pt idx="891">
                    <c:v>40x4 cn</c:v>
                  </c:pt>
                  <c:pt idx="892">
                    <c:v>10 x2,5</c:v>
                  </c:pt>
                  <c:pt idx="893">
                    <c:v>12 CM</c:v>
                  </c:pt>
                  <c:pt idx="898">
                    <c:v>13 CM</c:v>
                  </c:pt>
                  <c:pt idx="899">
                    <c:v>7 cm</c:v>
                  </c:pt>
                  <c:pt idx="900">
                    <c:v>8 cm</c:v>
                  </c:pt>
                  <c:pt idx="901">
                    <c:v>7 cm</c:v>
                  </c:pt>
                  <c:pt idx="902">
                    <c:v>33 cm</c:v>
                  </c:pt>
                  <c:pt idx="903">
                    <c:v>30 CM</c:v>
                  </c:pt>
                  <c:pt idx="904">
                    <c:v>12 cm</c:v>
                  </c:pt>
                  <c:pt idx="905">
                    <c:v>2 unidades</c:v>
                  </c:pt>
                  <c:pt idx="907">
                    <c:v>c/u</c:v>
                  </c:pt>
                  <c:pt idx="908">
                    <c:v>x metro</c:v>
                  </c:pt>
                  <c:pt idx="909">
                    <c:v>10cm </c:v>
                  </c:pt>
                  <c:pt idx="910">
                    <c:v>15MT</c:v>
                  </c:pt>
                  <c:pt idx="911">
                    <c:v>1m </c:v>
                  </c:pt>
                  <c:pt idx="912">
                    <c:v>10 CM X 50 CM</c:v>
                  </c:pt>
                  <c:pt idx="914">
                    <c:v>40-60 CMS RS-68l</c:v>
                  </c:pt>
                  <c:pt idx="916">
                    <c:v>20 a 30 cm</c:v>
                  </c:pt>
                  <c:pt idx="917">
                    <c:v>c/u</c:v>
                  </c:pt>
                  <c:pt idx="918">
                    <c:v>n 12</c:v>
                  </c:pt>
                  <c:pt idx="920">
                    <c:v>b20</c:v>
                  </c:pt>
                  <c:pt idx="921">
                    <c:v>n 44  </c:v>
                  </c:pt>
                  <c:pt idx="922">
                    <c:v>13,6x12,5</c:v>
                  </c:pt>
                  <c:pt idx="923">
                    <c:v>16,5x13,5</c:v>
                  </c:pt>
                  <c:pt idx="925">
                    <c:v>c/u</c:v>
                  </c:pt>
                  <c:pt idx="926">
                    <c:v>18</c:v>
                  </c:pt>
                  <c:pt idx="927">
                    <c:v>2</c:v>
                  </c:pt>
                  <c:pt idx="928">
                    <c:v>4</c:v>
                  </c:pt>
                  <c:pt idx="929">
                    <c:v>6</c:v>
                  </c:pt>
                  <c:pt idx="930">
                    <c:v>7</c:v>
                  </c:pt>
                  <c:pt idx="931">
                    <c:v>14 cm</c:v>
                  </c:pt>
                  <c:pt idx="932">
                    <c:v>17 cm</c:v>
                  </c:pt>
                  <c:pt idx="933">
                    <c:v>20 cm</c:v>
                  </c:pt>
                  <c:pt idx="934">
                    <c:v>27 cm</c:v>
                  </c:pt>
                  <c:pt idx="935">
                    <c:v>23 cm</c:v>
                  </c:pt>
                  <c:pt idx="936">
                    <c:v>25 cm</c:v>
                  </c:pt>
                  <c:pt idx="937">
                    <c:v>30 CM</c:v>
                  </c:pt>
                  <c:pt idx="938">
                    <c:v>16</c:v>
                  </c:pt>
                  <c:pt idx="939">
                    <c:v>30X20,5</c:v>
                  </c:pt>
                  <c:pt idx="940">
                    <c:v>25X16,5</c:v>
                  </c:pt>
                  <c:pt idx="941">
                    <c:v>35X23,5</c:v>
                  </c:pt>
                  <c:pt idx="942">
                    <c:v>30X20</c:v>
                  </c:pt>
                  <c:pt idx="943">
                    <c:v>25X16,5</c:v>
                  </c:pt>
                  <c:pt idx="944">
                    <c:v>10cm</c:v>
                  </c:pt>
                  <c:pt idx="945">
                    <c:v>12 cm</c:v>
                  </c:pt>
                  <c:pt idx="946">
                    <c:v>14 cm</c:v>
                  </c:pt>
                  <c:pt idx="947">
                    <c:v>16cm</c:v>
                  </c:pt>
                  <c:pt idx="948">
                    <c:v>18cm</c:v>
                  </c:pt>
                  <c:pt idx="949">
                    <c:v>20cm</c:v>
                  </c:pt>
                  <c:pt idx="950">
                    <c:v>22cm</c:v>
                  </c:pt>
                  <c:pt idx="951">
                    <c:v>26cm</c:v>
                  </c:pt>
                  <c:pt idx="952">
                    <c:v>30 CM</c:v>
                  </c:pt>
                  <c:pt idx="953">
                    <c:v>7cm</c:v>
                  </c:pt>
                  <c:pt idx="954">
                    <c:v>8cm</c:v>
                  </c:pt>
                  <c:pt idx="955">
                    <c:v>No 3</c:v>
                  </c:pt>
                  <c:pt idx="956">
                    <c:v>23</c:v>
                  </c:pt>
                  <c:pt idx="957">
                    <c:v>29</c:v>
                  </c:pt>
                  <c:pt idx="958">
                    <c:v>36</c:v>
                  </c:pt>
                  <c:pt idx="959">
                    <c:v>0</c:v>
                  </c:pt>
                  <c:pt idx="960">
                    <c:v>38 cm</c:v>
                  </c:pt>
                  <c:pt idx="961">
                    <c:v>1</c:v>
                  </c:pt>
                  <c:pt idx="962">
                    <c:v>n 12</c:v>
                  </c:pt>
                  <c:pt idx="963">
                    <c:v>n 5</c:v>
                  </c:pt>
                  <c:pt idx="964">
                    <c:v>n 6</c:v>
                  </c:pt>
                  <c:pt idx="965">
                    <c:v>n 7</c:v>
                  </c:pt>
                  <c:pt idx="966">
                    <c:v>n 0</c:v>
                  </c:pt>
                  <c:pt idx="967">
                    <c:v>n 8</c:v>
                  </c:pt>
                  <c:pt idx="968">
                    <c:v>12</c:v>
                  </c:pt>
                  <c:pt idx="969">
                    <c:v>16</c:v>
                  </c:pt>
                  <c:pt idx="971">
                    <c:v>40</c:v>
                  </c:pt>
                  <c:pt idx="972">
                    <c:v>48</c:v>
                  </c:pt>
                  <c:pt idx="973">
                    <c:v>52</c:v>
                  </c:pt>
                  <c:pt idx="974">
                    <c:v>22</c:v>
                  </c:pt>
                  <c:pt idx="975">
                    <c:v>22 cm</c:v>
                  </c:pt>
                  <c:pt idx="977">
                    <c:v>20</c:v>
                  </c:pt>
                  <c:pt idx="978">
                    <c:v>40</c:v>
                  </c:pt>
                  <c:pt idx="979">
                    <c:v>50</c:v>
                  </c:pt>
                  <c:pt idx="980">
                    <c:v>n 1</c:v>
                  </c:pt>
                  <c:pt idx="981">
                    <c:v>n 2</c:v>
                  </c:pt>
                  <c:pt idx="982">
                    <c:v>0</c:v>
                  </c:pt>
                  <c:pt idx="984">
                    <c:v>11 cm</c:v>
                  </c:pt>
                  <c:pt idx="985">
                    <c:v>9 cm</c:v>
                  </c:pt>
                  <c:pt idx="986">
                    <c:v>11 cm</c:v>
                  </c:pt>
                  <c:pt idx="987">
                    <c:v>9 cm</c:v>
                  </c:pt>
                  <c:pt idx="988">
                    <c:v>4,5x4,5</c:v>
                  </c:pt>
                  <c:pt idx="989">
                    <c:v>6 cm</c:v>
                  </c:pt>
                  <c:pt idx="990">
                    <c:v>6 cn</c:v>
                  </c:pt>
                  <c:pt idx="991">
                    <c:v>4,5 x4,5-</c:v>
                  </c:pt>
                  <c:pt idx="998">
                    <c:v>20cm</c:v>
                  </c:pt>
                  <c:pt idx="999">
                    <c:v>30cm</c:v>
                  </c:pt>
                  <c:pt idx="1000">
                    <c:v>15cm</c:v>
                  </c:pt>
                  <c:pt idx="1001">
                    <c:v>25 cm</c:v>
                  </c:pt>
                  <c:pt idx="1002">
                    <c:v>c/u</c:v>
                  </c:pt>
                  <c:pt idx="1003">
                    <c:v>48</c:v>
                  </c:pt>
                  <c:pt idx="1004">
                    <c:v>23</c:v>
                  </c:pt>
                  <c:pt idx="1005">
                    <c:v>27</c:v>
                  </c:pt>
                  <c:pt idx="1006">
                    <c:v>32</c:v>
                  </c:pt>
                  <c:pt idx="1007">
                    <c:v>38</c:v>
                  </c:pt>
                  <c:pt idx="1008">
                    <c:v>43</c:v>
                  </c:pt>
                  <c:pt idx="1009">
                    <c:v>48</c:v>
                  </c:pt>
                  <c:pt idx="1010">
                    <c:v>54</c:v>
                  </c:pt>
                  <c:pt idx="1011">
                    <c:v>48</c:v>
                  </c:pt>
                  <c:pt idx="1012">
                    <c:v>6,5x6</c:v>
                  </c:pt>
                  <c:pt idx="1015">
                    <c:v>c/u</c:v>
                  </c:pt>
                  <c:pt idx="1016">
                    <c:v>c/u</c:v>
                  </c:pt>
                  <c:pt idx="1017">
                    <c:v>c/u</c:v>
                  </c:pt>
                  <c:pt idx="1018">
                    <c:v>12 cm</c:v>
                  </c:pt>
                  <c:pt idx="1019">
                    <c:v>14 cm</c:v>
                  </c:pt>
                  <c:pt idx="1020">
                    <c:v>18 cm</c:v>
                  </c:pt>
                  <c:pt idx="1021">
                    <c:v>22cm</c:v>
                  </c:pt>
                  <c:pt idx="1022">
                    <c:v>N22</c:v>
                  </c:pt>
                  <c:pt idx="1023">
                    <c:v>N35</c:v>
                  </c:pt>
                  <c:pt idx="1024">
                    <c:v>N28</c:v>
                  </c:pt>
                  <c:pt idx="1025">
                    <c:v>N35</c:v>
                  </c:pt>
                  <c:pt idx="1026">
                    <c:v>N16</c:v>
                  </c:pt>
                  <c:pt idx="1027">
                    <c:v>N22</c:v>
                  </c:pt>
                  <c:pt idx="1028">
                    <c:v>N28</c:v>
                  </c:pt>
                  <c:pt idx="1029">
                    <c:v>N35</c:v>
                  </c:pt>
                  <c:pt idx="1030">
                    <c:v>35</c:v>
                  </c:pt>
                  <c:pt idx="1031">
                    <c:v>40</c:v>
                  </c:pt>
                  <c:pt idx="1032">
                    <c:v>48</c:v>
                  </c:pt>
                  <c:pt idx="1033">
                    <c:v>cl24</c:v>
                  </c:pt>
                  <c:pt idx="1034">
                    <c:v>cl15</c:v>
                  </c:pt>
                  <c:pt idx="1035">
                    <c:v>cl19</c:v>
                  </c:pt>
                  <c:pt idx="1036">
                    <c:v>12</c:v>
                  </c:pt>
                  <c:pt idx="1037">
                    <c:v>14</c:v>
                  </c:pt>
                  <c:pt idx="1038">
                    <c:v>16</c:v>
                  </c:pt>
                  <c:pt idx="1039">
                    <c:v>18</c:v>
                  </c:pt>
                  <c:pt idx="1040">
                    <c:v>20</c:v>
                  </c:pt>
                  <c:pt idx="1041">
                    <c:v>22</c:v>
                  </c:pt>
                  <c:pt idx="1042">
                    <c:v>24</c:v>
                  </c:pt>
                  <c:pt idx="1043">
                    <c:v>26</c:v>
                  </c:pt>
                  <c:pt idx="1044">
                    <c:v>30</c:v>
                  </c:pt>
                  <c:pt idx="1045">
                    <c:v>35</c:v>
                  </c:pt>
                  <c:pt idx="1046">
                    <c:v>40</c:v>
                  </c:pt>
                  <c:pt idx="1047">
                    <c:v>17</c:v>
                  </c:pt>
                  <c:pt idx="1048">
                    <c:v>24</c:v>
                  </c:pt>
                  <c:pt idx="1049">
                    <c:v>35</c:v>
                  </c:pt>
                  <c:pt idx="1050">
                    <c:v>cl10</c:v>
                  </c:pt>
                  <c:pt idx="1051">
                    <c:v>cl13</c:v>
                  </c:pt>
                  <c:pt idx="1053">
                    <c:v>16,5x12,5x51</c:v>
                  </c:pt>
                  <c:pt idx="1054">
                    <c:v>C13</c:v>
                  </c:pt>
                  <c:pt idx="1055">
                    <c:v>C18</c:v>
                  </c:pt>
                  <c:pt idx="1056">
                    <c:v>C21</c:v>
                  </c:pt>
                  <c:pt idx="1057">
                    <c:v>14,5x25,5</c:v>
                  </c:pt>
                  <c:pt idx="1058">
                    <c:v>11,5x20</c:v>
                  </c:pt>
                  <c:pt idx="1059">
                    <c:v>23,5x14,5cm</c:v>
                  </c:pt>
                  <c:pt idx="1061">
                    <c:v>20x12</c:v>
                  </c:pt>
                  <c:pt idx="1062">
                    <c:v>24X15</c:v>
                  </c:pt>
                  <c:pt idx="1063">
                    <c:v>20X13</c:v>
                  </c:pt>
                  <c:pt idx="1064">
                    <c:v>20X12</c:v>
                  </c:pt>
                  <c:pt idx="1068">
                    <c:v>37x29</c:v>
                  </c:pt>
                  <c:pt idx="1069">
                    <c:v>grde</c:v>
                  </c:pt>
                  <c:pt idx="1070">
                    <c:v>med</c:v>
                  </c:pt>
                  <c:pt idx="1071">
                    <c:v>20x16</c:v>
                  </c:pt>
                  <c:pt idx="1079">
                    <c:v>18x18x14,5</c:v>
                  </c:pt>
                  <c:pt idx="1084">
                    <c:v>21</c:v>
                  </c:pt>
                  <c:pt idx="1085">
                    <c:v>1,5</c:v>
                  </c:pt>
                  <c:pt idx="1086">
                    <c:v>2</c:v>
                  </c:pt>
                  <c:pt idx="1087">
                    <c:v>16 cm</c:v>
                  </c:pt>
                  <c:pt idx="1088">
                    <c:v>23 cm</c:v>
                  </c:pt>
                  <c:pt idx="1089">
                    <c:v>30 cm</c:v>
                  </c:pt>
                  <c:pt idx="1090">
                    <c:v>36 cm</c:v>
                  </c:pt>
                  <c:pt idx="1091">
                    <c:v>7 cm</c:v>
                  </c:pt>
                  <c:pt idx="1092">
                    <c:v>26 cm</c:v>
                  </c:pt>
                  <c:pt idx="1093">
                    <c:v>38 cm</c:v>
                  </c:pt>
                  <c:pt idx="1094">
                    <c:v>c/u</c:v>
                  </c:pt>
                  <c:pt idx="1095">
                    <c:v>1</c:v>
                  </c:pt>
                  <c:pt idx="1096">
                    <c:v>2</c:v>
                  </c:pt>
                  <c:pt idx="1097">
                    <c:v>4</c:v>
                  </c:pt>
                  <c:pt idx="1098">
                    <c:v>c/u</c:v>
                  </c:pt>
                  <c:pt idx="1103">
                    <c:v>26X11</c:v>
                  </c:pt>
                  <c:pt idx="1106">
                    <c:v>n 15</c:v>
                  </c:pt>
                  <c:pt idx="1107">
                    <c:v>23X12X11</c:v>
                  </c:pt>
                  <c:pt idx="1109">
                    <c:v>12 cm</c:v>
                  </c:pt>
                  <c:pt idx="1110">
                    <c:v>20lts</c:v>
                  </c:pt>
                  <c:pt idx="1111">
                    <c:v>11 lts</c:v>
                  </c:pt>
                  <c:pt idx="1112">
                    <c:v>5lt</c:v>
                  </c:pt>
                  <c:pt idx="1113">
                    <c:v>3lt</c:v>
                  </c:pt>
                  <c:pt idx="1114">
                    <c:v>2lt</c:v>
                  </c:pt>
                  <c:pt idx="1115">
                    <c:v>12 CM</c:v>
                  </c:pt>
                  <c:pt idx="1116">
                    <c:v>12 cm</c:v>
                  </c:pt>
                  <c:pt idx="1117">
                    <c:v>9 cm</c:v>
                  </c:pt>
                  <c:pt idx="1118">
                    <c:v>15lts</c:v>
                  </c:pt>
                  <c:pt idx="1119">
                    <c:v>15</c:v>
                  </c:pt>
                  <c:pt idx="1120">
                    <c:v>19</c:v>
                  </c:pt>
                  <c:pt idx="1122">
                    <c:v>15</c:v>
                  </c:pt>
                  <c:pt idx="1123">
                    <c:v>19</c:v>
                  </c:pt>
                  <c:pt idx="1124">
                    <c:v>17</c:v>
                  </c:pt>
                  <c:pt idx="1125">
                    <c:v>21</c:v>
                  </c:pt>
                  <c:pt idx="1126">
                    <c:v>25</c:v>
                  </c:pt>
                  <c:pt idx="1127">
                    <c:v>negra</c:v>
                  </c:pt>
                  <c:pt idx="1128">
                    <c:v>12</c:v>
                  </c:pt>
                  <c:pt idx="1129">
                    <c:v>14</c:v>
                  </c:pt>
                  <c:pt idx="1130">
                    <c:v>16</c:v>
                  </c:pt>
                  <c:pt idx="1131">
                    <c:v>N18</c:v>
                  </c:pt>
                  <c:pt idx="1132">
                    <c:v>N20</c:v>
                  </c:pt>
                  <c:pt idx="1133">
                    <c:v>N23</c:v>
                  </c:pt>
                  <c:pt idx="1134">
                    <c:v>N26</c:v>
                  </c:pt>
                  <c:pt idx="1135">
                    <c:v>N30</c:v>
                  </c:pt>
                  <c:pt idx="1136">
                    <c:v>22 cm</c:v>
                  </c:pt>
                  <c:pt idx="1137">
                    <c:v>25 cm</c:v>
                  </c:pt>
                  <c:pt idx="1138">
                    <c:v>30 cm</c:v>
                  </c:pt>
                  <c:pt idx="1139">
                    <c:v>34 cm</c:v>
                  </c:pt>
                  <c:pt idx="1140">
                    <c:v>38 cm</c:v>
                  </c:pt>
                  <c:pt idx="1141">
                    <c:v>43 cm</c:v>
                  </c:pt>
                  <c:pt idx="1142">
                    <c:v>20</c:v>
                  </c:pt>
                  <c:pt idx="1143">
                    <c:v>21,5x 18 cm</c:v>
                  </c:pt>
                  <c:pt idx="1144">
                    <c:v>ca21</c:v>
                  </c:pt>
                  <c:pt idx="1145">
                    <c:v>24 cm</c:v>
                  </c:pt>
                  <c:pt idx="1146">
                    <c:v>13 cm</c:v>
                  </c:pt>
                  <c:pt idx="1147">
                    <c:v>35X19,5X14,5</c:v>
                  </c:pt>
                  <c:pt idx="1148">
                    <c:v>43x21,5x16,5</c:v>
                  </c:pt>
                  <c:pt idx="1149">
                    <c:v>31x16x13</c:v>
                  </c:pt>
                  <c:pt idx="1150">
                    <c:v>31x16x13</c:v>
                  </c:pt>
                  <c:pt idx="1151">
                    <c:v>37X17X13</c:v>
                  </c:pt>
                  <c:pt idx="1152">
                    <c:v>45X20X14</c:v>
                  </c:pt>
                  <c:pt idx="1153">
                    <c:v>57x22x14</c:v>
                  </c:pt>
                  <c:pt idx="1154">
                    <c:v>35x20x14</c:v>
                  </c:pt>
                  <c:pt idx="1155">
                    <c:v>22</c:v>
                  </c:pt>
                  <c:pt idx="1158">
                    <c:v>17x13</c:v>
                  </c:pt>
                  <c:pt idx="1159">
                    <c:v>18x15x10</c:v>
                  </c:pt>
                  <c:pt idx="1160">
                    <c:v>42x29</c:v>
                  </c:pt>
                  <c:pt idx="1161">
                    <c:v>19x15</c:v>
                  </c:pt>
                  <c:pt idx="1162">
                    <c:v>30X23X17,5</c:v>
                  </c:pt>
                  <c:pt idx="1163">
                    <c:v>21X17X12</c:v>
                  </c:pt>
                  <c:pt idx="1164">
                    <c:v>16</c:v>
                  </c:pt>
                  <c:pt idx="1165">
                    <c:v>20</c:v>
                  </c:pt>
                  <c:pt idx="1166">
                    <c:v>c/u</c:v>
                  </c:pt>
                  <c:pt idx="1167">
                    <c:v>15 cm</c:v>
                  </c:pt>
                  <c:pt idx="1168">
                    <c:v>20 cm</c:v>
                  </c:pt>
                  <c:pt idx="1169">
                    <c:v>20 CM</c:v>
                  </c:pt>
                  <c:pt idx="1170">
                    <c:v>12 cm</c:v>
                  </c:pt>
                  <c:pt idx="1171">
                    <c:v>7 cm</c:v>
                  </c:pt>
                  <c:pt idx="1172">
                    <c:v>10cm</c:v>
                  </c:pt>
                  <c:pt idx="1173">
                    <c:v>14 cm</c:v>
                  </c:pt>
                  <c:pt idx="1174">
                    <c:v>16 cm</c:v>
                  </c:pt>
                  <c:pt idx="1175">
                    <c:v>18 cm</c:v>
                  </c:pt>
                  <c:pt idx="1176">
                    <c:v>20 cm</c:v>
                  </c:pt>
                  <c:pt idx="1177">
                    <c:v>35</c:v>
                  </c:pt>
                  <c:pt idx="1178">
                    <c:v>14</c:v>
                  </c:pt>
                  <c:pt idx="1179">
                    <c:v>16</c:v>
                  </c:pt>
                  <c:pt idx="1180">
                    <c:v>18</c:v>
                  </c:pt>
                  <c:pt idx="1181">
                    <c:v>12 CM</c:v>
                  </c:pt>
                  <c:pt idx="1182">
                    <c:v>c/u</c:v>
                  </c:pt>
                  <c:pt idx="1183">
                    <c:v>c/u</c:v>
                  </c:pt>
                  <c:pt idx="1184">
                    <c:v>N22</c:v>
                  </c:pt>
                  <c:pt idx="1185">
                    <c:v>N35</c:v>
                  </c:pt>
                  <c:pt idx="1186">
                    <c:v>N35</c:v>
                  </c:pt>
                  <c:pt idx="1188">
                    <c:v>31,5X25</c:v>
                  </c:pt>
                  <c:pt idx="1189">
                    <c:v>31,5X18</c:v>
                  </c:pt>
                  <c:pt idx="1190">
                    <c:v>15X12,5</c:v>
                  </c:pt>
                  <c:pt idx="1191">
                    <c:v>18X14,5</c:v>
                  </c:pt>
                  <c:pt idx="1192">
                    <c:v>35X27</c:v>
                  </c:pt>
                  <c:pt idx="1193">
                    <c:v>25X19,5</c:v>
                  </c:pt>
                  <c:pt idx="1194">
                    <c:v>30,5x23,5</c:v>
                  </c:pt>
                  <c:pt idx="1195">
                    <c:v>30,5/23,5</c:v>
                  </c:pt>
                  <c:pt idx="1196">
                    <c:v>22x22</c:v>
                  </c:pt>
                  <c:pt idx="1197">
                    <c:v>c/u</c:v>
                  </c:pt>
                  <c:pt idx="1198">
                    <c:v>25 lts</c:v>
                  </c:pt>
                  <c:pt idx="1199">
                    <c:v>14</c:v>
                  </c:pt>
                  <c:pt idx="1200">
                    <c:v>18</c:v>
                  </c:pt>
                  <c:pt idx="1203">
                    <c:v>15 cm</c:v>
                  </c:pt>
                  <c:pt idx="1204">
                    <c:v>14 cm</c:v>
                  </c:pt>
                  <c:pt idx="1205">
                    <c:v>18 cm</c:v>
                  </c:pt>
                  <c:pt idx="1206">
                    <c:v>22 CM</c:v>
                  </c:pt>
                  <c:pt idx="1207">
                    <c:v>35</c:v>
                  </c:pt>
                  <c:pt idx="1208">
                    <c:v>23</c:v>
                  </c:pt>
                  <c:pt idx="1209">
                    <c:v>25x22,5x19</c:v>
                  </c:pt>
                  <c:pt idx="1210">
                    <c:v>TA</c:v>
                  </c:pt>
                  <c:pt idx="1211">
                    <c:v>ch</c:v>
                  </c:pt>
                  <c:pt idx="1212">
                    <c:v>gde</c:v>
                  </c:pt>
                  <c:pt idx="1213">
                    <c:v>13X16X14</c:v>
                  </c:pt>
                  <c:pt idx="1215">
                    <c:v>18</c:v>
                  </c:pt>
                  <c:pt idx="1216">
                    <c:v>22</c:v>
                  </c:pt>
                  <c:pt idx="1217">
                    <c:v>27</c:v>
                  </c:pt>
                  <c:pt idx="1218">
                    <c:v>29 cm</c:v>
                  </c:pt>
                  <c:pt idx="1219">
                    <c:v>24 cm</c:v>
                  </c:pt>
                  <c:pt idx="1220">
                    <c:v>18</c:v>
                  </c:pt>
                  <c:pt idx="1221">
                    <c:v>20 cm</c:v>
                  </c:pt>
                  <c:pt idx="1222">
                    <c:v>35 cm</c:v>
                  </c:pt>
                  <c:pt idx="1223">
                    <c:v>67cm</c:v>
                  </c:pt>
                  <c:pt idx="1224">
                    <c:v>29x22</c:v>
                  </c:pt>
                  <c:pt idx="1225">
                    <c:v>25X20</c:v>
                  </c:pt>
                  <c:pt idx="1226">
                    <c:v>23x18cm</c:v>
                  </c:pt>
                  <c:pt idx="1227">
                    <c:v>19x20</c:v>
                  </c:pt>
                  <c:pt idx="1228">
                    <c:v>14x15</c:v>
                  </c:pt>
                  <c:pt idx="1229">
                    <c:v>10,5x11</c:v>
                  </c:pt>
                  <c:pt idx="1230">
                    <c:v>18x24</c:v>
                  </c:pt>
                  <c:pt idx="1231">
                    <c:v>16,5x18,5</c:v>
                  </c:pt>
                  <c:pt idx="1232">
                    <c:v>13,5x13</c:v>
                  </c:pt>
                  <c:pt idx="1233">
                    <c:v>18 x13</c:v>
                  </c:pt>
                  <c:pt idx="1235">
                    <c:v>N35</c:v>
                  </c:pt>
                  <c:pt idx="1236">
                    <c:v>N45</c:v>
                  </c:pt>
                  <c:pt idx="1237">
                    <c:v>17</c:v>
                  </c:pt>
                  <c:pt idx="1238">
                    <c:v>20</c:v>
                  </c:pt>
                  <c:pt idx="1239">
                    <c:v>24</c:v>
                  </c:pt>
                  <c:pt idx="1240">
                    <c:v>30</c:v>
                  </c:pt>
                  <c:pt idx="1241">
                    <c:v>17</c:v>
                  </c:pt>
                  <c:pt idx="1242">
                    <c:v>20</c:v>
                  </c:pt>
                  <c:pt idx="1243">
                    <c:v>24</c:v>
                  </c:pt>
                  <c:pt idx="1244">
                    <c:v>30</c:v>
                  </c:pt>
                  <c:pt idx="1245">
                    <c:v>34x18x14</c:v>
                  </c:pt>
                  <c:pt idx="1246">
                    <c:v>16x13</c:v>
                  </c:pt>
                  <c:pt idx="1247">
                    <c:v>0</c:v>
                  </c:pt>
                  <c:pt idx="1248">
                    <c:v>43x18x14</c:v>
                  </c:pt>
                  <c:pt idx="1249">
                    <c:v>15,5x12,3</c:v>
                  </c:pt>
                  <c:pt idx="1250">
                    <c:v>7,8x7</c:v>
                  </c:pt>
                  <c:pt idx="1251">
                    <c:v>25x20</c:v>
                  </c:pt>
                  <c:pt idx="1252">
                    <c:v>15,5x12,3</c:v>
                  </c:pt>
                  <c:pt idx="1253">
                    <c:v>20x16</c:v>
                  </c:pt>
                  <c:pt idx="1255">
                    <c:v>19 lts</c:v>
                  </c:pt>
                  <c:pt idx="1256">
                    <c:v>14 lts</c:v>
                  </c:pt>
                  <c:pt idx="1257">
                    <c:v>11 lts</c:v>
                  </c:pt>
                  <c:pt idx="1258">
                    <c:v>7 lts</c:v>
                  </c:pt>
                  <c:pt idx="1259">
                    <c:v>5 lts</c:v>
                  </c:pt>
                  <c:pt idx="1260">
                    <c:v>3 lts</c:v>
                  </c:pt>
                  <c:pt idx="1262">
                    <c:v>25x20</c:v>
                  </c:pt>
                  <c:pt idx="1263">
                    <c:v>20x16</c:v>
                  </c:pt>
                  <c:pt idx="1264">
                    <c:v>c/u</c:v>
                  </c:pt>
                  <c:pt idx="1265">
                    <c:v>0</c:v>
                  </c:pt>
                  <c:pt idx="1266">
                    <c:v>20</c:v>
                  </c:pt>
                  <c:pt idx="1267">
                    <c:v>12 CM</c:v>
                  </c:pt>
                  <c:pt idx="1268">
                    <c:v>16</c:v>
                  </c:pt>
                  <c:pt idx="1269">
                    <c:v>18</c:v>
                  </c:pt>
                  <c:pt idx="1270">
                    <c:v>20</c:v>
                  </c:pt>
                  <c:pt idx="1271">
                    <c:v>24</c:v>
                  </c:pt>
                  <c:pt idx="1274">
                    <c:v>,75 LT</c:v>
                  </c:pt>
                  <c:pt idx="1275">
                    <c:v>1,6 LT</c:v>
                  </c:pt>
                  <c:pt idx="1276">
                    <c:v>3 lts</c:v>
                  </c:pt>
                  <c:pt idx="1277">
                    <c:v>4,3 LT</c:v>
                  </c:pt>
                  <c:pt idx="1278">
                    <c:v>16X13</c:v>
                  </c:pt>
                  <c:pt idx="1279">
                    <c:v>39X29</c:v>
                  </c:pt>
                  <c:pt idx="1280">
                    <c:v>36X26</c:v>
                  </c:pt>
                  <c:pt idx="1281">
                    <c:v>32X24</c:v>
                  </c:pt>
                  <c:pt idx="1282">
                    <c:v>16X21</c:v>
                  </c:pt>
                  <c:pt idx="1283">
                    <c:v>43 x31</c:v>
                  </c:pt>
                  <c:pt idx="1288">
                    <c:v>24</c:v>
                  </c:pt>
                  <c:pt idx="1290">
                    <c:v>24x28</c:v>
                  </c:pt>
                  <c:pt idx="1291">
                    <c:v>36x40</c:v>
                  </c:pt>
                  <c:pt idx="1293">
                    <c:v>12</c:v>
                  </c:pt>
                  <c:pt idx="1294">
                    <c:v>15</c:v>
                  </c:pt>
                  <c:pt idx="1295">
                    <c:v>17</c:v>
                  </c:pt>
                  <c:pt idx="1296">
                    <c:v>20</c:v>
                  </c:pt>
                  <c:pt idx="1297">
                    <c:v>6</c:v>
                  </c:pt>
                  <c:pt idx="1298">
                    <c:v>8</c:v>
                  </c:pt>
                  <c:pt idx="1299">
                    <c:v>10</c:v>
                  </c:pt>
                  <c:pt idx="1300">
                    <c:v>12</c:v>
                  </c:pt>
                  <c:pt idx="1301">
                    <c:v>14</c:v>
                  </c:pt>
                  <c:pt idx="1302">
                    <c:v>DX1</c:v>
                  </c:pt>
                  <c:pt idx="1303">
                    <c:v>DX2</c:v>
                  </c:pt>
                  <c:pt idx="1304">
                    <c:v>DX3</c:v>
                  </c:pt>
                  <c:pt idx="1305">
                    <c:v>DX4</c:v>
                  </c:pt>
                  <c:pt idx="1306">
                    <c:v>7S2</c:v>
                  </c:pt>
                  <c:pt idx="1307">
                    <c:v>7S3</c:v>
                  </c:pt>
                  <c:pt idx="1308">
                    <c:v>7F2</c:v>
                  </c:pt>
                  <c:pt idx="1309">
                    <c:v>YT2</c:v>
                  </c:pt>
                  <c:pt idx="1310">
                    <c:v>YT3</c:v>
                  </c:pt>
                  <c:pt idx="1311">
                    <c:v>WLI</c:v>
                  </c:pt>
                  <c:pt idx="1312">
                    <c:v>GP3</c:v>
                  </c:pt>
                  <c:pt idx="1313">
                    <c:v>GP4</c:v>
                  </c:pt>
                  <c:pt idx="1314">
                    <c:v>X0</c:v>
                  </c:pt>
                  <c:pt idx="1315">
                    <c:v>JVER 24</c:v>
                  </c:pt>
                  <c:pt idx="1316">
                    <c:v>JVER 33</c:v>
                  </c:pt>
                  <c:pt idx="1317">
                    <c:v>JVER 42</c:v>
                  </c:pt>
                  <c:pt idx="1318">
                    <c:v>IVOM 30</c:v>
                  </c:pt>
                  <c:pt idx="1319">
                    <c:v>IVOM 38</c:v>
                  </c:pt>
                  <c:pt idx="1320">
                    <c:v>IVPM 25</c:v>
                  </c:pt>
                  <c:pt idx="1321">
                    <c:v>IVQM20</c:v>
                  </c:pt>
                  <c:pt idx="1322">
                    <c:v>JVEO 41</c:v>
                  </c:pt>
                  <c:pt idx="1323">
                    <c:v>JVEF 34</c:v>
                  </c:pt>
                  <c:pt idx="1324">
                    <c:v>JVEF 42</c:v>
                  </c:pt>
                  <c:pt idx="1325">
                    <c:v>IVEC 33</c:v>
                  </c:pt>
                  <c:pt idx="1326">
                    <c:v>JVEO 55</c:v>
                  </c:pt>
                  <c:pt idx="1327">
                    <c:v>JVHR 42</c:v>
                  </c:pt>
                  <c:pt idx="1328">
                    <c:v>JVHR33</c:v>
                  </c:pt>
                  <c:pt idx="1329">
                    <c:v>JVUM 30 S</c:v>
                  </c:pt>
                  <c:pt idx="1330">
                    <c:v>JVUM 38</c:v>
                  </c:pt>
                  <c:pt idx="1331">
                    <c:v>JFQF 67</c:v>
                  </c:pt>
                  <c:pt idx="1332">
                    <c:v>JFQF 77</c:v>
                  </c:pt>
                  <c:pt idx="1333">
                    <c:v>JVQM20</c:v>
                  </c:pt>
                  <c:pt idx="1334">
                    <c:v>45</c:v>
                  </c:pt>
                  <c:pt idx="1335">
                    <c:v>34</c:v>
                  </c:pt>
                  <c:pt idx="1336">
                    <c:v>25</c:v>
                  </c:pt>
                  <c:pt idx="1337">
                    <c:v>33</c:v>
                  </c:pt>
                  <c:pt idx="1339">
                    <c:v>28</c:v>
                  </c:pt>
                  <c:pt idx="1340">
                    <c:v>35</c:v>
                  </c:pt>
                  <c:pt idx="1341">
                    <c:v>45</c:v>
                  </c:pt>
                  <c:pt idx="1342">
                    <c:v>JVERH 33</c:v>
                  </c:pt>
                  <c:pt idx="1343">
                    <c:v>33</c:v>
                  </c:pt>
                  <c:pt idx="1344">
                    <c:v>JVLL45</c:v>
                  </c:pt>
                  <c:pt idx="1346">
                    <c:v>IVIP 34</c:v>
                  </c:pt>
                  <c:pt idx="1347">
                    <c:v>JVQM30</c:v>
                  </c:pt>
                  <c:pt idx="1348">
                    <c:v>IVQM36</c:v>
                  </c:pt>
                  <c:pt idx="1349">
                    <c:v>JVMO38C</c:v>
                  </c:pt>
                  <c:pt idx="1353">
                    <c:v>JVCB 30</c:v>
                  </c:pt>
                  <c:pt idx="1354">
                    <c:v>JVQM36</c:v>
                  </c:pt>
                  <c:pt idx="1355">
                    <c:v>37AC</c:v>
                  </c:pt>
                  <c:pt idx="1356">
                    <c:v>46 AC</c:v>
                  </c:pt>
                  <c:pt idx="1357">
                    <c:v>57 AC</c:v>
                  </c:pt>
                  <c:pt idx="1360">
                    <c:v>IVIP 43</c:v>
                  </c:pt>
                  <c:pt idx="1361">
                    <c:v>25</c:v>
                  </c:pt>
                  <c:pt idx="1362">
                    <c:v>20</c:v>
                  </c:pt>
                  <c:pt idx="1363">
                    <c:v>16</c:v>
                  </c:pt>
                  <c:pt idx="1364">
                    <c:v>23</c:v>
                  </c:pt>
                  <c:pt idx="1365">
                    <c:v>8</c:v>
                  </c:pt>
                  <c:pt idx="1366">
                    <c:v>10</c:v>
                  </c:pt>
                  <c:pt idx="1367">
                    <c:v>12</c:v>
                  </c:pt>
                  <c:pt idx="1368">
                    <c:v>14</c:v>
                  </c:pt>
                  <c:pt idx="1369">
                    <c:v>18</c:v>
                  </c:pt>
                  <c:pt idx="1370">
                    <c:v>12</c:v>
                  </c:pt>
                  <c:pt idx="1371">
                    <c:v>15</c:v>
                  </c:pt>
                  <c:pt idx="1372">
                    <c:v>17</c:v>
                  </c:pt>
                  <c:pt idx="1373">
                    <c:v>20</c:v>
                  </c:pt>
                  <c:pt idx="1374">
                    <c:v>30x40</c:v>
                  </c:pt>
                  <c:pt idx="1375">
                    <c:v>40X30</c:v>
                  </c:pt>
                  <c:pt idx="1376">
                    <c:v>11 cm</c:v>
                  </c:pt>
                  <c:pt idx="1377">
                    <c:v>14 cm</c:v>
                  </c:pt>
                  <c:pt idx="1378">
                    <c:v>19 cm</c:v>
                  </c:pt>
                  <c:pt idx="1379">
                    <c:v>16X13X9</c:v>
                  </c:pt>
                  <c:pt idx="1380">
                    <c:v>14</c:v>
                  </c:pt>
                  <c:pt idx="1381">
                    <c:v>18</c:v>
                  </c:pt>
                  <c:pt idx="1382">
                    <c:v>ch 8 cm </c:v>
                  </c:pt>
                  <c:pt idx="1383">
                    <c:v>gde</c:v>
                  </c:pt>
                  <c:pt idx="1384">
                    <c:v>7 cmx7</c:v>
                  </c:pt>
                  <c:pt idx="1385">
                    <c:v>9 cm</c:v>
                  </c:pt>
                  <c:pt idx="1386">
                    <c:v>1,5</c:v>
                  </c:pt>
                  <c:pt idx="1388">
                    <c:v>*</c:v>
                  </c:pt>
                  <c:pt idx="1389">
                    <c:v>n 5</c:v>
                  </c:pt>
                  <c:pt idx="1390">
                    <c:v>n 6</c:v>
                  </c:pt>
                  <c:pt idx="1391">
                    <c:v>n 7</c:v>
                  </c:pt>
                  <c:pt idx="1392">
                    <c:v>3,5</c:v>
                  </c:pt>
                  <c:pt idx="1393">
                    <c:v>5</c:v>
                  </c:pt>
                  <c:pt idx="1402">
                    <c:v>3</c:v>
                  </c:pt>
                  <c:pt idx="1403">
                    <c:v>30X24</c:v>
                  </c:pt>
                  <c:pt idx="1404">
                    <c:v>26x20</c:v>
                  </c:pt>
                  <c:pt idx="1405">
                    <c:v>33 cm</c:v>
                  </c:pt>
                  <c:pt idx="1406">
                    <c:v>18 cm</c:v>
                  </c:pt>
                  <c:pt idx="1407">
                    <c:v>colores brillosos</c:v>
                  </c:pt>
                  <c:pt idx="1408">
                    <c:v>13</c:v>
                  </c:pt>
                  <c:pt idx="1409">
                    <c:v>15</c:v>
                  </c:pt>
                  <c:pt idx="1410">
                    <c:v>17</c:v>
                  </c:pt>
                  <c:pt idx="1411">
                    <c:v>19</c:v>
                  </c:pt>
                  <c:pt idx="1412">
                    <c:v>21</c:v>
                  </c:pt>
                  <c:pt idx="1413">
                    <c:v>24</c:v>
                  </c:pt>
                  <c:pt idx="1414">
                    <c:v>27</c:v>
                  </c:pt>
                  <c:pt idx="1415">
                    <c:v>30</c:v>
                  </c:pt>
                  <c:pt idx="1416">
                    <c:v>35</c:v>
                  </c:pt>
                  <c:pt idx="1417">
                    <c:v>40</c:v>
                  </c:pt>
                  <c:pt idx="1418">
                    <c:v>60</c:v>
                  </c:pt>
                  <c:pt idx="1419">
                    <c:v>3,6 lt</c:v>
                  </c:pt>
                  <c:pt idx="1420">
                    <c:v>5 lts</c:v>
                  </c:pt>
                  <c:pt idx="1421">
                    <c:v>8,5 lt</c:v>
                  </c:pt>
                  <c:pt idx="1422">
                    <c:v>7 lts</c:v>
                  </c:pt>
                  <c:pt idx="1423">
                    <c:v>10 lts</c:v>
                  </c:pt>
                  <c:pt idx="1424">
                    <c:v>11 lt</c:v>
                  </c:pt>
                  <c:pt idx="1425">
                    <c:v>14,3 lt</c:v>
                  </c:pt>
                  <c:pt idx="1426">
                    <c:v>18 lt</c:v>
                  </c:pt>
                  <c:pt idx="1427">
                    <c:v>33 lts</c:v>
                  </c:pt>
                  <c:pt idx="1428">
                    <c:v>39,5 lt</c:v>
                  </c:pt>
                  <c:pt idx="1429">
                    <c:v>50 lt</c:v>
                  </c:pt>
                  <c:pt idx="1433">
                    <c:v>21x17x12</c:v>
                  </c:pt>
                  <c:pt idx="1435">
                    <c:v>18</c:v>
                  </c:pt>
                  <c:pt idx="1436">
                    <c:v>1 kg</c:v>
                  </c:pt>
                  <c:pt idx="1437">
                    <c:v>25 kg</c:v>
                  </c:pt>
                  <c:pt idx="1438">
                    <c:v>25 kg</c:v>
                  </c:pt>
                  <c:pt idx="1439">
                    <c:v>1 kg</c:v>
                  </c:pt>
                  <c:pt idx="1440">
                    <c:v>20 ml</c:v>
                  </c:pt>
                  <c:pt idx="1441">
                    <c:v>mtr</c:v>
                  </c:pt>
                  <c:pt idx="1442">
                    <c:v>mtr</c:v>
                  </c:pt>
                  <c:pt idx="1443">
                    <c:v>mtr</c:v>
                  </c:pt>
                  <c:pt idx="1444">
                    <c:v>2,1</c:v>
                  </c:pt>
                  <c:pt idx="1446">
                    <c:v>100 mts</c:v>
                  </c:pt>
                  <c:pt idx="1447">
                    <c:v>1 mt lineal</c:v>
                  </c:pt>
                  <c:pt idx="1448">
                    <c:v>mt cuadrado</c:v>
                  </c:pt>
                  <c:pt idx="1449">
                    <c:v>0</c:v>
                  </c:pt>
                  <c:pt idx="1452">
                    <c:v>50 pies</c:v>
                  </c:pt>
                  <c:pt idx="1453">
                    <c:v>3/4x100mtr</c:v>
                  </c:pt>
                  <c:pt idx="1454">
                    <c:v>0</c:v>
                  </c:pt>
                  <c:pt idx="1455">
                    <c:v>10 mt</c:v>
                  </c:pt>
                  <c:pt idx="1456">
                    <c:v>15 mt</c:v>
                  </c:pt>
                  <c:pt idx="1457">
                    <c:v>15 mt</c:v>
                  </c:pt>
                  <c:pt idx="1458">
                    <c:v>60 pies</c:v>
                  </c:pt>
                  <c:pt idx="1460">
                    <c:v>10 CM X 50 CM</c:v>
                  </c:pt>
                  <c:pt idx="1461">
                    <c:v>20 cn</c:v>
                  </c:pt>
                  <c:pt idx="1463">
                    <c:v>120maples</c:v>
                  </c:pt>
                  <c:pt idx="1464">
                    <c:v>c/u</c:v>
                  </c:pt>
                  <c:pt idx="1466">
                    <c:v>1,2 kg</c:v>
                  </c:pt>
                  <c:pt idx="1467">
                    <c:v>100gr</c:v>
                  </c:pt>
                  <c:pt idx="1468">
                    <c:v>360 c,c</c:v>
                  </c:pt>
                  <c:pt idx="1470">
                    <c:v>30x52</c:v>
                  </c:pt>
                  <c:pt idx="1471">
                    <c:v>24 blister</c:v>
                  </c:pt>
                  <c:pt idx="1472">
                    <c:v>pastilla</c:v>
                  </c:pt>
                  <c:pt idx="1473">
                    <c:v>blister</c:v>
                  </c:pt>
                  <c:pt idx="1474">
                    <c:v> 500 grs1 ltr</c:v>
                  </c:pt>
                  <c:pt idx="1475">
                    <c:v>125 grs(250cc)</c:v>
                  </c:pt>
                  <c:pt idx="1476">
                    <c:v>1 ltr</c:v>
                  </c:pt>
                  <c:pt idx="1477">
                    <c:v>50 ml</c:v>
                  </c:pt>
                  <c:pt idx="1478">
                    <c:v>30 ml</c:v>
                  </c:pt>
                  <c:pt idx="1479">
                    <c:v>15 gr</c:v>
                  </c:pt>
                  <c:pt idx="1481">
                    <c:v>c/u</c:v>
                  </c:pt>
                  <c:pt idx="1482">
                    <c:v>16 lt</c:v>
                  </c:pt>
                  <c:pt idx="1483">
                    <c:v>34x25x42</c:v>
                  </c:pt>
                  <c:pt idx="1484">
                    <c:v>0</c:v>
                  </c:pt>
                  <c:pt idx="1485">
                    <c:v>25 kg</c:v>
                  </c:pt>
                  <c:pt idx="1486">
                    <c:v>40 kg</c:v>
                  </c:pt>
                  <c:pt idx="1487">
                    <c:v>kgr</c:v>
                  </c:pt>
                  <c:pt idx="1493">
                    <c:v>c/u</c:v>
                  </c:pt>
                  <c:pt idx="1494">
                    <c:v>0</c:v>
                  </c:pt>
                  <c:pt idx="1495">
                    <c:v>0</c:v>
                  </c:pt>
                  <c:pt idx="1496">
                    <c:v>45 cn</c:v>
                  </c:pt>
                  <c:pt idx="1497">
                    <c:v>600 ml</c:v>
                  </c:pt>
                  <c:pt idx="1498">
                    <c:v>2 unidades</c:v>
                  </c:pt>
                  <c:pt idx="1499">
                    <c:v>50 mm</c:v>
                  </c:pt>
                  <c:pt idx="1500">
                    <c:v>70mm</c:v>
                  </c:pt>
                  <c:pt idx="1501">
                    <c:v>80 mm</c:v>
                  </c:pt>
                  <c:pt idx="1502">
                    <c:v>90 mm</c:v>
                  </c:pt>
                  <c:pt idx="1503">
                    <c:v>50 lt</c:v>
                  </c:pt>
                  <c:pt idx="1506">
                    <c:v>10 lt</c:v>
                  </c:pt>
                  <c:pt idx="1507">
                    <c:v>30 c.c.</c:v>
                  </c:pt>
                  <c:pt idx="1508">
                    <c:v>caja 12</c:v>
                  </c:pt>
                  <c:pt idx="1509">
                    <c:v>20c,c,</c:v>
                  </c:pt>
                  <c:pt idx="1510">
                    <c:v>24x10x10</c:v>
                  </c:pt>
                  <c:pt idx="1512">
                    <c:v>11,5X11,5X24</c:v>
                  </c:pt>
                  <c:pt idx="1513">
                    <c:v>0</c:v>
                  </c:pt>
                  <c:pt idx="1514">
                    <c:v>c/u</c:v>
                  </c:pt>
                  <c:pt idx="1515">
                    <c:v>c/u</c:v>
                  </c:pt>
                  <c:pt idx="1517">
                    <c:v>10x6</c:v>
                  </c:pt>
                  <c:pt idx="1518">
                    <c:v>c/u</c:v>
                  </c:pt>
                  <c:pt idx="1519">
                    <c:v>1 tr</c:v>
                  </c:pt>
                  <c:pt idx="1520">
                    <c:v>100 c,c</c:v>
                  </c:pt>
                  <c:pt idx="1522">
                    <c:v>450 grs,</c:v>
                  </c:pt>
                  <c:pt idx="1523">
                    <c:v>325 grs</c:v>
                  </c:pt>
                  <c:pt idx="1524">
                    <c:v>5 KG</c:v>
                  </c:pt>
                  <c:pt idx="1525">
                    <c:v>100 GRS</c:v>
                  </c:pt>
                  <c:pt idx="1527">
                    <c:v>c/u</c:v>
                  </c:pt>
                  <c:pt idx="1528">
                    <c:v>85 GRS</c:v>
                  </c:pt>
                  <c:pt idx="1529">
                    <c:v>850 gr</c:v>
                  </c:pt>
                  <c:pt idx="1530">
                    <c:v>kg</c:v>
                  </c:pt>
                  <c:pt idx="1531">
                    <c:v>100 gr</c:v>
                  </c:pt>
                  <c:pt idx="1532">
                    <c:v>c/u</c:v>
                  </c:pt>
                  <c:pt idx="1534">
                    <c:v>67 cn</c:v>
                  </c:pt>
                  <c:pt idx="1535">
                    <c:v>c/u</c:v>
                  </c:pt>
                  <c:pt idx="1536">
                    <c:v>30x8 cm</c:v>
                  </c:pt>
                  <c:pt idx="1537">
                    <c:v>26 cm</c:v>
                  </c:pt>
                  <c:pt idx="1538">
                    <c:v>12</c:v>
                  </c:pt>
                  <c:pt idx="1539">
                    <c:v>0</c:v>
                  </c:pt>
                  <c:pt idx="1541">
                    <c:v>35x8</c:v>
                  </c:pt>
                  <c:pt idx="1542">
                    <c:v>25 x9</c:v>
                  </c:pt>
                  <c:pt idx="1543">
                    <c:v>bolsita 5 gr</c:v>
                  </c:pt>
                  <c:pt idx="1546">
                    <c:v>0</c:v>
                  </c:pt>
                  <c:pt idx="1547">
                    <c:v>0</c:v>
                  </c:pt>
                  <c:pt idx="1548">
                    <c:v>kg</c:v>
                  </c:pt>
                  <c:pt idx="1549">
                    <c:v>160 gr</c:v>
                  </c:pt>
                  <c:pt idx="1550">
                    <c:v>600 grs</c:v>
                  </c:pt>
                  <c:pt idx="1551">
                    <c:v>160 ggr</c:v>
                  </c:pt>
                  <c:pt idx="1553">
                    <c:v>186 gr</c:v>
                  </c:pt>
                  <c:pt idx="1554">
                    <c:v>93 grs</c:v>
                  </c:pt>
                  <c:pt idx="1555">
                    <c:v>c/u</c:v>
                  </c:pt>
                  <c:pt idx="1556">
                    <c:v>10-25 kg</c:v>
                  </c:pt>
                  <c:pt idx="1557">
                    <c:v>25-50</c:v>
                  </c:pt>
                  <c:pt idx="1558">
                    <c:v>4-10kg</c:v>
                  </c:pt>
                  <c:pt idx="1559">
                    <c:v>2-4 kg</c:v>
                  </c:pt>
                  <c:pt idx="1560">
                    <c:v>150 grs</c:v>
                  </c:pt>
                  <c:pt idx="1561">
                    <c:v>80x40x25en 4 mm</c:v>
                  </c:pt>
                  <c:pt idx="1562">
                    <c:v>40x40x25 en 4 mm</c:v>
                  </c:pt>
                  <c:pt idx="1563">
                    <c:v>33x30x17</c:v>
                  </c:pt>
                  <c:pt idx="1564">
                    <c:v>38x20x16</c:v>
                  </c:pt>
                  <c:pt idx="1565">
                    <c:v>40x27x16</c:v>
                  </c:pt>
                  <c:pt idx="1566">
                    <c:v>80 x25x 40 h</c:v>
                  </c:pt>
                  <c:pt idx="1567">
                    <c:v>RS 380 C</c:v>
                  </c:pt>
                  <c:pt idx="1568">
                    <c:v>30 LTRS380A</c:v>
                  </c:pt>
                  <c:pt idx="1569">
                    <c:v>17x15</c:v>
                  </c:pt>
                  <c:pt idx="1570">
                    <c:v>8 kg</c:v>
                  </c:pt>
                  <c:pt idx="1571">
                    <c:v>21 kg</c:v>
                  </c:pt>
                  <c:pt idx="1572">
                    <c:v>19x26</c:v>
                  </c:pt>
                  <c:pt idx="1574">
                    <c:v>1*29cm</c:v>
                  </c:pt>
                  <c:pt idx="1575">
                    <c:v>caja 24 unidades</c:v>
                  </c:pt>
                  <c:pt idx="1577">
                    <c:v>3  u nidades</c:v>
                  </c:pt>
                  <c:pt idx="1582">
                    <c:v>35 cm</c:v>
                  </c:pt>
                  <c:pt idx="1584">
                    <c:v>125dm3</c:v>
                  </c:pt>
                  <c:pt idx="1585">
                    <c:v>50 lt-11kg</c:v>
                  </c:pt>
                  <c:pt idx="1586">
                    <c:v>200 gr</c:v>
                  </c:pt>
                  <c:pt idx="1587">
                    <c:v>50 ltr</c:v>
                  </c:pt>
                  <c:pt idx="1588">
                    <c:v>7 kgr</c:v>
                  </c:pt>
                  <c:pt idx="1589">
                    <c:v>15 kg</c:v>
                  </c:pt>
                  <c:pt idx="1590">
                    <c:v>7kg</c:v>
                  </c:pt>
                  <c:pt idx="1591">
                    <c:v>25 kg</c:v>
                  </c:pt>
                  <c:pt idx="1592">
                    <c:v>1 kg</c:v>
                  </c:pt>
                  <c:pt idx="1593">
                    <c:v>25 kg</c:v>
                  </c:pt>
                  <c:pt idx="1594">
                    <c:v>1 kg</c:v>
                  </c:pt>
                  <c:pt idx="1595">
                    <c:v>7 kg</c:v>
                  </c:pt>
                  <c:pt idx="1596">
                    <c:v>1 KG</c:v>
                  </c:pt>
                  <c:pt idx="1597">
                    <c:v>10,1 KG</c:v>
                  </c:pt>
                  <c:pt idx="1598">
                    <c:v>25kg</c:v>
                  </c:pt>
                  <c:pt idx="1599">
                    <c:v>18 kg</c:v>
                  </c:pt>
                  <c:pt idx="1600">
                    <c:v>1kg</c:v>
                  </c:pt>
                  <c:pt idx="1601">
                    <c:v>7kg</c:v>
                  </c:pt>
                  <c:pt idx="1602">
                    <c:v>18 kg</c:v>
                  </c:pt>
                  <c:pt idx="1603">
                    <c:v>1kg</c:v>
                  </c:pt>
                  <c:pt idx="1604">
                    <c:v>8kg</c:v>
                  </c:pt>
                  <c:pt idx="1605">
                    <c:v>22 kg</c:v>
                  </c:pt>
                  <c:pt idx="1606">
                    <c:v>1 kg</c:v>
                  </c:pt>
                  <c:pt idx="1607">
                    <c:v>8 KG</c:v>
                  </c:pt>
                  <c:pt idx="1608">
                    <c:v>8 kg</c:v>
                  </c:pt>
                  <c:pt idx="1609">
                    <c:v>7 KG</c:v>
                  </c:pt>
                  <c:pt idx="1610">
                    <c:v>8 kg</c:v>
                  </c:pt>
                  <c:pt idx="1611">
                    <c:v>24 kg</c:v>
                  </c:pt>
                  <c:pt idx="1612">
                    <c:v>1 kg</c:v>
                  </c:pt>
                  <c:pt idx="1613">
                    <c:v>24 kg</c:v>
                  </c:pt>
                  <c:pt idx="1614">
                    <c:v>kg</c:v>
                  </c:pt>
                  <c:pt idx="1615">
                    <c:v>7,5 KG</c:v>
                  </c:pt>
                  <c:pt idx="1616">
                    <c:v>1 kg</c:v>
                  </c:pt>
                  <c:pt idx="1617">
                    <c:v>15 kg</c:v>
                  </c:pt>
                  <c:pt idx="1618">
                    <c:v>7 kgr</c:v>
                  </c:pt>
                  <c:pt idx="1619">
                    <c:v>25 kgr</c:v>
                  </c:pt>
                  <c:pt idx="1620">
                    <c:v>15 kg</c:v>
                  </c:pt>
                  <c:pt idx="1621">
                    <c:v>22 kg</c:v>
                  </c:pt>
                  <c:pt idx="1622">
                    <c:v>10 kg</c:v>
                  </c:pt>
                  <c:pt idx="1623">
                    <c:v>1 kg</c:v>
                  </c:pt>
                  <c:pt idx="1624">
                    <c:v>21 kg</c:v>
                  </c:pt>
                  <c:pt idx="1625">
                    <c:v>8 kg</c:v>
                  </c:pt>
                  <c:pt idx="1626">
                    <c:v>25 kg</c:v>
                  </c:pt>
                  <c:pt idx="1627">
                    <c:v>8 kg</c:v>
                  </c:pt>
                  <c:pt idx="1628">
                    <c:v>21 kg</c:v>
                  </c:pt>
                  <c:pt idx="1629">
                    <c:v>21 kg</c:v>
                  </c:pt>
                  <c:pt idx="1630">
                    <c:v>8 kg</c:v>
                  </c:pt>
                  <c:pt idx="1631">
                    <c:v>1 kgr</c:v>
                  </c:pt>
                  <c:pt idx="1632">
                    <c:v>21 kg</c:v>
                  </c:pt>
                  <c:pt idx="1633">
                    <c:v>1 kg</c:v>
                  </c:pt>
                  <c:pt idx="1634">
                    <c:v>1 kg</c:v>
                  </c:pt>
                  <c:pt idx="1635">
                    <c:v>7 kg</c:v>
                  </c:pt>
                  <c:pt idx="1636">
                    <c:v>20</c:v>
                  </c:pt>
                  <c:pt idx="1637">
                    <c:v>1 kg</c:v>
                  </c:pt>
                  <c:pt idx="1638">
                    <c:v>1 kg</c:v>
                  </c:pt>
                  <c:pt idx="1639">
                    <c:v>20 kg</c:v>
                  </c:pt>
                  <c:pt idx="1640">
                    <c:v>20 kg</c:v>
                  </c:pt>
                  <c:pt idx="1641">
                    <c:v>8 kg</c:v>
                  </c:pt>
                  <c:pt idx="1642">
                    <c:v>15 kg</c:v>
                  </c:pt>
                  <c:pt idx="1643">
                    <c:v>25 kg</c:v>
                  </c:pt>
                  <c:pt idx="1644">
                    <c:v>5 kg</c:v>
                  </c:pt>
                  <c:pt idx="1645">
                    <c:v>15 kg</c:v>
                  </c:pt>
                  <c:pt idx="1646">
                    <c:v>25 kg</c:v>
                  </c:pt>
                  <c:pt idx="1647">
                    <c:v>8 kg</c:v>
                  </c:pt>
                  <c:pt idx="1648">
                    <c:v>8 kg</c:v>
                  </c:pt>
                  <c:pt idx="1651">
                    <c:v>50 gr</c:v>
                  </c:pt>
                  <c:pt idx="1654">
                    <c:v>8</c:v>
                  </c:pt>
                  <c:pt idx="1655">
                    <c:v>47 gr</c:v>
                  </c:pt>
                  <c:pt idx="1656">
                    <c:v>22 gr</c:v>
                  </c:pt>
                  <c:pt idx="1658">
                    <c:v>10"</c:v>
                  </c:pt>
                  <c:pt idx="1659">
                    <c:v>4"</c:v>
                  </c:pt>
                  <c:pt idx="1660">
                    <c:v>6"</c:v>
                  </c:pt>
                  <c:pt idx="1661">
                    <c:v>c/u</c:v>
                  </c:pt>
                  <c:pt idx="1662">
                    <c:v>2 kg</c:v>
                  </c:pt>
                  <c:pt idx="1663">
                    <c:v>4 kg</c:v>
                  </c:pt>
                  <c:pt idx="1664">
                    <c:v>1,7kg</c:v>
                  </c:pt>
                  <c:pt idx="1665">
                    <c:v>3,800 litros</c:v>
                  </c:pt>
                  <c:pt idx="1666">
                    <c:v>15 kg</c:v>
                  </c:pt>
                  <c:pt idx="1667">
                    <c:v>1 kg</c:v>
                  </c:pt>
                  <c:pt idx="1668">
                    <c:v>500 GR</c:v>
                  </c:pt>
                  <c:pt idx="1669">
                    <c:v>45x17</c:v>
                  </c:pt>
                  <c:pt idx="1670">
                    <c:v>0</c:v>
                  </c:pt>
                  <c:pt idx="1671">
                    <c:v>1835 cm</c:v>
                  </c:pt>
                  <c:pt idx="1672">
                    <c:v>100 cc</c:v>
                  </c:pt>
                  <c:pt idx="1673">
                    <c:v>50 grs</c:v>
                  </c:pt>
                  <c:pt idx="1674">
                    <c:v>10-20 kg</c:v>
                  </c:pt>
                  <c:pt idx="1675">
                    <c:v>hasta 10 kg</c:v>
                  </c:pt>
                  <c:pt idx="1676">
                    <c:v>2-10 kg</c:v>
                  </c:pt>
                  <c:pt idx="1677">
                    <c:v>10-20kg</c:v>
                  </c:pt>
                  <c:pt idx="1678">
                    <c:v>hasta 4 kg</c:v>
                  </c:pt>
                  <c:pt idx="1679">
                    <c:v>mas de 4 kg</c:v>
                  </c:pt>
                  <c:pt idx="1680">
                    <c:v>5A10 KG</c:v>
                  </c:pt>
                  <c:pt idx="1681">
                    <c:v>10-kg</c:v>
                  </c:pt>
                  <c:pt idx="1682">
                    <c:v>10-25 kg</c:v>
                  </c:pt>
                  <c:pt idx="1683">
                    <c:v>25-40 kg</c:v>
                  </c:pt>
                  <c:pt idx="1684">
                    <c:v>HASTA 5 KG</c:v>
                  </c:pt>
                  <c:pt idx="1685">
                    <c:v>mas de 4kg</c:v>
                  </c:pt>
                  <c:pt idx="1686">
                    <c:v>hasta 4 kg</c:v>
                  </c:pt>
                  <c:pt idx="1687">
                    <c:v>0</c:v>
                  </c:pt>
                  <c:pt idx="1688">
                    <c:v>20 a 40 kg</c:v>
                  </c:pt>
                  <c:pt idx="1689">
                    <c:v>gato</c:v>
                  </c:pt>
                  <c:pt idx="1690">
                    <c:v>3</c:v>
                  </c:pt>
                  <c:pt idx="1693">
                    <c:v>16*10*14</c:v>
                  </c:pt>
                  <c:pt idx="1694">
                    <c:v>12*5*28</c:v>
                  </c:pt>
                  <c:pt idx="1695">
                    <c:v>7*3*29</c:v>
                  </c:pt>
                  <c:pt idx="1697">
                    <c:v>12x11</c:v>
                  </c:pt>
                  <c:pt idx="1698">
                    <c:v>c/u</c:v>
                  </c:pt>
                  <c:pt idx="1699">
                    <c:v>0</c:v>
                  </c:pt>
                  <c:pt idx="1700">
                    <c:v>1221</c:v>
                  </c:pt>
                  <c:pt idx="1701">
                    <c:v>frondosa9x6x25</c:v>
                  </c:pt>
                  <c:pt idx="1702">
                    <c:v>30 cm</c:v>
                  </c:pt>
                  <c:pt idx="1704">
                    <c:v>c/u</c:v>
                  </c:pt>
                  <c:pt idx="1705">
                    <c:v>0</c:v>
                  </c:pt>
                  <c:pt idx="1709">
                    <c:v>c/u</c:v>
                  </c:pt>
                  <c:pt idx="1710">
                    <c:v>bolsa 20 cm x 2 unidades</c:v>
                  </c:pt>
                  <c:pt idx="1711">
                    <c:v>30 cm</c:v>
                  </c:pt>
                  <c:pt idx="1712">
                    <c:v>40 cm</c:v>
                  </c:pt>
                  <c:pt idx="1714">
                    <c:v>160 cc</c:v>
                  </c:pt>
                  <c:pt idx="1715">
                    <c:v>160 CC</c:v>
                  </c:pt>
                  <c:pt idx="1716">
                    <c:v>2 plat</c:v>
                  </c:pt>
                  <c:pt idx="1717">
                    <c:v>20</c:v>
                  </c:pt>
                  <c:pt idx="1718">
                    <c:v>25</c:v>
                  </c:pt>
                  <c:pt idx="1719">
                    <c:v>30</c:v>
                  </c:pt>
                  <c:pt idx="1720">
                    <c:v>15x15</c:v>
                  </c:pt>
                  <c:pt idx="1721">
                    <c:v>20x20</c:v>
                  </c:pt>
                  <c:pt idx="1722">
                    <c:v>27x27</c:v>
                  </c:pt>
                  <c:pt idx="1723">
                    <c:v>n 11</c:v>
                  </c:pt>
                  <c:pt idx="1724">
                    <c:v>n 14</c:v>
                  </c:pt>
                </c:lvl>
                <c:lvl>
                  <c:pt idx="0">
                    <c:v> pie sepelio mediano grde</c:v>
                  </c:pt>
                  <c:pt idx="1">
                    <c:v>abamectina100 c,c,</c:v>
                  </c:pt>
                  <c:pt idx="2">
                    <c:v>ABATOP(abamectina)</c:v>
                  </c:pt>
                  <c:pt idx="3">
                    <c:v>Abono de mar</c:v>
                  </c:pt>
                  <c:pt idx="4">
                    <c:v>Abono de mar </c:v>
                  </c:pt>
                  <c:pt idx="5">
                    <c:v>aceite</c:v>
                  </c:pt>
                  <c:pt idx="6">
                    <c:v>aceite</c:v>
                  </c:pt>
                  <c:pt idx="7">
                    <c:v>aceite</c:v>
                  </c:pt>
                  <c:pt idx="8">
                    <c:v>aceite de neem</c:v>
                  </c:pt>
                  <c:pt idx="9">
                    <c:v>ACEITE DE NEEM</c:v>
                  </c:pt>
                  <c:pt idx="10">
                    <c:v>acople para manguera</c:v>
                  </c:pt>
                  <c:pt idx="11">
                    <c:v>acoples para manguera 3 piezas</c:v>
                  </c:pt>
                  <c:pt idx="12">
                    <c:v>acoples plastico p/manguera</c:v>
                  </c:pt>
                  <c:pt idx="13">
                    <c:v>activador </c:v>
                  </c:pt>
                  <c:pt idx="14">
                    <c:v>activador de  flores</c:v>
                  </c:pt>
                  <c:pt idx="15">
                    <c:v>adaptador 1/2</c:v>
                  </c:pt>
                  <c:pt idx="16">
                    <c:v>adaptador 1/2a3/4</c:v>
                  </c:pt>
                  <c:pt idx="17">
                    <c:v>adorno de corazon</c:v>
                  </c:pt>
                  <c:pt idx="18">
                    <c:v>adorno mica</c:v>
                  </c:pt>
                  <c:pt idx="19">
                    <c:v>adorno pecera</c:v>
                  </c:pt>
                  <c:pt idx="20">
                    <c:v>adorno pecera</c:v>
                  </c:pt>
                  <c:pt idx="21">
                    <c:v>adorno pecera</c:v>
                  </c:pt>
                  <c:pt idx="22">
                    <c:v>adorno pecera</c:v>
                  </c:pt>
                  <c:pt idx="23">
                    <c:v>adorno pecera</c:v>
                  </c:pt>
                  <c:pt idx="24">
                    <c:v>afrechillo molido de trigo</c:v>
                  </c:pt>
                  <c:pt idx="25">
                    <c:v>afrechillo molido de trigo </c:v>
                  </c:pt>
                  <c:pt idx="26">
                    <c:v>ahuyentador perro y gatos</c:v>
                  </c:pt>
                  <c:pt idx="27">
                    <c:v>aireador 1 salida 3w</c:v>
                  </c:pt>
                  <c:pt idx="28">
                    <c:v>aireador 1 salida 3w</c:v>
                  </c:pt>
                  <c:pt idx="29">
                    <c:v>aireador 1 salida rs-160</c:v>
                  </c:pt>
                  <c:pt idx="30">
                    <c:v>aireador 2 salida 5w</c:v>
                  </c:pt>
                  <c:pt idx="31">
                    <c:v>aireador 2 salidas rs-360</c:v>
                  </c:pt>
                  <c:pt idx="32">
                    <c:v>aireador 2 salidas rs-390</c:v>
                  </c:pt>
                  <c:pt idx="33">
                    <c:v>aireador 2,5lm  sl-2800</c:v>
                  </c:pt>
                  <c:pt idx="34">
                    <c:v>AKITO</c:v>
                  </c:pt>
                  <c:pt idx="35">
                    <c:v>alicate p/mascota</c:v>
                  </c:pt>
                  <c:pt idx="36">
                    <c:v>alimemtos p/plantas</c:v>
                  </c:pt>
                  <c:pt idx="37">
                    <c:v>alimento de tortuga</c:v>
                  </c:pt>
                  <c:pt idx="38">
                    <c:v>alimento gammarus</c:v>
                  </c:pt>
                  <c:pt idx="39">
                    <c:v>alimento gammarus</c:v>
                  </c:pt>
                  <c:pt idx="40">
                    <c:v>alimento gammarus</c:v>
                  </c:pt>
                  <c:pt idx="41">
                    <c:v>alimento gammarus</c:v>
                  </c:pt>
                  <c:pt idx="42">
                    <c:v>alimento godlfish flakes</c:v>
                  </c:pt>
                  <c:pt idx="43">
                    <c:v>alimento goldfish colour bits</c:v>
                  </c:pt>
                  <c:pt idx="44">
                    <c:v>alimento goldfish flakes </c:v>
                  </c:pt>
                  <c:pt idx="45">
                    <c:v>alimento goldfish flakes </c:v>
                  </c:pt>
                  <c:pt idx="46">
                    <c:v>alimento golfish </c:v>
                  </c:pt>
                  <c:pt idx="47">
                    <c:v>alimento grano mediano marron-verde</c:v>
                  </c:pt>
                  <c:pt idx="48">
                    <c:v>alimento p/tortugas alcon</c:v>
                  </c:pt>
                  <c:pt idx="49">
                    <c:v>alimento para estanque</c:v>
                  </c:pt>
                  <c:pt idx="50">
                    <c:v>alimento peleteado floatin green p/peces</c:v>
                  </c:pt>
                  <c:pt idx="51">
                    <c:v>alimento peleteado floatin green p/peces</c:v>
                  </c:pt>
                  <c:pt idx="52">
                    <c:v>alimento peleteado floatin green p/peces</c:v>
                  </c:pt>
                  <c:pt idx="53">
                    <c:v>alimento peleteado floatin green p/peces</c:v>
                  </c:pt>
                  <c:pt idx="54">
                    <c:v>alimento tortuga reptolife balde1,100 kg</c:v>
                  </c:pt>
                  <c:pt idx="55">
                    <c:v>alimento tortugaalcon</c:v>
                  </c:pt>
                  <c:pt idx="56">
                    <c:v>alimento tortugas tartafood</c:v>
                  </c:pt>
                  <c:pt idx="57">
                    <c:v>alimento tortugas tartafood</c:v>
                  </c:pt>
                  <c:pt idx="58">
                    <c:v>alimento tortugas tartafood</c:v>
                  </c:pt>
                  <c:pt idx="59">
                    <c:v>alimentos p/plantas CRECE MAS</c:v>
                  </c:pt>
                  <c:pt idx="60">
                    <c:v>almaciguera</c:v>
                  </c:pt>
                  <c:pt idx="61">
                    <c:v>almaciguera</c:v>
                  </c:pt>
                  <c:pt idx="62">
                    <c:v>almaciguera</c:v>
                  </c:pt>
                  <c:pt idx="63">
                    <c:v>ALMACIGUERA </c:v>
                  </c:pt>
                  <c:pt idx="64">
                    <c:v>almaciguera 288 cavidades</c:v>
                  </c:pt>
                  <c:pt idx="65">
                    <c:v>almaciguera 50 cavidades </c:v>
                  </c:pt>
                  <c:pt idx="66">
                    <c:v>almacigueras</c:v>
                  </c:pt>
                  <c:pt idx="67">
                    <c:v>almacigueras x 106 espacios</c:v>
                  </c:pt>
                  <c:pt idx="68">
                    <c:v>almacigueras x 200 espacios</c:v>
                  </c:pt>
                  <c:pt idx="69">
                    <c:v>almacigueras x 21 espacios</c:v>
                  </c:pt>
                  <c:pt idx="70">
                    <c:v>almacigueras x 32 espacios</c:v>
                  </c:pt>
                  <c:pt idx="71">
                    <c:v>almohadon corazon</c:v>
                  </c:pt>
                  <c:pt idx="72">
                    <c:v>alpiste</c:v>
                  </c:pt>
                  <c:pt idx="73">
                    <c:v>alpiste</c:v>
                  </c:pt>
                  <c:pt idx="74">
                    <c:v>alpiste</c:v>
                  </c:pt>
                  <c:pt idx="75">
                    <c:v>alpiste</c:v>
                  </c:pt>
                  <c:pt idx="76">
                    <c:v>antorcha</c:v>
                  </c:pt>
                  <c:pt idx="77">
                    <c:v>antorcha</c:v>
                  </c:pt>
                  <c:pt idx="78">
                    <c:v>antorcha 120cc</c:v>
                  </c:pt>
                  <c:pt idx="79">
                    <c:v>antorcha 150cc</c:v>
                  </c:pt>
                  <c:pt idx="80">
                    <c:v>appril antiparasitario</c:v>
                  </c:pt>
                  <c:pt idx="81">
                    <c:v>appril antiparasitario</c:v>
                  </c:pt>
                  <c:pt idx="82">
                    <c:v>appril antiparasitario</c:v>
                  </c:pt>
                  <c:pt idx="83">
                    <c:v>ARO MIMBRE CHICO</c:v>
                  </c:pt>
                  <c:pt idx="84">
                    <c:v>ARO MIMBRE GRANDE</c:v>
                  </c:pt>
                  <c:pt idx="85">
                    <c:v>aros coronas</c:v>
                  </c:pt>
                  <c:pt idx="86">
                    <c:v>aros coronas</c:v>
                  </c:pt>
                  <c:pt idx="87">
                    <c:v>aros coronas</c:v>
                  </c:pt>
                  <c:pt idx="88">
                    <c:v>arrozin</c:v>
                  </c:pt>
                  <c:pt idx="89">
                    <c:v>arrozin</c:v>
                  </c:pt>
                  <c:pt idx="90">
                    <c:v>aspersor giratorio</c:v>
                  </c:pt>
                  <c:pt idx="91">
                    <c:v>ASPERSOR GIRATORIO</c:v>
                  </c:pt>
                  <c:pt idx="92">
                    <c:v>aspersor giratorio</c:v>
                  </c:pt>
                  <c:pt idx="93">
                    <c:v>ATADO FOLLAJE X 3 HOJAS VERDES</c:v>
                  </c:pt>
                  <c:pt idx="94">
                    <c:v>atado ilusion</c:v>
                  </c:pt>
                  <c:pt idx="95">
                    <c:v>atado rosa</c:v>
                  </c:pt>
                  <c:pt idx="96">
                    <c:v>atado x 6 cala</c:v>
                  </c:pt>
                  <c:pt idx="97">
                    <c:v>azomite</c:v>
                  </c:pt>
                  <c:pt idx="98">
                    <c:v>azufre en polvo industrial</c:v>
                  </c:pt>
                  <c:pt idx="99">
                    <c:v>azufre en polvo industrial</c:v>
                  </c:pt>
                  <c:pt idx="100">
                    <c:v>azufre mojable </c:v>
                  </c:pt>
                  <c:pt idx="101">
                    <c:v>azufre mojable sulfagro</c:v>
                  </c:pt>
                  <c:pt idx="102">
                    <c:v>azufre seco</c:v>
                  </c:pt>
                  <c:pt idx="103">
                    <c:v>babocol</c:v>
                  </c:pt>
                  <c:pt idx="104">
                    <c:v>baboxan organico pellet</c:v>
                  </c:pt>
                  <c:pt idx="105">
                    <c:v>baboxan pelets</c:v>
                  </c:pt>
                  <c:pt idx="106">
                    <c:v>baboxan pellets </c:v>
                  </c:pt>
                  <c:pt idx="107">
                    <c:v>baboxan polvo</c:v>
                  </c:pt>
                  <c:pt idx="108">
                    <c:v>baboxan polvo</c:v>
                  </c:pt>
                  <c:pt idx="109">
                    <c:v>BALDE ACERO INOX </c:v>
                  </c:pt>
                  <c:pt idx="110">
                    <c:v>bandeja plastico c/escamas</c:v>
                  </c:pt>
                  <c:pt idx="111">
                    <c:v>bandeja sanitaria</c:v>
                  </c:pt>
                  <c:pt idx="112">
                    <c:v>bandeja sanitaria</c:v>
                  </c:pt>
                  <c:pt idx="113">
                    <c:v>bandeja sanitaria alta luxo</c:v>
                  </c:pt>
                  <c:pt idx="114">
                    <c:v>bañera grande</c:v>
                  </c:pt>
                  <c:pt idx="115">
                    <c:v>bañera plastica chica</c:v>
                  </c:pt>
                  <c:pt idx="116">
                    <c:v>bañera plastica gigante</c:v>
                  </c:pt>
                  <c:pt idx="117">
                    <c:v>bañera plastica grande</c:v>
                  </c:pt>
                  <c:pt idx="118">
                    <c:v>bañera plastica mediada</c:v>
                  </c:pt>
                  <c:pt idx="119">
                    <c:v>barco galeon</c:v>
                  </c:pt>
                  <c:pt idx="120">
                    <c:v>barco hundido</c:v>
                  </c:pt>
                  <c:pt idx="121">
                    <c:v>barrera antihormigas</c:v>
                  </c:pt>
                  <c:pt idx="122">
                    <c:v>barricade </c:v>
                  </c:pt>
                  <c:pt idx="123">
                    <c:v>barricade 36 frascos</c:v>
                  </c:pt>
                  <c:pt idx="124">
                    <c:v>barrisan</c:v>
                  </c:pt>
                  <c:pt idx="125">
                    <c:v>Bat Guano</c:v>
                  </c:pt>
                  <c:pt idx="126">
                    <c:v>Bat Guano</c:v>
                  </c:pt>
                  <c:pt idx="127">
                    <c:v>bat guano</c:v>
                  </c:pt>
                  <c:pt idx="128">
                    <c:v>bat guano</c:v>
                  </c:pt>
                  <c:pt idx="129">
                    <c:v>BEBEDERO</c:v>
                  </c:pt>
                  <c:pt idx="130">
                    <c:v>bebedero </c:v>
                  </c:pt>
                  <c:pt idx="131">
                    <c:v>bebedero </c:v>
                  </c:pt>
                  <c:pt idx="132">
                    <c:v>bebedero con asa</c:v>
                  </c:pt>
                  <c:pt idx="133">
                    <c:v>bebedero con asa</c:v>
                  </c:pt>
                  <c:pt idx="134">
                    <c:v>BEBEDERO HAMSTER</c:v>
                  </c:pt>
                  <c:pt idx="135">
                    <c:v>bebedero hamster</c:v>
                  </c:pt>
                  <c:pt idx="136">
                    <c:v>bebedero jaula pajaro</c:v>
                  </c:pt>
                  <c:pt idx="137">
                    <c:v>bebedero nacional</c:v>
                  </c:pt>
                  <c:pt idx="138">
                    <c:v>bebedero p/pajaro grande</c:v>
                  </c:pt>
                  <c:pt idx="139">
                    <c:v>bebedero p/pajaro tubo</c:v>
                  </c:pt>
                  <c:pt idx="140">
                    <c:v>bebedero p/pajaros tubo</c:v>
                  </c:pt>
                  <c:pt idx="141">
                    <c:v>bebedero p/pajaros tubo</c:v>
                  </c:pt>
                  <c:pt idx="142">
                    <c:v>bebedero picaflor</c:v>
                  </c:pt>
                  <c:pt idx="143">
                    <c:v>bebedero picaflor 3 flores</c:v>
                  </c:pt>
                  <c:pt idx="144">
                    <c:v>bebedero picaflor beija flor gold</c:v>
                  </c:pt>
                  <c:pt idx="145">
                    <c:v>bebedero picaflor beija flor premium</c:v>
                  </c:pt>
                  <c:pt idx="146">
                    <c:v>bebedero picaflor chico</c:v>
                  </c:pt>
                  <c:pt idx="147">
                    <c:v>bebedero picaflor chico</c:v>
                  </c:pt>
                  <c:pt idx="148">
                    <c:v>bebedero picaflor especial</c:v>
                  </c:pt>
                  <c:pt idx="149">
                    <c:v>bebedero picaflor grande</c:v>
                  </c:pt>
                  <c:pt idx="150">
                    <c:v>bebedero picaflor mediano</c:v>
                  </c:pt>
                  <c:pt idx="151">
                    <c:v>bebedero picflor grande</c:v>
                  </c:pt>
                  <c:pt idx="152">
                    <c:v>bebedero picflor grande</c:v>
                  </c:pt>
                  <c:pt idx="153">
                    <c:v>bebedero plastico</c:v>
                  </c:pt>
                  <c:pt idx="154">
                    <c:v>bebedero plastico</c:v>
                  </c:pt>
                  <c:pt idx="155">
                    <c:v>bebedero plastico grande</c:v>
                  </c:pt>
                  <c:pt idx="156">
                    <c:v>bebedero plastico punta metal</c:v>
                  </c:pt>
                  <c:pt idx="157">
                    <c:v>bebedero plastico punta metal</c:v>
                  </c:pt>
                  <c:pt idx="158">
                    <c:v>bebedero plastico punta metal</c:v>
                  </c:pt>
                  <c:pt idx="159">
                    <c:v>bebedero plastico punta metal</c:v>
                  </c:pt>
                  <c:pt idx="160">
                    <c:v>bebedero plastico punta metal</c:v>
                  </c:pt>
                  <c:pt idx="161">
                    <c:v>bicarbonato de sodio</c:v>
                  </c:pt>
                  <c:pt idx="162">
                    <c:v>BICI METAL</c:v>
                  </c:pt>
                  <c:pt idx="163">
                    <c:v>BICI METAL GRANDE</c:v>
                  </c:pt>
                  <c:pt idx="164">
                    <c:v>BICI METAL MINI</c:v>
                  </c:pt>
                  <c:pt idx="165">
                    <c:v>bicicleta adorno</c:v>
                  </c:pt>
                  <c:pt idx="166">
                    <c:v>big one floraCION</c:v>
                  </c:pt>
                  <c:pt idx="167">
                    <c:v>bio funguicida</c:v>
                  </c:pt>
                  <c:pt idx="168">
                    <c:v>bio insecticida</c:v>
                  </c:pt>
                  <c:pt idx="169">
                    <c:v>bio-fertilizante</c:v>
                  </c:pt>
                  <c:pt idx="170">
                    <c:v>bio-fertilizante</c:v>
                  </c:pt>
                  <c:pt idx="171">
                    <c:v>bio-fertilizantes</c:v>
                  </c:pt>
                  <c:pt idx="172">
                    <c:v>biopellet compomite</c:v>
                  </c:pt>
                  <c:pt idx="173">
                    <c:v>biopellet componite</c:v>
                  </c:pt>
                  <c:pt idx="174">
                    <c:v>biorepelente</c:v>
                  </c:pt>
                  <c:pt idx="175">
                    <c:v>biosustrato</c:v>
                  </c:pt>
                  <c:pt idx="176">
                    <c:v>biosustrato</c:v>
                  </c:pt>
                  <c:pt idx="177">
                    <c:v>biscrok</c:v>
                  </c:pt>
                  <c:pt idx="178">
                    <c:v>biscrok</c:v>
                  </c:pt>
                  <c:pt idx="179">
                    <c:v>BLISTER COLLARES MASCOTAS /SONAJERO</c:v>
                  </c:pt>
                  <c:pt idx="180">
                    <c:v>BLISTER COLLARES MASCOTAS MOÑAC /SONAJERO</c:v>
                  </c:pt>
                  <c:pt idx="181">
                    <c:v>BOLS COCO 15</c:v>
                  </c:pt>
                  <c:pt idx="182">
                    <c:v>bols coco bols 20</c:v>
                  </c:pt>
                  <c:pt idx="183">
                    <c:v>bols coco bols 25</c:v>
                  </c:pt>
                  <c:pt idx="184">
                    <c:v>bols coco bols 30</c:v>
                  </c:pt>
                  <c:pt idx="185">
                    <c:v>bols coco bols 35</c:v>
                  </c:pt>
                  <c:pt idx="186">
                    <c:v>bols coco con plato y linga</c:v>
                  </c:pt>
                  <c:pt idx="187">
                    <c:v>bols coco con plato y linga</c:v>
                  </c:pt>
                  <c:pt idx="188">
                    <c:v>bols COLOR c/plato</c:v>
                  </c:pt>
                  <c:pt idx="189">
                    <c:v>bols COLOR c/plato</c:v>
                  </c:pt>
                  <c:pt idx="190">
                    <c:v>bols con cadena </c:v>
                  </c:pt>
                  <c:pt idx="191">
                    <c:v>bols con cadena </c:v>
                  </c:pt>
                  <c:pt idx="192">
                    <c:v>bols con cadena </c:v>
                  </c:pt>
                  <c:pt idx="193">
                    <c:v>bols con cadena chino</c:v>
                  </c:pt>
                  <c:pt idx="194">
                    <c:v>bols con cadena chino</c:v>
                  </c:pt>
                  <c:pt idx="195">
                    <c:v>BOLS RATAN</c:v>
                  </c:pt>
                  <c:pt idx="196">
                    <c:v>bols s/plato vicenza</c:v>
                  </c:pt>
                  <c:pt idx="197">
                    <c:v>bols s/plato VICENZA</c:v>
                  </c:pt>
                  <c:pt idx="198">
                    <c:v>bols s/plato VICENZA</c:v>
                  </c:pt>
                  <c:pt idx="199">
                    <c:v>bols s/plato VICENZA</c:v>
                  </c:pt>
                  <c:pt idx="200">
                    <c:v>bols s/plato VICENZA</c:v>
                  </c:pt>
                  <c:pt idx="201">
                    <c:v>BOLS TERRA</c:v>
                  </c:pt>
                  <c:pt idx="202">
                    <c:v>BOLS TERRA</c:v>
                  </c:pt>
                  <c:pt idx="203">
                    <c:v>bolsa 20x30</c:v>
                  </c:pt>
                  <c:pt idx="204">
                    <c:v>bolsa 28x40</c:v>
                  </c:pt>
                  <c:pt idx="205">
                    <c:v>bolsa 35x50</c:v>
                  </c:pt>
                  <c:pt idx="206">
                    <c:v>BOLSA CAMISETA-</c:v>
                  </c:pt>
                  <c:pt idx="207">
                    <c:v>bolsa camiseta con fuelle</c:v>
                  </c:pt>
                  <c:pt idx="208">
                    <c:v>bolsa camiseta recicble</c:v>
                  </c:pt>
                  <c:pt idx="209">
                    <c:v>bolsa camiseta recicble</c:v>
                  </c:pt>
                  <c:pt idx="210">
                    <c:v>bolsa p/ lavarropa</c:v>
                  </c:pt>
                  <c:pt idx="211">
                    <c:v>bolsa p/semilla p/p</c:v>
                  </c:pt>
                  <c:pt idx="212">
                    <c:v>bolsa papel n 3</c:v>
                  </c:pt>
                  <c:pt idx="213">
                    <c:v>bolsa vivero/kg</c:v>
                  </c:pt>
                  <c:pt idx="214">
                    <c:v>bolsa vivero/kg</c:v>
                  </c:pt>
                  <c:pt idx="215">
                    <c:v>bolsa vivero/kg</c:v>
                  </c:pt>
                  <c:pt idx="216">
                    <c:v>bolsa vivero/kg -1 LTR</c:v>
                  </c:pt>
                  <c:pt idx="217">
                    <c:v>bolsa vivero/kg-2 LTR</c:v>
                  </c:pt>
                  <c:pt idx="218">
                    <c:v>bolsoc/cierre</c:v>
                  </c:pt>
                  <c:pt idx="219">
                    <c:v>bolsos chicos</c:v>
                  </c:pt>
                  <c:pt idx="220">
                    <c:v>bolsos grande</c:v>
                  </c:pt>
                  <c:pt idx="221">
                    <c:v>bomba de agua</c:v>
                  </c:pt>
                  <c:pt idx="222">
                    <c:v>bomba de agua</c:v>
                  </c:pt>
                  <c:pt idx="223">
                    <c:v>Bomba de agua </c:v>
                  </c:pt>
                  <c:pt idx="224">
                    <c:v>bomba de agua 40 w 2000 ltr, hr 2 mtr h</c:v>
                  </c:pt>
                  <c:pt idx="225">
                    <c:v>bomba de agua 5 w350 ltr /h0,65 hrs-901</c:v>
                  </c:pt>
                  <c:pt idx="226">
                    <c:v>BOMBA DE AGUA AQUARIUM</c:v>
                  </c:pt>
                  <c:pt idx="227">
                    <c:v>botelle con rocedor</c:v>
                  </c:pt>
                  <c:pt idx="228">
                    <c:v>boyas con 3 tanzas</c:v>
                  </c:pt>
                  <c:pt idx="229">
                    <c:v>bozal cuero</c:v>
                  </c:pt>
                  <c:pt idx="230">
                    <c:v>bozal plastico</c:v>
                  </c:pt>
                  <c:pt idx="231">
                    <c:v>bozal plastico</c:v>
                  </c:pt>
                  <c:pt idx="232">
                    <c:v>bozal plastico</c:v>
                  </c:pt>
                  <c:pt idx="233">
                    <c:v>bozal plastico</c:v>
                  </c:pt>
                  <c:pt idx="234">
                    <c:v>brillo p/hojas</c:v>
                  </c:pt>
                  <c:pt idx="235">
                    <c:v>buche</c:v>
                  </c:pt>
                  <c:pt idx="236">
                    <c:v>BUD PACK top crop</c:v>
                  </c:pt>
                  <c:pt idx="237">
                    <c:v>cable alambre forrado de atar</c:v>
                  </c:pt>
                  <c:pt idx="238">
                    <c:v>cactus</c:v>
                  </c:pt>
                  <c:pt idx="239">
                    <c:v>cactus mix</c:v>
                  </c:pt>
                  <c:pt idx="240">
                    <c:v>cadena c/mauser y manija antides</c:v>
                  </c:pt>
                  <c:pt idx="241">
                    <c:v>cadena soldada para perro</c:v>
                  </c:pt>
                  <c:pt idx="242">
                    <c:v>cadena soldada para perro</c:v>
                  </c:pt>
                  <c:pt idx="243">
                    <c:v>cadena soldada para perro</c:v>
                  </c:pt>
                  <c:pt idx="244">
                    <c:v>cadena soldada para perro</c:v>
                  </c:pt>
                  <c:pt idx="245">
                    <c:v>cadena soldada para perro</c:v>
                  </c:pt>
                  <c:pt idx="246">
                    <c:v>cadena soldada para perro</c:v>
                  </c:pt>
                  <c:pt idx="247">
                    <c:v>caja anzuelos</c:v>
                  </c:pt>
                  <c:pt idx="248">
                    <c:v>CAJON AGROBOX</c:v>
                  </c:pt>
                  <c:pt idx="249">
                    <c:v>calcio p/tortuga</c:v>
                  </c:pt>
                  <c:pt idx="250">
                    <c:v>calcio-p/tortugas</c:v>
                  </c:pt>
                  <c:pt idx="251">
                    <c:v>caldo bordoles </c:v>
                  </c:pt>
                  <c:pt idx="252">
                    <c:v>calecfator30w</c:v>
                  </c:pt>
                  <c:pt idx="253">
                    <c:v>CALEFACTOR100 W</c:v>
                  </c:pt>
                  <c:pt idx="254">
                    <c:v>calefator </c:v>
                  </c:pt>
                  <c:pt idx="255">
                    <c:v>calefator 75w</c:v>
                  </c:pt>
                  <c:pt idx="256">
                    <c:v>cama mascota rayada</c:v>
                  </c:pt>
                  <c:pt idx="257">
                    <c:v>cama mascota rayada</c:v>
                  </c:pt>
                  <c:pt idx="258">
                    <c:v>CANASTO</c:v>
                  </c:pt>
                  <c:pt idx="259">
                    <c:v>CANTO RODADO</c:v>
                  </c:pt>
                  <c:pt idx="260">
                    <c:v>caño p/pecera</c:v>
                  </c:pt>
                  <c:pt idx="261">
                    <c:v>caracolicida</c:v>
                  </c:pt>
                  <c:pt idx="262">
                    <c:v>caracolicida + hormiguicida</c:v>
                  </c:pt>
                  <c:pt idx="263">
                    <c:v>caracolicida agrol granulado</c:v>
                  </c:pt>
                  <c:pt idx="264">
                    <c:v>caracolicida cara-ba pellets -caja de 24-</c:v>
                  </c:pt>
                  <c:pt idx="265">
                    <c:v>caracolicida metazon</c:v>
                  </c:pt>
                  <c:pt idx="266">
                    <c:v>caracolicida metazon</c:v>
                  </c:pt>
                  <c:pt idx="267">
                    <c:v>caracolicida metazon</c:v>
                  </c:pt>
                  <c:pt idx="268">
                    <c:v>caramelode miel</c:v>
                  </c:pt>
                  <c:pt idx="269">
                    <c:v>CARAMELOS DE MIEL</c:v>
                  </c:pt>
                  <c:pt idx="270">
                    <c:v>carbon activado</c:v>
                  </c:pt>
                  <c:pt idx="271">
                    <c:v>carbon activado polvo</c:v>
                  </c:pt>
                  <c:pt idx="272">
                    <c:v>cardina plastica</c:v>
                  </c:pt>
                  <c:pt idx="273">
                    <c:v>cascada </c:v>
                  </c:pt>
                  <c:pt idx="274">
                    <c:v>cascara de pino</c:v>
                  </c:pt>
                  <c:pt idx="275">
                    <c:v>casita trampa p/cucarachas</c:v>
                  </c:pt>
                  <c:pt idx="276">
                    <c:v>castillo</c:v>
                  </c:pt>
                  <c:pt idx="277">
                    <c:v>castillo 4 puntas y puente</c:v>
                  </c:pt>
                  <c:pt idx="278">
                    <c:v>cepillo silicona</c:v>
                  </c:pt>
                  <c:pt idx="279">
                    <c:v>CERAMICA CHICA</c:v>
                  </c:pt>
                  <c:pt idx="280">
                    <c:v>CERAMICA MEDIANA</c:v>
                  </c:pt>
                  <c:pt idx="281">
                    <c:v>CERAMICA OLLAS</c:v>
                  </c:pt>
                  <c:pt idx="282">
                    <c:v>cerca con hojas</c:v>
                  </c:pt>
                  <c:pt idx="283">
                    <c:v>CERCO PLASTICO COLONIAL</c:v>
                  </c:pt>
                  <c:pt idx="284">
                    <c:v>cerco plastico valla para jardin</c:v>
                  </c:pt>
                  <c:pt idx="285">
                    <c:v>cero plaga 3 en 1</c:v>
                  </c:pt>
                  <c:pt idx="286">
                    <c:v>CERO PLAGA BIO insc polvo diat</c:v>
                  </c:pt>
                  <c:pt idx="287">
                    <c:v>cero plaga brrera antihormigas</c:v>
                  </c:pt>
                  <c:pt idx="288">
                    <c:v>CERO PLAGA CARACOLICIDA</c:v>
                  </c:pt>
                  <c:pt idx="289">
                    <c:v>CERO PLAGA CARACOLICIDA</c:v>
                  </c:pt>
                  <c:pt idx="290">
                    <c:v>cero plaga epray recambio</c:v>
                  </c:pt>
                  <c:pt idx="291">
                    <c:v>cero plaga hormiguicida</c:v>
                  </c:pt>
                  <c:pt idx="292">
                    <c:v>cero plaga hormiguicida</c:v>
                  </c:pt>
                  <c:pt idx="293">
                    <c:v>CERO PLAGA ins org 4 en 1</c:v>
                  </c:pt>
                  <c:pt idx="294">
                    <c:v>CERO PLAGA INSECT ORG CONCENTRADO</c:v>
                  </c:pt>
                  <c:pt idx="295">
                    <c:v>cero plaga insecticida concentrado</c:v>
                  </c:pt>
                  <c:pt idx="296">
                    <c:v>cero plaga jabon potasico spray</c:v>
                  </c:pt>
                  <c:pt idx="297">
                    <c:v>CERO PLAGA RECAMBIO INSECTICIDA</c:v>
                  </c:pt>
                  <c:pt idx="298">
                    <c:v>CERO PLAGA spray organico</c:v>
                  </c:pt>
                  <c:pt idx="299">
                    <c:v>cesped axonopus</c:v>
                  </c:pt>
                  <c:pt idx="300">
                    <c:v>cesped axonopus</c:v>
                  </c:pt>
                  <c:pt idx="301">
                    <c:v>cesped inteligente</c:v>
                  </c:pt>
                  <c:pt idx="302">
                    <c:v>cesped inteligente</c:v>
                  </c:pt>
                  <c:pt idx="303">
                    <c:v>cesped loliumperenne esquire</c:v>
                  </c:pt>
                  <c:pt idx="304">
                    <c:v>cesped mezcla estándar bolsa</c:v>
                  </c:pt>
                  <c:pt idx="305">
                    <c:v>cesped mezcla estándar bolsa</c:v>
                  </c:pt>
                  <c:pt idx="306">
                    <c:v>cesped mezcla estándar disp caja</c:v>
                  </c:pt>
                  <c:pt idx="307">
                    <c:v>cesped premiun ultra rapido</c:v>
                  </c:pt>
                  <c:pt idx="308">
                    <c:v>CESPED SINTETICO</c:v>
                  </c:pt>
                  <c:pt idx="309">
                    <c:v>chip de coco</c:v>
                  </c:pt>
                  <c:pt idx="310">
                    <c:v>chip de pino</c:v>
                  </c:pt>
                  <c:pt idx="311">
                    <c:v>cinta aisladora</c:v>
                  </c:pt>
                  <c:pt idx="312">
                    <c:v>cinta aisladora</c:v>
                  </c:pt>
                  <c:pt idx="313">
                    <c:v>CINTA ATAR</c:v>
                  </c:pt>
                  <c:pt idx="314">
                    <c:v>cinta para insectos</c:v>
                  </c:pt>
                  <c:pt idx="315">
                    <c:v>cinta pegajosa moscas</c:v>
                  </c:pt>
                  <c:pt idx="316">
                    <c:v>cipermetrina</c:v>
                  </c:pt>
                  <c:pt idx="317">
                    <c:v>cipermetrina</c:v>
                  </c:pt>
                  <c:pt idx="318">
                    <c:v>cipermetrina ectosules</c:v>
                  </c:pt>
                  <c:pt idx="319">
                    <c:v>cipermic</c:v>
                  </c:pt>
                  <c:pt idx="320">
                    <c:v>CITRONELLA cero plaga</c:v>
                  </c:pt>
                  <c:pt idx="321">
                    <c:v>clavel grande</c:v>
                  </c:pt>
                  <c:pt idx="322">
                    <c:v>cloraqua liq anticloro</c:v>
                  </c:pt>
                  <c:pt idx="323">
                    <c:v>coco bols 15</c:v>
                  </c:pt>
                  <c:pt idx="324">
                    <c:v>coco bols 25</c:v>
                  </c:pt>
                  <c:pt idx="325">
                    <c:v>coco bols 35</c:v>
                  </c:pt>
                  <c:pt idx="326">
                    <c:v>coco bols 40</c:v>
                  </c:pt>
                  <c:pt idx="327">
                    <c:v>coco expandido</c:v>
                  </c:pt>
                  <c:pt idx="328">
                    <c:v>coigro coco cannablend</c:v>
                  </c:pt>
                  <c:pt idx="329">
                    <c:v>coigro coco cannablend</c:v>
                  </c:pt>
                  <c:pt idx="330">
                    <c:v>coigro coco cannablend</c:v>
                  </c:pt>
                  <c:pt idx="331">
                    <c:v>colchon sanitario ecologico</c:v>
                  </c:pt>
                  <c:pt idx="332">
                    <c:v>colgante n 1</c:v>
                  </c:pt>
                  <c:pt idx="333">
                    <c:v>colgante n 3</c:v>
                  </c:pt>
                  <c:pt idx="334">
                    <c:v>colgante n2</c:v>
                  </c:pt>
                  <c:pt idx="335">
                    <c:v>COLLAR</c:v>
                  </c:pt>
                  <c:pt idx="336">
                    <c:v>collar </c:v>
                  </c:pt>
                  <c:pt idx="337">
                    <c:v>collar ahorque </c:v>
                  </c:pt>
                  <c:pt idx="338">
                    <c:v>collar ahorque </c:v>
                  </c:pt>
                  <c:pt idx="339">
                    <c:v>collar ahorque </c:v>
                  </c:pt>
                  <c:pt idx="340">
                    <c:v>collar cinta lisa</c:v>
                  </c:pt>
                  <c:pt idx="341">
                    <c:v>collar cinta lisa</c:v>
                  </c:pt>
                  <c:pt idx="342">
                    <c:v>collar cinta lisa</c:v>
                  </c:pt>
                  <c:pt idx="343">
                    <c:v>collar cinta lisa</c:v>
                  </c:pt>
                  <c:pt idx="344">
                    <c:v>collar cinta lisa</c:v>
                  </c:pt>
                  <c:pt idx="345">
                    <c:v>collar cinta lisa</c:v>
                  </c:pt>
                  <c:pt idx="346">
                    <c:v>collar cinta lisa </c:v>
                  </c:pt>
                  <c:pt idx="347">
                    <c:v>collar cinta lisa </c:v>
                  </c:pt>
                  <c:pt idx="348">
                    <c:v>collar cinta lisa </c:v>
                  </c:pt>
                  <c:pt idx="349">
                    <c:v>collar cinta lisa 1,5 cm </c:v>
                  </c:pt>
                  <c:pt idx="350">
                    <c:v>collar cinta lisa 2 cm</c:v>
                  </c:pt>
                  <c:pt idx="351">
                    <c:v>collar cinta lisa doble cinta</c:v>
                  </c:pt>
                  <c:pt idx="352">
                    <c:v>COLLAR COLOR CUERO </c:v>
                  </c:pt>
                  <c:pt idx="353">
                    <c:v>collar con huellita</c:v>
                  </c:pt>
                  <c:pt idx="354">
                    <c:v>collar de perro</c:v>
                  </c:pt>
                  <c:pt idx="355">
                    <c:v>collar de perro</c:v>
                  </c:pt>
                  <c:pt idx="356">
                    <c:v>collar de perro</c:v>
                  </c:pt>
                  <c:pt idx="357">
                    <c:v>collar doble cocido</c:v>
                  </c:pt>
                  <c:pt idx="358">
                    <c:v>collar doble fila de ojales</c:v>
                  </c:pt>
                  <c:pt idx="359">
                    <c:v>collar doble ojalillo</c:v>
                  </c:pt>
                  <c:pt idx="360">
                    <c:v>collar doble ojalillo</c:v>
                  </c:pt>
                  <c:pt idx="361">
                    <c:v>collar dominal cachorro</c:v>
                  </c:pt>
                  <c:pt idx="362">
                    <c:v>collar dominal extra grande</c:v>
                  </c:pt>
                  <c:pt idx="363">
                    <c:v>collar dominal gato</c:v>
                  </c:pt>
                  <c:pt idx="364">
                    <c:v>collar dominal gato</c:v>
                  </c:pt>
                  <c:pt idx="365">
                    <c:v>collar dominal gatos</c:v>
                  </c:pt>
                  <c:pt idx="366">
                    <c:v>collar dominal grande</c:v>
                  </c:pt>
                  <c:pt idx="367">
                    <c:v>collar dominal mediano</c:v>
                  </c:pt>
                  <c:pt idx="368">
                    <c:v>collar domiunal mediano</c:v>
                  </c:pt>
                  <c:pt idx="369">
                    <c:v>collar galon </c:v>
                  </c:pt>
                  <c:pt idx="370">
                    <c:v>COLLAR GOM</c:v>
                  </c:pt>
                  <c:pt idx="371">
                    <c:v>collar jyg</c:v>
                  </c:pt>
                  <c:pt idx="372">
                    <c:v>collar jyg</c:v>
                  </c:pt>
                  <c:pt idx="373">
                    <c:v>collar lisoc/moña blister</c:v>
                  </c:pt>
                  <c:pt idx="374">
                    <c:v>collar nylondoble fila ojales</c:v>
                  </c:pt>
                  <c:pt idx="375">
                    <c:v>collar p/gatosperro chico</c:v>
                  </c:pt>
                  <c:pt idx="376">
                    <c:v>collar perro </c:v>
                  </c:pt>
                  <c:pt idx="377">
                    <c:v>collar perro doble filas de ojales</c:v>
                  </c:pt>
                  <c:pt idx="378">
                    <c:v>collar pincho s </c:v>
                  </c:pt>
                  <c:pt idx="379">
                    <c:v>collar pincho xl</c:v>
                  </c:pt>
                  <c:pt idx="380">
                    <c:v>COLLAR REGULABLE BANDANA</c:v>
                  </c:pt>
                  <c:pt idx="381">
                    <c:v>COLLAR REGULABLECON GALON</c:v>
                  </c:pt>
                  <c:pt idx="382">
                    <c:v>collar silicona p/gato</c:v>
                  </c:pt>
                  <c:pt idx="383">
                    <c:v>colza </c:v>
                  </c:pt>
                  <c:pt idx="384">
                    <c:v>colza </c:v>
                  </c:pt>
                  <c:pt idx="385">
                    <c:v>comeder doble</c:v>
                  </c:pt>
                  <c:pt idx="386">
                    <c:v>comedero</c:v>
                  </c:pt>
                  <c:pt idx="387">
                    <c:v>comedero </c:v>
                  </c:pt>
                  <c:pt idx="388">
                    <c:v>comedero acero inox</c:v>
                  </c:pt>
                  <c:pt idx="389">
                    <c:v>comedero acero inox loro  grande</c:v>
                  </c:pt>
                  <c:pt idx="390">
                    <c:v>comedero automatico pajaro</c:v>
                  </c:pt>
                  <c:pt idx="391">
                    <c:v>comedero automatico premier</c:v>
                  </c:pt>
                  <c:pt idx="392">
                    <c:v>COMEDERO BEBEDERO CERAMICA</c:v>
                  </c:pt>
                  <c:pt idx="393">
                    <c:v>COMEDERO BEBEDERO CERAMICA</c:v>
                  </c:pt>
                  <c:pt idx="394">
                    <c:v>comedero bebedero p/pajaro-resorte externo</c:v>
                  </c:pt>
                  <c:pt idx="395">
                    <c:v>COMEDERO CON PATITAS</c:v>
                  </c:pt>
                  <c:pt idx="396">
                    <c:v>COMEDERO CON PATITAS</c:v>
                  </c:pt>
                  <c:pt idx="397">
                    <c:v>comedero doble</c:v>
                  </c:pt>
                  <c:pt idx="398">
                    <c:v>comedero doble</c:v>
                  </c:pt>
                  <c:pt idx="399">
                    <c:v>comedero doble de melamina</c:v>
                  </c:pt>
                  <c:pt idx="400">
                    <c:v>comedero doble p/gato</c:v>
                  </c:pt>
                  <c:pt idx="401">
                    <c:v>comedero economico </c:v>
                  </c:pt>
                  <c:pt idx="402">
                    <c:v>comedero economico bowl</c:v>
                  </c:pt>
                  <c:pt idx="403">
                    <c:v>comedero exterior</c:v>
                  </c:pt>
                  <c:pt idx="404">
                    <c:v>comedero interior</c:v>
                  </c:pt>
                  <c:pt idx="405">
                    <c:v>comedero oval 2agujeros c/gancho</c:v>
                  </c:pt>
                  <c:pt idx="406">
                    <c:v>comedero oval 3 agujeros</c:v>
                  </c:pt>
                  <c:pt idx="407">
                    <c:v>comedero pajaro</c:v>
                  </c:pt>
                  <c:pt idx="408">
                    <c:v>comedero plastico</c:v>
                  </c:pt>
                  <c:pt idx="409">
                    <c:v>comedero rancho plastico</c:v>
                  </c:pt>
                  <c:pt idx="410">
                    <c:v>comedero rancho plastico</c:v>
                  </c:pt>
                  <c:pt idx="411">
                    <c:v>comedero rect,hamster</c:v>
                  </c:pt>
                  <c:pt idx="412">
                    <c:v>comedero silvestre automatico</c:v>
                  </c:pt>
                  <c:pt idx="413">
                    <c:v>comedero tipo rancho</c:v>
                  </c:pt>
                  <c:pt idx="414">
                    <c:v>comedero tubo tolva</c:v>
                  </c:pt>
                  <c:pt idx="415">
                    <c:v>comederoeconomico c/ dibujos</c:v>
                  </c:pt>
                  <c:pt idx="416">
                    <c:v>compost premiun</c:v>
                  </c:pt>
                  <c:pt idx="417">
                    <c:v>compost premiun</c:v>
                  </c:pt>
                  <c:pt idx="418">
                    <c:v>conector de manguera</c:v>
                  </c:pt>
                  <c:pt idx="419">
                    <c:v>conector de manguera</c:v>
                  </c:pt>
                  <c:pt idx="420">
                    <c:v>conector p manguera</c:v>
                  </c:pt>
                  <c:pt idx="421">
                    <c:v>conexiom t</c:v>
                  </c:pt>
                  <c:pt idx="422">
                    <c:v>coral naranja</c:v>
                  </c:pt>
                  <c:pt idx="423">
                    <c:v>corazon espuma</c:v>
                  </c:pt>
                  <c:pt idx="424">
                    <c:v>Corona chica</c:v>
                  </c:pt>
                  <c:pt idx="425">
                    <c:v>Corona extra grande  claveles rosas y lilium</c:v>
                  </c:pt>
                  <c:pt idx="426">
                    <c:v>Corona grande claveles</c:v>
                  </c:pt>
                  <c:pt idx="427">
                    <c:v>corona mediana</c:v>
                  </c:pt>
                  <c:pt idx="428">
                    <c:v>CORREA CINTA LISA GALV</c:v>
                  </c:pt>
                  <c:pt idx="429">
                    <c:v>CORREA CINTA LISA GALV</c:v>
                  </c:pt>
                  <c:pt idx="430">
                    <c:v>CORREA CINTA LISA GALV</c:v>
                  </c:pt>
                  <c:pt idx="431">
                    <c:v>CORREA CINTA LISA GALV</c:v>
                  </c:pt>
                  <c:pt idx="432">
                    <c:v>correa con arnes</c:v>
                  </c:pt>
                  <c:pt idx="433">
                    <c:v>CORREA CON MANIJA Y RESORTE</c:v>
                  </c:pt>
                  <c:pt idx="434">
                    <c:v>correa lisa</c:v>
                  </c:pt>
                  <c:pt idx="435">
                    <c:v>correa lisa</c:v>
                  </c:pt>
                  <c:pt idx="436">
                    <c:v>correa retractil 5mts</c:v>
                  </c:pt>
                  <c:pt idx="437">
                    <c:v>corteza pino</c:v>
                  </c:pt>
                  <c:pt idx="438">
                    <c:v>CRECE MAS ACTIVADOR de flores </c:v>
                  </c:pt>
                  <c:pt idx="439">
                    <c:v>CRECE MAS ACTIVADOR de flores sachet</c:v>
                  </c:pt>
                  <c:pt idx="440">
                    <c:v>crece mas alim p/ todas plantas</c:v>
                  </c:pt>
                  <c:pt idx="441">
                    <c:v>crece mas alimento para cactus</c:v>
                  </c:pt>
                  <c:pt idx="442">
                    <c:v>crece mas arboles y frutales</c:v>
                  </c:pt>
                  <c:pt idx="443">
                    <c:v>crece mas enraizador sachett</c:v>
                  </c:pt>
                  <c:pt idx="444">
                    <c:v>crece mas jardin y huerta</c:v>
                  </c:pt>
                  <c:pt idx="445">
                    <c:v>crece mas p/ todas las plantas</c:v>
                  </c:pt>
                  <c:pt idx="446">
                    <c:v>crece mas p/helechos</c:v>
                  </c:pt>
                  <c:pt idx="447">
                    <c:v>crece mas rosas y flores</c:v>
                  </c:pt>
                  <c:pt idx="448">
                    <c:v>crece mas todas plantas FOLIAR</c:v>
                  </c:pt>
                  <c:pt idx="449">
                    <c:v>crece ms organico p/plantas</c:v>
                  </c:pt>
                  <c:pt idx="450">
                    <c:v>crecemas cactus y suculentas</c:v>
                  </c:pt>
                  <c:pt idx="451">
                    <c:v>creolina</c:v>
                  </c:pt>
                  <c:pt idx="452">
                    <c:v>creolina aromas</c:v>
                  </c:pt>
                  <c:pt idx="453">
                    <c:v>creolina buena estrella</c:v>
                  </c:pt>
                  <c:pt idx="454">
                    <c:v>creolina buena estrella</c:v>
                  </c:pt>
                  <c:pt idx="455">
                    <c:v>creolina concentrada</c:v>
                  </c:pt>
                  <c:pt idx="456">
                    <c:v>creolina concentrada</c:v>
                  </c:pt>
                  <c:pt idx="457">
                    <c:v>creolina concentrada</c:v>
                  </c:pt>
                  <c:pt idx="458">
                    <c:v>creolinas aromas</c:v>
                  </c:pt>
                  <c:pt idx="459">
                    <c:v>CROTON 65 CM</c:v>
                  </c:pt>
                  <c:pt idx="460">
                    <c:v>cucarachicida fulmoline</c:v>
                  </c:pt>
                  <c:pt idx="461">
                    <c:v>cucarachicida fulmolini</c:v>
                  </c:pt>
                  <c:pt idx="462">
                    <c:v>cucarachicida green choice</c:v>
                  </c:pt>
                  <c:pt idx="463">
                    <c:v>cucarachicida talquera</c:v>
                  </c:pt>
                  <c:pt idx="464">
                    <c:v>cuerda</c:v>
                  </c:pt>
                  <c:pt idx="465">
                    <c:v>cuerda con agasrre</c:v>
                  </c:pt>
                  <c:pt idx="466">
                    <c:v>cuerde 3 nudos-pelotas de goma</c:v>
                  </c:pt>
                  <c:pt idx="467">
                    <c:v>cuna 3 piezas</c:v>
                  </c:pt>
                  <c:pt idx="468">
                    <c:v>cuna de tela</c:v>
                  </c:pt>
                  <c:pt idx="469">
                    <c:v>cuna de tela</c:v>
                  </c:pt>
                  <c:pt idx="470">
                    <c:v>cuna de tela</c:v>
                  </c:pt>
                  <c:pt idx="471">
                    <c:v>cuna oval</c:v>
                  </c:pt>
                  <c:pt idx="472">
                    <c:v>cuna oval desmontable chico</c:v>
                  </c:pt>
                  <c:pt idx="473">
                    <c:v>cuna oval desmontable mediano</c:v>
                  </c:pt>
                  <c:pt idx="474">
                    <c:v>curabichera fibrusules</c:v>
                  </c:pt>
                  <c:pt idx="475">
                    <c:v>curabichera fleant ag spray</c:v>
                  </c:pt>
                  <c:pt idx="476">
                    <c:v>d</c:v>
                  </c:pt>
                  <c:pt idx="477">
                    <c:v>deeper under groun</c:v>
                  </c:pt>
                  <c:pt idx="478">
                    <c:v>dentastix</c:v>
                  </c:pt>
                  <c:pt idx="479">
                    <c:v>des</c:v>
                  </c:pt>
                  <c:pt idx="480">
                    <c:v>des</c:v>
                  </c:pt>
                  <c:pt idx="481">
                    <c:v>des</c:v>
                  </c:pt>
                  <c:pt idx="482">
                    <c:v>des</c:v>
                  </c:pt>
                  <c:pt idx="483">
                    <c:v>des</c:v>
                  </c:pt>
                  <c:pt idx="484">
                    <c:v>des</c:v>
                  </c:pt>
                  <c:pt idx="485">
                    <c:v>DES</c:v>
                  </c:pt>
                  <c:pt idx="486">
                    <c:v>DES</c:v>
                  </c:pt>
                  <c:pt idx="487">
                    <c:v>DES</c:v>
                  </c:pt>
                  <c:pt idx="488">
                    <c:v>des</c:v>
                  </c:pt>
                  <c:pt idx="489">
                    <c:v>des</c:v>
                  </c:pt>
                  <c:pt idx="490">
                    <c:v>des</c:v>
                  </c:pt>
                  <c:pt idx="491">
                    <c:v>des</c:v>
                  </c:pt>
                  <c:pt idx="492">
                    <c:v>des</c:v>
                  </c:pt>
                  <c:pt idx="493">
                    <c:v>des</c:v>
                  </c:pt>
                  <c:pt idx="494">
                    <c:v>des</c:v>
                  </c:pt>
                  <c:pt idx="495">
                    <c:v>des</c:v>
                  </c:pt>
                  <c:pt idx="496">
                    <c:v>des</c:v>
                  </c:pt>
                  <c:pt idx="497">
                    <c:v>des</c:v>
                  </c:pt>
                  <c:pt idx="498">
                    <c:v>des</c:v>
                  </c:pt>
                  <c:pt idx="499">
                    <c:v>des</c:v>
                  </c:pt>
                  <c:pt idx="500">
                    <c:v>des</c:v>
                  </c:pt>
                  <c:pt idx="501">
                    <c:v>des</c:v>
                  </c:pt>
                  <c:pt idx="502">
                    <c:v>des</c:v>
                  </c:pt>
                  <c:pt idx="503">
                    <c:v>des</c:v>
                  </c:pt>
                  <c:pt idx="504">
                    <c:v>des</c:v>
                  </c:pt>
                  <c:pt idx="505">
                    <c:v>des</c:v>
                  </c:pt>
                  <c:pt idx="506">
                    <c:v>des</c:v>
                  </c:pt>
                  <c:pt idx="507">
                    <c:v>des</c:v>
                  </c:pt>
                  <c:pt idx="508">
                    <c:v>des</c:v>
                  </c:pt>
                  <c:pt idx="509">
                    <c:v>des</c:v>
                  </c:pt>
                  <c:pt idx="510">
                    <c:v>des</c:v>
                  </c:pt>
                  <c:pt idx="511">
                    <c:v>des</c:v>
                  </c:pt>
                  <c:pt idx="512">
                    <c:v>des</c:v>
                  </c:pt>
                  <c:pt idx="513">
                    <c:v>des</c:v>
                  </c:pt>
                  <c:pt idx="514">
                    <c:v>des</c:v>
                  </c:pt>
                  <c:pt idx="515">
                    <c:v>des</c:v>
                  </c:pt>
                  <c:pt idx="516">
                    <c:v>des</c:v>
                  </c:pt>
                  <c:pt idx="517">
                    <c:v>des</c:v>
                  </c:pt>
                  <c:pt idx="518">
                    <c:v>des</c:v>
                  </c:pt>
                  <c:pt idx="519">
                    <c:v>des</c:v>
                  </c:pt>
                  <c:pt idx="520">
                    <c:v>des</c:v>
                  </c:pt>
                  <c:pt idx="521">
                    <c:v>des</c:v>
                  </c:pt>
                  <c:pt idx="522">
                    <c:v>des</c:v>
                  </c:pt>
                  <c:pt idx="523">
                    <c:v>des</c:v>
                  </c:pt>
                  <c:pt idx="524">
                    <c:v>des</c:v>
                  </c:pt>
                  <c:pt idx="525">
                    <c:v>des</c:v>
                  </c:pt>
                  <c:pt idx="526">
                    <c:v>des</c:v>
                  </c:pt>
                  <c:pt idx="527">
                    <c:v>des</c:v>
                  </c:pt>
                  <c:pt idx="528">
                    <c:v>des</c:v>
                  </c:pt>
                  <c:pt idx="529">
                    <c:v>des</c:v>
                  </c:pt>
                  <c:pt idx="530">
                    <c:v>des</c:v>
                  </c:pt>
                  <c:pt idx="531">
                    <c:v>des</c:v>
                  </c:pt>
                  <c:pt idx="532">
                    <c:v>des</c:v>
                  </c:pt>
                  <c:pt idx="533">
                    <c:v>des</c:v>
                  </c:pt>
                  <c:pt idx="534">
                    <c:v>des</c:v>
                  </c:pt>
                  <c:pt idx="535">
                    <c:v>des</c:v>
                  </c:pt>
                  <c:pt idx="536">
                    <c:v>des</c:v>
                  </c:pt>
                  <c:pt idx="537">
                    <c:v>des</c:v>
                  </c:pt>
                  <c:pt idx="538">
                    <c:v>des</c:v>
                  </c:pt>
                  <c:pt idx="539">
                    <c:v>des</c:v>
                  </c:pt>
                  <c:pt idx="540">
                    <c:v>des</c:v>
                  </c:pt>
                  <c:pt idx="541">
                    <c:v>des</c:v>
                  </c:pt>
                  <c:pt idx="542">
                    <c:v>des</c:v>
                  </c:pt>
                  <c:pt idx="543">
                    <c:v>des</c:v>
                  </c:pt>
                  <c:pt idx="544">
                    <c:v>des</c:v>
                  </c:pt>
                  <c:pt idx="545">
                    <c:v>des</c:v>
                  </c:pt>
                  <c:pt idx="546">
                    <c:v>des</c:v>
                  </c:pt>
                  <c:pt idx="547">
                    <c:v>des</c:v>
                  </c:pt>
                  <c:pt idx="548">
                    <c:v>des</c:v>
                  </c:pt>
                  <c:pt idx="549">
                    <c:v>des</c:v>
                  </c:pt>
                  <c:pt idx="550">
                    <c:v>des</c:v>
                  </c:pt>
                  <c:pt idx="551">
                    <c:v>des</c:v>
                  </c:pt>
                  <c:pt idx="552">
                    <c:v>destorcedor galvanizado n4</c:v>
                  </c:pt>
                  <c:pt idx="553">
                    <c:v>destorcedor galvanizado n8</c:v>
                  </c:pt>
                  <c:pt idx="554">
                    <c:v>dimetoato</c:v>
                  </c:pt>
                  <c:pt idx="555">
                    <c:v>dispersona</c:v>
                  </c:pt>
                  <c:pt idx="556">
                    <c:v>dispersona</c:v>
                  </c:pt>
                  <c:pt idx="557">
                    <c:v>ecovaso con plato y linga</c:v>
                  </c:pt>
                  <c:pt idx="558">
                    <c:v>ectosules</c:v>
                  </c:pt>
                  <c:pt idx="559">
                    <c:v>educador y ahuyentador perro y gato</c:v>
                  </c:pt>
                  <c:pt idx="560">
                    <c:v>eliminador olores para pisos</c:v>
                  </c:pt>
                  <c:pt idx="561">
                    <c:v>embudo grande</c:v>
                  </c:pt>
                  <c:pt idx="562">
                    <c:v>embudo mediano chico</c:v>
                  </c:pt>
                  <c:pt idx="563">
                    <c:v>enraizador</c:v>
                  </c:pt>
                  <c:pt idx="564">
                    <c:v>enraizador 345</c:v>
                  </c:pt>
                  <c:pt idx="565">
                    <c:v>enraizaor</c:v>
                  </c:pt>
                  <c:pt idx="566">
                    <c:v>equipex</c:v>
                  </c:pt>
                  <c:pt idx="567">
                    <c:v>ESCARDILLA DOBLE </c:v>
                  </c:pt>
                  <c:pt idx="568">
                    <c:v>escardillo de mano</c:v>
                  </c:pt>
                  <c:pt idx="569">
                    <c:v>escardillo p/jardin</c:v>
                  </c:pt>
                  <c:pt idx="570">
                    <c:v>escardillo tridente de jardineria</c:v>
                  </c:pt>
                  <c:pt idx="571">
                    <c:v>escoba de jardin</c:v>
                  </c:pt>
                  <c:pt idx="572">
                    <c:v>escoba plastico c/mango</c:v>
                  </c:pt>
                  <c:pt idx="573">
                    <c:v>escobas paja</c:v>
                  </c:pt>
                  <c:pt idx="574">
                    <c:v>escobilla de plastico naranja</c:v>
                  </c:pt>
                  <c:pt idx="575">
                    <c:v>escobilla jardin</c:v>
                  </c:pt>
                  <c:pt idx="576">
                    <c:v>escobilla metal</c:v>
                  </c:pt>
                  <c:pt idx="577">
                    <c:v>escobilla plastica sin cabo</c:v>
                  </c:pt>
                  <c:pt idx="578">
                    <c:v>escobilla plastica sin cabo</c:v>
                  </c:pt>
                  <c:pt idx="579">
                    <c:v>esfera acrilica de hamster</c:v>
                  </c:pt>
                  <c:pt idx="580">
                    <c:v>esfera hamster mediana</c:v>
                  </c:pt>
                  <c:pt idx="581">
                    <c:v>espinillo</c:v>
                  </c:pt>
                  <c:pt idx="582">
                    <c:v>espirales jumo</c:v>
                  </c:pt>
                  <c:pt idx="583">
                    <c:v>estaca</c:v>
                  </c:pt>
                  <c:pt idx="584">
                    <c:v>esterilla</c:v>
                  </c:pt>
                  <c:pt idx="585">
                    <c:v>estrangulador</c:v>
                  </c:pt>
                  <c:pt idx="586">
                    <c:v>estrobal</c:v>
                  </c:pt>
                  <c:pt idx="587">
                    <c:v>estrobal comprimidos</c:v>
                  </c:pt>
                  <c:pt idx="588">
                    <c:v>estrobal inyectable</c:v>
                  </c:pt>
                  <c:pt idx="589">
                    <c:v>FERT FERROSO</c:v>
                  </c:pt>
                  <c:pt idx="590">
                    <c:v>fert hakaphos rojo 18x18x18</c:v>
                  </c:pt>
                  <c:pt idx="591">
                    <c:v>fert hakaphos rojo 18x18x18</c:v>
                  </c:pt>
                  <c:pt idx="592">
                    <c:v>fert urea</c:v>
                  </c:pt>
                  <c:pt idx="593">
                    <c:v>fert urea</c:v>
                  </c:pt>
                  <c:pt idx="594">
                    <c:v>fert urea</c:v>
                  </c:pt>
                  <c:pt idx="595">
                    <c:v>fertilizante 15-15-15</c:v>
                  </c:pt>
                  <c:pt idx="596">
                    <c:v>fertilizante 15-15-15-</c:v>
                  </c:pt>
                  <c:pt idx="597">
                    <c:v>fertilizante AKAFOS ROSADO 18-18-18</c:v>
                  </c:pt>
                  <c:pt idx="598">
                    <c:v>fertilizante blaukorn 12-8-16 azul</c:v>
                  </c:pt>
                  <c:pt idx="599">
                    <c:v>fertilizante blaukorn 12-8-16 azul</c:v>
                  </c:pt>
                  <c:pt idx="600">
                    <c:v>fertilizante blaukorn classic</c:v>
                  </c:pt>
                  <c:pt idx="601">
                    <c:v>fertilizante blaukorn classic</c:v>
                  </c:pt>
                  <c:pt idx="602">
                    <c:v>fertilizante bleu korn</c:v>
                  </c:pt>
                  <c:pt idx="603">
                    <c:v>fertilizante bleu korn</c:v>
                  </c:pt>
                  <c:pt idx="604">
                    <c:v>fertilizante granos azules act. Flores y frutos</c:v>
                  </c:pt>
                  <c:pt idx="605">
                    <c:v>fertilizante helecho</c:v>
                  </c:pt>
                  <c:pt idx="606">
                    <c:v>fertilizante helechos</c:v>
                  </c:pt>
                  <c:pt idx="607">
                    <c:v>fertilizante orquidea</c:v>
                  </c:pt>
                  <c:pt idx="608">
                    <c:v>fertilizante orquidea</c:v>
                  </c:pt>
                  <c:pt idx="609">
                    <c:v>fertilizante orquideas</c:v>
                  </c:pt>
                  <c:pt idx="610">
                    <c:v>fertilizante orquideas</c:v>
                  </c:pt>
                  <c:pt idx="611">
                    <c:v>fertilizante violetas</c:v>
                  </c:pt>
                  <c:pt idx="612">
                    <c:v>fertilizantes helechos samambaias </c:v>
                  </c:pt>
                  <c:pt idx="613">
                    <c:v>fetilizante cactus</c:v>
                  </c:pt>
                  <c:pt idx="614">
                    <c:v>fibra de coco</c:v>
                  </c:pt>
                  <c:pt idx="615">
                    <c:v>fibra de coco</c:v>
                  </c:pt>
                  <c:pt idx="616">
                    <c:v>fibra de coco</c:v>
                  </c:pt>
                  <c:pt idx="617">
                    <c:v>fibra de coco</c:v>
                  </c:pt>
                  <c:pt idx="618">
                    <c:v>fibra de coco expandido</c:v>
                  </c:pt>
                  <c:pt idx="619">
                    <c:v>filtro  638 b</c:v>
                  </c:pt>
                  <c:pt idx="620">
                    <c:v>filtro bioesponja</c:v>
                  </c:pt>
                  <c:pt idx="621">
                    <c:v>filtro bioesponja</c:v>
                  </c:pt>
                  <c:pt idx="622">
                    <c:v>filtro bioesponja</c:v>
                  </c:pt>
                  <c:pt idx="623">
                    <c:v>filtro bioesponja</c:v>
                  </c:pt>
                  <c:pt idx="624">
                    <c:v>filtro externo mochila</c:v>
                  </c:pt>
                  <c:pt idx="625">
                    <c:v>filtro humedo seco </c:v>
                  </c:pt>
                  <c:pt idx="626">
                    <c:v>filtro interno 3w  rs 072</c:v>
                  </c:pt>
                  <c:pt idx="627">
                    <c:v>filtro interno 6w450 rs 082A</c:v>
                  </c:pt>
                  <c:pt idx="628">
                    <c:v>filtro interno rs 2001 8 W</c:v>
                  </c:pt>
                  <c:pt idx="629">
                    <c:v>filtro interno rs 201 8W</c:v>
                  </c:pt>
                  <c:pt idx="630">
                    <c:v>filtro interno rs-062A2W </c:v>
                  </c:pt>
                  <c:pt idx="631">
                    <c:v>filtro mochila 3000</c:v>
                  </c:pt>
                  <c:pt idx="632">
                    <c:v>filtro-cabeza de poder</c:v>
                  </c:pt>
                  <c:pt idx="633">
                    <c:v>flit derribador</c:v>
                  </c:pt>
                  <c:pt idx="634">
                    <c:v>flit dezenur </c:v>
                  </c:pt>
                  <c:pt idx="635">
                    <c:v>flit dezenur 1/4250 c,c</c:v>
                  </c:pt>
                  <c:pt idx="636">
                    <c:v>flit dezenur envasado</c:v>
                  </c:pt>
                  <c:pt idx="637">
                    <c:v>flor artificial</c:v>
                  </c:pt>
                  <c:pt idx="638">
                    <c:v>flor artificial</c:v>
                  </c:pt>
                  <c:pt idx="639">
                    <c:v>flor de pajarito </c:v>
                  </c:pt>
                  <c:pt idx="640">
                    <c:v>FLOR DE REGADERA PARA BOTELLA</c:v>
                  </c:pt>
                  <c:pt idx="641">
                    <c:v>flor goma eva</c:v>
                  </c:pt>
                  <c:pt idx="642">
                    <c:v>FLORERO</c:v>
                  </c:pt>
                  <c:pt idx="643">
                    <c:v>FLORERO</c:v>
                  </c:pt>
                  <c:pt idx="644">
                    <c:v>FLORERO</c:v>
                  </c:pt>
                  <c:pt idx="645">
                    <c:v>florero labrado</c:v>
                  </c:pt>
                  <c:pt idx="646">
                    <c:v>FLORERO PECERA</c:v>
                  </c:pt>
                  <c:pt idx="647">
                    <c:v>florero vidrio</c:v>
                  </c:pt>
                  <c:pt idx="648">
                    <c:v>florero vidrio</c:v>
                  </c:pt>
                  <c:pt idx="649">
                    <c:v>florero vidrio</c:v>
                  </c:pt>
                  <c:pt idx="650">
                    <c:v>florero vidrio</c:v>
                  </c:pt>
                  <c:pt idx="651">
                    <c:v>florero vidrio caja</c:v>
                  </c:pt>
                  <c:pt idx="652">
                    <c:v>FLORERO VIDRIO LABRADO</c:v>
                  </c:pt>
                  <c:pt idx="653">
                    <c:v>FLORERO VIDRIO LABRADO</c:v>
                  </c:pt>
                  <c:pt idx="654">
                    <c:v>FLORERO VIDRIO LABRADO</c:v>
                  </c:pt>
                  <c:pt idx="655">
                    <c:v>FLORERO VIDRIO LABRADO</c:v>
                  </c:pt>
                  <c:pt idx="656">
                    <c:v>florero vidrio labrado</c:v>
                  </c:pt>
                  <c:pt idx="657">
                    <c:v>flores aleli</c:v>
                  </c:pt>
                  <c:pt idx="658">
                    <c:v>flores astromelias</c:v>
                  </c:pt>
                  <c:pt idx="659">
                    <c:v>flores astromelias c/arreglo</c:v>
                  </c:pt>
                  <c:pt idx="660">
                    <c:v>FOLLAJE  CASPIA FLOR SECA CON CELOFAN</c:v>
                  </c:pt>
                  <c:pt idx="661">
                    <c:v>FOLLAJE COLITA DE RATON</c:v>
                  </c:pt>
                  <c:pt idx="662">
                    <c:v>FOLLAJE FLOR SECA</c:v>
                  </c:pt>
                  <c:pt idx="663">
                    <c:v>FOLLAJE SECO</c:v>
                  </c:pt>
                  <c:pt idx="664">
                    <c:v>FOLLAJE SECO</c:v>
                  </c:pt>
                  <c:pt idx="665">
                    <c:v>FOLLAJE SECO</c:v>
                  </c:pt>
                  <c:pt idx="666">
                    <c:v>franela micro fibra</c:v>
                  </c:pt>
                  <c:pt idx="667">
                    <c:v>frascos</c:v>
                  </c:pt>
                  <c:pt idx="668">
                    <c:v>frascos</c:v>
                  </c:pt>
                  <c:pt idx="669">
                    <c:v>fuente cascada</c:v>
                  </c:pt>
                  <c:pt idx="670">
                    <c:v>fumigador</c:v>
                  </c:pt>
                  <c:pt idx="671">
                    <c:v>fumigador</c:v>
                  </c:pt>
                  <c:pt idx="672">
                    <c:v>fumigator</c:v>
                  </c:pt>
                  <c:pt idx="673">
                    <c:v>FUNGOXAN</c:v>
                  </c:pt>
                  <c:pt idx="674">
                    <c:v>fungoxan mixto-caja  36 fc,</c:v>
                  </c:pt>
                  <c:pt idx="675">
                    <c:v>gallinol</c:v>
                  </c:pt>
                  <c:pt idx="676">
                    <c:v>gallinol</c:v>
                  </c:pt>
                  <c:pt idx="677">
                    <c:v>gancho hierro</c:v>
                  </c:pt>
                  <c:pt idx="678">
                    <c:v>gatillos</c:v>
                  </c:pt>
                  <c:pt idx="679">
                    <c:v>gato  castrado wiskas</c:v>
                  </c:pt>
                  <c:pt idx="680">
                    <c:v>gato 7 vidas</c:v>
                  </c:pt>
                  <c:pt idx="681">
                    <c:v>gato adulto equilibrio</c:v>
                  </c:pt>
                  <c:pt idx="682">
                    <c:v>gato adulto equilibrio </c:v>
                  </c:pt>
                  <c:pt idx="683">
                    <c:v>gato beny</c:v>
                  </c:pt>
                  <c:pt idx="684">
                    <c:v>gato beny</c:v>
                  </c:pt>
                  <c:pt idx="685">
                    <c:v>gato birbo</c:v>
                  </c:pt>
                  <c:pt idx="686">
                    <c:v>gato birbo</c:v>
                  </c:pt>
                  <c:pt idx="687">
                    <c:v>gato castrado</c:v>
                  </c:pt>
                  <c:pt idx="688">
                    <c:v>gato castrado RAZA carne y pollo</c:v>
                  </c:pt>
                  <c:pt idx="689">
                    <c:v>gato castrados wiskas</c:v>
                  </c:pt>
                  <c:pt idx="690">
                    <c:v>gato cat chow </c:v>
                  </c:pt>
                  <c:pt idx="691">
                    <c:v>gato cat chow </c:v>
                  </c:pt>
                  <c:pt idx="692">
                    <c:v>gato cat chow adulto</c:v>
                  </c:pt>
                  <c:pt idx="693">
                    <c:v>gato cat chow gatito</c:v>
                  </c:pt>
                  <c:pt idx="694">
                    <c:v>gato catrado-carne y pollo</c:v>
                  </c:pt>
                  <c:pt idx="695">
                    <c:v>GATO CHARRUA ADULTO</c:v>
                  </c:pt>
                  <c:pt idx="696">
                    <c:v>GATO CHARRUA ADULTO</c:v>
                  </c:pt>
                  <c:pt idx="697">
                    <c:v>GATO CRIOLLA ADULTO</c:v>
                  </c:pt>
                  <c:pt idx="698">
                    <c:v>GATO CRIOLLA ADULTO</c:v>
                  </c:pt>
                  <c:pt idx="699">
                    <c:v>gato equilibrio filote</c:v>
                  </c:pt>
                  <c:pt idx="700">
                    <c:v>gato equilibrio filote</c:v>
                  </c:pt>
                  <c:pt idx="701">
                    <c:v>gato gati</c:v>
                  </c:pt>
                  <c:pt idx="702">
                    <c:v>gato gati</c:v>
                  </c:pt>
                  <c:pt idx="703">
                    <c:v>GATO LE ROY COCKTAIL</c:v>
                  </c:pt>
                  <c:pt idx="704">
                    <c:v>gato pelusa</c:v>
                  </c:pt>
                  <c:pt idx="705">
                    <c:v>gato pelusa</c:v>
                  </c:pt>
                  <c:pt idx="706">
                    <c:v>gato primogato</c:v>
                  </c:pt>
                  <c:pt idx="707">
                    <c:v>gato primogato  blend</c:v>
                  </c:pt>
                  <c:pt idx="708">
                    <c:v>gato primogato  blend</c:v>
                  </c:pt>
                  <c:pt idx="709">
                    <c:v>gato primogato castrado</c:v>
                  </c:pt>
                  <c:pt idx="710">
                    <c:v>gato primogato castrado</c:v>
                  </c:pt>
                  <c:pt idx="711">
                    <c:v>gato primogato premiun filhotes</c:v>
                  </c:pt>
                  <c:pt idx="712">
                    <c:v>gato primogato premiun filhotes</c:v>
                  </c:pt>
                  <c:pt idx="713">
                    <c:v>gato prot cat</c:v>
                  </c:pt>
                  <c:pt idx="714">
                    <c:v>gato prot cat</c:v>
                  </c:pt>
                  <c:pt idx="715">
                    <c:v>gato salmon</c:v>
                  </c:pt>
                  <c:pt idx="716">
                    <c:v>gato salmon</c:v>
                  </c:pt>
                  <c:pt idx="717">
                    <c:v>gato salsa whiskas carne</c:v>
                  </c:pt>
                  <c:pt idx="718">
                    <c:v>gato whiskas</c:v>
                  </c:pt>
                  <c:pt idx="719">
                    <c:v>gato whiskas gatitos</c:v>
                  </c:pt>
                  <c:pt idx="720">
                    <c:v>gato whiskas gatitos</c:v>
                  </c:pt>
                  <c:pt idx="721">
                    <c:v>gato whiskas pescado-pollo y leche-carne</c:v>
                  </c:pt>
                  <c:pt idx="722">
                    <c:v>GATO-sushi cat</c:v>
                  </c:pt>
                  <c:pt idx="723">
                    <c:v>GEL REFRESCANTE RELAJANTE</c:v>
                  </c:pt>
                  <c:pt idx="724">
                    <c:v>girasol</c:v>
                  </c:pt>
                  <c:pt idx="725">
                    <c:v>girasol</c:v>
                  </c:pt>
                  <c:pt idx="726">
                    <c:v>girasol confitero</c:v>
                  </c:pt>
                  <c:pt idx="727">
                    <c:v>girasol confitero</c:v>
                  </c:pt>
                  <c:pt idx="728">
                    <c:v>girasol pelado</c:v>
                  </c:pt>
                  <c:pt idx="729">
                    <c:v>girasol pelado</c:v>
                  </c:pt>
                  <c:pt idx="730">
                    <c:v>glifosato improsate</c:v>
                  </c:pt>
                  <c:pt idx="731">
                    <c:v>glifosato improsate</c:v>
                  </c:pt>
                  <c:pt idx="732">
                    <c:v>gr1287</c:v>
                  </c:pt>
                  <c:pt idx="733">
                    <c:v>GRAN AMOR cannabis abono organico</c:v>
                  </c:pt>
                  <c:pt idx="734">
                    <c:v>gran amor educador</c:v>
                  </c:pt>
                  <c:pt idx="735">
                    <c:v>green explosion</c:v>
                  </c:pt>
                  <c:pt idx="736">
                    <c:v>guano-rojoo</c:v>
                  </c:pt>
                  <c:pt idx="737">
                    <c:v>guante </c:v>
                  </c:pt>
                  <c:pt idx="738">
                    <c:v>guante de descarne</c:v>
                  </c:pt>
                  <c:pt idx="739">
                    <c:v>GUANTE DE TRABAJO</c:v>
                  </c:pt>
                  <c:pt idx="740">
                    <c:v>guante de trabajo</c:v>
                  </c:pt>
                  <c:pt idx="741">
                    <c:v>guante de trabajo tela y cuero</c:v>
                  </c:pt>
                  <c:pt idx="742">
                    <c:v>guante multiuso</c:v>
                  </c:pt>
                  <c:pt idx="743">
                    <c:v>guia de flores</c:v>
                  </c:pt>
                  <c:pt idx="744">
                    <c:v>guia de hojas</c:v>
                  </c:pt>
                  <c:pt idx="745">
                    <c:v>guia hojas x 12</c:v>
                  </c:pt>
                  <c:pt idx="746">
                    <c:v>guia hojas x2</c:v>
                  </c:pt>
                  <c:pt idx="747">
                    <c:v>hacha mango fibra</c:v>
                  </c:pt>
                  <c:pt idx="748">
                    <c:v>hacha mango madera</c:v>
                  </c:pt>
                  <c:pt idx="749">
                    <c:v>harina de hueso</c:v>
                  </c:pt>
                  <c:pt idx="750">
                    <c:v>harina de hueso </c:v>
                  </c:pt>
                  <c:pt idx="751">
                    <c:v>herbicida</c:v>
                  </c:pt>
                  <c:pt idx="752">
                    <c:v>herbicida</c:v>
                  </c:pt>
                  <c:pt idx="753">
                    <c:v>herbicida</c:v>
                  </c:pt>
                  <c:pt idx="754">
                    <c:v>herbicida fluidamina -hoja ancha</c:v>
                  </c:pt>
                  <c:pt idx="755">
                    <c:v>herbicida glifosol  envasado</c:v>
                  </c:pt>
                  <c:pt idx="756">
                    <c:v>herbicida glifosol suelta</c:v>
                  </c:pt>
                  <c:pt idx="757">
                    <c:v>herbicida gliseb sum</c:v>
                  </c:pt>
                  <c:pt idx="758">
                    <c:v>herramienta de jardin</c:v>
                  </c:pt>
                  <c:pt idx="759">
                    <c:v>herramienta de jardin</c:v>
                  </c:pt>
                  <c:pt idx="760">
                    <c:v>hierba gatuna</c:v>
                  </c:pt>
                  <c:pt idx="761">
                    <c:v>hiploclorito</c:v>
                  </c:pt>
                  <c:pt idx="762">
                    <c:v>hiploclorito</c:v>
                  </c:pt>
                  <c:pt idx="763">
                    <c:v>hoja jazmin</c:v>
                  </c:pt>
                  <c:pt idx="764">
                    <c:v>hormiguicida en grano</c:v>
                  </c:pt>
                  <c:pt idx="765">
                    <c:v>hormiguicida folimur polvo60</c:v>
                  </c:pt>
                  <c:pt idx="766">
                    <c:v>hormiguicida fomilur 40</c:v>
                  </c:pt>
                  <c:pt idx="767">
                    <c:v>hormiguicida grano lampo30</c:v>
                  </c:pt>
                  <c:pt idx="768">
                    <c:v>hormiguicida grano lampo40</c:v>
                  </c:pt>
                  <c:pt idx="769">
                    <c:v>hormiguicida grano lampo65</c:v>
                  </c:pt>
                  <c:pt idx="770">
                    <c:v>hormiguicida grano lampo-caja 15 pte,</c:v>
                  </c:pt>
                  <c:pt idx="771">
                    <c:v>hormiguicida polvo</c:v>
                  </c:pt>
                  <c:pt idx="772">
                    <c:v>hormiguicida polvo folimur-caja20 pte</c:v>
                  </c:pt>
                  <c:pt idx="773">
                    <c:v>hormiguicida polvo-caja 120,precio x50</c:v>
                  </c:pt>
                  <c:pt idx="774">
                    <c:v>hormiguicida talquera </c:v>
                  </c:pt>
                  <c:pt idx="775">
                    <c:v>hornito chico</c:v>
                  </c:pt>
                  <c:pt idx="776">
                    <c:v>hueso con chifle</c:v>
                  </c:pt>
                  <c:pt idx="777">
                    <c:v>hueso digerible</c:v>
                  </c:pt>
                  <c:pt idx="778">
                    <c:v>hueso digerible</c:v>
                  </c:pt>
                  <c:pt idx="779">
                    <c:v>huevos juguete</c:v>
                  </c:pt>
                  <c:pt idx="780">
                    <c:v>huevos juguete</c:v>
                  </c:pt>
                  <c:pt idx="781">
                    <c:v>huevos p/canarios</c:v>
                  </c:pt>
                  <c:pt idx="782">
                    <c:v>humus</c:v>
                  </c:pt>
                  <c:pt idx="783">
                    <c:v>humus</c:v>
                  </c:pt>
                  <c:pt idx="784">
                    <c:v>humus de lombriz</c:v>
                  </c:pt>
                  <c:pt idx="785">
                    <c:v>humus de lombriz</c:v>
                  </c:pt>
                  <c:pt idx="786">
                    <c:v>ibnsecticida mata cucaracha sapolio</c:v>
                  </c:pt>
                  <c:pt idx="787">
                    <c:v>ICTIO ML LABCON</c:v>
                  </c:pt>
                  <c:pt idx="788">
                    <c:v>identificadores c/marco</c:v>
                  </c:pt>
                  <c:pt idx="789">
                    <c:v>igloo casa chico</c:v>
                  </c:pt>
                  <c:pt idx="790">
                    <c:v>igloo casa mediano</c:v>
                  </c:pt>
                  <c:pt idx="791">
                    <c:v>IGLOO con orejas</c:v>
                  </c:pt>
                  <c:pt idx="792">
                    <c:v>incectisida dezenurCE</c:v>
                  </c:pt>
                  <c:pt idx="793">
                    <c:v>incesan oil</c:v>
                  </c:pt>
                  <c:pt idx="794">
                    <c:v>incienso</c:v>
                  </c:pt>
                  <c:pt idx="795">
                    <c:v>insecticida</c:v>
                  </c:pt>
                  <c:pt idx="796">
                    <c:v>insecticida dezenur CE(rogor)</c:v>
                  </c:pt>
                  <c:pt idx="797">
                    <c:v>insecticida dezenur(rogor)</c:v>
                  </c:pt>
                  <c:pt idx="798">
                    <c:v>insecticida mata mosca</c:v>
                  </c:pt>
                  <c:pt idx="799">
                    <c:v>insecticida mata pulgas</c:v>
                  </c:pt>
                  <c:pt idx="800">
                    <c:v>insecticida mata todo</c:v>
                  </c:pt>
                  <c:pt idx="801">
                    <c:v>jabon potasico</c:v>
                  </c:pt>
                  <c:pt idx="802">
                    <c:v>jabon potasico</c:v>
                  </c:pt>
                  <c:pt idx="803">
                    <c:v>jabon potasico</c:v>
                  </c:pt>
                  <c:pt idx="804">
                    <c:v>jabon potasico</c:v>
                  </c:pt>
                  <c:pt idx="805">
                    <c:v>jardinera</c:v>
                  </c:pt>
                  <c:pt idx="806">
                    <c:v>JARDINERA</c:v>
                  </c:pt>
                  <c:pt idx="807">
                    <c:v>JARDINERA</c:v>
                  </c:pt>
                  <c:pt idx="808">
                    <c:v>JARDINERA</c:v>
                  </c:pt>
                  <c:pt idx="809">
                    <c:v>JARDINERA</c:v>
                  </c:pt>
                  <c:pt idx="810">
                    <c:v>JARDINERA BULCANICA</c:v>
                  </c:pt>
                  <c:pt idx="811">
                    <c:v>jardinera c/plat</c:v>
                  </c:pt>
                  <c:pt idx="812">
                    <c:v>jardinera c/plato</c:v>
                  </c:pt>
                  <c:pt idx="813">
                    <c:v>jardinera chica</c:v>
                  </c:pt>
                  <c:pt idx="814">
                    <c:v>jardinera de colores</c:v>
                  </c:pt>
                  <c:pt idx="815">
                    <c:v>jardinera de colores</c:v>
                  </c:pt>
                  <c:pt idx="816">
                    <c:v>jardinera de colores</c:v>
                  </c:pt>
                  <c:pt idx="817">
                    <c:v>jardinera de colores</c:v>
                  </c:pt>
                  <c:pt idx="818">
                    <c:v>jardinera de colores</c:v>
                  </c:pt>
                  <c:pt idx="819">
                    <c:v>jardinera ecovaso</c:v>
                  </c:pt>
                  <c:pt idx="820">
                    <c:v>jardinera ecovaso</c:v>
                  </c:pt>
                  <c:pt idx="821">
                    <c:v>JARDINERA MINI</c:v>
                  </c:pt>
                  <c:pt idx="822">
                    <c:v>JARDINERA MINI</c:v>
                  </c:pt>
                  <c:pt idx="823">
                    <c:v>JARDINERA NEGRA</c:v>
                  </c:pt>
                  <c:pt idx="824">
                    <c:v>JARDINERA NEGRA</c:v>
                  </c:pt>
                  <c:pt idx="825">
                    <c:v>JARDINERA NEGRA</c:v>
                  </c:pt>
                  <c:pt idx="826">
                    <c:v>JARDINERA NEGRA</c:v>
                  </c:pt>
                  <c:pt idx="827">
                    <c:v>jardinera nutriplant c/plato</c:v>
                  </c:pt>
                  <c:pt idx="828">
                    <c:v>JARDINERA OCRE</c:v>
                  </c:pt>
                  <c:pt idx="829">
                    <c:v>jardinera plastico s/plato</c:v>
                  </c:pt>
                  <c:pt idx="830">
                    <c:v>JARDINERA PREMIUN</c:v>
                  </c:pt>
                  <c:pt idx="831">
                    <c:v>JARDINERA PUNTO</c:v>
                  </c:pt>
                  <c:pt idx="832">
                    <c:v>jardinera retomoldeada JFQM780</c:v>
                  </c:pt>
                  <c:pt idx="833">
                    <c:v>jardinera rocio</c:v>
                  </c:pt>
                  <c:pt idx="834">
                    <c:v>jardinera rocio</c:v>
                  </c:pt>
                  <c:pt idx="835">
                    <c:v>jardinera rocio</c:v>
                  </c:pt>
                  <c:pt idx="836">
                    <c:v>jardinera rotomoldeada</c:v>
                  </c:pt>
                  <c:pt idx="837">
                    <c:v>jardinera rotomoldeada</c:v>
                  </c:pt>
                  <c:pt idx="838">
                    <c:v>jardinera s/´lat</c:v>
                  </c:pt>
                  <c:pt idx="839">
                    <c:v>jardinera sampa</c:v>
                  </c:pt>
                  <c:pt idx="840">
                    <c:v>jardinera s-plato</c:v>
                  </c:pt>
                  <c:pt idx="841">
                    <c:v>jardineras</c:v>
                  </c:pt>
                  <c:pt idx="842">
                    <c:v>jaula </c:v>
                  </c:pt>
                  <c:pt idx="843">
                    <c:v>jaula conejo mediana</c:v>
                  </c:pt>
                  <c:pt idx="844">
                    <c:v>jaula conejos grande</c:v>
                  </c:pt>
                  <c:pt idx="845">
                    <c:v>jaula conejos grande</c:v>
                  </c:pt>
                  <c:pt idx="846">
                    <c:v>jaula hamster grande</c:v>
                  </c:pt>
                  <c:pt idx="847">
                    <c:v>jaula hamster R/ beb/ com</c:v>
                  </c:pt>
                  <c:pt idx="848">
                    <c:v>jaula hamster rued/cas/beb 2 pisos</c:v>
                  </c:pt>
                  <c:pt idx="849">
                    <c:v>vitamina alcon</c:v>
                  </c:pt>
                  <c:pt idx="850">
                    <c:v>jaula loro alambre</c:v>
                  </c:pt>
                  <c:pt idx="851">
                    <c:v>jaula p/australiabno </c:v>
                  </c:pt>
                  <c:pt idx="852">
                    <c:v>jaula p/cria</c:v>
                  </c:pt>
                  <c:pt idx="853">
                    <c:v>jaula pagoda</c:v>
                  </c:pt>
                  <c:pt idx="854">
                    <c:v>jaula pajarera median</c:v>
                  </c:pt>
                  <c:pt idx="855">
                    <c:v>jaula pajarera median</c:v>
                  </c:pt>
                  <c:pt idx="856">
                    <c:v>jaula pajaro alta doble campanario</c:v>
                  </c:pt>
                  <c:pt idx="857">
                    <c:v>Jaula pajaro curva chica</c:v>
                  </c:pt>
                  <c:pt idx="858">
                    <c:v>Jaula pajaro rancho chica</c:v>
                  </c:pt>
                  <c:pt idx="859">
                    <c:v>jaula para conejo</c:v>
                  </c:pt>
                  <c:pt idx="860">
                    <c:v>jaula techo recto</c:v>
                  </c:pt>
                  <c:pt idx="861">
                    <c:v>jaula volado</c:v>
                  </c:pt>
                  <c:pt idx="862">
                    <c:v>jaulas p/australianos</c:v>
                  </c:pt>
                  <c:pt idx="863">
                    <c:v>jeringa cucarachicida vigilante</c:v>
                  </c:pt>
                  <c:pt idx="864">
                    <c:v>jeringa fulmoline p/cucaracha</c:v>
                  </c:pt>
                  <c:pt idx="865">
                    <c:v>jeringa p/cucaracha</c:v>
                  </c:pt>
                  <c:pt idx="866">
                    <c:v>jeringa p/cucaracha raid max</c:v>
                  </c:pt>
                  <c:pt idx="867">
                    <c:v>jeringa p/hormiga</c:v>
                  </c:pt>
                  <c:pt idx="868">
                    <c:v>jeringa para cucaracha</c:v>
                  </c:pt>
                  <c:pt idx="869">
                    <c:v>jhaula hamster</c:v>
                  </c:pt>
                  <c:pt idx="870">
                    <c:v>jimo mata cucaracha</c:v>
                  </c:pt>
                  <c:pt idx="871">
                    <c:v>jimo mata cucarachas aerosol</c:v>
                  </c:pt>
                  <c:pt idx="872">
                    <c:v>jimo-gas</c:v>
                  </c:pt>
                  <c:pt idx="873">
                    <c:v>juego ceramica n12</c:v>
                  </c:pt>
                  <c:pt idx="874">
                    <c:v>juego ceramica n23</c:v>
                  </c:pt>
                  <c:pt idx="875">
                    <c:v>juego ceramica n6</c:v>
                  </c:pt>
                  <c:pt idx="876">
                    <c:v>juego collar correa multicolor</c:v>
                  </c:pt>
                  <c:pt idx="877">
                    <c:v>juego collar correa multicolor</c:v>
                  </c:pt>
                  <c:pt idx="878">
                    <c:v>juego collar correa multicolor</c:v>
                  </c:pt>
                  <c:pt idx="879">
                    <c:v>juego collar y correa</c:v>
                  </c:pt>
                  <c:pt idx="880">
                    <c:v>juego de jardin</c:v>
                  </c:pt>
                  <c:pt idx="881">
                    <c:v>juego de jardin 3 piezas</c:v>
                  </c:pt>
                  <c:pt idx="882">
                    <c:v>juego de jardin 3 piezas-wantok</c:v>
                  </c:pt>
                  <c:pt idx="883">
                    <c:v>juego jardin</c:v>
                  </c:pt>
                  <c:pt idx="884">
                    <c:v>juego palitas mini </c:v>
                  </c:pt>
                  <c:pt idx="885">
                    <c:v>juego palitas mini acero inox</c:v>
                  </c:pt>
                  <c:pt idx="886">
                    <c:v>juego pretal c/correa</c:v>
                  </c:pt>
                  <c:pt idx="887">
                    <c:v>juego pretal c/correa </c:v>
                  </c:pt>
                  <c:pt idx="888">
                    <c:v>juego pretal c/correa poliester</c:v>
                  </c:pt>
                  <c:pt idx="889">
                    <c:v>juegos con pinchitos</c:v>
                  </c:pt>
                  <c:pt idx="890">
                    <c:v>juguerte pata polloc/chifle</c:v>
                  </c:pt>
                  <c:pt idx="891">
                    <c:v>juguete 2 salchichas c/cuerda</c:v>
                  </c:pt>
                  <c:pt idx="892">
                    <c:v>juguete chuleta c/chifle</c:v>
                  </c:pt>
                  <c:pt idx="893">
                    <c:v>JUGUETE GATO PELOTA CON RATON</c:v>
                  </c:pt>
                  <c:pt idx="894">
                    <c:v>JUGUETE MASCOTA</c:v>
                  </c:pt>
                  <c:pt idx="895">
                    <c:v>juguete mascota pelota con pinchos</c:v>
                  </c:pt>
                  <c:pt idx="896">
                    <c:v>juguete para mascota pelota con chifle</c:v>
                  </c:pt>
                  <c:pt idx="897">
                    <c:v>juguete para mascota pelota tenis por 3 unid</c:v>
                  </c:pt>
                  <c:pt idx="898">
                    <c:v>JUGUETE PATA DE POLLO</c:v>
                  </c:pt>
                  <c:pt idx="899">
                    <c:v>juguete pelota c/chifle</c:v>
                  </c:pt>
                  <c:pt idx="900">
                    <c:v>juguete pelota cuerda</c:v>
                  </c:pt>
                  <c:pt idx="901">
                    <c:v>juguete pelota de goma c/pincho</c:v>
                  </c:pt>
                  <c:pt idx="902">
                    <c:v>juguete pollo</c:v>
                  </c:pt>
                  <c:pt idx="903">
                    <c:v>JUGUETE POLLO AMARILLO MED</c:v>
                  </c:pt>
                  <c:pt idx="904">
                    <c:v>juguete raton sisal con plumas</c:v>
                  </c:pt>
                  <c:pt idx="905">
                    <c:v>jupiter-bomba de gas</c:v>
                  </c:pt>
                  <c:pt idx="906">
                    <c:v>kit de jardinero</c:v>
                  </c:pt>
                  <c:pt idx="907">
                    <c:v>ladrillo de coco</c:v>
                  </c:pt>
                  <c:pt idx="908">
                    <c:v>Lamina 40cm ancho simple faz</c:v>
                  </c:pt>
                  <c:pt idx="909">
                    <c:v>Lamina 40cm ancho simple faz</c:v>
                  </c:pt>
                  <c:pt idx="910">
                    <c:v>lamina 40cm doble faz</c:v>
                  </c:pt>
                  <c:pt idx="911">
                    <c:v>lamina 40cm doble faz</c:v>
                  </c:pt>
                  <c:pt idx="912">
                    <c:v>lamina doble faz 50 cm</c:v>
                  </c:pt>
                  <c:pt idx="913">
                    <c:v>lampara 400 led</c:v>
                  </c:pt>
                  <c:pt idx="914">
                    <c:v>lampara 42 led 4w</c:v>
                  </c:pt>
                  <c:pt idx="915">
                    <c:v>lampara 500 led</c:v>
                  </c:pt>
                  <c:pt idx="916">
                    <c:v>lampara rs306 7w 20 </c:v>
                  </c:pt>
                  <c:pt idx="917">
                    <c:v>lampara rs-308 13w largo 40-50 cm</c:v>
                  </c:pt>
                  <c:pt idx="918">
                    <c:v>lata cobre</c:v>
                  </c:pt>
                  <c:pt idx="919">
                    <c:v>lingas</c:v>
                  </c:pt>
                  <c:pt idx="920">
                    <c:v>maceta</c:v>
                  </c:pt>
                  <c:pt idx="921">
                    <c:v>maceta </c:v>
                  </c:pt>
                  <c:pt idx="922">
                    <c:v>maceta </c:v>
                  </c:pt>
                  <c:pt idx="923">
                    <c:v>maceta </c:v>
                  </c:pt>
                  <c:pt idx="924">
                    <c:v>maceta  plastica</c:v>
                  </c:pt>
                  <c:pt idx="925">
                    <c:v>maceta 32 espacios</c:v>
                  </c:pt>
                  <c:pt idx="926">
                    <c:v>maceta A teja </c:v>
                  </c:pt>
                  <c:pt idx="927">
                    <c:v>maceta aquinop barro</c:v>
                  </c:pt>
                  <c:pt idx="928">
                    <c:v>maceta aquinop barro</c:v>
                  </c:pt>
                  <c:pt idx="929">
                    <c:v>maceta aquinop barro</c:v>
                  </c:pt>
                  <c:pt idx="930">
                    <c:v>maceta aquinop barro</c:v>
                  </c:pt>
                  <c:pt idx="931">
                    <c:v>maceta atractive</c:v>
                  </c:pt>
                  <c:pt idx="932">
                    <c:v>maceta atractive</c:v>
                  </c:pt>
                  <c:pt idx="933">
                    <c:v>maceta atractive</c:v>
                  </c:pt>
                  <c:pt idx="934">
                    <c:v>maceta atractive</c:v>
                  </c:pt>
                  <c:pt idx="935">
                    <c:v>maceta atractive</c:v>
                  </c:pt>
                  <c:pt idx="936">
                    <c:v>maceta atractive</c:v>
                  </c:pt>
                  <c:pt idx="937">
                    <c:v>maceta atractive</c:v>
                  </c:pt>
                  <c:pt idx="938">
                    <c:v>maceta bage</c:v>
                  </c:pt>
                  <c:pt idx="939">
                    <c:v>MACETA BARRIL</c:v>
                  </c:pt>
                  <c:pt idx="940">
                    <c:v>MACETA BARRIL</c:v>
                  </c:pt>
                  <c:pt idx="941">
                    <c:v>MACETA BARRIL NEGRA</c:v>
                  </c:pt>
                  <c:pt idx="942">
                    <c:v>MACETA BARRIL NEGRA</c:v>
                  </c:pt>
                  <c:pt idx="943">
                    <c:v>MACETA BARRIL NEGRA</c:v>
                  </c:pt>
                  <c:pt idx="944">
                    <c:v>maceta barro</c:v>
                  </c:pt>
                  <c:pt idx="945">
                    <c:v>maceta barro</c:v>
                  </c:pt>
                  <c:pt idx="946">
                    <c:v>maceta barro</c:v>
                  </c:pt>
                  <c:pt idx="947">
                    <c:v>maceta barro</c:v>
                  </c:pt>
                  <c:pt idx="948">
                    <c:v>maceta barro</c:v>
                  </c:pt>
                  <c:pt idx="949">
                    <c:v>maceta barro</c:v>
                  </c:pt>
                  <c:pt idx="950">
                    <c:v>maceta barro</c:v>
                  </c:pt>
                  <c:pt idx="951">
                    <c:v>maceta barro</c:v>
                  </c:pt>
                  <c:pt idx="952">
                    <c:v>maceta barro</c:v>
                  </c:pt>
                  <c:pt idx="953">
                    <c:v>maceta barro</c:v>
                  </c:pt>
                  <c:pt idx="954">
                    <c:v>maceta barro</c:v>
                  </c:pt>
                  <c:pt idx="955">
                    <c:v>maceta barro acuarium</c:v>
                  </c:pt>
                  <c:pt idx="956">
                    <c:v>maceta barro americana</c:v>
                  </c:pt>
                  <c:pt idx="957">
                    <c:v>maceta barro americana</c:v>
                  </c:pt>
                  <c:pt idx="958">
                    <c:v>maceta barro americana</c:v>
                  </c:pt>
                  <c:pt idx="959">
                    <c:v>Maceta barro aquario n5</c:v>
                  </c:pt>
                  <c:pt idx="960">
                    <c:v>maceta barro cilindro bajo</c:v>
                  </c:pt>
                  <c:pt idx="961">
                    <c:v>Maceta barro COIMBRA</c:v>
                  </c:pt>
                  <c:pt idx="962">
                    <c:v>maceta barro comun</c:v>
                  </c:pt>
                  <c:pt idx="963">
                    <c:v>maceta barro comun</c:v>
                  </c:pt>
                  <c:pt idx="964">
                    <c:v>maceta barro comun</c:v>
                  </c:pt>
                  <c:pt idx="965">
                    <c:v>maceta barro comun</c:v>
                  </c:pt>
                  <c:pt idx="966">
                    <c:v>maceta barro comun</c:v>
                  </c:pt>
                  <c:pt idx="967">
                    <c:v>maceta barro comun</c:v>
                  </c:pt>
                  <c:pt idx="968">
                    <c:v>maceta barro icono</c:v>
                  </c:pt>
                  <c:pt idx="969">
                    <c:v>maceta barro icono</c:v>
                  </c:pt>
                  <c:pt idx="970">
                    <c:v>maceta barro icono</c:v>
                  </c:pt>
                  <c:pt idx="971">
                    <c:v>maceta barro italiana</c:v>
                  </c:pt>
                  <c:pt idx="972">
                    <c:v>maceta barro italiana</c:v>
                  </c:pt>
                  <c:pt idx="973">
                    <c:v>maceta barro italiana</c:v>
                  </c:pt>
                  <c:pt idx="974">
                    <c:v>maceta barro lebrillo</c:v>
                  </c:pt>
                  <c:pt idx="975">
                    <c:v>maceta barro legsino</c:v>
                  </c:pt>
                  <c:pt idx="976">
                    <c:v>maceta barro nido paloma</c:v>
                  </c:pt>
                  <c:pt idx="977">
                    <c:v>maceta barro porteña</c:v>
                  </c:pt>
                  <c:pt idx="978">
                    <c:v>maceta barro porteña</c:v>
                  </c:pt>
                  <c:pt idx="979">
                    <c:v>maceta barro porteña</c:v>
                  </c:pt>
                  <c:pt idx="980">
                    <c:v>maceta barro redentor</c:v>
                  </c:pt>
                  <c:pt idx="981">
                    <c:v>maceta barro redentor</c:v>
                  </c:pt>
                  <c:pt idx="982">
                    <c:v>Maceta barro SAO PAULO</c:v>
                  </c:pt>
                  <c:pt idx="983">
                    <c:v>maceta barro suculkenta</c:v>
                  </c:pt>
                  <c:pt idx="984">
                    <c:v>maceta biodegradable</c:v>
                  </c:pt>
                  <c:pt idx="985">
                    <c:v>maceta biodegradable</c:v>
                  </c:pt>
                  <c:pt idx="986">
                    <c:v>maceta biodegradable (120maceta)</c:v>
                  </c:pt>
                  <c:pt idx="987">
                    <c:v>maceta biodegradable (300 maceta)</c:v>
                  </c:pt>
                  <c:pt idx="988">
                    <c:v>maceta biodegradable 4,5 x4,5</c:v>
                  </c:pt>
                  <c:pt idx="989">
                    <c:v>maceta biodegradable olivo</c:v>
                  </c:pt>
                  <c:pt idx="990">
                    <c:v>maceta biodegradable olivos-</c:v>
                  </c:pt>
                  <c:pt idx="991">
                    <c:v>maceta biodegradable-( 600 macetas)</c:v>
                  </c:pt>
                  <c:pt idx="992">
                    <c:v>maceta blanca cilindrica</c:v>
                  </c:pt>
                  <c:pt idx="993">
                    <c:v>MACETA BLANCA CUADRADA</c:v>
                  </c:pt>
                  <c:pt idx="994">
                    <c:v>maceta blanca cuadrada</c:v>
                  </c:pt>
                  <c:pt idx="995">
                    <c:v>maceta blanca rayas horizontales</c:v>
                  </c:pt>
                  <c:pt idx="996">
                    <c:v>MACETA BLANXA CILINDRICA</c:v>
                  </c:pt>
                  <c:pt idx="997">
                    <c:v>maceta bonsai elegance</c:v>
                  </c:pt>
                  <c:pt idx="998">
                    <c:v>maceta bonsai ovalada</c:v>
                  </c:pt>
                  <c:pt idx="999">
                    <c:v>maceta bonsai ovalada</c:v>
                  </c:pt>
                  <c:pt idx="1000">
                    <c:v>maceta bonsai rectangular</c:v>
                  </c:pt>
                  <c:pt idx="1001">
                    <c:v>maceta bonsai rectangular</c:v>
                  </c:pt>
                  <c:pt idx="1002">
                    <c:v>maceta bonsai terracota</c:v>
                  </c:pt>
                  <c:pt idx="1003">
                    <c:v>maceta campana color con plato</c:v>
                  </c:pt>
                  <c:pt idx="1004">
                    <c:v>maceta campana con plato</c:v>
                  </c:pt>
                  <c:pt idx="1005">
                    <c:v>maceta campana con plato</c:v>
                  </c:pt>
                  <c:pt idx="1006">
                    <c:v>maceta campana con plato</c:v>
                  </c:pt>
                  <c:pt idx="1007">
                    <c:v>maceta campana con plato</c:v>
                  </c:pt>
                  <c:pt idx="1008">
                    <c:v>maceta campana con plato</c:v>
                  </c:pt>
                  <c:pt idx="1009">
                    <c:v>maceta campana con plato</c:v>
                  </c:pt>
                  <c:pt idx="1010">
                    <c:v>maceta campana con plato</c:v>
                  </c:pt>
                  <c:pt idx="1011">
                    <c:v>maceta campana negra sin plato</c:v>
                  </c:pt>
                  <c:pt idx="1012">
                    <c:v>maceta ceramica</c:v>
                  </c:pt>
                  <c:pt idx="1013">
                    <c:v>maceta ceramica blanca</c:v>
                  </c:pt>
                  <c:pt idx="1014">
                    <c:v>maceta ceramica blanca</c:v>
                  </c:pt>
                  <c:pt idx="1015">
                    <c:v>maceta ceramica cruda</c:v>
                  </c:pt>
                  <c:pt idx="1016">
                    <c:v>maceta ceramica cruda</c:v>
                  </c:pt>
                  <c:pt idx="1017">
                    <c:v>maceta cerramica chata azul</c:v>
                  </c:pt>
                  <c:pt idx="1018">
                    <c:v>maceta cilindrica barro</c:v>
                  </c:pt>
                  <c:pt idx="1019">
                    <c:v>maceta cilindrica barro</c:v>
                  </c:pt>
                  <c:pt idx="1020">
                    <c:v>maceta cilindrica barro</c:v>
                  </c:pt>
                  <c:pt idx="1021">
                    <c:v>maceta cilindrica barro</c:v>
                  </c:pt>
                  <c:pt idx="1022">
                    <c:v>maceta cilindrica negra</c:v>
                  </c:pt>
                  <c:pt idx="1023">
                    <c:v>maceta cilindrica negra</c:v>
                  </c:pt>
                  <c:pt idx="1024">
                    <c:v>maceta cilindrica negra </c:v>
                  </c:pt>
                  <c:pt idx="1025">
                    <c:v>maceta cilindrica S/plato</c:v>
                  </c:pt>
                  <c:pt idx="1026">
                    <c:v>maceta cilindrica TEJA con plato</c:v>
                  </c:pt>
                  <c:pt idx="1027">
                    <c:v>maceta cilindrica TEJA con plato</c:v>
                  </c:pt>
                  <c:pt idx="1028">
                    <c:v>maceta cilindrica TEJA con plato</c:v>
                  </c:pt>
                  <c:pt idx="1029">
                    <c:v>maceta cilindrica TEJA con plato</c:v>
                  </c:pt>
                  <c:pt idx="1030">
                    <c:v>MACETA CIOTOLA</c:v>
                  </c:pt>
                  <c:pt idx="1031">
                    <c:v>MACETA CIOTOLA</c:v>
                  </c:pt>
                  <c:pt idx="1032">
                    <c:v>MACETA CIOTOLA</c:v>
                  </c:pt>
                  <c:pt idx="1033">
                    <c:v>maceta clasic ecovaso</c:v>
                  </c:pt>
                  <c:pt idx="1034">
                    <c:v>maceta clasic ecovaso</c:v>
                  </c:pt>
                  <c:pt idx="1035">
                    <c:v>maceta clasic ecovaso</c:v>
                  </c:pt>
                  <c:pt idx="1036">
                    <c:v>maceta clasica barro</c:v>
                  </c:pt>
                  <c:pt idx="1037">
                    <c:v>maceta clasica barro</c:v>
                  </c:pt>
                  <c:pt idx="1038">
                    <c:v>maceta clasica barro</c:v>
                  </c:pt>
                  <c:pt idx="1039">
                    <c:v>maceta clasica barro</c:v>
                  </c:pt>
                  <c:pt idx="1040">
                    <c:v>maceta clasica barro</c:v>
                  </c:pt>
                  <c:pt idx="1041">
                    <c:v>maceta clasica barro</c:v>
                  </c:pt>
                  <c:pt idx="1042">
                    <c:v>maceta clasica barro</c:v>
                  </c:pt>
                  <c:pt idx="1043">
                    <c:v>maceta clasica barro</c:v>
                  </c:pt>
                  <c:pt idx="1044">
                    <c:v>maceta clasica barro</c:v>
                  </c:pt>
                  <c:pt idx="1045">
                    <c:v>maceta clasica barro</c:v>
                  </c:pt>
                  <c:pt idx="1046">
                    <c:v>maceta clasica barro</c:v>
                  </c:pt>
                  <c:pt idx="1047">
                    <c:v>maceta clasica c/plato</c:v>
                  </c:pt>
                  <c:pt idx="1048">
                    <c:v>maceta clasica c/plato</c:v>
                  </c:pt>
                  <c:pt idx="1049">
                    <c:v>maceta clasica c/plato</c:v>
                  </c:pt>
                  <c:pt idx="1050">
                    <c:v>maceta clasica ecovaso</c:v>
                  </c:pt>
                  <c:pt idx="1051">
                    <c:v>maceta clasica ecovaso</c:v>
                  </c:pt>
                  <c:pt idx="1052">
                    <c:v>MACETA COCO CUADRADA COLGAR</c:v>
                  </c:pt>
                  <c:pt idx="1053">
                    <c:v>maceta colgante</c:v>
                  </c:pt>
                  <c:pt idx="1054">
                    <c:v>maceta colgar</c:v>
                  </c:pt>
                  <c:pt idx="1055">
                    <c:v>maceta colgar</c:v>
                  </c:pt>
                  <c:pt idx="1056">
                    <c:v>maceta colgar</c:v>
                  </c:pt>
                  <c:pt idx="1057">
                    <c:v>maceta colgar</c:v>
                  </c:pt>
                  <c:pt idx="1058">
                    <c:v>maceta colgar</c:v>
                  </c:pt>
                  <c:pt idx="1059">
                    <c:v>maceta colgar </c:v>
                  </c:pt>
                  <c:pt idx="1060">
                    <c:v>MACETA COLGAR C/CADENA </c:v>
                  </c:pt>
                  <c:pt idx="1061">
                    <c:v>maceta colgar cadena</c:v>
                  </c:pt>
                  <c:pt idx="1062">
                    <c:v>MACETA COLGAR CON CADENA</c:v>
                  </c:pt>
                  <c:pt idx="1063">
                    <c:v>MACETA COLGAR CON CADENA</c:v>
                  </c:pt>
                  <c:pt idx="1064">
                    <c:v>MACETA COLGAR CON CADENA</c:v>
                  </c:pt>
                  <c:pt idx="1065">
                    <c:v>maceta colgar simil ratan</c:v>
                  </c:pt>
                  <c:pt idx="1066">
                    <c:v>maceta colgar simil ratan</c:v>
                  </c:pt>
                  <c:pt idx="1067">
                    <c:v>maceta con planta</c:v>
                  </c:pt>
                  <c:pt idx="1068">
                    <c:v>maceta copa</c:v>
                  </c:pt>
                  <c:pt idx="1069">
                    <c:v>maceta copa</c:v>
                  </c:pt>
                  <c:pt idx="1070">
                    <c:v>maceta copa</c:v>
                  </c:pt>
                  <c:pt idx="1071">
                    <c:v>maceta copa</c:v>
                  </c:pt>
                  <c:pt idx="1072">
                    <c:v>MACETA CRAQUELADA</c:v>
                  </c:pt>
                  <c:pt idx="1073">
                    <c:v>MACETA CRAQUELADA</c:v>
                  </c:pt>
                  <c:pt idx="1074">
                    <c:v>MACETA CRAQUELADA</c:v>
                  </c:pt>
                  <c:pt idx="1075">
                    <c:v>MACETA CRAQUELADA</c:v>
                  </c:pt>
                  <c:pt idx="1076">
                    <c:v>MACETA CRAQUELADA</c:v>
                  </c:pt>
                  <c:pt idx="1077">
                    <c:v>maceta cua</c:v>
                  </c:pt>
                  <c:pt idx="1078">
                    <c:v>maceta cuadrada c/plat</c:v>
                  </c:pt>
                  <c:pt idx="1079">
                    <c:v>maceta cuadrada c/plat</c:v>
                  </c:pt>
                  <c:pt idx="1080">
                    <c:v>Maceta cuadrada chica plas garden</c:v>
                  </c:pt>
                  <c:pt idx="1081">
                    <c:v>maceta cuadrada N23</c:v>
                  </c:pt>
                  <c:pt idx="1082">
                    <c:v>maceta cuadrada N28</c:v>
                  </c:pt>
                  <c:pt idx="1083">
                    <c:v>maceta cuadrada N33</c:v>
                  </c:pt>
                  <c:pt idx="1084">
                    <c:v>maceta cuadrada N35</c:v>
                  </c:pt>
                  <c:pt idx="1085">
                    <c:v>maceta cuia</c:v>
                  </c:pt>
                  <c:pt idx="1086">
                    <c:v>maceta cuia</c:v>
                  </c:pt>
                  <c:pt idx="1087">
                    <c:v>maceta cuia 1,5</c:v>
                  </c:pt>
                  <c:pt idx="1088">
                    <c:v>maceta cuia 2</c:v>
                  </c:pt>
                  <c:pt idx="1089">
                    <c:v>maceta cuia 3</c:v>
                  </c:pt>
                  <c:pt idx="1090">
                    <c:v>maceta cuia 4</c:v>
                  </c:pt>
                  <c:pt idx="1091">
                    <c:v>maceta de barro</c:v>
                  </c:pt>
                  <c:pt idx="1092">
                    <c:v>maceta de barro</c:v>
                  </c:pt>
                  <c:pt idx="1093">
                    <c:v>maceta de barro</c:v>
                  </c:pt>
                  <c:pt idx="1094">
                    <c:v>maceta de barro aerea</c:v>
                  </c:pt>
                  <c:pt idx="1095">
                    <c:v>Maceta de barro FARAO</c:v>
                  </c:pt>
                  <c:pt idx="1096">
                    <c:v>Maceta de cococ/ plato</c:v>
                  </c:pt>
                  <c:pt idx="1097">
                    <c:v>Maceta de cococ/ plato</c:v>
                  </c:pt>
                  <c:pt idx="1098">
                    <c:v>maceta de colgar c/ cadena</c:v>
                  </c:pt>
                  <c:pt idx="1099">
                    <c:v>MACETA DE COLGAR C/ CADENA</c:v>
                  </c:pt>
                  <c:pt idx="1100">
                    <c:v>maceta de colgar c/cadena</c:v>
                  </c:pt>
                  <c:pt idx="1101">
                    <c:v>MACETA DE COLGAR CON CADENA</c:v>
                  </c:pt>
                  <c:pt idx="1102">
                    <c:v>MACETA DE COLGAR CON CADENA</c:v>
                  </c:pt>
                  <c:pt idx="1103">
                    <c:v>MACETA DE COLGAR CON CADENA</c:v>
                  </c:pt>
                  <c:pt idx="1104">
                    <c:v>MACETA DE COLGAR CON CADENA</c:v>
                  </c:pt>
                  <c:pt idx="1105">
                    <c:v>MACETA DE COLGAR CON CADENA</c:v>
                  </c:pt>
                  <c:pt idx="1106">
                    <c:v>maceta de orquidea</c:v>
                  </c:pt>
                  <c:pt idx="1107">
                    <c:v>MACETA DE PLASTICO DE PARED</c:v>
                  </c:pt>
                  <c:pt idx="1108">
                    <c:v>maceta decorada</c:v>
                  </c:pt>
                  <c:pt idx="1109">
                    <c:v>maceta descartable</c:v>
                  </c:pt>
                  <c:pt idx="1110">
                    <c:v>maceta descartable canadience</c:v>
                  </c:pt>
                  <c:pt idx="1111">
                    <c:v>maceta descartable canadience</c:v>
                  </c:pt>
                  <c:pt idx="1112">
                    <c:v>maceta descartable canadience</c:v>
                  </c:pt>
                  <c:pt idx="1113">
                    <c:v>maceta descartable canadience</c:v>
                  </c:pt>
                  <c:pt idx="1114">
                    <c:v>maceta descartable canadience</c:v>
                  </c:pt>
                  <c:pt idx="1115">
                    <c:v>maceta descartable vivero</c:v>
                  </c:pt>
                  <c:pt idx="1116">
                    <c:v>maceta descartable vivero-1000 maceta</c:v>
                  </c:pt>
                  <c:pt idx="1117">
                    <c:v>maceta descartable vivero-2000 maceta</c:v>
                  </c:pt>
                  <c:pt idx="1118">
                    <c:v>maceta descatable canadience</c:v>
                  </c:pt>
                  <c:pt idx="1119">
                    <c:v>maceta diamante</c:v>
                  </c:pt>
                  <c:pt idx="1120">
                    <c:v>maceta diamante</c:v>
                  </c:pt>
                  <c:pt idx="1121">
                    <c:v>MACETA DIAMANTE</c:v>
                  </c:pt>
                  <c:pt idx="1122">
                    <c:v>MACETA DIAMANTE</c:v>
                  </c:pt>
                  <c:pt idx="1123">
                    <c:v>MACETA DIAMANTE</c:v>
                  </c:pt>
                  <c:pt idx="1124">
                    <c:v>maceta duo</c:v>
                  </c:pt>
                  <c:pt idx="1125">
                    <c:v>maceta duo</c:v>
                  </c:pt>
                  <c:pt idx="1126">
                    <c:v>maceta duo</c:v>
                  </c:pt>
                  <c:pt idx="1127">
                    <c:v>maceta ecologica n 2</c:v>
                  </c:pt>
                  <c:pt idx="1128">
                    <c:v>maceta elegant S/plato</c:v>
                  </c:pt>
                  <c:pt idx="1129">
                    <c:v>maceta elegant S/plato</c:v>
                  </c:pt>
                  <c:pt idx="1130">
                    <c:v>maceta elegant S/plato</c:v>
                  </c:pt>
                  <c:pt idx="1131">
                    <c:v>maceta elegant S/plato</c:v>
                  </c:pt>
                  <c:pt idx="1132">
                    <c:v>maceta elegant S/plato</c:v>
                  </c:pt>
                  <c:pt idx="1133">
                    <c:v>maceta elegant S/plato</c:v>
                  </c:pt>
                  <c:pt idx="1134">
                    <c:v>maceta elegant S/plato</c:v>
                  </c:pt>
                  <c:pt idx="1135">
                    <c:v>maceta elegant S/plato</c:v>
                  </c:pt>
                  <c:pt idx="1136">
                    <c:v>maceta estampada blanca lineasc/p</c:v>
                  </c:pt>
                  <c:pt idx="1137">
                    <c:v>maceta estampada blanca lineasc/p</c:v>
                  </c:pt>
                  <c:pt idx="1138">
                    <c:v>maceta estampada blanca lineasc/p</c:v>
                  </c:pt>
                  <c:pt idx="1139">
                    <c:v>maceta estampada blanca lineasc/p</c:v>
                  </c:pt>
                  <c:pt idx="1140">
                    <c:v>maceta estampada blanca lineasc/p</c:v>
                  </c:pt>
                  <c:pt idx="1141">
                    <c:v>maceta estampada blanca lineasc/p</c:v>
                  </c:pt>
                  <c:pt idx="1142">
                    <c:v>maceta facetada</c:v>
                  </c:pt>
                  <c:pt idx="1143">
                    <c:v>maceta flor c/plato</c:v>
                  </c:pt>
                  <c:pt idx="1144">
                    <c:v>maceta guia ecovaso</c:v>
                  </c:pt>
                  <c:pt idx="1145">
                    <c:v>maceta hexagonal</c:v>
                  </c:pt>
                  <c:pt idx="1146">
                    <c:v>maceta holambra</c:v>
                  </c:pt>
                  <c:pt idx="1147">
                    <c:v>MACETA JARDINERA CON PLATO</c:v>
                  </c:pt>
                  <c:pt idx="1148">
                    <c:v>maceta jardinera de pared</c:v>
                  </c:pt>
                  <c:pt idx="1149">
                    <c:v>maceta jardinera plasticos/plato</c:v>
                  </c:pt>
                  <c:pt idx="1150">
                    <c:v>maceta jardinera plstico s/plato</c:v>
                  </c:pt>
                  <c:pt idx="1151">
                    <c:v>MACETA JARDINERA S/PLATO</c:v>
                  </c:pt>
                  <c:pt idx="1152">
                    <c:v>MACETA JARDINERA S/PLATO</c:v>
                  </c:pt>
                  <c:pt idx="1153">
                    <c:v>MACETA JARDINERA TERRACOTA</c:v>
                  </c:pt>
                  <c:pt idx="1154">
                    <c:v>MACETA JARDINERA TERRACOTA</c:v>
                  </c:pt>
                  <c:pt idx="1155">
                    <c:v>maceta lebrillo</c:v>
                  </c:pt>
                  <c:pt idx="1156">
                    <c:v>MACETA MARRON CUADRADA</c:v>
                  </c:pt>
                  <c:pt idx="1157">
                    <c:v>MACETA MARRON CUADRADA</c:v>
                  </c:pt>
                  <c:pt idx="1158">
                    <c:v>maceta marron lisa c/plato</c:v>
                  </c:pt>
                  <c:pt idx="1159">
                    <c:v>maceta marron lisa c/plato</c:v>
                  </c:pt>
                  <c:pt idx="1160">
                    <c:v>MACETA marron lisa c/plato</c:v>
                  </c:pt>
                  <c:pt idx="1161">
                    <c:v>maceta marron lisa c/plato</c:v>
                  </c:pt>
                  <c:pt idx="1162">
                    <c:v>MACETA marron lisa redonda</c:v>
                  </c:pt>
                  <c:pt idx="1163">
                    <c:v>MACETA marrron lisac/plato</c:v>
                  </c:pt>
                  <c:pt idx="1164">
                    <c:v>maceta milan</c:v>
                  </c:pt>
                  <c:pt idx="1165">
                    <c:v>maceta milan</c:v>
                  </c:pt>
                  <c:pt idx="1166">
                    <c:v>maceta mini c/plat</c:v>
                  </c:pt>
                  <c:pt idx="1167">
                    <c:v>maceta N3 color c/plato</c:v>
                  </c:pt>
                  <c:pt idx="1168">
                    <c:v>maceta N4 color c/plato</c:v>
                  </c:pt>
                  <c:pt idx="1169">
                    <c:v>maceta N5 color c/plato</c:v>
                  </c:pt>
                  <c:pt idx="1170">
                    <c:v>maceta nacional </c:v>
                  </c:pt>
                  <c:pt idx="1171">
                    <c:v>maceta nacional A</c:v>
                  </c:pt>
                  <c:pt idx="1172">
                    <c:v>maceta nacional A</c:v>
                  </c:pt>
                  <c:pt idx="1173">
                    <c:v>maceta nacional A</c:v>
                  </c:pt>
                  <c:pt idx="1174">
                    <c:v>maceta nacional A</c:v>
                  </c:pt>
                  <c:pt idx="1175">
                    <c:v>maceta nacional A</c:v>
                  </c:pt>
                  <c:pt idx="1176">
                    <c:v>maceta nacional A</c:v>
                  </c:pt>
                  <c:pt idx="1177">
                    <c:v>maceta nacional A </c:v>
                  </c:pt>
                  <c:pt idx="1178">
                    <c:v>maceta nacional A negra</c:v>
                  </c:pt>
                  <c:pt idx="1179">
                    <c:v>maceta nacional A negra</c:v>
                  </c:pt>
                  <c:pt idx="1180">
                    <c:v>maceta nacional A negra</c:v>
                  </c:pt>
                  <c:pt idx="1181">
                    <c:v>maceta nacional A NEGRA</c:v>
                  </c:pt>
                  <c:pt idx="1182">
                    <c:v>maceta negra c/blanco</c:v>
                  </c:pt>
                  <c:pt idx="1183">
                    <c:v>maceta negra c/blanco</c:v>
                  </c:pt>
                  <c:pt idx="1184">
                    <c:v>maceta negra cilindrica</c:v>
                  </c:pt>
                  <c:pt idx="1185">
                    <c:v>maceta negra cilindrica</c:v>
                  </c:pt>
                  <c:pt idx="1186">
                    <c:v>maceta negra cilindricaC/PLATO</c:v>
                  </c:pt>
                  <c:pt idx="1187">
                    <c:v>MACETA NEGRA CUADRADA RALLADA</c:v>
                  </c:pt>
                  <c:pt idx="1188">
                    <c:v>MACETA NEGRA FLOR C/ PLATO</c:v>
                  </c:pt>
                  <c:pt idx="1189">
                    <c:v>MACETA NEGRA FLOR C/ PLATO</c:v>
                  </c:pt>
                  <c:pt idx="1190">
                    <c:v>MACETA NEGRA FLOR C/ PLATO</c:v>
                  </c:pt>
                  <c:pt idx="1191">
                    <c:v>MACETA NEGRA FLOR C/ PLATO</c:v>
                  </c:pt>
                  <c:pt idx="1192">
                    <c:v>MACETA NEGRA LABRADA</c:v>
                  </c:pt>
                  <c:pt idx="1193">
                    <c:v>MACETA NEGRA LABRADA</c:v>
                  </c:pt>
                  <c:pt idx="1194">
                    <c:v>maceta negra labrada c/plato</c:v>
                  </c:pt>
                  <c:pt idx="1195">
                    <c:v>MACETA NEGRA LABRADA CON PLATO</c:v>
                  </c:pt>
                  <c:pt idx="1196">
                    <c:v>MACETA NEGRA+B1896 CUADRADA RALLADA</c:v>
                  </c:pt>
                  <c:pt idx="1197">
                    <c:v>maceta negto c/blanco</c:v>
                  </c:pt>
                  <c:pt idx="1198">
                    <c:v>maceta nutriplant</c:v>
                  </c:pt>
                  <c:pt idx="1199">
                    <c:v>maceta orquidea</c:v>
                  </c:pt>
                  <c:pt idx="1200">
                    <c:v>maceta orquidea</c:v>
                  </c:pt>
                  <c:pt idx="1201">
                    <c:v>MACETA ORQUIDEA COLOR FLUOR</c:v>
                  </c:pt>
                  <c:pt idx="1202">
                    <c:v>maceta orquidea grande</c:v>
                  </c:pt>
                  <c:pt idx="1203">
                    <c:v>MACETA ORQUIDEA TRANSPARENTE</c:v>
                  </c:pt>
                  <c:pt idx="1204">
                    <c:v>MACETA ORQUIDEA TRANSPARENTE</c:v>
                  </c:pt>
                  <c:pt idx="1205">
                    <c:v>MACETA ORQUIDEA TRANSPARENTE</c:v>
                  </c:pt>
                  <c:pt idx="1206">
                    <c:v>MACETA ORQUIDEA TRANSPARENTE</c:v>
                  </c:pt>
                  <c:pt idx="1207">
                    <c:v>maceta paila 35</c:v>
                  </c:pt>
                  <c:pt idx="1208">
                    <c:v>maceta paila c/p</c:v>
                  </c:pt>
                  <c:pt idx="1209">
                    <c:v>maceta pared</c:v>
                  </c:pt>
                  <c:pt idx="1210">
                    <c:v>maceta pared</c:v>
                  </c:pt>
                  <c:pt idx="1211">
                    <c:v>maceta pared</c:v>
                  </c:pt>
                  <c:pt idx="1212">
                    <c:v>maceta pared</c:v>
                  </c:pt>
                  <c:pt idx="1213">
                    <c:v>maceta pared</c:v>
                  </c:pt>
                  <c:pt idx="1214">
                    <c:v>maceta pared plastico</c:v>
                  </c:pt>
                  <c:pt idx="1215">
                    <c:v>maceta paris</c:v>
                  </c:pt>
                  <c:pt idx="1216">
                    <c:v>maceta paris</c:v>
                  </c:pt>
                  <c:pt idx="1217">
                    <c:v>maceta paris</c:v>
                  </c:pt>
                  <c:pt idx="1218">
                    <c:v>maceta paula  c/plato</c:v>
                  </c:pt>
                  <c:pt idx="1219">
                    <c:v>maceta paula c/plato</c:v>
                  </c:pt>
                  <c:pt idx="1220">
                    <c:v>maceta paula c/plato</c:v>
                  </c:pt>
                  <c:pt idx="1221">
                    <c:v>maceta paula c/plato</c:v>
                  </c:pt>
                  <c:pt idx="1222">
                    <c:v>maceta paula c/plato</c:v>
                  </c:pt>
                  <c:pt idx="1223">
                    <c:v>maceta piramidal con luz  N67</c:v>
                  </c:pt>
                  <c:pt idx="1224">
                    <c:v>maceta piso c/ PLATO</c:v>
                  </c:pt>
                  <c:pt idx="1225">
                    <c:v>MACETA PISO C/ PLATO</c:v>
                  </c:pt>
                  <c:pt idx="1226">
                    <c:v>MACETA PISO C/ PLATO</c:v>
                  </c:pt>
                  <c:pt idx="1227">
                    <c:v>maceta piso con plato</c:v>
                  </c:pt>
                  <c:pt idx="1228">
                    <c:v>maceta piso con plato</c:v>
                  </c:pt>
                  <c:pt idx="1229">
                    <c:v>maceta piso con plato</c:v>
                  </c:pt>
                  <c:pt idx="1230">
                    <c:v>maceta piso cuadradacon plato</c:v>
                  </c:pt>
                  <c:pt idx="1231">
                    <c:v>maceta piso cuadradacon plato</c:v>
                  </c:pt>
                  <c:pt idx="1232">
                    <c:v>maceta piso cuadradacon plato</c:v>
                  </c:pt>
                  <c:pt idx="1233">
                    <c:v>MACETA piso MARRON c/plat</c:v>
                  </c:pt>
                  <c:pt idx="1234">
                    <c:v>maceta piza</c:v>
                  </c:pt>
                  <c:pt idx="1235">
                    <c:v>maceta pl</c:v>
                  </c:pt>
                  <c:pt idx="1236">
                    <c:v>maceta pl</c:v>
                  </c:pt>
                  <c:pt idx="1237">
                    <c:v>maceta pl COLOR</c:v>
                  </c:pt>
                  <c:pt idx="1238">
                    <c:v>maceta pl COLOR</c:v>
                  </c:pt>
                  <c:pt idx="1239">
                    <c:v>maceta pl COLOR</c:v>
                  </c:pt>
                  <c:pt idx="1240">
                    <c:v>maceta pl COLOR</c:v>
                  </c:pt>
                  <c:pt idx="1241">
                    <c:v>MACETA PL NEGRA</c:v>
                  </c:pt>
                  <c:pt idx="1242">
                    <c:v>MACETA PL NEGRA</c:v>
                  </c:pt>
                  <c:pt idx="1243">
                    <c:v>MACETA PL NEGRA</c:v>
                  </c:pt>
                  <c:pt idx="1244">
                    <c:v>MACETA PL NEGRA</c:v>
                  </c:pt>
                  <c:pt idx="1245">
                    <c:v>maceta plastica</c:v>
                  </c:pt>
                  <c:pt idx="1246">
                    <c:v>maceta plastica</c:v>
                  </c:pt>
                  <c:pt idx="1247">
                    <c:v>maceta plastica</c:v>
                  </c:pt>
                  <c:pt idx="1248">
                    <c:v>maceta plastica</c:v>
                  </c:pt>
                  <c:pt idx="1249">
                    <c:v>maceta plastica</c:v>
                  </c:pt>
                  <c:pt idx="1250">
                    <c:v>maceta plastica</c:v>
                  </c:pt>
                  <c:pt idx="1251">
                    <c:v>maceta plastica </c:v>
                  </c:pt>
                  <c:pt idx="1252">
                    <c:v>maceta plastica blanca</c:v>
                  </c:pt>
                  <c:pt idx="1253">
                    <c:v>MACETA PLASTICA COPA</c:v>
                  </c:pt>
                  <c:pt idx="1254">
                    <c:v>maceta plastica gris</c:v>
                  </c:pt>
                  <c:pt idx="1255">
                    <c:v>maceta plastico cuadrada</c:v>
                  </c:pt>
                  <c:pt idx="1256">
                    <c:v>maceta plastico cuadrada</c:v>
                  </c:pt>
                  <c:pt idx="1257">
                    <c:v>maceta plastico cuadrada</c:v>
                  </c:pt>
                  <c:pt idx="1258">
                    <c:v>maceta plastico cuadrada</c:v>
                  </c:pt>
                  <c:pt idx="1259">
                    <c:v>maceta plastico cuadrada</c:v>
                  </c:pt>
                  <c:pt idx="1260">
                    <c:v>maceta plastico cuadrada</c:v>
                  </c:pt>
                  <c:pt idx="1261">
                    <c:v>maceta plastico jardinera s/</c:v>
                  </c:pt>
                  <c:pt idx="1262">
                    <c:v>maceta plastico labrada</c:v>
                  </c:pt>
                  <c:pt idx="1263">
                    <c:v>maceta plastico labrada</c:v>
                  </c:pt>
                  <c:pt idx="1264">
                    <c:v>maceta plastico n11</c:v>
                  </c:pt>
                  <c:pt idx="1265">
                    <c:v>maceta plastico n8</c:v>
                  </c:pt>
                  <c:pt idx="1266">
                    <c:v>maceta porteña </c:v>
                  </c:pt>
                  <c:pt idx="1267">
                    <c:v>MACETA PREMIUN clasica</c:v>
                  </c:pt>
                  <c:pt idx="1268">
                    <c:v>MACETA PREMIUN clasica</c:v>
                  </c:pt>
                  <c:pt idx="1269">
                    <c:v>MACETA PREMIUN clasica</c:v>
                  </c:pt>
                  <c:pt idx="1270">
                    <c:v>MACETA PREMIUN clasica</c:v>
                  </c:pt>
                  <c:pt idx="1271">
                    <c:v>MACETA PREMIUN clasica</c:v>
                  </c:pt>
                  <c:pt idx="1272">
                    <c:v>maceta premiun redonda blanca </c:v>
                  </c:pt>
                  <c:pt idx="1273">
                    <c:v>MACETA PRISMA CODIGO</c:v>
                  </c:pt>
                  <c:pt idx="1274">
                    <c:v>MACETA PUNTO 1</c:v>
                  </c:pt>
                  <c:pt idx="1275">
                    <c:v>MACETA PUNTO 2</c:v>
                  </c:pt>
                  <c:pt idx="1276">
                    <c:v>MACETA PUNTO 3</c:v>
                  </c:pt>
                  <c:pt idx="1277">
                    <c:v>MACETA PUNTO 4</c:v>
                  </c:pt>
                  <c:pt idx="1278">
                    <c:v>MACETA RAYADA PLASTICO</c:v>
                  </c:pt>
                  <c:pt idx="1279">
                    <c:v>MACETA RAYADA TERRACOTA</c:v>
                  </c:pt>
                  <c:pt idx="1280">
                    <c:v>MACETA RAYADA TERRACOTA</c:v>
                  </c:pt>
                  <c:pt idx="1281">
                    <c:v>MACETA RAYADA TERRACOTA</c:v>
                  </c:pt>
                  <c:pt idx="1282">
                    <c:v>MACETA RAYADA TERRACOTA</c:v>
                  </c:pt>
                  <c:pt idx="1283">
                    <c:v>maceta rayadaterracota</c:v>
                  </c:pt>
                  <c:pt idx="1284">
                    <c:v>maceta redonda decorada c/plato</c:v>
                  </c:pt>
                  <c:pt idx="1285">
                    <c:v>maceta redonda decorada c/plato</c:v>
                  </c:pt>
                  <c:pt idx="1286">
                    <c:v>maceta redonda decorada c/plato</c:v>
                  </c:pt>
                  <c:pt idx="1287">
                    <c:v>maceta redonda decorada c/plato</c:v>
                  </c:pt>
                  <c:pt idx="1288">
                    <c:v>maceta redonda europea</c:v>
                  </c:pt>
                  <c:pt idx="1289">
                    <c:v>MACETA REDONDA SIMIL PETRE 10 CM</c:v>
                  </c:pt>
                  <c:pt idx="1290">
                    <c:v>maceta relevo</c:v>
                  </c:pt>
                  <c:pt idx="1291">
                    <c:v>maceta relevo</c:v>
                  </c:pt>
                  <c:pt idx="1292">
                    <c:v>maceta rio</c:v>
                  </c:pt>
                  <c:pt idx="1293">
                    <c:v>maceta rocio </c:v>
                  </c:pt>
                  <c:pt idx="1294">
                    <c:v>maceta rocio </c:v>
                  </c:pt>
                  <c:pt idx="1295">
                    <c:v>maceta rocio </c:v>
                  </c:pt>
                  <c:pt idx="1296">
                    <c:v>maceta rocio </c:v>
                  </c:pt>
                  <c:pt idx="1297">
                    <c:v>maceta rocio de colores</c:v>
                  </c:pt>
                  <c:pt idx="1298">
                    <c:v>maceta rocio de colores</c:v>
                  </c:pt>
                  <c:pt idx="1299">
                    <c:v>maceta rocio de colores</c:v>
                  </c:pt>
                  <c:pt idx="1300">
                    <c:v>maceta rocio de colores</c:v>
                  </c:pt>
                  <c:pt idx="1301">
                    <c:v>maceta rocio de colores</c:v>
                  </c:pt>
                  <c:pt idx="1302">
                    <c:v>maceta rotomoldeada</c:v>
                  </c:pt>
                  <c:pt idx="1303">
                    <c:v>maceta rotomoldeada</c:v>
                  </c:pt>
                  <c:pt idx="1304">
                    <c:v>maceta rotomoldeada</c:v>
                  </c:pt>
                  <c:pt idx="1305">
                    <c:v>maceta rotomoldeada</c:v>
                  </c:pt>
                  <c:pt idx="1306">
                    <c:v>maceta rotomoldeada</c:v>
                  </c:pt>
                  <c:pt idx="1307">
                    <c:v>maceta rotomoldeada</c:v>
                  </c:pt>
                  <c:pt idx="1308">
                    <c:v>maceta rotomoldeada</c:v>
                  </c:pt>
                  <c:pt idx="1309">
                    <c:v>maceta rotomoldeada</c:v>
                  </c:pt>
                  <c:pt idx="1310">
                    <c:v>maceta rotomoldeada</c:v>
                  </c:pt>
                  <c:pt idx="1311">
                    <c:v>maceta rotomoldeada</c:v>
                  </c:pt>
                  <c:pt idx="1312">
                    <c:v>maceta rotomoldeada</c:v>
                  </c:pt>
                  <c:pt idx="1313">
                    <c:v>maceta rotomoldeada</c:v>
                  </c:pt>
                  <c:pt idx="1314">
                    <c:v>maceta rotomoldeada</c:v>
                  </c:pt>
                  <c:pt idx="1315">
                    <c:v>MACETA ROTOMOLDEADA</c:v>
                  </c:pt>
                  <c:pt idx="1316">
                    <c:v>MACETA ROTOMOLDEADA</c:v>
                  </c:pt>
                  <c:pt idx="1317">
                    <c:v>MACETA ROTOMOLDEADA</c:v>
                  </c:pt>
                  <c:pt idx="1318">
                    <c:v>MACETA ROTOMOLDEADA</c:v>
                  </c:pt>
                  <c:pt idx="1319">
                    <c:v>MACETA ROTOMOLDEADA</c:v>
                  </c:pt>
                  <c:pt idx="1320">
                    <c:v>MACETA ROTOMOLDEADA</c:v>
                  </c:pt>
                  <c:pt idx="1321">
                    <c:v>MACETA ROTOMOLDEADA</c:v>
                  </c:pt>
                  <c:pt idx="1322">
                    <c:v>maceta rotomoldeada</c:v>
                  </c:pt>
                  <c:pt idx="1323">
                    <c:v>MACETA ROTOMOLDEADA</c:v>
                  </c:pt>
                  <c:pt idx="1324">
                    <c:v>MACETA ROTOMOLDEADA</c:v>
                  </c:pt>
                  <c:pt idx="1325">
                    <c:v>MACETA ROTOMOLDEADA</c:v>
                  </c:pt>
                  <c:pt idx="1326">
                    <c:v>MACETA ROTOMOLDEADA</c:v>
                  </c:pt>
                  <c:pt idx="1327">
                    <c:v>MACETA ROTOMOLDEADA</c:v>
                  </c:pt>
                  <c:pt idx="1328">
                    <c:v>MACETA ROTOMOLDEADA</c:v>
                  </c:pt>
                  <c:pt idx="1329">
                    <c:v>MACETA ROTOMOLDEADA</c:v>
                  </c:pt>
                  <c:pt idx="1330">
                    <c:v>MACETA ROTOMOLDEADA</c:v>
                  </c:pt>
                  <c:pt idx="1331">
                    <c:v>MACETA ROTOMOLDEADA</c:v>
                  </c:pt>
                  <c:pt idx="1332">
                    <c:v>MACETA ROTOMOLDEADA</c:v>
                  </c:pt>
                  <c:pt idx="1333">
                    <c:v>MACETA ROTOMOLDEADA</c:v>
                  </c:pt>
                  <c:pt idx="1334">
                    <c:v>MACETA ROTOMOLDEADA</c:v>
                  </c:pt>
                  <c:pt idx="1335">
                    <c:v>MACETA ROTOMOLDEADA</c:v>
                  </c:pt>
                  <c:pt idx="1336">
                    <c:v>MACETA ROTOMOLDEADA</c:v>
                  </c:pt>
                  <c:pt idx="1337">
                    <c:v>MACETA ROTOMOLDEADA</c:v>
                  </c:pt>
                  <c:pt idx="1338">
                    <c:v>MACETA ROTOMOLDEADA</c:v>
                  </c:pt>
                  <c:pt idx="1339">
                    <c:v>MACETA ROTOMOLDEADA</c:v>
                  </c:pt>
                  <c:pt idx="1340">
                    <c:v>MACETA ROTOMOLDEADA</c:v>
                  </c:pt>
                  <c:pt idx="1341">
                    <c:v>MACETA ROTOMOLDEADA</c:v>
                  </c:pt>
                  <c:pt idx="1342">
                    <c:v>MACETA ROTOMOLDEADA</c:v>
                  </c:pt>
                  <c:pt idx="1343">
                    <c:v>MACETA ROTOMOLDEADA</c:v>
                  </c:pt>
                  <c:pt idx="1344">
                    <c:v>MACETA ROTOMOLDEADA</c:v>
                  </c:pt>
                  <c:pt idx="1345">
                    <c:v>MACETA ROTOMOLDEADA</c:v>
                  </c:pt>
                  <c:pt idx="1346">
                    <c:v>MACETA ROTOMOLDEADA </c:v>
                  </c:pt>
                  <c:pt idx="1347">
                    <c:v>maceta rotomoldeada </c:v>
                  </c:pt>
                  <c:pt idx="1348">
                    <c:v>maceta rotomoldeada </c:v>
                  </c:pt>
                  <c:pt idx="1349">
                    <c:v>maceta rotomoldeada </c:v>
                  </c:pt>
                  <c:pt idx="1350">
                    <c:v>MACETA ROTOMOLDEADA </c:v>
                  </c:pt>
                  <c:pt idx="1351">
                    <c:v>MACETA ROTOMOLDEADA </c:v>
                  </c:pt>
                  <c:pt idx="1352">
                    <c:v>MACETA ROTOMOLDEADA </c:v>
                  </c:pt>
                  <c:pt idx="1353">
                    <c:v>MACETA ROTOMOLDEADA </c:v>
                  </c:pt>
                  <c:pt idx="1354">
                    <c:v>maceta rotomoldeada </c:v>
                  </c:pt>
                  <c:pt idx="1355">
                    <c:v>MACETA ROTOMOLDEADA OCRE</c:v>
                  </c:pt>
                  <c:pt idx="1356">
                    <c:v>MACETA ROTOMOLDEADA OCRE</c:v>
                  </c:pt>
                  <c:pt idx="1357">
                    <c:v>MACETA ROTOMOLDEADA OCRE</c:v>
                  </c:pt>
                  <c:pt idx="1358">
                    <c:v>MACETA ROTOMOLDEADA OCRE</c:v>
                  </c:pt>
                  <c:pt idx="1359">
                    <c:v>maceta rotomoldeada vogue mini beta mini</c:v>
                  </c:pt>
                  <c:pt idx="1360">
                    <c:v>MACETA ROTOMOLDEALA</c:v>
                  </c:pt>
                  <c:pt idx="1361">
                    <c:v>maceta sampa</c:v>
                  </c:pt>
                  <c:pt idx="1362">
                    <c:v>maceta sampa</c:v>
                  </c:pt>
                  <c:pt idx="1363">
                    <c:v>maceta sampa</c:v>
                  </c:pt>
                  <c:pt idx="1364">
                    <c:v>maceta sampa</c:v>
                  </c:pt>
                  <c:pt idx="1365">
                    <c:v>maceta sampa</c:v>
                  </c:pt>
                  <c:pt idx="1366">
                    <c:v>maceta sampa</c:v>
                  </c:pt>
                  <c:pt idx="1367">
                    <c:v>maceta sampa</c:v>
                  </c:pt>
                  <c:pt idx="1368">
                    <c:v>maceta sampa</c:v>
                  </c:pt>
                  <c:pt idx="1369">
                    <c:v>maceta sampa</c:v>
                  </c:pt>
                  <c:pt idx="1370">
                    <c:v>maceta SURA</c:v>
                  </c:pt>
                  <c:pt idx="1371">
                    <c:v>maceta SURA</c:v>
                  </c:pt>
                  <c:pt idx="1372">
                    <c:v>maceta SURA</c:v>
                  </c:pt>
                  <c:pt idx="1373">
                    <c:v>maceta SURA</c:v>
                  </c:pt>
                  <c:pt idx="1374">
                    <c:v>maceta terra</c:v>
                  </c:pt>
                  <c:pt idx="1375">
                    <c:v>MACETA TERRACOTA</c:v>
                  </c:pt>
                  <c:pt idx="1376">
                    <c:v>maceta terracota</c:v>
                  </c:pt>
                  <c:pt idx="1377">
                    <c:v>maceta terracota</c:v>
                  </c:pt>
                  <c:pt idx="1378">
                    <c:v>maceta terracota</c:v>
                  </c:pt>
                  <c:pt idx="1379">
                    <c:v>MACETA TERRACOTA</c:v>
                  </c:pt>
                  <c:pt idx="1380">
                    <c:v>maceta transparente p/orquidia</c:v>
                  </c:pt>
                  <c:pt idx="1381">
                    <c:v>maceta transparente p/orquidia</c:v>
                  </c:pt>
                  <c:pt idx="1382">
                    <c:v>maceta tuna cuadrada</c:v>
                  </c:pt>
                  <c:pt idx="1383">
                    <c:v>maceta tuna cuadrada</c:v>
                  </c:pt>
                  <c:pt idx="1384">
                    <c:v>maceta tuna redonda</c:v>
                  </c:pt>
                  <c:pt idx="1385">
                    <c:v>maceta tuna redonda</c:v>
                  </c:pt>
                  <c:pt idx="1386">
                    <c:v>maceta vaso acuarela</c:v>
                  </c:pt>
                  <c:pt idx="1387">
                    <c:v>maceta vaso duo brancografiti</c:v>
                  </c:pt>
                  <c:pt idx="1388">
                    <c:v>maceta vaso negro</c:v>
                  </c:pt>
                  <c:pt idx="1389">
                    <c:v>maceta vaso negro</c:v>
                  </c:pt>
                  <c:pt idx="1390">
                    <c:v>maceta vaso negro</c:v>
                  </c:pt>
                  <c:pt idx="1391">
                    <c:v>maceta vaso negro</c:v>
                  </c:pt>
                  <c:pt idx="1392">
                    <c:v>maceta vaso redondo</c:v>
                  </c:pt>
                  <c:pt idx="1393">
                    <c:v>maceta vaso redondo</c:v>
                  </c:pt>
                  <c:pt idx="1394">
                    <c:v>maceta vechio americano N°1</c:v>
                  </c:pt>
                  <c:pt idx="1395">
                    <c:v>maceta vechio americano N°3</c:v>
                  </c:pt>
                  <c:pt idx="1396">
                    <c:v>maceta vechio cachepo bally N°1</c:v>
                  </c:pt>
                  <c:pt idx="1397">
                    <c:v>maceta vechio cachepo bola N°1</c:v>
                  </c:pt>
                  <c:pt idx="1398">
                    <c:v>maceta verona con plato set x 5</c:v>
                  </c:pt>
                  <c:pt idx="1399">
                    <c:v>maceta vivero</c:v>
                  </c:pt>
                  <c:pt idx="1400">
                    <c:v>maceta xaxim con cadena ch</c:v>
                  </c:pt>
                  <c:pt idx="1401">
                    <c:v>maceta xaxim con cadena med</c:v>
                  </c:pt>
                  <c:pt idx="1402">
                    <c:v>macetacui nobleproductor</c:v>
                  </c:pt>
                  <c:pt idx="1403">
                    <c:v>MACETAlisa</c:v>
                  </c:pt>
                  <c:pt idx="1404">
                    <c:v>MACETAlisa</c:v>
                  </c:pt>
                  <c:pt idx="1405">
                    <c:v>macetas barro cilindro alto</c:v>
                  </c:pt>
                  <c:pt idx="1406">
                    <c:v>macetas barro cilindro alto</c:v>
                  </c:pt>
                  <c:pt idx="1407">
                    <c:v>macetas bombe c/ plato</c:v>
                  </c:pt>
                  <c:pt idx="1408">
                    <c:v>macetas clasicas blancas</c:v>
                  </c:pt>
                  <c:pt idx="1409">
                    <c:v>macetas clasicas blancas</c:v>
                  </c:pt>
                  <c:pt idx="1410">
                    <c:v>macetas clasicas blancas</c:v>
                  </c:pt>
                  <c:pt idx="1411">
                    <c:v>macetas clasicas blancas</c:v>
                  </c:pt>
                  <c:pt idx="1412">
                    <c:v>macetas clasicas blancas</c:v>
                  </c:pt>
                  <c:pt idx="1413">
                    <c:v>macetas clasicas blancas</c:v>
                  </c:pt>
                  <c:pt idx="1414">
                    <c:v>macetas clasicas blancas</c:v>
                  </c:pt>
                  <c:pt idx="1415">
                    <c:v>macetas clasicas blancas</c:v>
                  </c:pt>
                  <c:pt idx="1416">
                    <c:v>macetas clasicas blancas</c:v>
                  </c:pt>
                  <c:pt idx="1417">
                    <c:v>macetas clasicas blancas</c:v>
                  </c:pt>
                  <c:pt idx="1418">
                    <c:v>macetas clasicas blancas</c:v>
                  </c:pt>
                  <c:pt idx="1419">
                    <c:v>macetas nutriplant negra</c:v>
                  </c:pt>
                  <c:pt idx="1420">
                    <c:v>macetas nutriplant negra</c:v>
                  </c:pt>
                  <c:pt idx="1421">
                    <c:v>macetas nutriplant negra</c:v>
                  </c:pt>
                  <c:pt idx="1422">
                    <c:v>macetas nutriplant negra</c:v>
                  </c:pt>
                  <c:pt idx="1423">
                    <c:v>macetas nutriplant negra</c:v>
                  </c:pt>
                  <c:pt idx="1424">
                    <c:v>macetas nutriplant negra</c:v>
                  </c:pt>
                  <c:pt idx="1425">
                    <c:v>macetas nutriplant negra</c:v>
                  </c:pt>
                  <c:pt idx="1426">
                    <c:v>macetas nutriplant negra</c:v>
                  </c:pt>
                  <c:pt idx="1427">
                    <c:v>macetas nutriplant negra</c:v>
                  </c:pt>
                  <c:pt idx="1428">
                    <c:v>macetas nutriplant negra</c:v>
                  </c:pt>
                  <c:pt idx="1429">
                    <c:v>macetas nutriplant negra</c:v>
                  </c:pt>
                  <c:pt idx="1430">
                    <c:v>MACETERO COLGAR RATAN CH</c:v>
                  </c:pt>
                  <c:pt idx="1431">
                    <c:v>MACETERO COLGAR RATAN GDE</c:v>
                  </c:pt>
                  <c:pt idx="1432">
                    <c:v>MACETERO COLGAR RATAN MED</c:v>
                  </c:pt>
                  <c:pt idx="1433">
                    <c:v>macetta plastico pared</c:v>
                  </c:pt>
                  <c:pt idx="1434">
                    <c:v>macetta plastico pared</c:v>
                  </c:pt>
                  <c:pt idx="1435">
                    <c:v>machete tramontina</c:v>
                  </c:pt>
                  <c:pt idx="1436">
                    <c:v>maiz entero</c:v>
                  </c:pt>
                  <c:pt idx="1437">
                    <c:v>maiz entero</c:v>
                  </c:pt>
                  <c:pt idx="1438">
                    <c:v>maiz quebrado</c:v>
                  </c:pt>
                  <c:pt idx="1439">
                    <c:v>maiz quebrado</c:v>
                  </c:pt>
                  <c:pt idx="1440">
                    <c:v>malbitraz</c:v>
                  </c:pt>
                  <c:pt idx="1441">
                    <c:v>malla negra n 4</c:v>
                  </c:pt>
                  <c:pt idx="1442">
                    <c:v>malla negra n2</c:v>
                  </c:pt>
                  <c:pt idx="1443">
                    <c:v>malla para helada</c:v>
                  </c:pt>
                  <c:pt idx="1444">
                    <c:v>malla sombra 50 %</c:v>
                  </c:pt>
                  <c:pt idx="1445">
                    <c:v>malla sombra 50 %</c:v>
                  </c:pt>
                  <c:pt idx="1446">
                    <c:v>malla sombra 80 % 4 mts ancho</c:v>
                  </c:pt>
                  <c:pt idx="1447">
                    <c:v>malla sombra 80 % 4 mts ancho</c:v>
                  </c:pt>
                  <c:pt idx="1448">
                    <c:v>malla sombra 80 % 4 mts ancho</c:v>
                  </c:pt>
                  <c:pt idx="1449">
                    <c:v>mancoceb</c:v>
                  </c:pt>
                  <c:pt idx="1450">
                    <c:v>mancozeb</c:v>
                  </c:pt>
                  <c:pt idx="1451">
                    <c:v>mancozeb</c:v>
                  </c:pt>
                  <c:pt idx="1452">
                    <c:v>manguer extensible </c:v>
                  </c:pt>
                  <c:pt idx="1453">
                    <c:v>manguera</c:v>
                  </c:pt>
                  <c:pt idx="1454">
                    <c:v>manguera</c:v>
                  </c:pt>
                  <c:pt idx="1455">
                    <c:v>manguera de tela</c:v>
                  </c:pt>
                  <c:pt idx="1456">
                    <c:v>manguera extensible</c:v>
                  </c:pt>
                  <c:pt idx="1457">
                    <c:v>manguera extensible</c:v>
                  </c:pt>
                  <c:pt idx="1458">
                    <c:v>manguera extensiblo</c:v>
                  </c:pt>
                  <c:pt idx="1459">
                    <c:v>MANTA DE COCO</c:v>
                  </c:pt>
                  <c:pt idx="1460">
                    <c:v>MANTA DE COCO</c:v>
                  </c:pt>
                  <c:pt idx="1461">
                    <c:v>manta de coco</c:v>
                  </c:pt>
                  <c:pt idx="1462">
                    <c:v>MANZANILLA</c:v>
                  </c:pt>
                  <c:pt idx="1463">
                    <c:v>maple de huevo-</c:v>
                  </c:pt>
                  <c:pt idx="1464">
                    <c:v>maples de huevo</c:v>
                  </c:pt>
                  <c:pt idx="1465">
                    <c:v>maquina de flit</c:v>
                  </c:pt>
                  <c:pt idx="1466">
                    <c:v>marmolina </c:v>
                  </c:pt>
                  <c:pt idx="1467">
                    <c:v>mata polillas </c:v>
                  </c:pt>
                  <c:pt idx="1468">
                    <c:v>mata todo</c:v>
                  </c:pt>
                  <c:pt idx="1469">
                    <c:v>MATAMOSCAS</c:v>
                  </c:pt>
                  <c:pt idx="1470">
                    <c:v>mcetero colgante</c:v>
                  </c:pt>
                  <c:pt idx="1471">
                    <c:v>medroxi</c:v>
                  </c:pt>
                  <c:pt idx="1472">
                    <c:v>medroxi</c:v>
                  </c:pt>
                  <c:pt idx="1473">
                    <c:v>medroxi</c:v>
                  </c:pt>
                  <c:pt idx="1474">
                    <c:v>melaza</c:v>
                  </c:pt>
                  <c:pt idx="1475">
                    <c:v>Melaza</c:v>
                  </c:pt>
                  <c:pt idx="1476">
                    <c:v>mercaptathion</c:v>
                  </c:pt>
                  <c:pt idx="1477">
                    <c:v>mercaptothion</c:v>
                  </c:pt>
                  <c:pt idx="1478">
                    <c:v>metilaqua azul</c:v>
                  </c:pt>
                  <c:pt idx="1479">
                    <c:v>microvita</c:v>
                  </c:pt>
                  <c:pt idx="1480">
                    <c:v>mini bola</c:v>
                  </c:pt>
                  <c:pt idx="1481">
                    <c:v>mixtos</c:v>
                  </c:pt>
                  <c:pt idx="1482">
                    <c:v>mochila fumigadora</c:v>
                  </c:pt>
                  <c:pt idx="1483">
                    <c:v>mochila plastico</c:v>
                  </c:pt>
                  <c:pt idx="1484">
                    <c:v>mochila roceador</c:v>
                  </c:pt>
                  <c:pt idx="1485">
                    <c:v>moha</c:v>
                  </c:pt>
                  <c:pt idx="1486">
                    <c:v>moha</c:v>
                  </c:pt>
                  <c:pt idx="1487">
                    <c:v>moha</c:v>
                  </c:pt>
                  <c:pt idx="1488">
                    <c:v>MOLINETE CHICO</c:v>
                  </c:pt>
                  <c:pt idx="1489">
                    <c:v>molinete flor</c:v>
                  </c:pt>
                  <c:pt idx="1490">
                    <c:v>MOLINETE GRANDE</c:v>
                  </c:pt>
                  <c:pt idx="1491">
                    <c:v>molino</c:v>
                  </c:pt>
                  <c:pt idx="1492">
                    <c:v>molino</c:v>
                  </c:pt>
                  <c:pt idx="1493">
                    <c:v>molino</c:v>
                  </c:pt>
                  <c:pt idx="1494">
                    <c:v>molino</c:v>
                  </c:pt>
                  <c:pt idx="1495">
                    <c:v>molino</c:v>
                  </c:pt>
                  <c:pt idx="1496">
                    <c:v>molino</c:v>
                  </c:pt>
                  <c:pt idx="1497">
                    <c:v>moscaxan</c:v>
                  </c:pt>
                  <c:pt idx="1498">
                    <c:v>moscaxan platillos</c:v>
                  </c:pt>
                  <c:pt idx="1499">
                    <c:v>mosqueton c/destorcedor</c:v>
                  </c:pt>
                  <c:pt idx="1500">
                    <c:v>mosqueton c/destorcedor</c:v>
                  </c:pt>
                  <c:pt idx="1501">
                    <c:v>mosqueton c/destorcedor</c:v>
                  </c:pt>
                  <c:pt idx="1502">
                    <c:v>mosqueton c/destorcedor</c:v>
                  </c:pt>
                  <c:pt idx="1503">
                    <c:v>mulch </c:v>
                  </c:pt>
                  <c:pt idx="1504">
                    <c:v>Mulch sol</c:v>
                  </c:pt>
                  <c:pt idx="1505">
                    <c:v>musgo</c:v>
                  </c:pt>
                  <c:pt idx="1506">
                    <c:v>musgo natural</c:v>
                  </c:pt>
                  <c:pt idx="1507">
                    <c:v>neen super</c:v>
                  </c:pt>
                  <c:pt idx="1508">
                    <c:v>neodip</c:v>
                  </c:pt>
                  <c:pt idx="1509">
                    <c:v>neodip</c:v>
                  </c:pt>
                  <c:pt idx="1510">
                    <c:v>nido cotorra australiana</c:v>
                  </c:pt>
                  <c:pt idx="1511">
                    <c:v>nido de canario alambre y cuerda</c:v>
                  </c:pt>
                  <c:pt idx="1512">
                    <c:v>NIDO JUNCO</c:v>
                  </c:pt>
                  <c:pt idx="1513">
                    <c:v>NIDO jute CANARIO</c:v>
                  </c:pt>
                  <c:pt idx="1514">
                    <c:v>nido loro australiano</c:v>
                  </c:pt>
                  <c:pt idx="1515">
                    <c:v>nido p/pajaro grande</c:v>
                  </c:pt>
                  <c:pt idx="1516">
                    <c:v>nido para canario piola</c:v>
                  </c:pt>
                  <c:pt idx="1517">
                    <c:v>nido yute p/canario</c:v>
                  </c:pt>
                  <c:pt idx="1518">
                    <c:v>nido yute p/canarios</c:v>
                  </c:pt>
                  <c:pt idx="1519">
                    <c:v>nitro sulfa aviar</c:v>
                  </c:pt>
                  <c:pt idx="1520">
                    <c:v>nitro sulfa aviar</c:v>
                  </c:pt>
                  <c:pt idx="1521">
                    <c:v>nogales europeo</c:v>
                  </c:pt>
                  <c:pt idx="1522">
                    <c:v>nutricion p/canarios</c:v>
                  </c:pt>
                  <c:pt idx="1523">
                    <c:v>nutricion p/canarios</c:v>
                  </c:pt>
                  <c:pt idx="1524">
                    <c:v>nutricion p/canarios</c:v>
                  </c:pt>
                  <c:pt idx="1525">
                    <c:v>nutricion p/canarios</c:v>
                  </c:pt>
                  <c:pt idx="1526">
                    <c:v>oasis biodegradable</c:v>
                  </c:pt>
                  <c:pt idx="1527">
                    <c:v>oasis-ladrillo de espuma floral</c:v>
                  </c:pt>
                  <c:pt idx="1528">
                    <c:v>OPTIMUN GATOS CASTRADOS</c:v>
                  </c:pt>
                  <c:pt idx="1529">
                    <c:v>OSMOCOTE fertilizante</c:v>
                  </c:pt>
                  <c:pt idx="1530">
                    <c:v>oxicloruro de cobre-fanavid</c:v>
                  </c:pt>
                  <c:pt idx="1531">
                    <c:v>oxicloruro de cobre-fanavid</c:v>
                  </c:pt>
                  <c:pt idx="1532">
                    <c:v>pala ancha</c:v>
                  </c:pt>
                  <c:pt idx="1533">
                    <c:v>pala ancha /fina de jardineria</c:v>
                  </c:pt>
                  <c:pt idx="1534">
                    <c:v>pala anchamango de madera</c:v>
                  </c:pt>
                  <c:pt idx="1535">
                    <c:v>pala de jardin</c:v>
                  </c:pt>
                  <c:pt idx="1536">
                    <c:v>pala plastico para jardin</c:v>
                  </c:pt>
                  <c:pt idx="1537">
                    <c:v>pala sanitaria</c:v>
                  </c:pt>
                  <c:pt idx="1538">
                    <c:v>palillos de ropa</c:v>
                  </c:pt>
                  <c:pt idx="1539">
                    <c:v>palita angosta cabo de madera</c:v>
                  </c:pt>
                  <c:pt idx="1540">
                    <c:v>PALITA METALICA</c:v>
                  </c:pt>
                  <c:pt idx="1541">
                    <c:v>palita p/jardin mango madera</c:v>
                  </c:pt>
                  <c:pt idx="1542">
                    <c:v>palita sanitaria c/cara de gato</c:v>
                  </c:pt>
                  <c:pt idx="1543">
                    <c:v>palo santo </c:v>
                  </c:pt>
                  <c:pt idx="1544">
                    <c:v>panel pasto hoja larga</c:v>
                  </c:pt>
                  <c:pt idx="1545">
                    <c:v>panel pasto trebol</c:v>
                  </c:pt>
                  <c:pt idx="1546">
                    <c:v>pantalla luz blanca</c:v>
                  </c:pt>
                  <c:pt idx="1547">
                    <c:v>pantalla luz blanca</c:v>
                  </c:pt>
                  <c:pt idx="1548">
                    <c:v>papel pino 50 /25 cm</c:v>
                  </c:pt>
                  <c:pt idx="1549">
                    <c:v>papilla p/ pajaros</c:v>
                  </c:pt>
                  <c:pt idx="1550">
                    <c:v>papilla p/pajaros</c:v>
                  </c:pt>
                  <c:pt idx="1551">
                    <c:v>papillap/psitacidos-tarro azul</c:v>
                  </c:pt>
                  <c:pt idx="1552">
                    <c:v>paquette semilla aromatica</c:v>
                  </c:pt>
                  <c:pt idx="1553">
                    <c:v>paradicloro</c:v>
                  </c:pt>
                  <c:pt idx="1554">
                    <c:v>paradicloro</c:v>
                  </c:pt>
                  <c:pt idx="1555">
                    <c:v>parrilleros</c:v>
                  </c:pt>
                  <c:pt idx="1556">
                    <c:v>pastilla nexgard dog L c/u</c:v>
                  </c:pt>
                  <c:pt idx="1557">
                    <c:v>pastilla nexgard dog XL C/U</c:v>
                  </c:pt>
                  <c:pt idx="1558">
                    <c:v>pastillas nexgard dog M c/u</c:v>
                  </c:pt>
                  <c:pt idx="1559">
                    <c:v>pastillas nexgard dog S C/U</c:v>
                  </c:pt>
                  <c:pt idx="1560">
                    <c:v>pate de carne</c:v>
                  </c:pt>
                  <c:pt idx="1561">
                    <c:v>pecera</c:v>
                  </c:pt>
                  <c:pt idx="1562">
                    <c:v>pecera</c:v>
                  </c:pt>
                  <c:pt idx="1563">
                    <c:v>pecera</c:v>
                  </c:pt>
                  <c:pt idx="1564">
                    <c:v>pecera</c:v>
                  </c:pt>
                  <c:pt idx="1565">
                    <c:v>pecera</c:v>
                  </c:pt>
                  <c:pt idx="1566">
                    <c:v>pecera</c:v>
                  </c:pt>
                  <c:pt idx="1567">
                    <c:v>PECERA ACRILICO 39X26X49</c:v>
                  </c:pt>
                  <c:pt idx="1568">
                    <c:v>PECERA ACRILICO38X22X41</c:v>
                  </c:pt>
                  <c:pt idx="1569">
                    <c:v>pecera de vidrio</c:v>
                  </c:pt>
                  <c:pt idx="1570">
                    <c:v>pedigree razas pequeñas</c:v>
                  </c:pt>
                  <c:pt idx="1571">
                    <c:v>pedigree razas pequeñas</c:v>
                  </c:pt>
                  <c:pt idx="1572">
                    <c:v>pegamento p/rata</c:v>
                  </c:pt>
                  <c:pt idx="1573">
                    <c:v>pelones</c:v>
                  </c:pt>
                  <c:pt idx="1574">
                    <c:v>pelota de tenis</c:v>
                  </c:pt>
                  <c:pt idx="1575">
                    <c:v>pelota maciza</c:v>
                  </c:pt>
                  <c:pt idx="1576">
                    <c:v>pelota soga</c:v>
                  </c:pt>
                  <c:pt idx="1577">
                    <c:v>pelota tenis goma</c:v>
                  </c:pt>
                  <c:pt idx="1578">
                    <c:v>pelota vinilo erizo con luz</c:v>
                  </c:pt>
                  <c:pt idx="1579">
                    <c:v>peluche conejo con corazon</c:v>
                  </c:pt>
                  <c:pt idx="1580">
                    <c:v>peluche oso c/enterito smile 70 cm-4 colores </c:v>
                  </c:pt>
                  <c:pt idx="1581">
                    <c:v>peluche oso corazon te amo grande</c:v>
                  </c:pt>
                  <c:pt idx="1582">
                    <c:v>peluche perro corazon te amo</c:v>
                  </c:pt>
                  <c:pt idx="1583">
                    <c:v>PERCHAS</c:v>
                  </c:pt>
                  <c:pt idx="1584">
                    <c:v>perlita</c:v>
                  </c:pt>
                  <c:pt idx="1585">
                    <c:v>perlita</c:v>
                  </c:pt>
                  <c:pt idx="1586">
                    <c:v>perlita</c:v>
                  </c:pt>
                  <c:pt idx="1587">
                    <c:v>perlita</c:v>
                  </c:pt>
                  <c:pt idx="1588">
                    <c:v>perro bandido</c:v>
                  </c:pt>
                  <c:pt idx="1589">
                    <c:v>perro bandido</c:v>
                  </c:pt>
                  <c:pt idx="1590">
                    <c:v>perro bandido</c:v>
                  </c:pt>
                  <c:pt idx="1591">
                    <c:v>perro beny</c:v>
                  </c:pt>
                  <c:pt idx="1592">
                    <c:v>perro beny</c:v>
                  </c:pt>
                  <c:pt idx="1593">
                    <c:v>perro beny</c:v>
                  </c:pt>
                  <c:pt idx="1594">
                    <c:v>perro birbo cachorro</c:v>
                  </c:pt>
                  <c:pt idx="1595">
                    <c:v>perro birbo cachorro</c:v>
                  </c:pt>
                  <c:pt idx="1596">
                    <c:v>PERRO BRABO BABY</c:v>
                  </c:pt>
                  <c:pt idx="1597">
                    <c:v>PERRO BRAVO FRANGO E LEGUMES</c:v>
                  </c:pt>
                  <c:pt idx="1598">
                    <c:v>perro burny</c:v>
                  </c:pt>
                  <c:pt idx="1599">
                    <c:v>perro cannel</c:v>
                  </c:pt>
                  <c:pt idx="1600">
                    <c:v>perro cannel</c:v>
                  </c:pt>
                  <c:pt idx="1601">
                    <c:v>perro cannel</c:v>
                  </c:pt>
                  <c:pt idx="1602">
                    <c:v>perro cannel mix</c:v>
                  </c:pt>
                  <c:pt idx="1603">
                    <c:v>perro cannel mix</c:v>
                  </c:pt>
                  <c:pt idx="1604">
                    <c:v>perro cannel mix</c:v>
                  </c:pt>
                  <c:pt idx="1605">
                    <c:v>perro champmix de carne</c:v>
                  </c:pt>
                  <c:pt idx="1606">
                    <c:v>perro champmix de carne</c:v>
                  </c:pt>
                  <c:pt idx="1607">
                    <c:v>PERRO CHARRUA ADULTO</c:v>
                  </c:pt>
                  <c:pt idx="1608">
                    <c:v>perro conni adulto </c:v>
                  </c:pt>
                  <c:pt idx="1609">
                    <c:v>PERRO CRIOLLA ADULTO</c:v>
                  </c:pt>
                  <c:pt idx="1610">
                    <c:v>perro dogui cachorro</c:v>
                  </c:pt>
                  <c:pt idx="1611">
                    <c:v>perro dogui cachorro</c:v>
                  </c:pt>
                  <c:pt idx="1612">
                    <c:v>perro dogui cachorro</c:v>
                  </c:pt>
                  <c:pt idx="1613">
                    <c:v>perro dogui cer,car,arroz</c:v>
                  </c:pt>
                  <c:pt idx="1614">
                    <c:v>perro dogui cer,car,arroz</c:v>
                  </c:pt>
                  <c:pt idx="1615">
                    <c:v>perro equilibrio raza pequeña</c:v>
                  </c:pt>
                  <c:pt idx="1616">
                    <c:v>perro equilibrio raza pequeña</c:v>
                  </c:pt>
                  <c:pt idx="1617">
                    <c:v>perro especial dog</c:v>
                  </c:pt>
                  <c:pt idx="1618">
                    <c:v>perro fridy</c:v>
                  </c:pt>
                  <c:pt idx="1619">
                    <c:v>perro fridy</c:v>
                  </c:pt>
                  <c:pt idx="1620">
                    <c:v>perro intor cachorro</c:v>
                  </c:pt>
                  <c:pt idx="1621">
                    <c:v>perro lager</c:v>
                  </c:pt>
                  <c:pt idx="1622">
                    <c:v>perro lager</c:v>
                  </c:pt>
                  <c:pt idx="1623">
                    <c:v>perro lager</c:v>
                  </c:pt>
                  <c:pt idx="1624">
                    <c:v>perro mimos plus</c:v>
                  </c:pt>
                  <c:pt idx="1625">
                    <c:v>perro ny dog</c:v>
                  </c:pt>
                  <c:pt idx="1626">
                    <c:v>perro ny dog</c:v>
                  </c:pt>
                  <c:pt idx="1627">
                    <c:v>perro pedrighe cachorro</c:v>
                  </c:pt>
                  <c:pt idx="1628">
                    <c:v>perro pedrighe cachorro</c:v>
                  </c:pt>
                  <c:pt idx="1629">
                    <c:v>perro pedrigree</c:v>
                  </c:pt>
                  <c:pt idx="1630">
                    <c:v>perro pedrigree carne pollos y cereales</c:v>
                  </c:pt>
                  <c:pt idx="1631">
                    <c:v>perro pedrigree raza pequeña</c:v>
                  </c:pt>
                  <c:pt idx="1632">
                    <c:v>perro pedrigue razas pequeñas</c:v>
                  </c:pt>
                  <c:pt idx="1633">
                    <c:v>perro pedrigue razas pequeñas</c:v>
                  </c:pt>
                  <c:pt idx="1634">
                    <c:v>perro primocao filhotes</c:v>
                  </c:pt>
                  <c:pt idx="1635">
                    <c:v>perro primocao original negra</c:v>
                  </c:pt>
                  <c:pt idx="1636">
                    <c:v>perro primocao original negro </c:v>
                  </c:pt>
                  <c:pt idx="1637">
                    <c:v>perro primocao original negro </c:v>
                  </c:pt>
                  <c:pt idx="1638">
                    <c:v>perro primocao premiun filohotes</c:v>
                  </c:pt>
                  <c:pt idx="1639">
                    <c:v>perro primocao premiun filohotes</c:v>
                  </c:pt>
                  <c:pt idx="1640">
                    <c:v>perro primocao premiun raza pequeña</c:v>
                  </c:pt>
                  <c:pt idx="1641">
                    <c:v>perro pro 21</c:v>
                  </c:pt>
                  <c:pt idx="1642">
                    <c:v>perro pro 21 </c:v>
                  </c:pt>
                  <c:pt idx="1643">
                    <c:v>perro pro 21 </c:v>
                  </c:pt>
                  <c:pt idx="1644">
                    <c:v>perro pro 27</c:v>
                  </c:pt>
                  <c:pt idx="1645">
                    <c:v>perro pro 27</c:v>
                  </c:pt>
                  <c:pt idx="1646">
                    <c:v>perro urupet</c:v>
                  </c:pt>
                  <c:pt idx="1647">
                    <c:v>perro urupet</c:v>
                  </c:pt>
                  <c:pt idx="1648">
                    <c:v>perro wits</c:v>
                  </c:pt>
                  <c:pt idx="1649">
                    <c:v>pez doris</c:v>
                  </c:pt>
                  <c:pt idx="1650">
                    <c:v>pez payaso con cartel</c:v>
                  </c:pt>
                  <c:pt idx="1651">
                    <c:v>phaltan 80 wdg</c:v>
                  </c:pt>
                  <c:pt idx="1652">
                    <c:v>pico de placa nacional</c:v>
                  </c:pt>
                  <c:pt idx="1653">
                    <c:v>pie sepelio chica</c:v>
                  </c:pt>
                  <c:pt idx="1654">
                    <c:v>piedra  porosa </c:v>
                  </c:pt>
                  <c:pt idx="1655">
                    <c:v>piedra de calcio</c:v>
                  </c:pt>
                  <c:pt idx="1656">
                    <c:v>piedra de calcio</c:v>
                  </c:pt>
                  <c:pt idx="1657">
                    <c:v>PIEDRA DE CALCIO</c:v>
                  </c:pt>
                  <c:pt idx="1658">
                    <c:v>piedra porosa azul</c:v>
                  </c:pt>
                  <c:pt idx="1659">
                    <c:v>piedra porosa azul</c:v>
                  </c:pt>
                  <c:pt idx="1660">
                    <c:v>piedra porosa azul</c:v>
                  </c:pt>
                  <c:pt idx="1661">
                    <c:v>piedra porosa redonda</c:v>
                  </c:pt>
                  <c:pt idx="1662">
                    <c:v>piedra sanitaria</c:v>
                  </c:pt>
                  <c:pt idx="1663">
                    <c:v>piedra sanitaria</c:v>
                  </c:pt>
                  <c:pt idx="1664">
                    <c:v>piedra sanitaria animalitos sanipel</c:v>
                  </c:pt>
                  <c:pt idx="1665">
                    <c:v>piedra sanitaria c/gel silica</c:v>
                  </c:pt>
                  <c:pt idx="1666">
                    <c:v>piedras blancas</c:v>
                  </c:pt>
                  <c:pt idx="1667">
                    <c:v>piedras blancas</c:v>
                  </c:pt>
                  <c:pt idx="1668">
                    <c:v>PIEDRAS COLORES</c:v>
                  </c:pt>
                  <c:pt idx="1669">
                    <c:v>piedras de calcio</c:v>
                  </c:pt>
                  <c:pt idx="1670">
                    <c:v>pinza </c:v>
                  </c:pt>
                  <c:pt idx="1671">
                    <c:v>pinza de corte</c:v>
                  </c:pt>
                  <c:pt idx="1672">
                    <c:v>pioner</c:v>
                  </c:pt>
                  <c:pt idx="1673">
                    <c:v>piperacina</c:v>
                  </c:pt>
                  <c:pt idx="1674">
                    <c:v>pipeta efinol</c:v>
                  </c:pt>
                  <c:pt idx="1675">
                    <c:v>pipeta efinol</c:v>
                  </c:pt>
                  <c:pt idx="1676">
                    <c:v>pipeta frontline plus</c:v>
                  </c:pt>
                  <c:pt idx="1677">
                    <c:v>pipeta frontline plus</c:v>
                  </c:pt>
                  <c:pt idx="1678">
                    <c:v>pipeta gato  pulgout</c:v>
                  </c:pt>
                  <c:pt idx="1679">
                    <c:v>pipeta gato  pulgout</c:v>
                  </c:pt>
                  <c:pt idx="1680">
                    <c:v>PIPETA PERRO</c:v>
                  </c:pt>
                  <c:pt idx="1681">
                    <c:v>pipeta perro pulgout</c:v>
                  </c:pt>
                  <c:pt idx="1682">
                    <c:v>pipeta perro pulgout</c:v>
                  </c:pt>
                  <c:pt idx="1683">
                    <c:v>pipeta perro pulgout</c:v>
                  </c:pt>
                  <c:pt idx="1684">
                    <c:v>pipeta perro pulgout</c:v>
                  </c:pt>
                  <c:pt idx="1685">
                    <c:v>pipeta pipeton gato</c:v>
                  </c:pt>
                  <c:pt idx="1686">
                    <c:v>pipeta pipeton gato</c:v>
                  </c:pt>
                  <c:pt idx="1687">
                    <c:v>pipetas efinol gato</c:v>
                  </c:pt>
                  <c:pt idx="1688">
                    <c:v>pipetas frontline</c:v>
                  </c:pt>
                  <c:pt idx="1689">
                    <c:v>pipete frontline</c:v>
                  </c:pt>
                  <c:pt idx="1690">
                    <c:v>pistola naranja puntero de bronce</c:v>
                  </c:pt>
                  <c:pt idx="1691">
                    <c:v>placa nacional</c:v>
                  </c:pt>
                  <c:pt idx="1692">
                    <c:v>planta</c:v>
                  </c:pt>
                  <c:pt idx="1693">
                    <c:v>planta</c:v>
                  </c:pt>
                  <c:pt idx="1694">
                    <c:v>planta</c:v>
                  </c:pt>
                  <c:pt idx="1695">
                    <c:v>planta</c:v>
                  </c:pt>
                  <c:pt idx="1696">
                    <c:v>planta adorno arbol amarillo</c:v>
                  </c:pt>
                  <c:pt idx="1697">
                    <c:v>planta adorno arbol violeta</c:v>
                  </c:pt>
                  <c:pt idx="1698">
                    <c:v>planta adornoarbol amarillo</c:v>
                  </c:pt>
                  <c:pt idx="1699">
                    <c:v>planta artificial </c:v>
                  </c:pt>
                  <c:pt idx="1700">
                    <c:v>planta artificial pecera</c:v>
                  </c:pt>
                  <c:pt idx="1701">
                    <c:v>planta artificial pecera</c:v>
                  </c:pt>
                  <c:pt idx="1702">
                    <c:v>planta artificial pecera</c:v>
                  </c:pt>
                  <c:pt idx="1703">
                    <c:v>planta chica x 2 unidades</c:v>
                  </c:pt>
                  <c:pt idx="1704">
                    <c:v>planta colgante</c:v>
                  </c:pt>
                  <c:pt idx="1705">
                    <c:v>planta colgante</c:v>
                  </c:pt>
                  <c:pt idx="1706">
                    <c:v>PLANTA PHILODENDRO 90 CM</c:v>
                  </c:pt>
                  <c:pt idx="1707">
                    <c:v>PLANTA PIMPOLLO COLGAR</c:v>
                  </c:pt>
                  <c:pt idx="1708">
                    <c:v>planta pincho</c:v>
                  </c:pt>
                  <c:pt idx="1709">
                    <c:v>plantas</c:v>
                  </c:pt>
                  <c:pt idx="1710">
                    <c:v>plantas artf plasticas</c:v>
                  </c:pt>
                  <c:pt idx="1711">
                    <c:v>plantas artf plasticas</c:v>
                  </c:pt>
                  <c:pt idx="1712">
                    <c:v>plantas artf plasticas</c:v>
                  </c:pt>
                  <c:pt idx="1713">
                    <c:v>plantas artf. chicas</c:v>
                  </c:pt>
                  <c:pt idx="1714">
                    <c:v>plantiflor</c:v>
                  </c:pt>
                  <c:pt idx="1715">
                    <c:v>PLANTIFLOR</c:v>
                  </c:pt>
                  <c:pt idx="1716">
                    <c:v>platillos cebo nosca</c:v>
                  </c:pt>
                  <c:pt idx="1717">
                    <c:v>plato cuadrado gris</c:v>
                  </c:pt>
                  <c:pt idx="1718">
                    <c:v>plato cuadrado gris</c:v>
                  </c:pt>
                  <c:pt idx="1719">
                    <c:v>plato cuadrado gris</c:v>
                  </c:pt>
                  <c:pt idx="1720">
                    <c:v>plato cuadrado negro</c:v>
                  </c:pt>
                  <c:pt idx="1721">
                    <c:v>plato cuadrado negro</c:v>
                  </c:pt>
                  <c:pt idx="1722">
                    <c:v>plato cuadrado negro</c:v>
                  </c:pt>
                  <c:pt idx="1723">
                    <c:v>plato de barro</c:v>
                  </c:pt>
                  <c:pt idx="1724">
                    <c:v>plato de barro</c:v>
                  </c:pt>
                </c:lvl>
                <c:lvl>
                  <c:pt idx="1">
                    <c:v>10</c:v>
                  </c:pt>
                  <c:pt idx="3">
                    <c:v>-</c:v>
                  </c:pt>
                  <c:pt idx="5">
                    <c:v>320</c:v>
                  </c:pt>
                  <c:pt idx="6">
                    <c:v>320</c:v>
                  </c:pt>
                  <c:pt idx="9">
                    <c:v>magric</c:v>
                  </c:pt>
                  <c:pt idx="10">
                    <c:v>gr9675</c:v>
                  </c:pt>
                  <c:pt idx="11">
                    <c:v>gr 9675</c:v>
                  </c:pt>
                  <c:pt idx="12">
                    <c:v>GR11371</c:v>
                  </c:pt>
                  <c:pt idx="13">
                    <c:v>act600d</c:v>
                  </c:pt>
                  <c:pt idx="14">
                    <c:v>3120</c:v>
                  </c:pt>
                  <c:pt idx="15">
                    <c:v>cgt00074</c:v>
                  </c:pt>
                  <c:pt idx="17">
                    <c:v>cgf00710</c:v>
                  </c:pt>
                  <c:pt idx="18">
                    <c:v>33963</c:v>
                  </c:pt>
                  <c:pt idx="19">
                    <c:v>86984</c:v>
                  </c:pt>
                  <c:pt idx="20">
                    <c:v>6982</c:v>
                  </c:pt>
                  <c:pt idx="21">
                    <c:v>6986</c:v>
                  </c:pt>
                  <c:pt idx="22">
                    <c:v>6981</c:v>
                  </c:pt>
                  <c:pt idx="26">
                    <c:v>2,12fgc223</c:v>
                  </c:pt>
                  <c:pt idx="27">
                    <c:v>V1300</c:v>
                  </c:pt>
                  <c:pt idx="28">
                    <c:v>V1309</c:v>
                  </c:pt>
                  <c:pt idx="29">
                    <c:v>v1313</c:v>
                  </c:pt>
                  <c:pt idx="30">
                    <c:v>v1301</c:v>
                  </c:pt>
                  <c:pt idx="31">
                    <c:v>v1314</c:v>
                  </c:pt>
                  <c:pt idx="32">
                    <c:v>v1310</c:v>
                  </c:pt>
                  <c:pt idx="33">
                    <c:v>v1304</c:v>
                  </c:pt>
                  <c:pt idx="34">
                    <c:v>81</c:v>
                  </c:pt>
                  <c:pt idx="35">
                    <c:v>gr2884</c:v>
                  </c:pt>
                  <c:pt idx="36">
                    <c:v>3110</c:v>
                  </c:pt>
                  <c:pt idx="37">
                    <c:v>se500</c:v>
                  </c:pt>
                  <c:pt idx="38">
                    <c:v>v5313</c:v>
                  </c:pt>
                  <c:pt idx="39">
                    <c:v>v5312</c:v>
                  </c:pt>
                  <c:pt idx="40">
                    <c:v>v5312</c:v>
                  </c:pt>
                  <c:pt idx="41">
                    <c:v>v5312</c:v>
                  </c:pt>
                  <c:pt idx="42">
                    <c:v>P014A</c:v>
                  </c:pt>
                  <c:pt idx="43">
                    <c:v>v0891</c:v>
                  </c:pt>
                  <c:pt idx="44">
                    <c:v>p014a</c:v>
                  </c:pt>
                  <c:pt idx="45">
                    <c:v>p014a</c:v>
                  </c:pt>
                  <c:pt idx="46">
                    <c:v>po14</c:v>
                  </c:pt>
                  <c:pt idx="47">
                    <c:v>v0844</c:v>
                  </c:pt>
                  <c:pt idx="48">
                    <c:v>V5303</c:v>
                  </c:pt>
                  <c:pt idx="49">
                    <c:v>vo851</c:v>
                  </c:pt>
                  <c:pt idx="50">
                    <c:v>v0845</c:v>
                  </c:pt>
                  <c:pt idx="51">
                    <c:v>v0845</c:v>
                  </c:pt>
                  <c:pt idx="52">
                    <c:v>v0845</c:v>
                  </c:pt>
                  <c:pt idx="53">
                    <c:v>v0845</c:v>
                  </c:pt>
                  <c:pt idx="54">
                    <c:v>v5304</c:v>
                  </c:pt>
                  <c:pt idx="55">
                    <c:v>v5302</c:v>
                  </c:pt>
                  <c:pt idx="56">
                    <c:v>p037</c:v>
                  </c:pt>
                  <c:pt idx="57">
                    <c:v>p037</c:v>
                  </c:pt>
                  <c:pt idx="58">
                    <c:v>p037</c:v>
                  </c:pt>
                  <c:pt idx="59">
                    <c:v>3104</c:v>
                  </c:pt>
                  <c:pt idx="60">
                    <c:v>506614</c:v>
                  </c:pt>
                  <c:pt idx="64">
                    <c:v>cfl00004</c:v>
                  </c:pt>
                  <c:pt idx="67">
                    <c:v>CGT00085</c:v>
                  </c:pt>
                  <c:pt idx="68">
                    <c:v>CGT00088</c:v>
                  </c:pt>
                  <c:pt idx="69">
                    <c:v>CGT00089</c:v>
                  </c:pt>
                  <c:pt idx="70">
                    <c:v>CGT00090</c:v>
                  </c:pt>
                  <c:pt idx="78">
                    <c:v>hw70731</c:v>
                  </c:pt>
                  <c:pt idx="79">
                    <c:v>hw70732</c:v>
                  </c:pt>
                  <c:pt idx="82">
                    <c:v>232</c:v>
                  </c:pt>
                  <c:pt idx="83">
                    <c:v>DC2840</c:v>
                  </c:pt>
                  <c:pt idx="84">
                    <c:v>DC2839</c:v>
                  </c:pt>
                  <c:pt idx="89">
                    <c:v>444</c:v>
                  </c:pt>
                  <c:pt idx="90">
                    <c:v>cgt00002</c:v>
                  </c:pt>
                  <c:pt idx="91">
                    <c:v>CGTOOOO2</c:v>
                  </c:pt>
                  <c:pt idx="92">
                    <c:v>cgt00002</c:v>
                  </c:pt>
                  <c:pt idx="93">
                    <c:v>T2905</c:v>
                  </c:pt>
                  <c:pt idx="98">
                    <c:v>1010297</c:v>
                  </c:pt>
                  <c:pt idx="99">
                    <c:v>1010297</c:v>
                  </c:pt>
                  <c:pt idx="103">
                    <c:v>221000</c:v>
                  </c:pt>
                  <c:pt idx="105">
                    <c:v>1006</c:v>
                  </c:pt>
                  <c:pt idx="106">
                    <c:v>508</c:v>
                  </c:pt>
                  <c:pt idx="107">
                    <c:v>404</c:v>
                  </c:pt>
                  <c:pt idx="108">
                    <c:v>3004</c:v>
                  </c:pt>
                  <c:pt idx="111">
                    <c:v>v3965</c:v>
                  </c:pt>
                  <c:pt idx="112">
                    <c:v>pe649</c:v>
                  </c:pt>
                  <c:pt idx="113">
                    <c:v>pe210</c:v>
                  </c:pt>
                  <c:pt idx="114">
                    <c:v>v4164</c:v>
                  </c:pt>
                  <c:pt idx="115">
                    <c:v>v4162</c:v>
                  </c:pt>
                  <c:pt idx="116">
                    <c:v>v4226</c:v>
                  </c:pt>
                  <c:pt idx="117">
                    <c:v>al1018</c:v>
                  </c:pt>
                  <c:pt idx="118">
                    <c:v>al1028</c:v>
                  </c:pt>
                  <c:pt idx="119">
                    <c:v>nhsz06</c:v>
                  </c:pt>
                  <c:pt idx="120">
                    <c:v>nhsz05</c:v>
                  </c:pt>
                  <c:pt idx="121">
                    <c:v>200155</c:v>
                  </c:pt>
                  <c:pt idx="122">
                    <c:v>2230</c:v>
                  </c:pt>
                  <c:pt idx="123">
                    <c:v>1</c:v>
                  </c:pt>
                  <c:pt idx="129">
                    <c:v>V2691A</c:v>
                  </c:pt>
                  <c:pt idx="130">
                    <c:v>514224</c:v>
                  </c:pt>
                  <c:pt idx="131">
                    <c:v>514223</c:v>
                  </c:pt>
                  <c:pt idx="134">
                    <c:v>BE125</c:v>
                  </c:pt>
                  <c:pt idx="135">
                    <c:v>be03</c:v>
                  </c:pt>
                  <c:pt idx="136">
                    <c:v>V4652</c:v>
                  </c:pt>
                  <c:pt idx="137">
                    <c:v>518800</c:v>
                  </c:pt>
                  <c:pt idx="138">
                    <c:v>a28003</c:v>
                  </c:pt>
                  <c:pt idx="139">
                    <c:v>pe359</c:v>
                  </c:pt>
                  <c:pt idx="140">
                    <c:v>pe359</c:v>
                  </c:pt>
                  <c:pt idx="141">
                    <c:v>pe358</c:v>
                  </c:pt>
                  <c:pt idx="142">
                    <c:v>al1114</c:v>
                  </c:pt>
                  <c:pt idx="143">
                    <c:v>al1030</c:v>
                  </c:pt>
                  <c:pt idx="144">
                    <c:v>V4631</c:v>
                  </c:pt>
                  <c:pt idx="145">
                    <c:v>V4632</c:v>
                  </c:pt>
                  <c:pt idx="146">
                    <c:v>eh400</c:v>
                  </c:pt>
                  <c:pt idx="148">
                    <c:v>al1116</c:v>
                  </c:pt>
                  <c:pt idx="149">
                    <c:v>al1030</c:v>
                  </c:pt>
                  <c:pt idx="150">
                    <c:v>al1114</c:v>
                  </c:pt>
                  <c:pt idx="151">
                    <c:v>eh400</c:v>
                  </c:pt>
                  <c:pt idx="153">
                    <c:v>v4606</c:v>
                  </c:pt>
                  <c:pt idx="154">
                    <c:v>v4607</c:v>
                  </c:pt>
                  <c:pt idx="155">
                    <c:v>v4608</c:v>
                  </c:pt>
                  <c:pt idx="156">
                    <c:v>v5025</c:v>
                  </c:pt>
                  <c:pt idx="157">
                    <c:v>v5028</c:v>
                  </c:pt>
                  <c:pt idx="158">
                    <c:v>v5027</c:v>
                  </c:pt>
                  <c:pt idx="159">
                    <c:v>v5029a</c:v>
                  </c:pt>
                  <c:pt idx="160">
                    <c:v>v5029A</c:v>
                  </c:pt>
                  <c:pt idx="161">
                    <c:v>1011008</c:v>
                  </c:pt>
                  <c:pt idx="167">
                    <c:v>fum600d</c:v>
                  </c:pt>
                  <c:pt idx="168">
                    <c:v>ins600d</c:v>
                  </c:pt>
                  <c:pt idx="169">
                    <c:v>fer10d</c:v>
                  </c:pt>
                  <c:pt idx="170">
                    <c:v>fer10d</c:v>
                  </c:pt>
                  <c:pt idx="171">
                    <c:v>fer10d</c:v>
                  </c:pt>
                  <c:pt idx="175">
                    <c:v>sus7dav</c:v>
                  </c:pt>
                  <c:pt idx="176">
                    <c:v>sus20dav</c:v>
                  </c:pt>
                  <c:pt idx="177">
                    <c:v>2501</c:v>
                  </c:pt>
                  <c:pt idx="178">
                    <c:v>2505</c:v>
                  </c:pt>
                  <c:pt idx="179">
                    <c:v>gr19202</c:v>
                  </c:pt>
                  <c:pt idx="180">
                    <c:v>GR19204</c:v>
                  </c:pt>
                  <c:pt idx="203">
                    <c:v>0</c:v>
                  </c:pt>
                  <c:pt idx="204">
                    <c:v>0</c:v>
                  </c:pt>
                  <c:pt idx="205">
                    <c:v>0</c:v>
                  </c:pt>
                  <c:pt idx="206">
                    <c:v>472-37492</c:v>
                  </c:pt>
                  <c:pt idx="208">
                    <c:v>0</c:v>
                  </c:pt>
                  <c:pt idx="209">
                    <c:v>0</c:v>
                  </c:pt>
                  <c:pt idx="210">
                    <c:v>hw73198</c:v>
                  </c:pt>
                  <c:pt idx="216">
                    <c:v>184070</c:v>
                  </c:pt>
                  <c:pt idx="217">
                    <c:v>184008</c:v>
                  </c:pt>
                  <c:pt idx="218">
                    <c:v>1800</c:v>
                  </c:pt>
                  <c:pt idx="219">
                    <c:v>0</c:v>
                  </c:pt>
                  <c:pt idx="220">
                    <c:v>0</c:v>
                  </c:pt>
                  <c:pt idx="221">
                    <c:v>v1320</c:v>
                  </c:pt>
                  <c:pt idx="222">
                    <c:v>v1321</c:v>
                  </c:pt>
                  <c:pt idx="223">
                    <c:v>V1326</c:v>
                  </c:pt>
                  <c:pt idx="224">
                    <c:v>v1327</c:v>
                  </c:pt>
                  <c:pt idx="225">
                    <c:v>v1323</c:v>
                  </c:pt>
                  <c:pt idx="226">
                    <c:v>V13356</c:v>
                  </c:pt>
                  <c:pt idx="227">
                    <c:v>cgt00048</c:v>
                  </c:pt>
                  <c:pt idx="229">
                    <c:v>he702</c:v>
                  </c:pt>
                  <c:pt idx="230">
                    <c:v>207</c:v>
                  </c:pt>
                  <c:pt idx="231">
                    <c:v>208</c:v>
                  </c:pt>
                  <c:pt idx="232">
                    <c:v>209</c:v>
                  </c:pt>
                  <c:pt idx="233">
                    <c:v>211</c:v>
                  </c:pt>
                  <c:pt idx="234">
                    <c:v>6403</c:v>
                  </c:pt>
                  <c:pt idx="237">
                    <c:v>gr3287</c:v>
                  </c:pt>
                  <c:pt idx="238">
                    <c:v>3232</c:v>
                  </c:pt>
                  <c:pt idx="239">
                    <c:v>cac7DB</c:v>
                  </c:pt>
                  <c:pt idx="240">
                    <c:v>HE1920</c:v>
                  </c:pt>
                  <c:pt idx="241">
                    <c:v>z174</c:v>
                  </c:pt>
                  <c:pt idx="242">
                    <c:v>he356</c:v>
                  </c:pt>
                  <c:pt idx="243">
                    <c:v>Z175</c:v>
                  </c:pt>
                  <c:pt idx="244">
                    <c:v>Z174</c:v>
                  </c:pt>
                  <c:pt idx="245">
                    <c:v>Z173</c:v>
                  </c:pt>
                  <c:pt idx="246">
                    <c:v>z172</c:v>
                  </c:pt>
                  <c:pt idx="249">
                    <c:v>f-113</c:v>
                  </c:pt>
                  <c:pt idx="250">
                    <c:v>v5325</c:v>
                  </c:pt>
                  <c:pt idx="252">
                    <c:v>v1411</c:v>
                  </c:pt>
                  <c:pt idx="253">
                    <c:v>v1419a</c:v>
                  </c:pt>
                  <c:pt idx="254">
                    <c:v>ht-3300</c:v>
                  </c:pt>
                  <c:pt idx="255">
                    <c:v>v1419a</c:v>
                  </c:pt>
                  <c:pt idx="260">
                    <c:v>V0614</c:v>
                  </c:pt>
                  <c:pt idx="261">
                    <c:v>1221</c:v>
                  </c:pt>
                  <c:pt idx="262">
                    <c:v>11222</c:v>
                  </c:pt>
                  <c:pt idx="264">
                    <c:v>222000</c:v>
                  </c:pt>
                  <c:pt idx="266">
                    <c:v>0</c:v>
                  </c:pt>
                  <c:pt idx="267">
                    <c:v>0</c:v>
                  </c:pt>
                  <c:pt idx="268">
                    <c:v>213</c:v>
                  </c:pt>
                  <c:pt idx="269">
                    <c:v>213</c:v>
                  </c:pt>
                  <c:pt idx="270">
                    <c:v>ac21</c:v>
                  </c:pt>
                  <c:pt idx="271">
                    <c:v>1011849</c:v>
                  </c:pt>
                  <c:pt idx="272">
                    <c:v>mt200s</c:v>
                  </c:pt>
                  <c:pt idx="273">
                    <c:v>DW97065</c:v>
                  </c:pt>
                  <c:pt idx="275">
                    <c:v>278</c:v>
                  </c:pt>
                  <c:pt idx="276">
                    <c:v>v1166a</c:v>
                  </c:pt>
                  <c:pt idx="277">
                    <c:v>v1166a</c:v>
                  </c:pt>
                  <c:pt idx="278">
                    <c:v>kc59216</c:v>
                  </c:pt>
                  <c:pt idx="282">
                    <c:v>cgf00669</c:v>
                  </c:pt>
                  <c:pt idx="283">
                    <c:v>GR19309</c:v>
                  </c:pt>
                  <c:pt idx="284">
                    <c:v>gr19307</c:v>
                  </c:pt>
                  <c:pt idx="285">
                    <c:v>3755</c:v>
                  </c:pt>
                  <c:pt idx="286">
                    <c:v>3607</c:v>
                  </c:pt>
                  <c:pt idx="287">
                    <c:v>3237</c:v>
                  </c:pt>
                  <c:pt idx="288">
                    <c:v>3300</c:v>
                  </c:pt>
                  <c:pt idx="289">
                    <c:v>3306</c:v>
                  </c:pt>
                  <c:pt idx="290">
                    <c:v>3758</c:v>
                  </c:pt>
                  <c:pt idx="291">
                    <c:v>3204</c:v>
                  </c:pt>
                  <c:pt idx="292">
                    <c:v>3202</c:v>
                  </c:pt>
                  <c:pt idx="293">
                    <c:v>3236</c:v>
                  </c:pt>
                  <c:pt idx="294">
                    <c:v>3200</c:v>
                  </c:pt>
                  <c:pt idx="295">
                    <c:v>3206</c:v>
                  </c:pt>
                  <c:pt idx="296">
                    <c:v>3235</c:v>
                  </c:pt>
                  <c:pt idx="297">
                    <c:v>3205</c:v>
                  </c:pt>
                  <c:pt idx="298">
                    <c:v>3603</c:v>
                  </c:pt>
                  <c:pt idx="299">
                    <c:v>99320</c:v>
                  </c:pt>
                  <c:pt idx="300">
                    <c:v>99325</c:v>
                  </c:pt>
                  <c:pt idx="303">
                    <c:v>788780</c:v>
                  </c:pt>
                  <c:pt idx="304">
                    <c:v>99200</c:v>
                  </c:pt>
                  <c:pt idx="307">
                    <c:v>99116</c:v>
                  </c:pt>
                  <c:pt idx="310">
                    <c:v>218</c:v>
                  </c:pt>
                  <c:pt idx="312">
                    <c:v>gr25486</c:v>
                  </c:pt>
                  <c:pt idx="314">
                    <c:v>hw66622</c:v>
                  </c:pt>
                  <c:pt idx="315">
                    <c:v>bhw72004</c:v>
                  </c:pt>
                  <c:pt idx="316">
                    <c:v>1</c:v>
                  </c:pt>
                  <c:pt idx="317">
                    <c:v>430</c:v>
                  </c:pt>
                  <c:pt idx="320">
                    <c:v>3751</c:v>
                  </c:pt>
                  <c:pt idx="322">
                    <c:v>V0694</c:v>
                  </c:pt>
                  <c:pt idx="331">
                    <c:v>sg2</c:v>
                  </c:pt>
                  <c:pt idx="335">
                    <c:v>MT925</c:v>
                  </c:pt>
                  <c:pt idx="336">
                    <c:v>2166</c:v>
                  </c:pt>
                  <c:pt idx="337">
                    <c:v>sl2103</c:v>
                  </c:pt>
                  <c:pt idx="338">
                    <c:v>sl2102</c:v>
                  </c:pt>
                  <c:pt idx="339">
                    <c:v>sl2104</c:v>
                  </c:pt>
                  <c:pt idx="340">
                    <c:v>830</c:v>
                  </c:pt>
                  <c:pt idx="341">
                    <c:v>831</c:v>
                  </c:pt>
                  <c:pt idx="342">
                    <c:v>821</c:v>
                  </c:pt>
                  <c:pt idx="343">
                    <c:v>841d</c:v>
                  </c:pt>
                  <c:pt idx="344">
                    <c:v>851</c:v>
                  </c:pt>
                  <c:pt idx="345">
                    <c:v>800</c:v>
                  </c:pt>
                  <c:pt idx="346">
                    <c:v>840</c:v>
                  </c:pt>
                  <c:pt idx="347">
                    <c:v>840D</c:v>
                  </c:pt>
                  <c:pt idx="348">
                    <c:v>799</c:v>
                  </c:pt>
                  <c:pt idx="349">
                    <c:v>810</c:v>
                  </c:pt>
                  <c:pt idx="350">
                    <c:v>820</c:v>
                  </c:pt>
                  <c:pt idx="351">
                    <c:v>850D</c:v>
                  </c:pt>
                  <c:pt idx="352">
                    <c:v>A14506</c:v>
                  </c:pt>
                  <c:pt idx="353">
                    <c:v>2404</c:v>
                  </c:pt>
                  <c:pt idx="354">
                    <c:v>gr14027</c:v>
                  </c:pt>
                  <c:pt idx="355">
                    <c:v>gr14026</c:v>
                  </c:pt>
                  <c:pt idx="356">
                    <c:v>gr14018</c:v>
                  </c:pt>
                  <c:pt idx="357">
                    <c:v>18</c:v>
                  </c:pt>
                  <c:pt idx="358">
                    <c:v>gr14027</c:v>
                  </c:pt>
                  <c:pt idx="359">
                    <c:v>he7110</c:v>
                  </c:pt>
                  <c:pt idx="360">
                    <c:v>he7150</c:v>
                  </c:pt>
                  <c:pt idx="361">
                    <c:v>2,03,dom2</c:v>
                  </c:pt>
                  <c:pt idx="362">
                    <c:v>2,03,dom5</c:v>
                  </c:pt>
                  <c:pt idx="363">
                    <c:v>d7051</c:v>
                  </c:pt>
                  <c:pt idx="364">
                    <c:v>2,03,dom1</c:v>
                  </c:pt>
                  <c:pt idx="366">
                    <c:v>2,03,dom4</c:v>
                  </c:pt>
                  <c:pt idx="367">
                    <c:v>2,03,dom3</c:v>
                  </c:pt>
                  <c:pt idx="369">
                    <c:v>mt93</c:v>
                  </c:pt>
                  <c:pt idx="370">
                    <c:v>HE4715</c:v>
                  </c:pt>
                  <c:pt idx="371">
                    <c:v>gr16176</c:v>
                  </c:pt>
                  <c:pt idx="372">
                    <c:v>gr12846</c:v>
                  </c:pt>
                  <c:pt idx="373">
                    <c:v>he1932</c:v>
                  </c:pt>
                  <c:pt idx="374">
                    <c:v>gr14026</c:v>
                  </c:pt>
                  <c:pt idx="375">
                    <c:v>2</c:v>
                  </c:pt>
                  <c:pt idx="376">
                    <c:v>gr14020</c:v>
                  </c:pt>
                  <c:pt idx="377">
                    <c:v>gr14027</c:v>
                  </c:pt>
                  <c:pt idx="378">
                    <c:v>he2545</c:v>
                  </c:pt>
                  <c:pt idx="379">
                    <c:v>he4560</c:v>
                  </c:pt>
                  <c:pt idx="380">
                    <c:v>MT1002</c:v>
                  </c:pt>
                  <c:pt idx="381">
                    <c:v>MT104</c:v>
                  </c:pt>
                  <c:pt idx="382">
                    <c:v>mt477</c:v>
                  </c:pt>
                  <c:pt idx="385">
                    <c:v>he3301</c:v>
                  </c:pt>
                  <c:pt idx="386">
                    <c:v>2029</c:v>
                  </c:pt>
                  <c:pt idx="387">
                    <c:v>pe1003</c:v>
                  </c:pt>
                  <c:pt idx="388">
                    <c:v>v4103</c:v>
                  </c:pt>
                  <c:pt idx="389">
                    <c:v>v4096</c:v>
                  </c:pt>
                  <c:pt idx="390">
                    <c:v>v4227</c:v>
                  </c:pt>
                  <c:pt idx="391">
                    <c:v>v4227</c:v>
                  </c:pt>
                  <c:pt idx="392">
                    <c:v>A17973</c:v>
                  </c:pt>
                  <c:pt idx="393">
                    <c:v>A17974</c:v>
                  </c:pt>
                  <c:pt idx="394">
                    <c:v>v4060</c:v>
                  </c:pt>
                  <c:pt idx="395">
                    <c:v>pe109</c:v>
                  </c:pt>
                  <c:pt idx="396">
                    <c:v>pe300</c:v>
                  </c:pt>
                  <c:pt idx="397">
                    <c:v>c f211</c:v>
                  </c:pt>
                  <c:pt idx="398">
                    <c:v>he3301</c:v>
                  </c:pt>
                  <c:pt idx="399">
                    <c:v>he0202</c:v>
                  </c:pt>
                  <c:pt idx="400">
                    <c:v>476</c:v>
                  </c:pt>
                  <c:pt idx="401">
                    <c:v>mt860</c:v>
                  </c:pt>
                  <c:pt idx="402">
                    <c:v>cf109</c:v>
                  </c:pt>
                  <c:pt idx="403">
                    <c:v>V4118</c:v>
                  </c:pt>
                  <c:pt idx="404">
                    <c:v>1583</c:v>
                  </c:pt>
                  <c:pt idx="405">
                    <c:v>v4610a</c:v>
                  </c:pt>
                  <c:pt idx="406">
                    <c:v>v4322</c:v>
                  </c:pt>
                  <c:pt idx="408">
                    <c:v>462</c:v>
                  </c:pt>
                  <c:pt idx="409">
                    <c:v>513550</c:v>
                  </c:pt>
                  <c:pt idx="410">
                    <c:v>513550</c:v>
                  </c:pt>
                  <c:pt idx="411">
                    <c:v>BE21</c:v>
                  </c:pt>
                  <c:pt idx="412">
                    <c:v>v4623</c:v>
                  </c:pt>
                  <c:pt idx="413">
                    <c:v>513600</c:v>
                  </c:pt>
                  <c:pt idx="414">
                    <c:v>1585</c:v>
                  </c:pt>
                  <c:pt idx="415">
                    <c:v>mt856</c:v>
                  </c:pt>
                  <c:pt idx="416">
                    <c:v>com20db</c:v>
                  </c:pt>
                  <c:pt idx="417">
                    <c:v>com7DB</c:v>
                  </c:pt>
                  <c:pt idx="418">
                    <c:v>gt2603</c:v>
                  </c:pt>
                  <c:pt idx="419">
                    <c:v>gt 2605</c:v>
                  </c:pt>
                  <c:pt idx="420">
                    <c:v>tl32987</c:v>
                  </c:pt>
                  <c:pt idx="422">
                    <c:v>nhsz79</c:v>
                  </c:pt>
                  <c:pt idx="428">
                    <c:v>600</c:v>
                  </c:pt>
                  <c:pt idx="429">
                    <c:v>610</c:v>
                  </c:pt>
                  <c:pt idx="430">
                    <c:v>620</c:v>
                  </c:pt>
                  <c:pt idx="431">
                    <c:v>630</c:v>
                  </c:pt>
                  <c:pt idx="432">
                    <c:v>ggr11295</c:v>
                  </c:pt>
                  <c:pt idx="433">
                    <c:v>MT720</c:v>
                  </c:pt>
                  <c:pt idx="434">
                    <c:v>651</c:v>
                  </c:pt>
                  <c:pt idx="435">
                    <c:v>640</c:v>
                  </c:pt>
                  <c:pt idx="436">
                    <c:v>mt444</c:v>
                  </c:pt>
                  <c:pt idx="438">
                    <c:v>3113</c:v>
                  </c:pt>
                  <c:pt idx="439">
                    <c:v>3118</c:v>
                  </c:pt>
                  <c:pt idx="440">
                    <c:v>3103</c:v>
                  </c:pt>
                  <c:pt idx="441">
                    <c:v>3130</c:v>
                  </c:pt>
                  <c:pt idx="442">
                    <c:v>3131</c:v>
                  </c:pt>
                  <c:pt idx="443">
                    <c:v>3128</c:v>
                  </c:pt>
                  <c:pt idx="444">
                    <c:v>3126</c:v>
                  </c:pt>
                  <c:pt idx="445">
                    <c:v>3117</c:v>
                  </c:pt>
                  <c:pt idx="446">
                    <c:v>3109</c:v>
                  </c:pt>
                  <c:pt idx="447">
                    <c:v>3129</c:v>
                  </c:pt>
                  <c:pt idx="448">
                    <c:v>3127</c:v>
                  </c:pt>
                  <c:pt idx="449">
                    <c:v>3124</c:v>
                  </c:pt>
                  <c:pt idx="450">
                    <c:v>3132</c:v>
                  </c:pt>
                  <c:pt idx="451">
                    <c:v>4,01,fgc515</c:v>
                  </c:pt>
                  <c:pt idx="452">
                    <c:v>v4093</c:v>
                  </c:pt>
                  <c:pt idx="455">
                    <c:v>v5011</c:v>
                  </c:pt>
                  <c:pt idx="456">
                    <c:v>127</c:v>
                  </c:pt>
                  <c:pt idx="457">
                    <c:v>1108</c:v>
                  </c:pt>
                  <c:pt idx="458">
                    <c:v>0</c:v>
                  </c:pt>
                  <c:pt idx="459">
                    <c:v>W2651</c:v>
                  </c:pt>
                  <c:pt idx="460">
                    <c:v>1311</c:v>
                  </c:pt>
                  <c:pt idx="461">
                    <c:v>1313</c:v>
                  </c:pt>
                  <c:pt idx="462">
                    <c:v>4,02,fgc224</c:v>
                  </c:pt>
                  <c:pt idx="463">
                    <c:v>44</c:v>
                  </c:pt>
                  <c:pt idx="464">
                    <c:v>2999</c:v>
                  </c:pt>
                  <c:pt idx="465">
                    <c:v>3236</c:v>
                  </c:pt>
                  <c:pt idx="466">
                    <c:v>he189</c:v>
                  </c:pt>
                  <c:pt idx="467">
                    <c:v>B2936</c:v>
                  </c:pt>
                  <c:pt idx="468">
                    <c:v>he453</c:v>
                  </c:pt>
                  <c:pt idx="469">
                    <c:v>he453</c:v>
                  </c:pt>
                  <c:pt idx="470">
                    <c:v>he453</c:v>
                  </c:pt>
                  <c:pt idx="471">
                    <c:v>100</c:v>
                  </c:pt>
                  <c:pt idx="472">
                    <c:v>100</c:v>
                  </c:pt>
                  <c:pt idx="473">
                    <c:v>101</c:v>
                  </c:pt>
                  <c:pt idx="475">
                    <c:v>5,03,dor400</c:v>
                  </c:pt>
                  <c:pt idx="476">
                    <c:v>T51</c:v>
                  </c:pt>
                  <c:pt idx="477">
                    <c:v>tcdu1</c:v>
                  </c:pt>
                  <c:pt idx="479">
                    <c:v>288</c:v>
                  </c:pt>
                  <c:pt idx="480">
                    <c:v>cgt00075</c:v>
                  </c:pt>
                  <c:pt idx="482">
                    <c:v>0</c:v>
                  </c:pt>
                  <c:pt idx="488">
                    <c:v>223</c:v>
                  </c:pt>
                  <c:pt idx="489">
                    <c:v>GR10530</c:v>
                  </c:pt>
                  <c:pt idx="491">
                    <c:v>CR 1344</c:v>
                  </c:pt>
                  <c:pt idx="493">
                    <c:v>202148</c:v>
                  </c:pt>
                  <c:pt idx="495">
                    <c:v>314100</c:v>
                  </c:pt>
                  <c:pt idx="497">
                    <c:v>1523</c:v>
                  </c:pt>
                  <c:pt idx="498">
                    <c:v>v4167</c:v>
                  </c:pt>
                  <c:pt idx="499">
                    <c:v>A13181</c:v>
                  </c:pt>
                  <c:pt idx="500">
                    <c:v>1547</c:v>
                  </c:pt>
                  <c:pt idx="501">
                    <c:v>B232</c:v>
                  </c:pt>
                  <c:pt idx="502">
                    <c:v>0</c:v>
                  </c:pt>
                  <c:pt idx="503">
                    <c:v>V4175</c:v>
                  </c:pt>
                  <c:pt idx="504">
                    <c:v>v0455</c:v>
                  </c:pt>
                  <c:pt idx="506">
                    <c:v>tl10466</c:v>
                  </c:pt>
                  <c:pt idx="507">
                    <c:v>3236</c:v>
                  </c:pt>
                  <c:pt idx="508">
                    <c:v>T61</c:v>
                  </c:pt>
                  <c:pt idx="509">
                    <c:v>gr16107</c:v>
                  </c:pt>
                  <c:pt idx="510">
                    <c:v>D122 </c:v>
                  </c:pt>
                  <c:pt idx="511">
                    <c:v>V5047</c:v>
                  </c:pt>
                  <c:pt idx="512">
                    <c:v>V5045</c:v>
                  </c:pt>
                  <c:pt idx="513">
                    <c:v>v5099</c:v>
                  </c:pt>
                  <c:pt idx="514">
                    <c:v>W2045-1</c:v>
                  </c:pt>
                  <c:pt idx="515">
                    <c:v>W2045</c:v>
                  </c:pt>
                  <c:pt idx="516">
                    <c:v>1323</c:v>
                  </c:pt>
                  <c:pt idx="517">
                    <c:v>1321</c:v>
                  </c:pt>
                  <c:pt idx="518">
                    <c:v>658570</c:v>
                  </c:pt>
                  <c:pt idx="520">
                    <c:v>0</c:v>
                  </c:pt>
                  <c:pt idx="522">
                    <c:v>3119</c:v>
                  </c:pt>
                  <c:pt idx="536">
                    <c:v>6411</c:v>
                  </c:pt>
                  <c:pt idx="537">
                    <c:v>2271</c:v>
                  </c:pt>
                  <c:pt idx="538">
                    <c:v>V5098</c:v>
                  </c:pt>
                  <c:pt idx="542">
                    <c:v>15988</c:v>
                  </c:pt>
                  <c:pt idx="543">
                    <c:v>15989</c:v>
                  </c:pt>
                  <c:pt idx="544">
                    <c:v>gr6284</c:v>
                  </c:pt>
                  <c:pt idx="545">
                    <c:v>322</c:v>
                  </c:pt>
                  <c:pt idx="552">
                    <c:v>pb33</c:v>
                  </c:pt>
                  <c:pt idx="553">
                    <c:v>pb35</c:v>
                  </c:pt>
                  <c:pt idx="555">
                    <c:v>11</c:v>
                  </c:pt>
                  <c:pt idx="558">
                    <c:v>443190</c:v>
                  </c:pt>
                  <c:pt idx="559">
                    <c:v>800</c:v>
                  </c:pt>
                  <c:pt idx="560">
                    <c:v>2324</c:v>
                  </c:pt>
                  <c:pt idx="561">
                    <c:v>201</c:v>
                  </c:pt>
                  <c:pt idx="562">
                    <c:v>200</c:v>
                  </c:pt>
                  <c:pt idx="563">
                    <c:v>391190</c:v>
                  </c:pt>
                  <c:pt idx="564">
                    <c:v>3108</c:v>
                  </c:pt>
                  <c:pt idx="565">
                    <c:v>6425</c:v>
                  </c:pt>
                  <c:pt idx="567">
                    <c:v>246</c:v>
                  </c:pt>
                  <c:pt idx="568">
                    <c:v>gr10306</c:v>
                  </c:pt>
                  <c:pt idx="569">
                    <c:v>15201</c:v>
                  </c:pt>
                  <c:pt idx="570">
                    <c:v>324</c:v>
                  </c:pt>
                  <c:pt idx="571">
                    <c:v>tl31172</c:v>
                  </c:pt>
                  <c:pt idx="572">
                    <c:v>725038</c:v>
                  </c:pt>
                  <c:pt idx="577">
                    <c:v>220</c:v>
                  </c:pt>
                  <c:pt idx="578">
                    <c:v>220</c:v>
                  </c:pt>
                  <c:pt idx="579">
                    <c:v>4236-18</c:v>
                  </c:pt>
                  <c:pt idx="580">
                    <c:v>V5098</c:v>
                  </c:pt>
                  <c:pt idx="585">
                    <c:v>v0609</c:v>
                  </c:pt>
                  <c:pt idx="586">
                    <c:v>0</c:v>
                  </c:pt>
                  <c:pt idx="588">
                    <c:v>2,07,2305b</c:v>
                  </c:pt>
                  <c:pt idx="589">
                    <c:v>50</c:v>
                  </c:pt>
                  <c:pt idx="592">
                    <c:v>472-22178</c:v>
                  </c:pt>
                  <c:pt idx="607">
                    <c:v>v4121b</c:v>
                  </c:pt>
                  <c:pt idx="610">
                    <c:v>0</c:v>
                  </c:pt>
                  <c:pt idx="614">
                    <c:v>fc50DB</c:v>
                  </c:pt>
                  <c:pt idx="617">
                    <c:v>100151</c:v>
                  </c:pt>
                  <c:pt idx="619">
                    <c:v>638b</c:v>
                  </c:pt>
                  <c:pt idx="620">
                    <c:v>v1455</c:v>
                  </c:pt>
                  <c:pt idx="621">
                    <c:v>v1456</c:v>
                  </c:pt>
                  <c:pt idx="622">
                    <c:v>v1457</c:v>
                  </c:pt>
                  <c:pt idx="623">
                    <c:v>v1458</c:v>
                  </c:pt>
                  <c:pt idx="624">
                    <c:v>v1347</c:v>
                  </c:pt>
                  <c:pt idx="625">
                    <c:v>V1370</c:v>
                  </c:pt>
                  <c:pt idx="626">
                    <c:v>V1341</c:v>
                  </c:pt>
                  <c:pt idx="627">
                    <c:v>v1340</c:v>
                  </c:pt>
                  <c:pt idx="628">
                    <c:v>v1343</c:v>
                  </c:pt>
                  <c:pt idx="629">
                    <c:v>v1341</c:v>
                  </c:pt>
                  <c:pt idx="630">
                    <c:v>v1342</c:v>
                  </c:pt>
                  <c:pt idx="631">
                    <c:v>0</c:v>
                  </c:pt>
                  <c:pt idx="632">
                    <c:v>v1389</c:v>
                  </c:pt>
                  <c:pt idx="633">
                    <c:v>61011</c:v>
                  </c:pt>
                  <c:pt idx="634">
                    <c:v>113</c:v>
                  </c:pt>
                  <c:pt idx="636">
                    <c:v>110</c:v>
                  </c:pt>
                  <c:pt idx="637">
                    <c:v>33946</c:v>
                  </c:pt>
                  <c:pt idx="638">
                    <c:v>cgf00663</c:v>
                  </c:pt>
                  <c:pt idx="640">
                    <c:v>232</c:v>
                  </c:pt>
                  <c:pt idx="641">
                    <c:v>fl11430</c:v>
                  </c:pt>
                  <c:pt idx="642">
                    <c:v>GF34012</c:v>
                  </c:pt>
                  <c:pt idx="643">
                    <c:v>GF34013</c:v>
                  </c:pt>
                  <c:pt idx="644">
                    <c:v>GF34009</c:v>
                  </c:pt>
                  <c:pt idx="645">
                    <c:v>552</c:v>
                  </c:pt>
                  <c:pt idx="647">
                    <c:v>hw72926</c:v>
                  </c:pt>
                  <c:pt idx="651">
                    <c:v>22497</c:v>
                  </c:pt>
                  <c:pt idx="652">
                    <c:v>26828</c:v>
                  </c:pt>
                  <c:pt idx="653">
                    <c:v>28427</c:v>
                  </c:pt>
                  <c:pt idx="654">
                    <c:v>26827</c:v>
                  </c:pt>
                  <c:pt idx="655">
                    <c:v>28422</c:v>
                  </c:pt>
                  <c:pt idx="656">
                    <c:v>gr 25119</c:v>
                  </c:pt>
                  <c:pt idx="658">
                    <c:v>322</c:v>
                  </c:pt>
                  <c:pt idx="660">
                    <c:v>FS2726</c:v>
                  </c:pt>
                  <c:pt idx="661">
                    <c:v>FS2733</c:v>
                  </c:pt>
                  <c:pt idx="662">
                    <c:v>FS2730</c:v>
                  </c:pt>
                  <c:pt idx="663">
                    <c:v>FS2944</c:v>
                  </c:pt>
                  <c:pt idx="664">
                    <c:v>FS2943</c:v>
                  </c:pt>
                  <c:pt idx="665">
                    <c:v>FS2936</c:v>
                  </c:pt>
                  <c:pt idx="666">
                    <c:v>0</c:v>
                  </c:pt>
                  <c:pt idx="667">
                    <c:v>0</c:v>
                  </c:pt>
                  <c:pt idx="668">
                    <c:v>0</c:v>
                  </c:pt>
                  <c:pt idx="670">
                    <c:v>23837</c:v>
                  </c:pt>
                  <c:pt idx="671">
                    <c:v>28763</c:v>
                  </c:pt>
                  <c:pt idx="674">
                    <c:v>313</c:v>
                  </c:pt>
                  <c:pt idx="677">
                    <c:v>gr19302</c:v>
                  </c:pt>
                  <c:pt idx="680">
                    <c:v>120105</c:v>
                  </c:pt>
                  <c:pt idx="681">
                    <c:v>e128</c:v>
                  </c:pt>
                  <c:pt idx="682">
                    <c:v>e128</c:v>
                  </c:pt>
                  <c:pt idx="683">
                    <c:v>127176</c:v>
                  </c:pt>
                  <c:pt idx="684">
                    <c:v>127176</c:v>
                  </c:pt>
                  <c:pt idx="687">
                    <c:v>GR1346</c:v>
                  </c:pt>
                  <c:pt idx="692">
                    <c:v>9552</c:v>
                  </c:pt>
                  <c:pt idx="694">
                    <c:v>1,104rgc1</c:v>
                  </c:pt>
                  <c:pt idx="695">
                    <c:v>CHARGT001</c:v>
                  </c:pt>
                  <c:pt idx="696">
                    <c:v>CHARGT008</c:v>
                  </c:pt>
                  <c:pt idx="697">
                    <c:v>CRIOGT001</c:v>
                  </c:pt>
                  <c:pt idx="698">
                    <c:v>CRIOGT001</c:v>
                  </c:pt>
                  <c:pt idx="699">
                    <c:v>e125</c:v>
                  </c:pt>
                  <c:pt idx="700">
                    <c:v>e125</c:v>
                  </c:pt>
                  <c:pt idx="703">
                    <c:v>ILRCM005</c:v>
                  </c:pt>
                  <c:pt idx="707">
                    <c:v>121575</c:v>
                  </c:pt>
                  <c:pt idx="708">
                    <c:v>121575</c:v>
                  </c:pt>
                  <c:pt idx="709">
                    <c:v>121557</c:v>
                  </c:pt>
                  <c:pt idx="710">
                    <c:v>121557</c:v>
                  </c:pt>
                  <c:pt idx="712">
                    <c:v>v0505</c:v>
                  </c:pt>
                  <c:pt idx="714">
                    <c:v>1202</c:v>
                  </c:pt>
                  <c:pt idx="715">
                    <c:v>12</c:v>
                  </c:pt>
                  <c:pt idx="716">
                    <c:v>0</c:v>
                  </c:pt>
                  <c:pt idx="717">
                    <c:v>53,1</c:v>
                  </c:pt>
                  <c:pt idx="718">
                    <c:v>0</c:v>
                  </c:pt>
                  <c:pt idx="719">
                    <c:v>77</c:v>
                  </c:pt>
                  <c:pt idx="721">
                    <c:v>38,1</c:v>
                  </c:pt>
                  <c:pt idx="726">
                    <c:v>M235</c:v>
                  </c:pt>
                  <c:pt idx="727">
                    <c:v>M245</c:v>
                  </c:pt>
                  <c:pt idx="730">
                    <c:v>1</c:v>
                  </c:pt>
                  <c:pt idx="732">
                    <c:v>0</c:v>
                  </c:pt>
                  <c:pt idx="733">
                    <c:v>6710</c:v>
                  </c:pt>
                  <c:pt idx="734">
                    <c:v>6222</c:v>
                  </c:pt>
                  <c:pt idx="736">
                    <c:v>gua500d</c:v>
                  </c:pt>
                  <c:pt idx="737">
                    <c:v>tl33029</c:v>
                  </c:pt>
                  <c:pt idx="738">
                    <c:v>tl36395</c:v>
                  </c:pt>
                  <c:pt idx="739">
                    <c:v>GR5270</c:v>
                  </c:pt>
                  <c:pt idx="740">
                    <c:v>gr270</c:v>
                  </c:pt>
                  <c:pt idx="741">
                    <c:v>gr16171</c:v>
                  </c:pt>
                  <c:pt idx="742">
                    <c:v>gr920</c:v>
                  </c:pt>
                  <c:pt idx="744">
                    <c:v>0</c:v>
                  </c:pt>
                  <c:pt idx="747">
                    <c:v>tl35454</c:v>
                  </c:pt>
                  <c:pt idx="748">
                    <c:v>tl36456</c:v>
                  </c:pt>
                  <c:pt idx="750">
                    <c:v>0</c:v>
                  </c:pt>
                  <c:pt idx="758">
                    <c:v>cgt00091</c:v>
                  </c:pt>
                  <c:pt idx="759">
                    <c:v>cgt00092</c:v>
                  </c:pt>
                  <c:pt idx="760">
                    <c:v>z181</c:v>
                  </c:pt>
                  <c:pt idx="761">
                    <c:v>1010683</c:v>
                  </c:pt>
                  <c:pt idx="762">
                    <c:v>631247</c:v>
                  </c:pt>
                  <c:pt idx="764">
                    <c:v>412</c:v>
                  </c:pt>
                  <c:pt idx="765">
                    <c:v>204200</c:v>
                  </c:pt>
                  <c:pt idx="766">
                    <c:v>260800</c:v>
                  </c:pt>
                  <c:pt idx="767">
                    <c:v>206910</c:v>
                  </c:pt>
                  <c:pt idx="768">
                    <c:v>206890</c:v>
                  </c:pt>
                  <c:pt idx="769">
                    <c:v>206880</c:v>
                  </c:pt>
                  <c:pt idx="773">
                    <c:v>500</c:v>
                  </c:pt>
                  <c:pt idx="774">
                    <c:v>1321</c:v>
                  </c:pt>
                  <c:pt idx="776">
                    <c:v>3830</c:v>
                  </c:pt>
                  <c:pt idx="777">
                    <c:v>mh5</c:v>
                  </c:pt>
                  <c:pt idx="778">
                    <c:v>mh10</c:v>
                  </c:pt>
                  <c:pt idx="779">
                    <c:v>mt904</c:v>
                  </c:pt>
                  <c:pt idx="780">
                    <c:v>mt904</c:v>
                  </c:pt>
                  <c:pt idx="781">
                    <c:v>v4180</c:v>
                  </c:pt>
                  <c:pt idx="782">
                    <c:v>53</c:v>
                  </c:pt>
                  <c:pt idx="787">
                    <c:v>V0953</c:v>
                  </c:pt>
                  <c:pt idx="788">
                    <c:v>469</c:v>
                  </c:pt>
                  <c:pt idx="789">
                    <c:v>130</c:v>
                  </c:pt>
                  <c:pt idx="790">
                    <c:v>131</c:v>
                  </c:pt>
                  <c:pt idx="791">
                    <c:v>HE353</c:v>
                  </c:pt>
                  <c:pt idx="792">
                    <c:v>125</c:v>
                  </c:pt>
                  <c:pt idx="796">
                    <c:v>122</c:v>
                  </c:pt>
                  <c:pt idx="798">
                    <c:v>150702</c:v>
                  </c:pt>
                  <c:pt idx="805">
                    <c:v>0</c:v>
                  </c:pt>
                  <c:pt idx="806">
                    <c:v>GR 3852</c:v>
                  </c:pt>
                  <c:pt idx="811">
                    <c:v>100092</c:v>
                  </c:pt>
                  <c:pt idx="812">
                    <c:v>100112</c:v>
                  </c:pt>
                  <c:pt idx="813">
                    <c:v>22072</c:v>
                  </c:pt>
                  <c:pt idx="819">
                    <c:v>100046</c:v>
                  </c:pt>
                  <c:pt idx="820">
                    <c:v>100046</c:v>
                  </c:pt>
                  <c:pt idx="827">
                    <c:v>100092</c:v>
                  </c:pt>
                  <c:pt idx="828">
                    <c:v>JFQF</c:v>
                  </c:pt>
                  <c:pt idx="829">
                    <c:v>gr3853</c:v>
                  </c:pt>
                  <c:pt idx="831">
                    <c:v>449</c:v>
                  </c:pt>
                  <c:pt idx="832">
                    <c:v>jfqm78</c:v>
                  </c:pt>
                  <c:pt idx="836">
                    <c:v>JVPM 50</c:v>
                  </c:pt>
                  <c:pt idx="837">
                    <c:v>JVPM 25</c:v>
                  </c:pt>
                  <c:pt idx="838">
                    <c:v>gr284</c:v>
                  </c:pt>
                  <c:pt idx="842">
                    <c:v>v4008</c:v>
                  </c:pt>
                  <c:pt idx="843">
                    <c:v>v5066</c:v>
                  </c:pt>
                  <c:pt idx="844">
                    <c:v>v5067</c:v>
                  </c:pt>
                  <c:pt idx="845">
                    <c:v>v5065</c:v>
                  </c:pt>
                  <c:pt idx="846">
                    <c:v>v5007</c:v>
                  </c:pt>
                  <c:pt idx="847">
                    <c:v>v5009</c:v>
                  </c:pt>
                  <c:pt idx="848">
                    <c:v>V5004</c:v>
                  </c:pt>
                  <c:pt idx="849">
                    <c:v>0</c:v>
                  </c:pt>
                  <c:pt idx="853">
                    <c:v>V4003</c:v>
                  </c:pt>
                  <c:pt idx="854">
                    <c:v>v4010</c:v>
                  </c:pt>
                  <c:pt idx="855">
                    <c:v>v4010</c:v>
                  </c:pt>
                  <c:pt idx="856">
                    <c:v>V4017</c:v>
                  </c:pt>
                  <c:pt idx="857">
                    <c:v>V4001</c:v>
                  </c:pt>
                  <c:pt idx="858">
                    <c:v>V4002</c:v>
                  </c:pt>
                  <c:pt idx="859">
                    <c:v>771</c:v>
                  </c:pt>
                  <c:pt idx="860">
                    <c:v>V4000</c:v>
                  </c:pt>
                  <c:pt idx="861">
                    <c:v>V4004</c:v>
                  </c:pt>
                  <c:pt idx="864">
                    <c:v>1055</c:v>
                  </c:pt>
                  <c:pt idx="865">
                    <c:v>132</c:v>
                  </c:pt>
                  <c:pt idx="867">
                    <c:v>82</c:v>
                  </c:pt>
                  <c:pt idx="868">
                    <c:v>131</c:v>
                  </c:pt>
                  <c:pt idx="869">
                    <c:v>3296</c:v>
                  </c:pt>
                  <c:pt idx="870">
                    <c:v>402</c:v>
                  </c:pt>
                  <c:pt idx="876">
                    <c:v>he215</c:v>
                  </c:pt>
                  <c:pt idx="877">
                    <c:v>HE220</c:v>
                  </c:pt>
                  <c:pt idx="878">
                    <c:v>HE210</c:v>
                  </c:pt>
                  <c:pt idx="879">
                    <c:v>he215</c:v>
                  </c:pt>
                  <c:pt idx="880">
                    <c:v>TL33990SH</c:v>
                  </c:pt>
                  <c:pt idx="881">
                    <c:v>gr113758</c:v>
                  </c:pt>
                  <c:pt idx="882">
                    <c:v>910118</c:v>
                  </c:pt>
                  <c:pt idx="883">
                    <c:v>910118</c:v>
                  </c:pt>
                  <c:pt idx="884">
                    <c:v>267</c:v>
                  </c:pt>
                  <c:pt idx="885">
                    <c:v>270</c:v>
                  </c:pt>
                  <c:pt idx="886">
                    <c:v>HE6420</c:v>
                  </c:pt>
                  <c:pt idx="887">
                    <c:v>HE6415</c:v>
                  </c:pt>
                  <c:pt idx="888">
                    <c:v>HE6410</c:v>
                  </c:pt>
                  <c:pt idx="890">
                    <c:v>gr2891</c:v>
                  </c:pt>
                  <c:pt idx="891">
                    <c:v>gr4804</c:v>
                  </c:pt>
                  <c:pt idx="892">
                    <c:v>gr2873</c:v>
                  </c:pt>
                  <c:pt idx="893">
                    <c:v>MT459</c:v>
                  </c:pt>
                  <c:pt idx="894">
                    <c:v>CPSO1151</c:v>
                  </c:pt>
                  <c:pt idx="895">
                    <c:v>gr 19205</c:v>
                  </c:pt>
                  <c:pt idx="896">
                    <c:v>gr2871</c:v>
                  </c:pt>
                  <c:pt idx="897">
                    <c:v>gr2881</c:v>
                  </c:pt>
                  <c:pt idx="898">
                    <c:v>CK4</c:v>
                  </c:pt>
                  <c:pt idx="899">
                    <c:v>gr2871</c:v>
                  </c:pt>
                  <c:pt idx="900">
                    <c:v>gr4820</c:v>
                  </c:pt>
                  <c:pt idx="901">
                    <c:v>gr2868</c:v>
                  </c:pt>
                  <c:pt idx="902">
                    <c:v>3200</c:v>
                  </c:pt>
                  <c:pt idx="903">
                    <c:v>HE1111</c:v>
                  </c:pt>
                  <c:pt idx="904">
                    <c:v>he99</c:v>
                  </c:pt>
                  <c:pt idx="905">
                    <c:v>6632</c:v>
                  </c:pt>
                  <c:pt idx="906">
                    <c:v>mt362</c:v>
                  </c:pt>
                  <c:pt idx="908">
                    <c:v>V0647</c:v>
                  </c:pt>
                  <c:pt idx="909">
                    <c:v>V0647</c:v>
                  </c:pt>
                  <c:pt idx="910">
                    <c:v>v0648</c:v>
                  </c:pt>
                  <c:pt idx="911">
                    <c:v>v0648</c:v>
                  </c:pt>
                  <c:pt idx="912">
                    <c:v>v0652</c:v>
                  </c:pt>
                  <c:pt idx="913">
                    <c:v>rs-s400</c:v>
                  </c:pt>
                  <c:pt idx="914">
                    <c:v>V1428</c:v>
                  </c:pt>
                  <c:pt idx="915">
                    <c:v>re-s 500</c:v>
                  </c:pt>
                  <c:pt idx="916">
                    <c:v>v1430</c:v>
                  </c:pt>
                  <c:pt idx="917">
                    <c:v>v1431</c:v>
                  </c:pt>
                  <c:pt idx="918">
                    <c:v>0</c:v>
                  </c:pt>
                  <c:pt idx="920">
                    <c:v>chw00937</c:v>
                  </c:pt>
                  <c:pt idx="921">
                    <c:v>jvrh 44</c:v>
                  </c:pt>
                  <c:pt idx="922">
                    <c:v>chw00945</c:v>
                  </c:pt>
                  <c:pt idx="923">
                    <c:v>hw54082</c:v>
                  </c:pt>
                  <c:pt idx="924">
                    <c:v>jgt88003</c:v>
                  </c:pt>
                  <c:pt idx="925">
                    <c:v>cgt00090</c:v>
                  </c:pt>
                  <c:pt idx="931">
                    <c:v>lb-311</c:v>
                  </c:pt>
                  <c:pt idx="932">
                    <c:v>he4012</c:v>
                  </c:pt>
                  <c:pt idx="935">
                    <c:v>gr2538</c:v>
                  </c:pt>
                  <c:pt idx="936">
                    <c:v>269</c:v>
                  </c:pt>
                  <c:pt idx="939">
                    <c:v>GR21753</c:v>
                  </c:pt>
                  <c:pt idx="940">
                    <c:v>GR21752</c:v>
                  </c:pt>
                  <c:pt idx="941">
                    <c:v>GR1328</c:v>
                  </c:pt>
                  <c:pt idx="942">
                    <c:v>GR1327</c:v>
                  </c:pt>
                  <c:pt idx="943">
                    <c:v>GR1326</c:v>
                  </c:pt>
                  <c:pt idx="959">
                    <c:v>100171</c:v>
                  </c:pt>
                  <c:pt idx="961">
                    <c:v>100172</c:v>
                  </c:pt>
                  <c:pt idx="962">
                    <c:v>0</c:v>
                  </c:pt>
                  <c:pt idx="963">
                    <c:v>0</c:v>
                  </c:pt>
                  <c:pt idx="982">
                    <c:v>100219</c:v>
                  </c:pt>
                  <c:pt idx="988">
                    <c:v>41</c:v>
                  </c:pt>
                  <c:pt idx="990">
                    <c:v>40</c:v>
                  </c:pt>
                  <c:pt idx="992">
                    <c:v>22914</c:v>
                  </c:pt>
                  <c:pt idx="993">
                    <c:v>22912</c:v>
                  </c:pt>
                  <c:pt idx="994">
                    <c:v>22912</c:v>
                  </c:pt>
                  <c:pt idx="995">
                    <c:v>22917</c:v>
                  </c:pt>
                  <c:pt idx="996">
                    <c:v>22914</c:v>
                  </c:pt>
                  <c:pt idx="1012">
                    <c:v>12848</c:v>
                  </c:pt>
                  <c:pt idx="1013">
                    <c:v>16664</c:v>
                  </c:pt>
                  <c:pt idx="1033">
                    <c:v>35002</c:v>
                  </c:pt>
                  <c:pt idx="1034">
                    <c:v>210002</c:v>
                  </c:pt>
                  <c:pt idx="1035">
                    <c:v>35001</c:v>
                  </c:pt>
                  <c:pt idx="1038">
                    <c:v>0</c:v>
                  </c:pt>
                  <c:pt idx="1050">
                    <c:v>210000</c:v>
                  </c:pt>
                  <c:pt idx="1051">
                    <c:v>210001</c:v>
                  </c:pt>
                  <c:pt idx="1052">
                    <c:v>27896</c:v>
                  </c:pt>
                  <c:pt idx="1053">
                    <c:v>31033</c:v>
                  </c:pt>
                  <c:pt idx="1057">
                    <c:v>gr21124</c:v>
                  </c:pt>
                  <c:pt idx="1058">
                    <c:v>gr21123</c:v>
                  </c:pt>
                  <c:pt idx="1059">
                    <c:v>gr10513</c:v>
                  </c:pt>
                  <c:pt idx="1060">
                    <c:v>GR283</c:v>
                  </c:pt>
                  <c:pt idx="1061">
                    <c:v>gr10512</c:v>
                  </c:pt>
                  <c:pt idx="1062">
                    <c:v>GR280</c:v>
                  </c:pt>
                  <c:pt idx="1063">
                    <c:v>GR281</c:v>
                  </c:pt>
                  <c:pt idx="1064">
                    <c:v>GR10512</c:v>
                  </c:pt>
                  <c:pt idx="1065">
                    <c:v>gr21099</c:v>
                  </c:pt>
                  <c:pt idx="1066">
                    <c:v>gr 21098</c:v>
                  </c:pt>
                  <c:pt idx="1067">
                    <c:v>jhw80102</c:v>
                  </c:pt>
                  <c:pt idx="1068">
                    <c:v>gr1346</c:v>
                  </c:pt>
                  <c:pt idx="1069">
                    <c:v>22078</c:v>
                  </c:pt>
                  <c:pt idx="1070">
                    <c:v>22077</c:v>
                  </c:pt>
                  <c:pt idx="1071">
                    <c:v>gr1343</c:v>
                  </c:pt>
                  <c:pt idx="1072">
                    <c:v>2403</c:v>
                  </c:pt>
                  <c:pt idx="1073">
                    <c:v>2404</c:v>
                  </c:pt>
                  <c:pt idx="1074">
                    <c:v>2405</c:v>
                  </c:pt>
                  <c:pt idx="1075">
                    <c:v>2406</c:v>
                  </c:pt>
                  <c:pt idx="1076">
                    <c:v>2407</c:v>
                  </c:pt>
                  <c:pt idx="1078">
                    <c:v>gr1339</c:v>
                  </c:pt>
                  <c:pt idx="1079">
                    <c:v>gr1338</c:v>
                  </c:pt>
                  <c:pt idx="1080">
                    <c:v>25123</c:v>
                  </c:pt>
                  <c:pt idx="1084">
                    <c:v>M835</c:v>
                  </c:pt>
                  <c:pt idx="1091">
                    <c:v>100173</c:v>
                  </c:pt>
                  <c:pt idx="1095">
                    <c:v>100174</c:v>
                  </c:pt>
                  <c:pt idx="1098">
                    <c:v>gr283</c:v>
                  </c:pt>
                  <c:pt idx="1099">
                    <c:v>GR282</c:v>
                  </c:pt>
                  <c:pt idx="1100">
                    <c:v>GR279</c:v>
                  </c:pt>
                  <c:pt idx="1101">
                    <c:v>GR282</c:v>
                  </c:pt>
                  <c:pt idx="1102">
                    <c:v>GR281</c:v>
                  </c:pt>
                  <c:pt idx="1103">
                    <c:v>GR279</c:v>
                  </c:pt>
                  <c:pt idx="1104">
                    <c:v>BR280</c:v>
                  </c:pt>
                  <c:pt idx="1105">
                    <c:v>GR10528</c:v>
                  </c:pt>
                  <c:pt idx="1107">
                    <c:v>GR285</c:v>
                  </c:pt>
                  <c:pt idx="1108">
                    <c:v>chw00566</c:v>
                  </c:pt>
                  <c:pt idx="1109">
                    <c:v>468</c:v>
                  </c:pt>
                  <c:pt idx="1116">
                    <c:v>126</c:v>
                  </c:pt>
                  <c:pt idx="1117">
                    <c:v>122</c:v>
                  </c:pt>
                  <c:pt idx="1143">
                    <c:v>gr1308</c:v>
                  </c:pt>
                  <c:pt idx="1144">
                    <c:v>100194</c:v>
                  </c:pt>
                  <c:pt idx="1146">
                    <c:v>100120</c:v>
                  </c:pt>
                  <c:pt idx="1147">
                    <c:v>GR10545</c:v>
                  </c:pt>
                  <c:pt idx="1148">
                    <c:v>gr21126</c:v>
                  </c:pt>
                  <c:pt idx="1149">
                    <c:v>gr3852</c:v>
                  </c:pt>
                  <c:pt idx="1150">
                    <c:v>gr3852</c:v>
                  </c:pt>
                  <c:pt idx="1151">
                    <c:v>GR294</c:v>
                  </c:pt>
                  <c:pt idx="1152">
                    <c:v>GR1312</c:v>
                  </c:pt>
                  <c:pt idx="1153">
                    <c:v>gr1313</c:v>
                  </c:pt>
                  <c:pt idx="1154">
                    <c:v>gr1311</c:v>
                  </c:pt>
                  <c:pt idx="1156">
                    <c:v>G1339</c:v>
                  </c:pt>
                  <c:pt idx="1157">
                    <c:v>G1338</c:v>
                  </c:pt>
                  <c:pt idx="1158">
                    <c:v>gr1283</c:v>
                  </c:pt>
                  <c:pt idx="1159">
                    <c:v>gr1284</c:v>
                  </c:pt>
                  <c:pt idx="1160">
                    <c:v>GR1289</c:v>
                  </c:pt>
                  <c:pt idx="1161">
                    <c:v>gr1284</c:v>
                  </c:pt>
                  <c:pt idx="1162">
                    <c:v>GR1287</c:v>
                  </c:pt>
                  <c:pt idx="1163">
                    <c:v>GR1285</c:v>
                  </c:pt>
                  <c:pt idx="1182">
                    <c:v>2159</c:v>
                  </c:pt>
                  <c:pt idx="1183">
                    <c:v>20</c:v>
                  </c:pt>
                  <c:pt idx="1187">
                    <c:v>GR1332</c:v>
                  </c:pt>
                  <c:pt idx="1188">
                    <c:v>gr1310</c:v>
                  </c:pt>
                  <c:pt idx="1189">
                    <c:v>gr1308</c:v>
                  </c:pt>
                  <c:pt idx="1190">
                    <c:v>gr1306</c:v>
                  </c:pt>
                  <c:pt idx="1191">
                    <c:v>GR 1307</c:v>
                  </c:pt>
                  <c:pt idx="1192">
                    <c:v>GR1325</c:v>
                  </c:pt>
                  <c:pt idx="1193">
                    <c:v>GR1323</c:v>
                  </c:pt>
                  <c:pt idx="1194">
                    <c:v>gr1324</c:v>
                  </c:pt>
                  <c:pt idx="1195">
                    <c:v>GR1324</c:v>
                  </c:pt>
                  <c:pt idx="1196">
                    <c:v>gr1331</c:v>
                  </c:pt>
                  <c:pt idx="1197">
                    <c:v>21</c:v>
                  </c:pt>
                  <c:pt idx="1198">
                    <c:v>100095</c:v>
                  </c:pt>
                  <c:pt idx="1209">
                    <c:v>gr21121</c:v>
                  </c:pt>
                  <c:pt idx="1213">
                    <c:v>GR1321</c:v>
                  </c:pt>
                  <c:pt idx="1214">
                    <c:v>GR286</c:v>
                  </c:pt>
                  <c:pt idx="1218">
                    <c:v>706770</c:v>
                  </c:pt>
                  <c:pt idx="1219">
                    <c:v>704647</c:v>
                  </c:pt>
                  <c:pt idx="1220">
                    <c:v>706732</c:v>
                  </c:pt>
                  <c:pt idx="1221">
                    <c:v>706740</c:v>
                  </c:pt>
                  <c:pt idx="1222">
                    <c:v>704648</c:v>
                  </c:pt>
                  <c:pt idx="1224">
                    <c:v>gr1295</c:v>
                  </c:pt>
                  <c:pt idx="1225">
                    <c:v>GR1294</c:v>
                  </c:pt>
                  <c:pt idx="1226">
                    <c:v>GR1293</c:v>
                  </c:pt>
                  <c:pt idx="1227">
                    <c:v>gr21102</c:v>
                  </c:pt>
                  <c:pt idx="1228">
                    <c:v>gr21101</c:v>
                  </c:pt>
                  <c:pt idx="1229">
                    <c:v>gr2110</c:v>
                  </c:pt>
                  <c:pt idx="1230">
                    <c:v>gr21105</c:v>
                  </c:pt>
                  <c:pt idx="1231">
                    <c:v>gr21104</c:v>
                  </c:pt>
                  <c:pt idx="1232">
                    <c:v>gr21103</c:v>
                  </c:pt>
                  <c:pt idx="1233">
                    <c:v>gr1290</c:v>
                  </c:pt>
                  <c:pt idx="1245">
                    <c:v>jgt88003</c:v>
                  </c:pt>
                  <c:pt idx="1247">
                    <c:v>chw00946</c:v>
                  </c:pt>
                  <c:pt idx="1248">
                    <c:v>jgt88002</c:v>
                  </c:pt>
                  <c:pt idx="1249">
                    <c:v>27419</c:v>
                  </c:pt>
                  <c:pt idx="1250">
                    <c:v>27432</c:v>
                  </c:pt>
                  <c:pt idx="1251">
                    <c:v>27045</c:v>
                  </c:pt>
                  <c:pt idx="1252">
                    <c:v>27424</c:v>
                  </c:pt>
                  <c:pt idx="1253">
                    <c:v>gr1343</c:v>
                  </c:pt>
                  <c:pt idx="1254">
                    <c:v>chw01890</c:v>
                  </c:pt>
                  <c:pt idx="1255">
                    <c:v>mac 20</c:v>
                  </c:pt>
                  <c:pt idx="1257">
                    <c:v>mac11</c:v>
                  </c:pt>
                  <c:pt idx="1258">
                    <c:v>mac 7</c:v>
                  </c:pt>
                  <c:pt idx="1260">
                    <c:v>mac 3</c:v>
                  </c:pt>
                  <c:pt idx="1261">
                    <c:v>GR284</c:v>
                  </c:pt>
                  <c:pt idx="1262">
                    <c:v>gr21750</c:v>
                  </c:pt>
                  <c:pt idx="1263">
                    <c:v>gr21749-1</c:v>
                  </c:pt>
                  <c:pt idx="1264">
                    <c:v>1246</c:v>
                  </c:pt>
                  <c:pt idx="1274">
                    <c:v>446</c:v>
                  </c:pt>
                  <c:pt idx="1275">
                    <c:v>447</c:v>
                  </c:pt>
                  <c:pt idx="1276">
                    <c:v>448</c:v>
                  </c:pt>
                  <c:pt idx="1277">
                    <c:v>450</c:v>
                  </c:pt>
                  <c:pt idx="1278">
                    <c:v>GR1291</c:v>
                  </c:pt>
                  <c:pt idx="1279">
                    <c:v>GR1298</c:v>
                  </c:pt>
                  <c:pt idx="1280">
                    <c:v>GR1297</c:v>
                  </c:pt>
                  <c:pt idx="1281">
                    <c:v>GR1296</c:v>
                  </c:pt>
                  <c:pt idx="1282">
                    <c:v>GR1292</c:v>
                  </c:pt>
                  <c:pt idx="1283">
                    <c:v>gr1299</c:v>
                  </c:pt>
                  <c:pt idx="1284">
                    <c:v>22076</c:v>
                  </c:pt>
                  <c:pt idx="1285">
                    <c:v>22071</c:v>
                  </c:pt>
                  <c:pt idx="1286">
                    <c:v>22074</c:v>
                  </c:pt>
                  <c:pt idx="1287">
                    <c:v>22075</c:v>
                  </c:pt>
                  <c:pt idx="1289">
                    <c:v>B376</c:v>
                  </c:pt>
                  <c:pt idx="1302">
                    <c:v>DX1</c:v>
                  </c:pt>
                  <c:pt idx="1303">
                    <c:v>DX2</c:v>
                  </c:pt>
                  <c:pt idx="1304">
                    <c:v>DX3</c:v>
                  </c:pt>
                  <c:pt idx="1305">
                    <c:v>DX4</c:v>
                  </c:pt>
                  <c:pt idx="1306">
                    <c:v>7S2</c:v>
                  </c:pt>
                  <c:pt idx="1307">
                    <c:v>7S3</c:v>
                  </c:pt>
                  <c:pt idx="1308">
                    <c:v>7F2</c:v>
                  </c:pt>
                  <c:pt idx="1309">
                    <c:v>YT2</c:v>
                  </c:pt>
                  <c:pt idx="1310">
                    <c:v>YT3</c:v>
                  </c:pt>
                  <c:pt idx="1311">
                    <c:v>WLI</c:v>
                  </c:pt>
                  <c:pt idx="1312">
                    <c:v>GP3</c:v>
                  </c:pt>
                  <c:pt idx="1313">
                    <c:v>GP4</c:v>
                  </c:pt>
                  <c:pt idx="1314">
                    <c:v>X0</c:v>
                  </c:pt>
                  <c:pt idx="1315">
                    <c:v>JVER 24</c:v>
                  </c:pt>
                  <c:pt idx="1316">
                    <c:v>JVER 33</c:v>
                  </c:pt>
                  <c:pt idx="1317">
                    <c:v>JVER 42</c:v>
                  </c:pt>
                  <c:pt idx="1318">
                    <c:v>JVOM 30</c:v>
                  </c:pt>
                  <c:pt idx="1319">
                    <c:v>IVOM 38</c:v>
                  </c:pt>
                  <c:pt idx="1320">
                    <c:v>IVPM 25</c:v>
                  </c:pt>
                  <c:pt idx="1321">
                    <c:v>IVQM20</c:v>
                  </c:pt>
                  <c:pt idx="1322">
                    <c:v>JVEO 41</c:v>
                  </c:pt>
                  <c:pt idx="1323">
                    <c:v>JVEF 34</c:v>
                  </c:pt>
                  <c:pt idx="1324">
                    <c:v>JVEF 42</c:v>
                  </c:pt>
                  <c:pt idx="1325">
                    <c:v>JVEC 33</c:v>
                  </c:pt>
                  <c:pt idx="1326">
                    <c:v>JVEO 55</c:v>
                  </c:pt>
                  <c:pt idx="1327">
                    <c:v>JVHR 42</c:v>
                  </c:pt>
                  <c:pt idx="1328">
                    <c:v>JVHR33</c:v>
                  </c:pt>
                  <c:pt idx="1329">
                    <c:v>JVUM 30 S</c:v>
                  </c:pt>
                  <c:pt idx="1330">
                    <c:v>JVUM 38</c:v>
                  </c:pt>
                  <c:pt idx="1331">
                    <c:v>JFQF 67</c:v>
                  </c:pt>
                  <c:pt idx="1332">
                    <c:v>JFQF 77</c:v>
                  </c:pt>
                  <c:pt idx="1333">
                    <c:v>JVQM20</c:v>
                  </c:pt>
                  <c:pt idx="1334">
                    <c:v>JURT 45</c:v>
                  </c:pt>
                  <c:pt idx="1335">
                    <c:v>JUMB 34</c:v>
                  </c:pt>
                  <c:pt idx="1336">
                    <c:v>JPRD 25</c:v>
                  </c:pt>
                  <c:pt idx="1337">
                    <c:v>JVRH33</c:v>
                  </c:pt>
                  <c:pt idx="1338">
                    <c:v>JVOM 38</c:v>
                  </c:pt>
                  <c:pt idx="1339">
                    <c:v>JVSR</c:v>
                  </c:pt>
                  <c:pt idx="1340">
                    <c:v>JCMC 35</c:v>
                  </c:pt>
                  <c:pt idx="1341">
                    <c:v>JCMC 45</c:v>
                  </c:pt>
                  <c:pt idx="1342">
                    <c:v>JVERH 33</c:v>
                  </c:pt>
                  <c:pt idx="1343">
                    <c:v>JURH 33</c:v>
                  </c:pt>
                  <c:pt idx="1344">
                    <c:v>JVLL45</c:v>
                  </c:pt>
                  <c:pt idx="1345">
                    <c:v>JFQM 45</c:v>
                  </c:pt>
                  <c:pt idx="1346">
                    <c:v>JVIP 34</c:v>
                  </c:pt>
                  <c:pt idx="1347">
                    <c:v>JVQM30</c:v>
                  </c:pt>
                  <c:pt idx="1348">
                    <c:v>IVQM36</c:v>
                  </c:pt>
                  <c:pt idx="1349">
                    <c:v>JVMO38C</c:v>
                  </c:pt>
                  <c:pt idx="1350">
                    <c:v>JVAQ44</c:v>
                  </c:pt>
                  <c:pt idx="1351">
                    <c:v>JVAQ55</c:v>
                  </c:pt>
                  <c:pt idx="1352">
                    <c:v>JVAQ56</c:v>
                  </c:pt>
                  <c:pt idx="1353">
                    <c:v>JVCB 30</c:v>
                  </c:pt>
                  <c:pt idx="1354">
                    <c:v>JVQM36</c:v>
                  </c:pt>
                  <c:pt idx="1355">
                    <c:v>JVRE 37</c:v>
                  </c:pt>
                  <c:pt idx="1356">
                    <c:v>JVRE 46</c:v>
                  </c:pt>
                  <c:pt idx="1357">
                    <c:v>JVRE 57</c:v>
                  </c:pt>
                  <c:pt idx="1358">
                    <c:v>JVRE 34</c:v>
                  </c:pt>
                  <c:pt idx="1359">
                    <c:v>100199</c:v>
                  </c:pt>
                  <c:pt idx="1360">
                    <c:v>IVIP 43</c:v>
                  </c:pt>
                  <c:pt idx="1375">
                    <c:v>GR1288</c:v>
                  </c:pt>
                  <c:pt idx="1376">
                    <c:v>100161</c:v>
                  </c:pt>
                  <c:pt idx="1377">
                    <c:v>100161</c:v>
                  </c:pt>
                  <c:pt idx="1378">
                    <c:v>100162</c:v>
                  </c:pt>
                  <c:pt idx="1379">
                    <c:v>GR1283</c:v>
                  </c:pt>
                  <c:pt idx="1380">
                    <c:v>0</c:v>
                  </c:pt>
                  <c:pt idx="1381">
                    <c:v>0</c:v>
                  </c:pt>
                  <c:pt idx="1386">
                    <c:v>100152</c:v>
                  </c:pt>
                  <c:pt idx="1388">
                    <c:v>52044</c:v>
                  </c:pt>
                  <c:pt idx="1391">
                    <c:v>gt3235</c:v>
                  </c:pt>
                  <c:pt idx="1394">
                    <c:v>100231</c:v>
                  </c:pt>
                  <c:pt idx="1395">
                    <c:v>100232</c:v>
                  </c:pt>
                  <c:pt idx="1396">
                    <c:v>100189</c:v>
                  </c:pt>
                  <c:pt idx="1397">
                    <c:v>100190</c:v>
                  </c:pt>
                  <c:pt idx="1398">
                    <c:v>100228</c:v>
                  </c:pt>
                  <c:pt idx="1399">
                    <c:v>PE439</c:v>
                  </c:pt>
                  <c:pt idx="1402">
                    <c:v>100096</c:v>
                  </c:pt>
                  <c:pt idx="1403">
                    <c:v>GR1287</c:v>
                  </c:pt>
                  <c:pt idx="1404">
                    <c:v>gr1286</c:v>
                  </c:pt>
                  <c:pt idx="1420">
                    <c:v>100095</c:v>
                  </c:pt>
                  <c:pt idx="1421">
                    <c:v>100131</c:v>
                  </c:pt>
                  <c:pt idx="1423">
                    <c:v>100186</c:v>
                  </c:pt>
                  <c:pt idx="1426">
                    <c:v>100113</c:v>
                  </c:pt>
                  <c:pt idx="1427">
                    <c:v>100131</c:v>
                  </c:pt>
                  <c:pt idx="1429">
                    <c:v>100133</c:v>
                  </c:pt>
                  <c:pt idx="1430">
                    <c:v>M1980</c:v>
                  </c:pt>
                  <c:pt idx="1431">
                    <c:v>M1982</c:v>
                  </c:pt>
                  <c:pt idx="1432">
                    <c:v>M1981</c:v>
                  </c:pt>
                  <c:pt idx="1433">
                    <c:v>gr21119</c:v>
                  </c:pt>
                  <c:pt idx="1434">
                    <c:v>gr21118</c:v>
                  </c:pt>
                  <c:pt idx="1435">
                    <c:v>26600018</c:v>
                  </c:pt>
                  <c:pt idx="1436">
                    <c:v>1463</c:v>
                  </c:pt>
                  <c:pt idx="1437">
                    <c:v>1463</c:v>
                  </c:pt>
                  <c:pt idx="1438">
                    <c:v>24/7/</c:v>
                  </c:pt>
                  <c:pt idx="1439">
                    <c:v>1464</c:v>
                  </c:pt>
                  <c:pt idx="1441">
                    <c:v>642004</c:v>
                  </c:pt>
                  <c:pt idx="1442">
                    <c:v>642001</c:v>
                  </c:pt>
                  <c:pt idx="1443">
                    <c:v>0</c:v>
                  </c:pt>
                  <c:pt idx="1446">
                    <c:v>107</c:v>
                  </c:pt>
                  <c:pt idx="1449">
                    <c:v>28</c:v>
                  </c:pt>
                  <c:pt idx="1452">
                    <c:v>cgt00081</c:v>
                  </c:pt>
                  <c:pt idx="1453">
                    <c:v>cgt00080</c:v>
                  </c:pt>
                  <c:pt idx="1454">
                    <c:v>gt2961</c:v>
                  </c:pt>
                  <c:pt idx="1455">
                    <c:v>gt2961</c:v>
                  </c:pt>
                  <c:pt idx="1456">
                    <c:v>gt3045</c:v>
                  </c:pt>
                  <c:pt idx="1458">
                    <c:v>cgt0081</c:v>
                  </c:pt>
                  <c:pt idx="1462">
                    <c:v>A1847</c:v>
                  </c:pt>
                  <c:pt idx="1464">
                    <c:v>590</c:v>
                  </c:pt>
                  <c:pt idx="1465">
                    <c:v>31109</c:v>
                  </c:pt>
                  <c:pt idx="1466">
                    <c:v>2126</c:v>
                  </c:pt>
                  <c:pt idx="1468">
                    <c:v>108001</c:v>
                  </c:pt>
                  <c:pt idx="1470">
                    <c:v>31036</c:v>
                  </c:pt>
                  <c:pt idx="1476">
                    <c:v>0</c:v>
                  </c:pt>
                  <c:pt idx="1477">
                    <c:v>260500</c:v>
                  </c:pt>
                  <c:pt idx="1478">
                    <c:v>V0690</c:v>
                  </c:pt>
                  <c:pt idx="1481">
                    <c:v>0</c:v>
                  </c:pt>
                  <c:pt idx="1482">
                    <c:v>gt3380</c:v>
                  </c:pt>
                  <c:pt idx="1483">
                    <c:v>mt97</c:v>
                  </c:pt>
                  <c:pt idx="1484">
                    <c:v>cgt00051</c:v>
                  </c:pt>
                  <c:pt idx="1485">
                    <c:v>22079</c:v>
                  </c:pt>
                  <c:pt idx="1486">
                    <c:v>22080</c:v>
                  </c:pt>
                  <c:pt idx="1488">
                    <c:v>MO273</c:v>
                  </c:pt>
                  <c:pt idx="1490">
                    <c:v>MO274</c:v>
                  </c:pt>
                  <c:pt idx="1491">
                    <c:v>gt4414</c:v>
                  </c:pt>
                  <c:pt idx="1492">
                    <c:v>gt3611</c:v>
                  </c:pt>
                  <c:pt idx="1493">
                    <c:v>gt4412</c:v>
                  </c:pt>
                  <c:pt idx="1494">
                    <c:v>gt3618</c:v>
                  </c:pt>
                  <c:pt idx="1495">
                    <c:v>gt4407</c:v>
                  </c:pt>
                  <c:pt idx="1496">
                    <c:v>gt3616</c:v>
                  </c:pt>
                  <c:pt idx="1499">
                    <c:v>271</c:v>
                  </c:pt>
                  <c:pt idx="1500">
                    <c:v>273</c:v>
                  </c:pt>
                  <c:pt idx="1501">
                    <c:v>274</c:v>
                  </c:pt>
                  <c:pt idx="1502">
                    <c:v>275</c:v>
                  </c:pt>
                  <c:pt idx="1508">
                    <c:v>310003</c:v>
                  </c:pt>
                  <c:pt idx="1510">
                    <c:v>2047</c:v>
                  </c:pt>
                  <c:pt idx="1511">
                    <c:v>v4168</c:v>
                  </c:pt>
                  <c:pt idx="1512">
                    <c:v>HE103</c:v>
                  </c:pt>
                  <c:pt idx="1513">
                    <c:v>a11269</c:v>
                  </c:pt>
                  <c:pt idx="1514">
                    <c:v>v4167</c:v>
                  </c:pt>
                  <c:pt idx="1515">
                    <c:v>a13182</c:v>
                  </c:pt>
                  <c:pt idx="1516">
                    <c:v>a13181</c:v>
                  </c:pt>
                  <c:pt idx="1517">
                    <c:v>cl31</c:v>
                  </c:pt>
                  <c:pt idx="1518">
                    <c:v>cl42</c:v>
                  </c:pt>
                  <c:pt idx="1522">
                    <c:v>v4554b</c:v>
                  </c:pt>
                  <c:pt idx="1523">
                    <c:v>v4555</c:v>
                  </c:pt>
                  <c:pt idx="1524">
                    <c:v>v4555a</c:v>
                  </c:pt>
                  <c:pt idx="1525">
                    <c:v>v4554</c:v>
                  </c:pt>
                  <c:pt idx="1530">
                    <c:v>315600</c:v>
                  </c:pt>
                  <c:pt idx="1532">
                    <c:v>100200</c:v>
                  </c:pt>
                  <c:pt idx="1533">
                    <c:v>244</c:v>
                  </c:pt>
                  <c:pt idx="1534">
                    <c:v>gr10308</c:v>
                  </c:pt>
                  <c:pt idx="1535">
                    <c:v>15199</c:v>
                  </c:pt>
                  <c:pt idx="1536">
                    <c:v>gr18765</c:v>
                  </c:pt>
                  <c:pt idx="1537">
                    <c:v>B0070</c:v>
                  </c:pt>
                  <c:pt idx="1538">
                    <c:v>2,13,491758</c:v>
                  </c:pt>
                  <c:pt idx="1539">
                    <c:v>910121</c:v>
                  </c:pt>
                  <c:pt idx="1540">
                    <c:v>271</c:v>
                  </c:pt>
                  <c:pt idx="1541">
                    <c:v>mt1350</c:v>
                  </c:pt>
                  <c:pt idx="1542">
                    <c:v>he0522</c:v>
                  </c:pt>
                  <c:pt idx="1546">
                    <c:v>gf31234</c:v>
                  </c:pt>
                  <c:pt idx="1547">
                    <c:v>gf31235</c:v>
                  </c:pt>
                  <c:pt idx="1549">
                    <c:v>v4550</c:v>
                  </c:pt>
                  <c:pt idx="1550">
                    <c:v>v4551</c:v>
                  </c:pt>
                  <c:pt idx="1551">
                    <c:v>v4570a</c:v>
                  </c:pt>
                  <c:pt idx="1553">
                    <c:v>198</c:v>
                  </c:pt>
                  <c:pt idx="1554">
                    <c:v>199</c:v>
                  </c:pt>
                  <c:pt idx="1555">
                    <c:v>0</c:v>
                  </c:pt>
                  <c:pt idx="1556">
                    <c:v>s142</c:v>
                  </c:pt>
                  <c:pt idx="1557">
                    <c:v>s143</c:v>
                  </c:pt>
                  <c:pt idx="1558">
                    <c:v>s141</c:v>
                  </c:pt>
                  <c:pt idx="1559">
                    <c:v>s140</c:v>
                  </c:pt>
                  <c:pt idx="1560">
                    <c:v>1780</c:v>
                  </c:pt>
                  <c:pt idx="1561">
                    <c:v>0</c:v>
                  </c:pt>
                  <c:pt idx="1562">
                    <c:v>0</c:v>
                  </c:pt>
                  <c:pt idx="1563">
                    <c:v>0</c:v>
                  </c:pt>
                  <c:pt idx="1566">
                    <c:v>0</c:v>
                  </c:pt>
                  <c:pt idx="1567">
                    <c:v>V1476</c:v>
                  </c:pt>
                  <c:pt idx="1568">
                    <c:v>V1468A</c:v>
                  </c:pt>
                  <c:pt idx="1569">
                    <c:v>gr1909</c:v>
                  </c:pt>
                  <c:pt idx="1572">
                    <c:v>72003</c:v>
                  </c:pt>
                  <c:pt idx="1574">
                    <c:v>mt180</c:v>
                  </c:pt>
                  <c:pt idx="1575">
                    <c:v>mt620</c:v>
                  </c:pt>
                  <c:pt idx="1577">
                    <c:v>gr2881</c:v>
                  </c:pt>
                  <c:pt idx="1579">
                    <c:v>15990</c:v>
                  </c:pt>
                  <c:pt idx="1580">
                    <c:v>20033</c:v>
                  </c:pt>
                  <c:pt idx="1581">
                    <c:v>15984</c:v>
                  </c:pt>
                  <c:pt idx="1582">
                    <c:v>14223</c:v>
                  </c:pt>
                  <c:pt idx="1588">
                    <c:v>111507</c:v>
                  </c:pt>
                  <c:pt idx="1590">
                    <c:v>1106</c:v>
                  </c:pt>
                  <c:pt idx="1591">
                    <c:v>117175</c:v>
                  </c:pt>
                  <c:pt idx="1592">
                    <c:v>117175</c:v>
                  </c:pt>
                  <c:pt idx="1593">
                    <c:v>117175</c:v>
                  </c:pt>
                  <c:pt idx="1594">
                    <c:v>201</c:v>
                  </c:pt>
                  <c:pt idx="1596">
                    <c:v>IBRBY01</c:v>
                  </c:pt>
                  <c:pt idx="1597">
                    <c:v>IBRFL101</c:v>
                  </c:pt>
                  <c:pt idx="1600">
                    <c:v>133</c:v>
                  </c:pt>
                  <c:pt idx="1601">
                    <c:v>108</c:v>
                  </c:pt>
                  <c:pt idx="1603">
                    <c:v>140</c:v>
                  </c:pt>
                  <c:pt idx="1604">
                    <c:v>140</c:v>
                  </c:pt>
                  <c:pt idx="1607">
                    <c:v>CHARAD08</c:v>
                  </c:pt>
                  <c:pt idx="1609">
                    <c:v>CRIOAD07</c:v>
                  </c:pt>
                  <c:pt idx="1613">
                    <c:v>9789</c:v>
                  </c:pt>
                  <c:pt idx="1615">
                    <c:v>e120</c:v>
                  </c:pt>
                  <c:pt idx="1616">
                    <c:v>e120</c:v>
                  </c:pt>
                  <c:pt idx="1617">
                    <c:v>4</c:v>
                  </c:pt>
                  <c:pt idx="1621">
                    <c:v>gt2961</c:v>
                  </c:pt>
                  <c:pt idx="1624">
                    <c:v>90</c:v>
                  </c:pt>
                  <c:pt idx="1627">
                    <c:v>14,08</c:v>
                  </c:pt>
                  <c:pt idx="1629">
                    <c:v>16,21</c:v>
                  </c:pt>
                  <c:pt idx="1630">
                    <c:v>0</c:v>
                  </c:pt>
                  <c:pt idx="1631">
                    <c:v>9236</c:v>
                  </c:pt>
                  <c:pt idx="1632">
                    <c:v>0</c:v>
                  </c:pt>
                  <c:pt idx="1634">
                    <c:v>111547</c:v>
                  </c:pt>
                  <c:pt idx="1635">
                    <c:v>10040</c:v>
                  </c:pt>
                  <c:pt idx="1636">
                    <c:v>10050</c:v>
                  </c:pt>
                  <c:pt idx="1637">
                    <c:v>111655</c:v>
                  </c:pt>
                  <c:pt idx="1638">
                    <c:v>111547</c:v>
                  </c:pt>
                  <c:pt idx="1639">
                    <c:v>111547</c:v>
                  </c:pt>
                  <c:pt idx="1640">
                    <c:v>111547</c:v>
                  </c:pt>
                  <c:pt idx="1643">
                    <c:v>5758</c:v>
                  </c:pt>
                  <c:pt idx="1649">
                    <c:v>sz350</c:v>
                  </c:pt>
                  <c:pt idx="1650">
                    <c:v>sz513</c:v>
                  </c:pt>
                  <c:pt idx="1651">
                    <c:v>324740</c:v>
                  </c:pt>
                  <c:pt idx="1652">
                    <c:v>v0605</c:v>
                  </c:pt>
                  <c:pt idx="1654">
                    <c:v>v0452</c:v>
                  </c:pt>
                  <c:pt idx="1655">
                    <c:v>v4582</c:v>
                  </c:pt>
                  <c:pt idx="1656">
                    <c:v>2058</c:v>
                  </c:pt>
                  <c:pt idx="1658">
                    <c:v>v0451</c:v>
                  </c:pt>
                  <c:pt idx="1659">
                    <c:v>v0454</c:v>
                  </c:pt>
                  <c:pt idx="1660">
                    <c:v>v0453</c:v>
                  </c:pt>
                  <c:pt idx="1661">
                    <c:v>v0456</c:v>
                  </c:pt>
                  <c:pt idx="1662">
                    <c:v>2,12ps2</c:v>
                  </c:pt>
                  <c:pt idx="1663">
                    <c:v>2,12ps4</c:v>
                  </c:pt>
                  <c:pt idx="1666">
                    <c:v>0</c:v>
                  </c:pt>
                  <c:pt idx="1667">
                    <c:v>133</c:v>
                  </c:pt>
                  <c:pt idx="1668">
                    <c:v>19141</c:v>
                  </c:pt>
                  <c:pt idx="1669">
                    <c:v>k-310</c:v>
                  </c:pt>
                  <c:pt idx="1670">
                    <c:v>gr24751</c:v>
                  </c:pt>
                  <c:pt idx="1671">
                    <c:v>gr5296</c:v>
                  </c:pt>
                  <c:pt idx="1672">
                    <c:v>6</c:v>
                  </c:pt>
                  <c:pt idx="1674">
                    <c:v>k003</c:v>
                  </c:pt>
                  <c:pt idx="1675">
                    <c:v>k002</c:v>
                  </c:pt>
                  <c:pt idx="1676">
                    <c:v>s145</c:v>
                  </c:pt>
                  <c:pt idx="1677">
                    <c:v>s146</c:v>
                  </c:pt>
                  <c:pt idx="1678">
                    <c:v>203pg44</c:v>
                  </c:pt>
                  <c:pt idx="1681">
                    <c:v>k002</c:v>
                  </c:pt>
                  <c:pt idx="1682">
                    <c:v>k003</c:v>
                  </c:pt>
                  <c:pt idx="1683">
                    <c:v>k004</c:v>
                  </c:pt>
                  <c:pt idx="1689">
                    <c:v>s144</c:v>
                  </c:pt>
                  <c:pt idx="1690">
                    <c:v>236</c:v>
                  </c:pt>
                  <c:pt idx="1691">
                    <c:v>v0601</c:v>
                  </c:pt>
                  <c:pt idx="1692">
                    <c:v>cfl00007</c:v>
                  </c:pt>
                  <c:pt idx="1693">
                    <c:v>sc816</c:v>
                  </c:pt>
                  <c:pt idx="1694">
                    <c:v>sc642</c:v>
                  </c:pt>
                  <c:pt idx="1695">
                    <c:v>sc1129</c:v>
                  </c:pt>
                  <c:pt idx="1696">
                    <c:v>sc-12a </c:v>
                  </c:pt>
                  <c:pt idx="1697">
                    <c:v>sc-12b</c:v>
                  </c:pt>
                  <c:pt idx="1698">
                    <c:v>sc-12</c:v>
                  </c:pt>
                  <c:pt idx="1699">
                    <c:v>cfl00004</c:v>
                  </c:pt>
                  <c:pt idx="1700">
                    <c:v>v1221</c:v>
                  </c:pt>
                  <c:pt idx="1701">
                    <c:v>v1224</c:v>
                  </c:pt>
                  <c:pt idx="1702">
                    <c:v>v0632</c:v>
                  </c:pt>
                  <c:pt idx="1703">
                    <c:v>sc-01</c:v>
                  </c:pt>
                  <c:pt idx="1704">
                    <c:v>cfl00018</c:v>
                  </c:pt>
                  <c:pt idx="1705">
                    <c:v>cfl00014</c:v>
                  </c:pt>
                  <c:pt idx="1706">
                    <c:v>W2896</c:v>
                  </c:pt>
                  <c:pt idx="1707">
                    <c:v>PC2519</c:v>
                  </c:pt>
                  <c:pt idx="1709">
                    <c:v>sc-643</c:v>
                  </c:pt>
                  <c:pt idx="1710">
                    <c:v>v0631-2</c:v>
                  </c:pt>
                  <c:pt idx="1711">
                    <c:v>v0632</c:v>
                  </c:pt>
                  <c:pt idx="1712">
                    <c:v>v0633</c:v>
                  </c:pt>
                  <c:pt idx="1713">
                    <c:v>v0634</c:v>
                  </c:pt>
                  <c:pt idx="1715">
                    <c:v>14</c:v>
                  </c:pt>
                  <c:pt idx="1716">
                    <c:v>139</c:v>
                  </c:pt>
                  <c:pt idx="1720">
                    <c:v>pcn15</c:v>
                  </c:pt>
                  <c:pt idx="1721">
                    <c:v>pcn20</c:v>
                  </c:pt>
                </c:lvl>
              </c:multiLvlStrCache>
            </c:multiLvlStrRef>
          </c:cat>
          <c:val>
            <c:numRef>
              <c:f>PRECIO!$K$3:$K$1802</c:f>
              <c:numCache>
                <c:formatCode>0</c:formatCode>
                <c:ptCount val="1725"/>
                <c:pt idx="0">
                  <c:v>4600</c:v>
                </c:pt>
                <c:pt idx="1">
                  <c:v>396.255</c:v>
                </c:pt>
                <c:pt idx="2">
                  <c:v>252</c:v>
                </c:pt>
                <c:pt idx="3">
                  <c:v>412.36</c:v>
                </c:pt>
                <c:pt idx="4">
                  <c:v>47.58</c:v>
                </c:pt>
                <c:pt idx="5">
                  <c:v>168.3</c:v>
                </c:pt>
                <c:pt idx="6">
                  <c:v>46.75</c:v>
                </c:pt>
                <c:pt idx="7">
                  <c:v>1712</c:v>
                </c:pt>
                <c:pt idx="8">
                  <c:v>0</c:v>
                </c:pt>
                <c:pt idx="9">
                  <c:v>1359</c:v>
                </c:pt>
                <c:pt idx="10">
                  <c:v>158.11200000000002</c:v>
                </c:pt>
                <c:pt idx="11">
                  <c:v>175.68</c:v>
                </c:pt>
                <c:pt idx="12">
                  <c:v>140.54400000000001</c:v>
                </c:pt>
                <c:pt idx="13">
                  <c:v>312.32</c:v>
                </c:pt>
                <c:pt idx="14">
                  <c:v>708.57600000000002</c:v>
                </c:pt>
                <c:pt idx="15">
                  <c:v>43.700400000000002</c:v>
                </c:pt>
                <c:pt idx="16">
                  <c:v>48.555999999999997</c:v>
                </c:pt>
                <c:pt idx="17">
                  <c:v>17.568000000000001</c:v>
                </c:pt>
                <c:pt idx="18">
                  <c:v>214.52480000000003</c:v>
                </c:pt>
                <c:pt idx="19">
                  <c:v>91.133999999999986</c:v>
                </c:pt>
                <c:pt idx="20">
                  <c:v>127.73399999999998</c:v>
                </c:pt>
                <c:pt idx="21">
                  <c:v>91.133999999999986</c:v>
                </c:pt>
                <c:pt idx="22">
                  <c:v>146.03399999999999</c:v>
                </c:pt>
                <c:pt idx="23">
                  <c:v>106.44499999999999</c:v>
                </c:pt>
                <c:pt idx="24">
                  <c:v>0</c:v>
                </c:pt>
                <c:pt idx="25">
                  <c:v>0</c:v>
                </c:pt>
                <c:pt idx="26">
                  <c:v>342.40031999999997</c:v>
                </c:pt>
                <c:pt idx="27">
                  <c:v>379.43829999999997</c:v>
                </c:pt>
                <c:pt idx="28">
                  <c:v>414.3852</c:v>
                </c:pt>
                <c:pt idx="29">
                  <c:v>387.99904000000004</c:v>
                </c:pt>
                <c:pt idx="30">
                  <c:v>526.79599999999994</c:v>
                </c:pt>
                <c:pt idx="31">
                  <c:v>802.27200000000005</c:v>
                </c:pt>
                <c:pt idx="32">
                  <c:v>562.46696999999995</c:v>
                </c:pt>
                <c:pt idx="33">
                  <c:v>309.88</c:v>
                </c:pt>
                <c:pt idx="34">
                  <c:v>254.4</c:v>
                </c:pt>
                <c:pt idx="35">
                  <c:v>177.51</c:v>
                </c:pt>
                <c:pt idx="36">
                  <c:v>96.623999999999995</c:v>
                </c:pt>
                <c:pt idx="37">
                  <c:v>1268.8</c:v>
                </c:pt>
                <c:pt idx="38">
                  <c:v>216.672</c:v>
                </c:pt>
                <c:pt idx="39">
                  <c:v>2769.4</c:v>
                </c:pt>
                <c:pt idx="40">
                  <c:v>132</c:v>
                </c:pt>
                <c:pt idx="41">
                  <c:v>1328.3999999999999</c:v>
                </c:pt>
                <c:pt idx="42">
                  <c:v>1571.36</c:v>
                </c:pt>
                <c:pt idx="43">
                  <c:v>575.35199999999998</c:v>
                </c:pt>
                <c:pt idx="44">
                  <c:v>502.40000000000003</c:v>
                </c:pt>
                <c:pt idx="45">
                  <c:v>110.00000000000001</c:v>
                </c:pt>
                <c:pt idx="46">
                  <c:v>1649.0740000000001</c:v>
                </c:pt>
                <c:pt idx="47">
                  <c:v>945.37800000000004</c:v>
                </c:pt>
                <c:pt idx="48">
                  <c:v>1105.442</c:v>
                </c:pt>
                <c:pt idx="49">
                  <c:v>292.8</c:v>
                </c:pt>
                <c:pt idx="50">
                  <c:v>945.37800000000004</c:v>
                </c:pt>
                <c:pt idx="51">
                  <c:v>300</c:v>
                </c:pt>
                <c:pt idx="52">
                  <c:v>180</c:v>
                </c:pt>
                <c:pt idx="53">
                  <c:v>54.9</c:v>
                </c:pt>
                <c:pt idx="54">
                  <c:v>3116.1239999999998</c:v>
                </c:pt>
                <c:pt idx="55">
                  <c:v>366.93696</c:v>
                </c:pt>
                <c:pt idx="56">
                  <c:v>2589.0839999999998</c:v>
                </c:pt>
                <c:pt idx="57">
                  <c:v>440.66399999999999</c:v>
                </c:pt>
                <c:pt idx="58">
                  <c:v>59.048000000000002</c:v>
                </c:pt>
                <c:pt idx="59">
                  <c:v>349.40800000000002</c:v>
                </c:pt>
                <c:pt idx="60">
                  <c:v>78.720000000000013</c:v>
                </c:pt>
                <c:pt idx="61">
                  <c:v>193.24800000000002</c:v>
                </c:pt>
                <c:pt idx="62">
                  <c:v>179.34</c:v>
                </c:pt>
                <c:pt idx="63">
                  <c:v>111.264</c:v>
                </c:pt>
                <c:pt idx="64">
                  <c:v>111.264</c:v>
                </c:pt>
                <c:pt idx="65">
                  <c:v>130.78399999999999</c:v>
                </c:pt>
                <c:pt idx="66">
                  <c:v>126.26999999999998</c:v>
                </c:pt>
                <c:pt idx="67">
                  <c:v>36.356000000000002</c:v>
                </c:pt>
                <c:pt idx="68">
                  <c:v>36.356000000000002</c:v>
                </c:pt>
                <c:pt idx="69">
                  <c:v>72.955999999999989</c:v>
                </c:pt>
                <c:pt idx="70">
                  <c:v>72.955999999999989</c:v>
                </c:pt>
                <c:pt idx="71">
                  <c:v>603.9</c:v>
                </c:pt>
                <c:pt idx="72">
                  <c:v>1937</c:v>
                </c:pt>
                <c:pt idx="73">
                  <c:v>89.4</c:v>
                </c:pt>
                <c:pt idx="74">
                  <c:v>2261.337</c:v>
                </c:pt>
                <c:pt idx="75">
                  <c:v>89.85</c:v>
                </c:pt>
                <c:pt idx="76">
                  <c:v>219.35600000000002</c:v>
                </c:pt>
                <c:pt idx="77">
                  <c:v>268.15600000000001</c:v>
                </c:pt>
                <c:pt idx="78">
                  <c:v>202.90430000000003</c:v>
                </c:pt>
                <c:pt idx="79">
                  <c:v>248.04430000000002</c:v>
                </c:pt>
                <c:pt idx="80">
                  <c:v>21.96</c:v>
                </c:pt>
                <c:pt idx="81">
                  <c:v>160.08840000000001</c:v>
                </c:pt>
                <c:pt idx="82">
                  <c:v>3079.6948000000002</c:v>
                </c:pt>
                <c:pt idx="83">
                  <c:v>175.68</c:v>
                </c:pt>
                <c:pt idx="84">
                  <c:v>241.55999999999997</c:v>
                </c:pt>
                <c:pt idx="85">
                  <c:v>200</c:v>
                </c:pt>
                <c:pt idx="86">
                  <c:v>242</c:v>
                </c:pt>
                <c:pt idx="87">
                  <c:v>361</c:v>
                </c:pt>
                <c:pt idx="88">
                  <c:v>903.5</c:v>
                </c:pt>
                <c:pt idx="89">
                  <c:v>37.799999999999997</c:v>
                </c:pt>
                <c:pt idx="90">
                  <c:v>585.40480000000002</c:v>
                </c:pt>
                <c:pt idx="91">
                  <c:v>658.58039999999994</c:v>
                </c:pt>
                <c:pt idx="92">
                  <c:v>621.99259999999992</c:v>
                </c:pt>
                <c:pt idx="93">
                  <c:v>173.48400000000001</c:v>
                </c:pt>
                <c:pt idx="94" formatCode="General">
                  <c:v>173.48400000000001</c:v>
                </c:pt>
                <c:pt idx="95" formatCode="General">
                  <c:v>261.32400000000001</c:v>
                </c:pt>
                <c:pt idx="96">
                  <c:v>415.04399999999998</c:v>
                </c:pt>
                <c:pt idx="97">
                  <c:v>316.8</c:v>
                </c:pt>
                <c:pt idx="98">
                  <c:v>483.11999999999995</c:v>
                </c:pt>
                <c:pt idx="99">
                  <c:v>53.68</c:v>
                </c:pt>
                <c:pt idx="100">
                  <c:v>217.75</c:v>
                </c:pt>
                <c:pt idx="101">
                  <c:v>322.08</c:v>
                </c:pt>
                <c:pt idx="102">
                  <c:v>485.31600000000003</c:v>
                </c:pt>
                <c:pt idx="103">
                  <c:v>192.51</c:v>
                </c:pt>
                <c:pt idx="104">
                  <c:v>107.39904</c:v>
                </c:pt>
                <c:pt idx="105">
                  <c:v>162.87</c:v>
                </c:pt>
                <c:pt idx="106">
                  <c:v>637.38900000000001</c:v>
                </c:pt>
                <c:pt idx="107">
                  <c:v>492.86475000000002</c:v>
                </c:pt>
                <c:pt idx="108">
                  <c:v>153.72</c:v>
                </c:pt>
                <c:pt idx="109">
                  <c:v>459.452</c:v>
                </c:pt>
                <c:pt idx="110">
                  <c:v>7.93</c:v>
                </c:pt>
                <c:pt idx="111">
                  <c:v>420.16800000000001</c:v>
                </c:pt>
                <c:pt idx="112">
                  <c:v>402.11200000000002</c:v>
                </c:pt>
                <c:pt idx="113">
                  <c:v>533.52</c:v>
                </c:pt>
                <c:pt idx="114">
                  <c:v>104.92</c:v>
                </c:pt>
                <c:pt idx="115">
                  <c:v>63.44</c:v>
                </c:pt>
                <c:pt idx="116">
                  <c:v>105.408</c:v>
                </c:pt>
                <c:pt idx="117">
                  <c:v>91.373120000000014</c:v>
                </c:pt>
                <c:pt idx="118">
                  <c:v>79.661120000000011</c:v>
                </c:pt>
                <c:pt idx="119">
                  <c:v>636.35199999999998</c:v>
                </c:pt>
                <c:pt idx="120">
                  <c:v>549</c:v>
                </c:pt>
                <c:pt idx="121">
                  <c:v>279.7704</c:v>
                </c:pt>
                <c:pt idx="122">
                  <c:v>99.48</c:v>
                </c:pt>
                <c:pt idx="123">
                  <c:v>3879.4339999999997</c:v>
                </c:pt>
                <c:pt idx="124">
                  <c:v>273.27999999999997</c:v>
                </c:pt>
                <c:pt idx="125">
                  <c:v>384.29999999999995</c:v>
                </c:pt>
                <c:pt idx="126">
                  <c:v>97.6</c:v>
                </c:pt>
                <c:pt idx="127">
                  <c:v>761.28000000000009</c:v>
                </c:pt>
                <c:pt idx="128">
                  <c:v>1171.2</c:v>
                </c:pt>
                <c:pt idx="129">
                  <c:v>1022.63694</c:v>
                </c:pt>
                <c:pt idx="130">
                  <c:v>411.74999999999994</c:v>
                </c:pt>
                <c:pt idx="131">
                  <c:v>251.16749999999996</c:v>
                </c:pt>
                <c:pt idx="132">
                  <c:v>242.79524999999998</c:v>
                </c:pt>
                <c:pt idx="133">
                  <c:v>398.02499999999998</c:v>
                </c:pt>
                <c:pt idx="134">
                  <c:v>204.59399999999999</c:v>
                </c:pt>
                <c:pt idx="135">
                  <c:v>188.49</c:v>
                </c:pt>
                <c:pt idx="136">
                  <c:v>0</c:v>
                </c:pt>
                <c:pt idx="137">
                  <c:v>512.4</c:v>
                </c:pt>
                <c:pt idx="138">
                  <c:v>244</c:v>
                </c:pt>
                <c:pt idx="139">
                  <c:v>254.73600000000002</c:v>
                </c:pt>
                <c:pt idx="140">
                  <c:v>78.08</c:v>
                </c:pt>
                <c:pt idx="141">
                  <c:v>138.34800000000001</c:v>
                </c:pt>
                <c:pt idx="142">
                  <c:v>215.87168000000003</c:v>
                </c:pt>
                <c:pt idx="143">
                  <c:v>219.99040000000002</c:v>
                </c:pt>
                <c:pt idx="144">
                  <c:v>346.85819999999995</c:v>
                </c:pt>
                <c:pt idx="145">
                  <c:v>222.67439999999999</c:v>
                </c:pt>
                <c:pt idx="146">
                  <c:v>198.07919999999999</c:v>
                </c:pt>
                <c:pt idx="147">
                  <c:v>195.20000000000002</c:v>
                </c:pt>
                <c:pt idx="148">
                  <c:v>351.36</c:v>
                </c:pt>
                <c:pt idx="149">
                  <c:v>252.10079999999996</c:v>
                </c:pt>
                <c:pt idx="150">
                  <c:v>216.0864</c:v>
                </c:pt>
                <c:pt idx="151">
                  <c:v>683.2</c:v>
                </c:pt>
                <c:pt idx="152">
                  <c:v>338.54999999999995</c:v>
                </c:pt>
                <c:pt idx="153">
                  <c:v>44.864280000000001</c:v>
                </c:pt>
                <c:pt idx="154">
                  <c:v>77.143040000000013</c:v>
                </c:pt>
                <c:pt idx="155">
                  <c:v>127.62175999999999</c:v>
                </c:pt>
                <c:pt idx="156">
                  <c:v>158.89280000000002</c:v>
                </c:pt>
                <c:pt idx="157">
                  <c:v>360.14400000000001</c:v>
                </c:pt>
                <c:pt idx="158">
                  <c:v>240.096</c:v>
                </c:pt>
                <c:pt idx="159">
                  <c:v>471.52512000000002</c:v>
                </c:pt>
                <c:pt idx="160">
                  <c:v>480.19200000000001</c:v>
                </c:pt>
                <c:pt idx="161">
                  <c:v>155.358</c:v>
                </c:pt>
                <c:pt idx="162" formatCode="General">
                  <c:v>239.36399999999998</c:v>
                </c:pt>
                <c:pt idx="163" formatCode="General">
                  <c:v>3477</c:v>
                </c:pt>
                <c:pt idx="164" formatCode="General">
                  <c:v>107.604</c:v>
                </c:pt>
                <c:pt idx="165">
                  <c:v>190</c:v>
                </c:pt>
                <c:pt idx="166">
                  <c:v>1014.5519999999999</c:v>
                </c:pt>
                <c:pt idx="167">
                  <c:v>312.32</c:v>
                </c:pt>
                <c:pt idx="168">
                  <c:v>757.37600000000009</c:v>
                </c:pt>
                <c:pt idx="169">
                  <c:v>2193.4380000000001</c:v>
                </c:pt>
                <c:pt idx="170">
                  <c:v>179.79000000000002</c:v>
                </c:pt>
                <c:pt idx="171">
                  <c:v>269.37599999999998</c:v>
                </c:pt>
                <c:pt idx="172">
                  <c:v>683.2</c:v>
                </c:pt>
                <c:pt idx="173">
                  <c:v>161.60000000000002</c:v>
                </c:pt>
                <c:pt idx="174">
                  <c:v>312.32</c:v>
                </c:pt>
                <c:pt idx="175">
                  <c:v>226.43200000000002</c:v>
                </c:pt>
                <c:pt idx="176">
                  <c:v>486.048</c:v>
                </c:pt>
                <c:pt idx="177">
                  <c:v>90.006720000000001</c:v>
                </c:pt>
                <c:pt idx="178">
                  <c:v>340.00179999999995</c:v>
                </c:pt>
                <c:pt idx="179">
                  <c:v>542.41199999999992</c:v>
                </c:pt>
                <c:pt idx="180">
                  <c:v>634.64400000000001</c:v>
                </c:pt>
                <c:pt idx="181">
                  <c:v>300.608</c:v>
                </c:pt>
                <c:pt idx="182">
                  <c:v>365.024</c:v>
                </c:pt>
                <c:pt idx="183">
                  <c:v>472.38400000000001</c:v>
                </c:pt>
                <c:pt idx="184">
                  <c:v>579.74400000000003</c:v>
                </c:pt>
                <c:pt idx="185">
                  <c:v>632.44799999999998</c:v>
                </c:pt>
                <c:pt idx="186">
                  <c:v>939.4</c:v>
                </c:pt>
                <c:pt idx="187">
                  <c:v>1110.1999999999998</c:v>
                </c:pt>
                <c:pt idx="188">
                  <c:v>119.072</c:v>
                </c:pt>
                <c:pt idx="189">
                  <c:v>165.92000000000002</c:v>
                </c:pt>
                <c:pt idx="190">
                  <c:v>386.49600000000004</c:v>
                </c:pt>
                <c:pt idx="191">
                  <c:v>538.75199999999995</c:v>
                </c:pt>
                <c:pt idx="192">
                  <c:v>253.76</c:v>
                </c:pt>
                <c:pt idx="193">
                  <c:v>164.70000000000002</c:v>
                </c:pt>
                <c:pt idx="194">
                  <c:v>208.61999999999998</c:v>
                </c:pt>
                <c:pt idx="195">
                  <c:v>414</c:v>
                </c:pt>
                <c:pt idx="196">
                  <c:v>99.552000000000007</c:v>
                </c:pt>
                <c:pt idx="197">
                  <c:v>119.072</c:v>
                </c:pt>
                <c:pt idx="198">
                  <c:v>140.54400000000001</c:v>
                </c:pt>
                <c:pt idx="199">
                  <c:v>158.11199999999999</c:v>
                </c:pt>
                <c:pt idx="200">
                  <c:v>208.864</c:v>
                </c:pt>
                <c:pt idx="201">
                  <c:v>219.6</c:v>
                </c:pt>
                <c:pt idx="202">
                  <c:v>263.52000000000004</c:v>
                </c:pt>
                <c:pt idx="203">
                  <c:v>320.61599999999999</c:v>
                </c:pt>
                <c:pt idx="204">
                  <c:v>439.2</c:v>
                </c:pt>
                <c:pt idx="205">
                  <c:v>351.36</c:v>
                </c:pt>
                <c:pt idx="206">
                  <c:v>3000.0043999999998</c:v>
                </c:pt>
                <c:pt idx="208">
                  <c:v>1024.8</c:v>
                </c:pt>
                <c:pt idx="209">
                  <c:v>1024.8</c:v>
                </c:pt>
                <c:pt idx="210">
                  <c:v>87.620400000000004</c:v>
                </c:pt>
                <c:pt idx="211">
                  <c:v>459.94000000000005</c:v>
                </c:pt>
                <c:pt idx="212">
                  <c:v>253.76</c:v>
                </c:pt>
                <c:pt idx="213">
                  <c:v>430.416</c:v>
                </c:pt>
                <c:pt idx="214">
                  <c:v>338.18400000000003</c:v>
                </c:pt>
                <c:pt idx="215">
                  <c:v>276.69600000000003</c:v>
                </c:pt>
                <c:pt idx="216">
                  <c:v>481.95</c:v>
                </c:pt>
                <c:pt idx="217">
                  <c:v>419.85</c:v>
                </c:pt>
                <c:pt idx="218">
                  <c:v>156.37959999999998</c:v>
                </c:pt>
                <c:pt idx="219">
                  <c:v>79.3</c:v>
                </c:pt>
                <c:pt idx="220">
                  <c:v>117.12</c:v>
                </c:pt>
                <c:pt idx="221">
                  <c:v>585.01440000000002</c:v>
                </c:pt>
                <c:pt idx="222">
                  <c:v>922.84704000000011</c:v>
                </c:pt>
                <c:pt idx="223">
                  <c:v>917.04959999999994</c:v>
                </c:pt>
                <c:pt idx="224">
                  <c:v>1449.5552</c:v>
                </c:pt>
                <c:pt idx="225">
                  <c:v>556.16384000000005</c:v>
                </c:pt>
                <c:pt idx="226">
                  <c:v>759.70619999999997</c:v>
                </c:pt>
                <c:pt idx="227">
                  <c:v>219.38040000000001</c:v>
                </c:pt>
                <c:pt idx="228">
                  <c:v>144</c:v>
                </c:pt>
                <c:pt idx="229">
                  <c:v>824.96399999999994</c:v>
                </c:pt>
                <c:pt idx="230">
                  <c:v>466.52800000000002</c:v>
                </c:pt>
                <c:pt idx="231">
                  <c:v>507.52</c:v>
                </c:pt>
                <c:pt idx="232">
                  <c:v>575.84</c:v>
                </c:pt>
                <c:pt idx="233">
                  <c:v>99.552000000000007</c:v>
                </c:pt>
                <c:pt idx="234">
                  <c:v>361.12</c:v>
                </c:pt>
                <c:pt idx="235">
                  <c:v>183</c:v>
                </c:pt>
                <c:pt idx="236">
                  <c:v>1789.0080000000003</c:v>
                </c:pt>
                <c:pt idx="237">
                  <c:v>148.352</c:v>
                </c:pt>
                <c:pt idx="238">
                  <c:v>93.696000000000012</c:v>
                </c:pt>
                <c:pt idx="239">
                  <c:v>318.17599999999999</c:v>
                </c:pt>
                <c:pt idx="240">
                  <c:v>239.11999999999995</c:v>
                </c:pt>
                <c:pt idx="241">
                  <c:v>345.03307999999993</c:v>
                </c:pt>
                <c:pt idx="242">
                  <c:v>327.93600000000004</c:v>
                </c:pt>
                <c:pt idx="243">
                  <c:v>405.08635999999996</c:v>
                </c:pt>
                <c:pt idx="244">
                  <c:v>390.94900000000001</c:v>
                </c:pt>
                <c:pt idx="245">
                  <c:v>288.34699999999998</c:v>
                </c:pt>
                <c:pt idx="246">
                  <c:v>254.73599999999999</c:v>
                </c:pt>
                <c:pt idx="247">
                  <c:v>50</c:v>
                </c:pt>
                <c:pt idx="248">
                  <c:v>382.65299999999991</c:v>
                </c:pt>
                <c:pt idx="249">
                  <c:v>136.63999999999999</c:v>
                </c:pt>
                <c:pt idx="250">
                  <c:v>216.672</c:v>
                </c:pt>
                <c:pt idx="251">
                  <c:v>233.01200000000003</c:v>
                </c:pt>
                <c:pt idx="252">
                  <c:v>450.61920000000003</c:v>
                </c:pt>
                <c:pt idx="253">
                  <c:v>433.92960000000005</c:v>
                </c:pt>
                <c:pt idx="254">
                  <c:v>1073.6000000000001</c:v>
                </c:pt>
                <c:pt idx="255">
                  <c:v>509.45004000000006</c:v>
                </c:pt>
                <c:pt idx="256">
                  <c:v>1315.404</c:v>
                </c:pt>
                <c:pt idx="257">
                  <c:v>1754.604</c:v>
                </c:pt>
                <c:pt idx="258">
                  <c:v>508.73999999999995</c:v>
                </c:pt>
                <c:pt idx="259">
                  <c:v>54.9</c:v>
                </c:pt>
                <c:pt idx="260">
                  <c:v>31.72</c:v>
                </c:pt>
                <c:pt idx="261">
                  <c:v>206.73510000000002</c:v>
                </c:pt>
                <c:pt idx="262">
                  <c:v>290</c:v>
                </c:pt>
                <c:pt idx="263">
                  <c:v>273</c:v>
                </c:pt>
                <c:pt idx="264">
                  <c:v>174.63600000000002</c:v>
                </c:pt>
                <c:pt idx="265">
                  <c:v>614.30400000000009</c:v>
                </c:pt>
                <c:pt idx="266">
                  <c:v>0</c:v>
                </c:pt>
                <c:pt idx="267">
                  <c:v>0</c:v>
                </c:pt>
                <c:pt idx="268">
                  <c:v>92.305200000000013</c:v>
                </c:pt>
                <c:pt idx="269">
                  <c:v>122.70149999999998</c:v>
                </c:pt>
                <c:pt idx="270">
                  <c:v>309.57499999999999</c:v>
                </c:pt>
                <c:pt idx="271">
                  <c:v>222.52800000000002</c:v>
                </c:pt>
                <c:pt idx="272">
                  <c:v>179.584</c:v>
                </c:pt>
                <c:pt idx="273">
                  <c:v>9152</c:v>
                </c:pt>
                <c:pt idx="274">
                  <c:v>213.62199999999999</c:v>
                </c:pt>
                <c:pt idx="275">
                  <c:v>418.67228000000006</c:v>
                </c:pt>
                <c:pt idx="276">
                  <c:v>544.60800000000006</c:v>
                </c:pt>
                <c:pt idx="277">
                  <c:v>584.13599999999997</c:v>
                </c:pt>
                <c:pt idx="278">
                  <c:v>131.54040000000001</c:v>
                </c:pt>
                <c:pt idx="279">
                  <c:v>109.8</c:v>
                </c:pt>
                <c:pt idx="280">
                  <c:v>197.64</c:v>
                </c:pt>
                <c:pt idx="281">
                  <c:v>417.23999999999995</c:v>
                </c:pt>
                <c:pt idx="282">
                  <c:v>731.81700000000001</c:v>
                </c:pt>
                <c:pt idx="283">
                  <c:v>144.93600000000001</c:v>
                </c:pt>
                <c:pt idx="284">
                  <c:v>191.05199999999999</c:v>
                </c:pt>
                <c:pt idx="285">
                  <c:v>544.60800000000006</c:v>
                </c:pt>
                <c:pt idx="286">
                  <c:v>252.53999999999996</c:v>
                </c:pt>
                <c:pt idx="287">
                  <c:v>242.536</c:v>
                </c:pt>
                <c:pt idx="288">
                  <c:v>311.34399999999999</c:v>
                </c:pt>
                <c:pt idx="289">
                  <c:v>210.511</c:v>
                </c:pt>
                <c:pt idx="290">
                  <c:v>427.48800000000006</c:v>
                </c:pt>
                <c:pt idx="291">
                  <c:v>291.88499999999999</c:v>
                </c:pt>
                <c:pt idx="292">
                  <c:v>309.27</c:v>
                </c:pt>
                <c:pt idx="293">
                  <c:v>595.36</c:v>
                </c:pt>
                <c:pt idx="294">
                  <c:v>366</c:v>
                </c:pt>
                <c:pt idx="295">
                  <c:v>402.11200000000002</c:v>
                </c:pt>
                <c:pt idx="296">
                  <c:v>527.35232000000008</c:v>
                </c:pt>
                <c:pt idx="297">
                  <c:v>247.66</c:v>
                </c:pt>
                <c:pt idx="298">
                  <c:v>409.91999999999996</c:v>
                </c:pt>
                <c:pt idx="299">
                  <c:v>1596.3749999999998</c:v>
                </c:pt>
                <c:pt idx="300">
                  <c:v>432.00000000000006</c:v>
                </c:pt>
                <c:pt idx="301">
                  <c:v>4299.1000000000004</c:v>
                </c:pt>
                <c:pt idx="302">
                  <c:v>9734.4</c:v>
                </c:pt>
                <c:pt idx="303">
                  <c:v>2552</c:v>
                </c:pt>
                <c:pt idx="304">
                  <c:v>459.9</c:v>
                </c:pt>
                <c:pt idx="305">
                  <c:v>296.10000000000002</c:v>
                </c:pt>
                <c:pt idx="306">
                  <c:v>540</c:v>
                </c:pt>
                <c:pt idx="307">
                  <c:v>5053.25</c:v>
                </c:pt>
                <c:pt idx="308">
                  <c:v>1627.5</c:v>
                </c:pt>
                <c:pt idx="309">
                  <c:v>219.60000000000002</c:v>
                </c:pt>
                <c:pt idx="310">
                  <c:v>632.56999999999994</c:v>
                </c:pt>
                <c:pt idx="311">
                  <c:v>109.5804</c:v>
                </c:pt>
                <c:pt idx="312">
                  <c:v>41.504399999999997</c:v>
                </c:pt>
                <c:pt idx="313">
                  <c:v>124.44</c:v>
                </c:pt>
                <c:pt idx="314">
                  <c:v>29.28</c:v>
                </c:pt>
                <c:pt idx="315">
                  <c:v>75.944999999999993</c:v>
                </c:pt>
                <c:pt idx="316">
                  <c:v>196.8</c:v>
                </c:pt>
                <c:pt idx="317">
                  <c:v>604.44900000000007</c:v>
                </c:pt>
                <c:pt idx="318">
                  <c:v>819</c:v>
                </c:pt>
                <c:pt idx="319">
                  <c:v>3500.6790000000001</c:v>
                </c:pt>
                <c:pt idx="320">
                  <c:v>368.90725999999995</c:v>
                </c:pt>
                <c:pt idx="321">
                  <c:v>42.699999999999996</c:v>
                </c:pt>
                <c:pt idx="322">
                  <c:v>70.760000000000005</c:v>
                </c:pt>
                <c:pt idx="323">
                  <c:v>273.27999999999997</c:v>
                </c:pt>
                <c:pt idx="324">
                  <c:v>472.38400000000001</c:v>
                </c:pt>
                <c:pt idx="325">
                  <c:v>575.84</c:v>
                </c:pt>
                <c:pt idx="326">
                  <c:v>761.28000000000009</c:v>
                </c:pt>
                <c:pt idx="327">
                  <c:v>300</c:v>
                </c:pt>
                <c:pt idx="328">
                  <c:v>427</c:v>
                </c:pt>
                <c:pt idx="329">
                  <c:v>597.79999999999995</c:v>
                </c:pt>
                <c:pt idx="330">
                  <c:v>5551</c:v>
                </c:pt>
                <c:pt idx="331">
                  <c:v>193.24799999999999</c:v>
                </c:pt>
                <c:pt idx="332">
                  <c:v>184.46399999999997</c:v>
                </c:pt>
                <c:pt idx="333">
                  <c:v>382.59199999999993</c:v>
                </c:pt>
                <c:pt idx="334">
                  <c:v>281.81999999999994</c:v>
                </c:pt>
                <c:pt idx="335">
                  <c:v>165.67599999999999</c:v>
                </c:pt>
                <c:pt idx="336">
                  <c:v>118.80848</c:v>
                </c:pt>
                <c:pt idx="337">
                  <c:v>226.81385999999998</c:v>
                </c:pt>
                <c:pt idx="338">
                  <c:v>162.26</c:v>
                </c:pt>
                <c:pt idx="339">
                  <c:v>413.82400000000001</c:v>
                </c:pt>
                <c:pt idx="340">
                  <c:v>184.82999999999998</c:v>
                </c:pt>
                <c:pt idx="341">
                  <c:v>230.57999999999998</c:v>
                </c:pt>
                <c:pt idx="342">
                  <c:v>161.04</c:v>
                </c:pt>
                <c:pt idx="343">
                  <c:v>361.12</c:v>
                </c:pt>
                <c:pt idx="344">
                  <c:v>236.07</c:v>
                </c:pt>
                <c:pt idx="345">
                  <c:v>296.45999999999998</c:v>
                </c:pt>
                <c:pt idx="346">
                  <c:v>106.262</c:v>
                </c:pt>
                <c:pt idx="347">
                  <c:v>304.512</c:v>
                </c:pt>
                <c:pt idx="348">
                  <c:v>95.525999999999996</c:v>
                </c:pt>
                <c:pt idx="349">
                  <c:v>153.74196000000001</c:v>
                </c:pt>
                <c:pt idx="350">
                  <c:v>138.34799999999998</c:v>
                </c:pt>
                <c:pt idx="351">
                  <c:v>259.49400000000003</c:v>
                </c:pt>
                <c:pt idx="352">
                  <c:v>292.8</c:v>
                </c:pt>
                <c:pt idx="353">
                  <c:v>87.500839999999982</c:v>
                </c:pt>
                <c:pt idx="354">
                  <c:v>342.21</c:v>
                </c:pt>
                <c:pt idx="355">
                  <c:v>252.53999999999996</c:v>
                </c:pt>
                <c:pt idx="356">
                  <c:v>94.4</c:v>
                </c:pt>
                <c:pt idx="357">
                  <c:v>296.74304000000001</c:v>
                </c:pt>
                <c:pt idx="358">
                  <c:v>407.96800000000002</c:v>
                </c:pt>
                <c:pt idx="359">
                  <c:v>325.28859999999997</c:v>
                </c:pt>
                <c:pt idx="360">
                  <c:v>436.15000000000003</c:v>
                </c:pt>
                <c:pt idx="361">
                  <c:v>495.43407000000002</c:v>
                </c:pt>
                <c:pt idx="362">
                  <c:v>772.19595000000015</c:v>
                </c:pt>
                <c:pt idx="363">
                  <c:v>583.99936000000002</c:v>
                </c:pt>
                <c:pt idx="364">
                  <c:v>492.74946</c:v>
                </c:pt>
                <c:pt idx="365">
                  <c:v>491.66</c:v>
                </c:pt>
                <c:pt idx="366">
                  <c:v>649.34622000000002</c:v>
                </c:pt>
                <c:pt idx="367">
                  <c:v>518.39325000000008</c:v>
                </c:pt>
                <c:pt idx="368">
                  <c:v>459.94000000000005</c:v>
                </c:pt>
                <c:pt idx="369">
                  <c:v>70.272000000000006</c:v>
                </c:pt>
                <c:pt idx="370">
                  <c:v>112.72799999999998</c:v>
                </c:pt>
                <c:pt idx="371">
                  <c:v>63.684000000000005</c:v>
                </c:pt>
                <c:pt idx="372">
                  <c:v>107.604</c:v>
                </c:pt>
                <c:pt idx="373">
                  <c:v>123.17364000000001</c:v>
                </c:pt>
                <c:pt idx="374">
                  <c:v>286.94400000000002</c:v>
                </c:pt>
                <c:pt idx="375">
                  <c:v>73.844160000000002</c:v>
                </c:pt>
                <c:pt idx="376">
                  <c:v>195.44399999999999</c:v>
                </c:pt>
                <c:pt idx="377">
                  <c:v>407.96800000000002</c:v>
                </c:pt>
                <c:pt idx="378">
                  <c:v>476.53199999999998</c:v>
                </c:pt>
                <c:pt idx="379">
                  <c:v>705.404</c:v>
                </c:pt>
                <c:pt idx="380">
                  <c:v>151.524</c:v>
                </c:pt>
                <c:pt idx="381">
                  <c:v>109.8</c:v>
                </c:pt>
                <c:pt idx="382">
                  <c:v>139.08000000000001</c:v>
                </c:pt>
                <c:pt idx="383">
                  <c:v>90</c:v>
                </c:pt>
                <c:pt idx="384">
                  <c:v>2000</c:v>
                </c:pt>
                <c:pt idx="385">
                  <c:v>126.88</c:v>
                </c:pt>
                <c:pt idx="386">
                  <c:v>256.2</c:v>
                </c:pt>
                <c:pt idx="387">
                  <c:v>167.38399999999999</c:v>
                </c:pt>
                <c:pt idx="388">
                  <c:v>520.81312000000003</c:v>
                </c:pt>
                <c:pt idx="389">
                  <c:v>156.16</c:v>
                </c:pt>
                <c:pt idx="390">
                  <c:v>673.44</c:v>
                </c:pt>
                <c:pt idx="391">
                  <c:v>695.22310000000004</c:v>
                </c:pt>
                <c:pt idx="392">
                  <c:v>128.46600000000001</c:v>
                </c:pt>
                <c:pt idx="393">
                  <c:v>172.874</c:v>
                </c:pt>
                <c:pt idx="394">
                  <c:v>142.88640000000001</c:v>
                </c:pt>
                <c:pt idx="395">
                  <c:v>142.74</c:v>
                </c:pt>
                <c:pt idx="396">
                  <c:v>103.23396</c:v>
                </c:pt>
                <c:pt idx="397">
                  <c:v>193.49200000000002</c:v>
                </c:pt>
                <c:pt idx="398">
                  <c:v>134.19999999999999</c:v>
                </c:pt>
                <c:pt idx="399">
                  <c:v>393.084</c:v>
                </c:pt>
                <c:pt idx="400">
                  <c:v>94.581720000000004</c:v>
                </c:pt>
                <c:pt idx="401">
                  <c:v>191.29600000000002</c:v>
                </c:pt>
                <c:pt idx="402">
                  <c:v>61</c:v>
                </c:pt>
                <c:pt idx="403">
                  <c:v>347.20224000000002</c:v>
                </c:pt>
                <c:pt idx="404">
                  <c:v>200.31912</c:v>
                </c:pt>
                <c:pt idx="405">
                  <c:v>93.539840000000012</c:v>
                </c:pt>
                <c:pt idx="406">
                  <c:v>147.93573600000002</c:v>
                </c:pt>
                <c:pt idx="407">
                  <c:v>274.5</c:v>
                </c:pt>
                <c:pt idx="408">
                  <c:v>68.632319999999993</c:v>
                </c:pt>
                <c:pt idx="409">
                  <c:v>279.13600000000002</c:v>
                </c:pt>
                <c:pt idx="410">
                  <c:v>270.09092000000004</c:v>
                </c:pt>
                <c:pt idx="411">
                  <c:v>76.86</c:v>
                </c:pt>
                <c:pt idx="412">
                  <c:v>407.47999999999996</c:v>
                </c:pt>
                <c:pt idx="413">
                  <c:v>468.47999999999996</c:v>
                </c:pt>
                <c:pt idx="414">
                  <c:v>109.62432</c:v>
                </c:pt>
                <c:pt idx="415">
                  <c:v>152.27552</c:v>
                </c:pt>
                <c:pt idx="416">
                  <c:v>316.8</c:v>
                </c:pt>
                <c:pt idx="417">
                  <c:v>165.6</c:v>
                </c:pt>
                <c:pt idx="418">
                  <c:v>60.694999999999993</c:v>
                </c:pt>
                <c:pt idx="419">
                  <c:v>19.8</c:v>
                </c:pt>
                <c:pt idx="420">
                  <c:v>53.699999999999996</c:v>
                </c:pt>
                <c:pt idx="421">
                  <c:v>32.573999999999998</c:v>
                </c:pt>
                <c:pt idx="422">
                  <c:v>400.15999999999997</c:v>
                </c:pt>
                <c:pt idx="423">
                  <c:v>301.95</c:v>
                </c:pt>
                <c:pt idx="424">
                  <c:v>4000</c:v>
                </c:pt>
                <c:pt idx="425">
                  <c:v>8350</c:v>
                </c:pt>
                <c:pt idx="426">
                  <c:v>7400</c:v>
                </c:pt>
                <c:pt idx="427">
                  <c:v>4800</c:v>
                </c:pt>
                <c:pt idx="428">
                  <c:v>168.35999999999999</c:v>
                </c:pt>
                <c:pt idx="429">
                  <c:v>166.53</c:v>
                </c:pt>
                <c:pt idx="430">
                  <c:v>322.81200000000001</c:v>
                </c:pt>
                <c:pt idx="431">
                  <c:v>289.14</c:v>
                </c:pt>
                <c:pt idx="432">
                  <c:v>160.30800000000002</c:v>
                </c:pt>
                <c:pt idx="433">
                  <c:v>553.39199999999994</c:v>
                </c:pt>
                <c:pt idx="434">
                  <c:v>334.89</c:v>
                </c:pt>
                <c:pt idx="435">
                  <c:v>300.608</c:v>
                </c:pt>
                <c:pt idx="436">
                  <c:v>389.17999999999995</c:v>
                </c:pt>
                <c:pt idx="437">
                  <c:v>520.93999999999994</c:v>
                </c:pt>
                <c:pt idx="438">
                  <c:v>557.78399999999999</c:v>
                </c:pt>
                <c:pt idx="439">
                  <c:v>104.30999999999999</c:v>
                </c:pt>
                <c:pt idx="440">
                  <c:v>450.05799999999999</c:v>
                </c:pt>
                <c:pt idx="441">
                  <c:v>474.33600000000001</c:v>
                </c:pt>
                <c:pt idx="442">
                  <c:v>272.30400000000003</c:v>
                </c:pt>
                <c:pt idx="443">
                  <c:v>95.403999999999996</c:v>
                </c:pt>
                <c:pt idx="444">
                  <c:v>283.64999999999998</c:v>
                </c:pt>
                <c:pt idx="445">
                  <c:v>646.11200000000008</c:v>
                </c:pt>
                <c:pt idx="446">
                  <c:v>437.24799999999999</c:v>
                </c:pt>
                <c:pt idx="447">
                  <c:v>318.17599999999999</c:v>
                </c:pt>
                <c:pt idx="448">
                  <c:v>539.84999999999991</c:v>
                </c:pt>
                <c:pt idx="449">
                  <c:v>433.46599999999995</c:v>
                </c:pt>
                <c:pt idx="450">
                  <c:v>95.64800000000001</c:v>
                </c:pt>
                <c:pt idx="451">
                  <c:v>309.27</c:v>
                </c:pt>
                <c:pt idx="452">
                  <c:v>164.57312000000002</c:v>
                </c:pt>
                <c:pt idx="453">
                  <c:v>283.49811</c:v>
                </c:pt>
                <c:pt idx="454">
                  <c:v>395.28000000000003</c:v>
                </c:pt>
                <c:pt idx="455">
                  <c:v>883.03599999999994</c:v>
                </c:pt>
                <c:pt idx="456">
                  <c:v>486.78</c:v>
                </c:pt>
                <c:pt idx="457">
                  <c:v>269.86399999999998</c:v>
                </c:pt>
                <c:pt idx="458">
                  <c:v>123.38592000000001</c:v>
                </c:pt>
                <c:pt idx="459">
                  <c:v>1061.3999999999999</c:v>
                </c:pt>
                <c:pt idx="460">
                  <c:v>195.67970400000002</c:v>
                </c:pt>
                <c:pt idx="461">
                  <c:v>0</c:v>
                </c:pt>
                <c:pt idx="462">
                  <c:v>297</c:v>
                </c:pt>
                <c:pt idx="463">
                  <c:v>211.06976</c:v>
                </c:pt>
                <c:pt idx="464">
                  <c:v>219.95624000000001</c:v>
                </c:pt>
                <c:pt idx="465">
                  <c:v>208.15395999999998</c:v>
                </c:pt>
                <c:pt idx="466">
                  <c:v>350.15707999999995</c:v>
                </c:pt>
                <c:pt idx="467">
                  <c:v>2493.192</c:v>
                </c:pt>
                <c:pt idx="468">
                  <c:v>1421.0559999999998</c:v>
                </c:pt>
                <c:pt idx="469">
                  <c:v>1030.9000000000001</c:v>
                </c:pt>
                <c:pt idx="470">
                  <c:v>704.18399999999997</c:v>
                </c:pt>
                <c:pt idx="471">
                  <c:v>1421.0559999999998</c:v>
                </c:pt>
                <c:pt idx="472">
                  <c:v>1432.768</c:v>
                </c:pt>
                <c:pt idx="473">
                  <c:v>1727.5200000000002</c:v>
                </c:pt>
                <c:pt idx="474">
                  <c:v>490.1</c:v>
                </c:pt>
                <c:pt idx="475">
                  <c:v>366.084</c:v>
                </c:pt>
                <c:pt idx="476">
                  <c:v>256.2</c:v>
                </c:pt>
                <c:pt idx="477">
                  <c:v>2470.5</c:v>
                </c:pt>
                <c:pt idx="478">
                  <c:v>126.89952000000001</c:v>
                </c:pt>
                <c:pt idx="479">
                  <c:v>109.312</c:v>
                </c:pt>
                <c:pt idx="480">
                  <c:v>58.364799999999995</c:v>
                </c:pt>
                <c:pt idx="481">
                  <c:v>439.20000000000005</c:v>
                </c:pt>
                <c:pt idx="482">
                  <c:v>1485.5940000000001</c:v>
                </c:pt>
                <c:pt idx="483">
                  <c:v>125.538</c:v>
                </c:pt>
                <c:pt idx="484">
                  <c:v>609.39</c:v>
                </c:pt>
                <c:pt idx="486" formatCode="General">
                  <c:v>129.56400000000002</c:v>
                </c:pt>
                <c:pt idx="487">
                  <c:v>129.56400000000002</c:v>
                </c:pt>
                <c:pt idx="488">
                  <c:v>199.10400000000001</c:v>
                </c:pt>
                <c:pt idx="489">
                  <c:v>287.31</c:v>
                </c:pt>
                <c:pt idx="490">
                  <c:v>1603.0800000000002</c:v>
                </c:pt>
                <c:pt idx="491">
                  <c:v>186.66</c:v>
                </c:pt>
                <c:pt idx="492">
                  <c:v>491.66</c:v>
                </c:pt>
                <c:pt idx="493">
                  <c:v>399.48411999999996</c:v>
                </c:pt>
                <c:pt idx="494">
                  <c:v>108</c:v>
                </c:pt>
                <c:pt idx="495">
                  <c:v>230.11199999999999</c:v>
                </c:pt>
                <c:pt idx="496">
                  <c:v>242.10899999999998</c:v>
                </c:pt>
                <c:pt idx="497">
                  <c:v>378.68800000000005</c:v>
                </c:pt>
                <c:pt idx="498">
                  <c:v>234.76704000000001</c:v>
                </c:pt>
                <c:pt idx="499">
                  <c:v>227.16399999999996</c:v>
                </c:pt>
                <c:pt idx="500">
                  <c:v>236.81419999999997</c:v>
                </c:pt>
                <c:pt idx="501">
                  <c:v>329.4</c:v>
                </c:pt>
                <c:pt idx="502">
                  <c:v>179.584</c:v>
                </c:pt>
                <c:pt idx="503">
                  <c:v>35.136000000000003</c:v>
                </c:pt>
                <c:pt idx="504">
                  <c:v>46.613759999999999</c:v>
                </c:pt>
                <c:pt idx="505">
                  <c:v>244</c:v>
                </c:pt>
                <c:pt idx="506">
                  <c:v>395.06040000000002</c:v>
                </c:pt>
                <c:pt idx="507">
                  <c:v>438.95600000000002</c:v>
                </c:pt>
                <c:pt idx="508">
                  <c:v>194.95600000000002</c:v>
                </c:pt>
                <c:pt idx="509">
                  <c:v>183.488</c:v>
                </c:pt>
                <c:pt idx="510">
                  <c:v>646.6</c:v>
                </c:pt>
                <c:pt idx="511">
                  <c:v>487.94997999999998</c:v>
                </c:pt>
                <c:pt idx="512">
                  <c:v>242.048</c:v>
                </c:pt>
                <c:pt idx="513">
                  <c:v>97.600000000000009</c:v>
                </c:pt>
                <c:pt idx="514">
                  <c:v>1151.68</c:v>
                </c:pt>
                <c:pt idx="515">
                  <c:v>1151.68</c:v>
                </c:pt>
                <c:pt idx="516">
                  <c:v>268.261774</c:v>
                </c:pt>
                <c:pt idx="517">
                  <c:v>172.64830000000001</c:v>
                </c:pt>
                <c:pt idx="518">
                  <c:v>321.16499999999996</c:v>
                </c:pt>
                <c:pt idx="519">
                  <c:v>301.95</c:v>
                </c:pt>
                <c:pt idx="520">
                  <c:v>192.13291999999998</c:v>
                </c:pt>
                <c:pt idx="521">
                  <c:v>0</c:v>
                </c:pt>
                <c:pt idx="522">
                  <c:v>269.37599999999998</c:v>
                </c:pt>
                <c:pt idx="523" formatCode="General">
                  <c:v>3500</c:v>
                </c:pt>
                <c:pt idx="524">
                  <c:v>348.91999999999996</c:v>
                </c:pt>
                <c:pt idx="525">
                  <c:v>0</c:v>
                </c:pt>
                <c:pt idx="526">
                  <c:v>346.23599999999999</c:v>
                </c:pt>
                <c:pt idx="527">
                  <c:v>438.83400000000006</c:v>
                </c:pt>
                <c:pt idx="528">
                  <c:v>610.61000000000013</c:v>
                </c:pt>
                <c:pt idx="529">
                  <c:v>665.63200000000006</c:v>
                </c:pt>
                <c:pt idx="530">
                  <c:v>187.39200000000002</c:v>
                </c:pt>
                <c:pt idx="531">
                  <c:v>125.294</c:v>
                </c:pt>
                <c:pt idx="532">
                  <c:v>214.72</c:v>
                </c:pt>
                <c:pt idx="534">
                  <c:v>0</c:v>
                </c:pt>
                <c:pt idx="535">
                  <c:v>2114.931</c:v>
                </c:pt>
                <c:pt idx="536">
                  <c:v>456.76800000000003</c:v>
                </c:pt>
                <c:pt idx="537">
                  <c:v>222.78420000000003</c:v>
                </c:pt>
                <c:pt idx="538">
                  <c:v>406.81632000000002</c:v>
                </c:pt>
                <c:pt idx="539">
                  <c:v>1079.6060600000001</c:v>
                </c:pt>
                <c:pt idx="540">
                  <c:v>440.98425000000009</c:v>
                </c:pt>
                <c:pt idx="541">
                  <c:v>130.14959999999999</c:v>
                </c:pt>
                <c:pt idx="542">
                  <c:v>990.39600000000007</c:v>
                </c:pt>
                <c:pt idx="543">
                  <c:v>880.35200000000009</c:v>
                </c:pt>
                <c:pt idx="544">
                  <c:v>203.00800000000001</c:v>
                </c:pt>
                <c:pt idx="545">
                  <c:v>406.86999999999995</c:v>
                </c:pt>
                <c:pt idx="546">
                  <c:v>37.394219999999997</c:v>
                </c:pt>
                <c:pt idx="547">
                  <c:v>395.93880000000001</c:v>
                </c:pt>
                <c:pt idx="548">
                  <c:v>118.94999999999999</c:v>
                </c:pt>
                <c:pt idx="549">
                  <c:v>352</c:v>
                </c:pt>
                <c:pt idx="550">
                  <c:v>0</c:v>
                </c:pt>
                <c:pt idx="551">
                  <c:v>0</c:v>
                </c:pt>
                <c:pt idx="552">
                  <c:v>173.72800000000001</c:v>
                </c:pt>
                <c:pt idx="553">
                  <c:v>66.367999999999995</c:v>
                </c:pt>
                <c:pt idx="554">
                  <c:v>326.43</c:v>
                </c:pt>
                <c:pt idx="555">
                  <c:v>471.85696000000002</c:v>
                </c:pt>
                <c:pt idx="556">
                  <c:v>53.099279999999993</c:v>
                </c:pt>
                <c:pt idx="557">
                  <c:v>390.40000000000003</c:v>
                </c:pt>
                <c:pt idx="558">
                  <c:v>115.453</c:v>
                </c:pt>
                <c:pt idx="559">
                  <c:v>551.928</c:v>
                </c:pt>
                <c:pt idx="560">
                  <c:v>236.19200000000001</c:v>
                </c:pt>
                <c:pt idx="561">
                  <c:v>87.84</c:v>
                </c:pt>
                <c:pt idx="562">
                  <c:v>39.04</c:v>
                </c:pt>
                <c:pt idx="563">
                  <c:v>312.39319999999998</c:v>
                </c:pt>
                <c:pt idx="564">
                  <c:v>423.58400000000006</c:v>
                </c:pt>
                <c:pt idx="565">
                  <c:v>325.98400000000004</c:v>
                </c:pt>
                <c:pt idx="566">
                  <c:v>294</c:v>
                </c:pt>
                <c:pt idx="567">
                  <c:v>237.89999999999998</c:v>
                </c:pt>
                <c:pt idx="568">
                  <c:v>226.92000000000002</c:v>
                </c:pt>
                <c:pt idx="569">
                  <c:v>290.36</c:v>
                </c:pt>
                <c:pt idx="570">
                  <c:v>240.096</c:v>
                </c:pt>
                <c:pt idx="571">
                  <c:v>292.60480000000001</c:v>
                </c:pt>
                <c:pt idx="572">
                  <c:v>0</c:v>
                </c:pt>
                <c:pt idx="573">
                  <c:v>971.73</c:v>
                </c:pt>
                <c:pt idx="574">
                  <c:v>0</c:v>
                </c:pt>
                <c:pt idx="575">
                  <c:v>443.10400000000004</c:v>
                </c:pt>
                <c:pt idx="576">
                  <c:v>298.65600000000001</c:v>
                </c:pt>
                <c:pt idx="577">
                  <c:v>0</c:v>
                </c:pt>
                <c:pt idx="579">
                  <c:v>781.20992000000001</c:v>
                </c:pt>
                <c:pt idx="580">
                  <c:v>443.47488000000004</c:v>
                </c:pt>
                <c:pt idx="581">
                  <c:v>0</c:v>
                </c:pt>
                <c:pt idx="582">
                  <c:v>96.99</c:v>
                </c:pt>
                <c:pt idx="583">
                  <c:v>655.87200000000007</c:v>
                </c:pt>
                <c:pt idx="584">
                  <c:v>763.40000000000009</c:v>
                </c:pt>
                <c:pt idx="585">
                  <c:v>43.92</c:v>
                </c:pt>
                <c:pt idx="586">
                  <c:v>11.7</c:v>
                </c:pt>
                <c:pt idx="587">
                  <c:v>161.77199999999999</c:v>
                </c:pt>
                <c:pt idx="588">
                  <c:v>153.58336000000003</c:v>
                </c:pt>
                <c:pt idx="589">
                  <c:v>188.8</c:v>
                </c:pt>
                <c:pt idx="590">
                  <c:v>5043</c:v>
                </c:pt>
                <c:pt idx="591">
                  <c:v>252</c:v>
                </c:pt>
                <c:pt idx="592">
                  <c:v>1184</c:v>
                </c:pt>
                <c:pt idx="593">
                  <c:v>142.29347999999999</c:v>
                </c:pt>
                <c:pt idx="594">
                  <c:v>93.149999999999991</c:v>
                </c:pt>
                <c:pt idx="595">
                  <c:v>71.3</c:v>
                </c:pt>
                <c:pt idx="596">
                  <c:v>1193.92</c:v>
                </c:pt>
                <c:pt idx="597" formatCode="General">
                  <c:v>32</c:v>
                </c:pt>
                <c:pt idx="598">
                  <c:v>2706</c:v>
                </c:pt>
                <c:pt idx="599">
                  <c:v>179.4</c:v>
                </c:pt>
                <c:pt idx="600" formatCode="General">
                  <c:v>2412.8000000000002</c:v>
                </c:pt>
                <c:pt idx="601" formatCode="General">
                  <c:v>153.60000000000002</c:v>
                </c:pt>
                <c:pt idx="602">
                  <c:v>4300.8000000000011</c:v>
                </c:pt>
                <c:pt idx="603">
                  <c:v>250.43200000000002</c:v>
                </c:pt>
                <c:pt idx="604">
                  <c:v>73.199999999999989</c:v>
                </c:pt>
                <c:pt idx="605">
                  <c:v>132.73599999999999</c:v>
                </c:pt>
                <c:pt idx="606">
                  <c:v>142.49600000000001</c:v>
                </c:pt>
                <c:pt idx="607">
                  <c:v>188.85599999999999</c:v>
                </c:pt>
                <c:pt idx="608">
                  <c:v>136.15200000000002</c:v>
                </c:pt>
                <c:pt idx="609">
                  <c:v>150.304</c:v>
                </c:pt>
                <c:pt idx="610">
                  <c:v>165.67599999999999</c:v>
                </c:pt>
                <c:pt idx="611">
                  <c:v>134.68799999999999</c:v>
                </c:pt>
                <c:pt idx="612">
                  <c:v>149.328</c:v>
                </c:pt>
                <c:pt idx="613">
                  <c:v>185.44</c:v>
                </c:pt>
                <c:pt idx="614">
                  <c:v>1038.7079999999999</c:v>
                </c:pt>
                <c:pt idx="615">
                  <c:v>216.672</c:v>
                </c:pt>
                <c:pt idx="616">
                  <c:v>117.12</c:v>
                </c:pt>
                <c:pt idx="617">
                  <c:v>281.08800000000002</c:v>
                </c:pt>
                <c:pt idx="618">
                  <c:v>329.40000000000003</c:v>
                </c:pt>
                <c:pt idx="619">
                  <c:v>1493.28</c:v>
                </c:pt>
                <c:pt idx="620">
                  <c:v>609.75599999999997</c:v>
                </c:pt>
                <c:pt idx="621">
                  <c:v>458.06364000000002</c:v>
                </c:pt>
                <c:pt idx="622">
                  <c:v>397.37839999999994</c:v>
                </c:pt>
                <c:pt idx="623">
                  <c:v>479.09399999999999</c:v>
                </c:pt>
                <c:pt idx="624">
                  <c:v>989.48465999999996</c:v>
                </c:pt>
                <c:pt idx="625">
                  <c:v>815.93600000000004</c:v>
                </c:pt>
                <c:pt idx="626">
                  <c:v>647.08799999999997</c:v>
                </c:pt>
                <c:pt idx="627">
                  <c:v>687.53099999999995</c:v>
                </c:pt>
                <c:pt idx="628">
                  <c:v>787.62223999999992</c:v>
                </c:pt>
                <c:pt idx="629">
                  <c:v>728.96951999999999</c:v>
                </c:pt>
                <c:pt idx="630">
                  <c:v>636.80095999999992</c:v>
                </c:pt>
                <c:pt idx="631">
                  <c:v>1493.28</c:v>
                </c:pt>
                <c:pt idx="632">
                  <c:v>702.19295999999997</c:v>
                </c:pt>
                <c:pt idx="633">
                  <c:v>311.53919999999999</c:v>
                </c:pt>
                <c:pt idx="634">
                  <c:v>1657.37</c:v>
                </c:pt>
                <c:pt idx="635">
                  <c:v>134.68799999999999</c:v>
                </c:pt>
                <c:pt idx="636">
                  <c:v>95.647999999999982</c:v>
                </c:pt>
                <c:pt idx="637">
                  <c:v>48.311999999999998</c:v>
                </c:pt>
                <c:pt idx="638">
                  <c:v>87.620400000000004</c:v>
                </c:pt>
                <c:pt idx="639">
                  <c:v>22.155200000000001</c:v>
                </c:pt>
                <c:pt idx="640">
                  <c:v>58.56</c:v>
                </c:pt>
                <c:pt idx="641" formatCode="General">
                  <c:v>179.8</c:v>
                </c:pt>
                <c:pt idx="642">
                  <c:v>307.22039999999998</c:v>
                </c:pt>
                <c:pt idx="643">
                  <c:v>65.660399999999996</c:v>
                </c:pt>
                <c:pt idx="644">
                  <c:v>219.38040000000001</c:v>
                </c:pt>
                <c:pt idx="645">
                  <c:v>83.936000000000007</c:v>
                </c:pt>
                <c:pt idx="646" formatCode="General">
                  <c:v>415.04399999999998</c:v>
                </c:pt>
                <c:pt idx="647">
                  <c:v>243.756</c:v>
                </c:pt>
                <c:pt idx="648" formatCode="General">
                  <c:v>151.524</c:v>
                </c:pt>
                <c:pt idx="649" formatCode="General">
                  <c:v>217.404</c:v>
                </c:pt>
                <c:pt idx="650">
                  <c:v>173.48400000000001</c:v>
                </c:pt>
                <c:pt idx="651">
                  <c:v>370.88</c:v>
                </c:pt>
                <c:pt idx="652">
                  <c:v>292.55599999999998</c:v>
                </c:pt>
                <c:pt idx="653">
                  <c:v>463.35599999999999</c:v>
                </c:pt>
                <c:pt idx="654">
                  <c:v>194.95600000000002</c:v>
                </c:pt>
                <c:pt idx="655">
                  <c:v>183</c:v>
                </c:pt>
                <c:pt idx="656">
                  <c:v>300.12</c:v>
                </c:pt>
                <c:pt idx="657">
                  <c:v>570.96</c:v>
                </c:pt>
                <c:pt idx="658">
                  <c:v>351.36</c:v>
                </c:pt>
                <c:pt idx="659">
                  <c:v>35.136000000000003</c:v>
                </c:pt>
                <c:pt idx="660">
                  <c:v>296.45999999999998</c:v>
                </c:pt>
                <c:pt idx="661">
                  <c:v>263.52000000000004</c:v>
                </c:pt>
                <c:pt idx="662">
                  <c:v>296.45999999999998</c:v>
                </c:pt>
                <c:pt idx="663">
                  <c:v>546.80399999999997</c:v>
                </c:pt>
                <c:pt idx="664">
                  <c:v>349.16399999999999</c:v>
                </c:pt>
                <c:pt idx="665">
                  <c:v>241.55999999999997</c:v>
                </c:pt>
                <c:pt idx="666">
                  <c:v>32.720400000000005</c:v>
                </c:pt>
                <c:pt idx="667">
                  <c:v>10.98</c:v>
                </c:pt>
                <c:pt idx="668">
                  <c:v>11.956000000000001</c:v>
                </c:pt>
                <c:pt idx="670">
                  <c:v>839.16480000000001</c:v>
                </c:pt>
                <c:pt idx="671">
                  <c:v>351.16480000000001</c:v>
                </c:pt>
                <c:pt idx="672">
                  <c:v>463.79519999999997</c:v>
                </c:pt>
                <c:pt idx="673">
                  <c:v>2069.6</c:v>
                </c:pt>
                <c:pt idx="674">
                  <c:v>402.84399999999999</c:v>
                </c:pt>
                <c:pt idx="675">
                  <c:v>2795</c:v>
                </c:pt>
                <c:pt idx="676">
                  <c:v>322.5</c:v>
                </c:pt>
                <c:pt idx="677">
                  <c:v>289.14</c:v>
                </c:pt>
                <c:pt idx="678">
                  <c:v>56.12</c:v>
                </c:pt>
                <c:pt idx="679">
                  <c:v>2599.7870600000001</c:v>
                </c:pt>
                <c:pt idx="680">
                  <c:v>489.99999999999994</c:v>
                </c:pt>
                <c:pt idx="681">
                  <c:v>2291.77</c:v>
                </c:pt>
                <c:pt idx="682">
                  <c:v>169.82400000000001</c:v>
                </c:pt>
                <c:pt idx="683">
                  <c:v>3547.00848</c:v>
                </c:pt>
                <c:pt idx="684">
                  <c:v>82.769679999999994</c:v>
                </c:pt>
                <c:pt idx="685">
                  <c:v>1321.1379999999999</c:v>
                </c:pt>
                <c:pt idx="686">
                  <c:v>120</c:v>
                </c:pt>
                <c:pt idx="687">
                  <c:v>83.951999999999998</c:v>
                </c:pt>
                <c:pt idx="688">
                  <c:v>106.14</c:v>
                </c:pt>
                <c:pt idx="689">
                  <c:v>158.11199999999999</c:v>
                </c:pt>
                <c:pt idx="690">
                  <c:v>116.4795</c:v>
                </c:pt>
                <c:pt idx="691">
                  <c:v>3108.56</c:v>
                </c:pt>
                <c:pt idx="692">
                  <c:v>3634.2238400000001</c:v>
                </c:pt>
                <c:pt idx="693">
                  <c:v>164.99279999999999</c:v>
                </c:pt>
                <c:pt idx="694">
                  <c:v>190.39808000000002</c:v>
                </c:pt>
                <c:pt idx="695">
                  <c:v>268.78796</c:v>
                </c:pt>
                <c:pt idx="696">
                  <c:v>1782.19552</c:v>
                </c:pt>
                <c:pt idx="697">
                  <c:v>881.99411999999984</c:v>
                </c:pt>
                <c:pt idx="698">
                  <c:v>158.19496000000001</c:v>
                </c:pt>
                <c:pt idx="699">
                  <c:v>164.53163999999998</c:v>
                </c:pt>
                <c:pt idx="700">
                  <c:v>2291.8968799999998</c:v>
                </c:pt>
                <c:pt idx="701">
                  <c:v>2939.6668600000003</c:v>
                </c:pt>
                <c:pt idx="702">
                  <c:v>113.0574</c:v>
                </c:pt>
                <c:pt idx="703">
                  <c:v>145.58991999999998</c:v>
                </c:pt>
                <c:pt idx="704">
                  <c:v>910.00531999999987</c:v>
                </c:pt>
                <c:pt idx="705">
                  <c:v>74.293120000000002</c:v>
                </c:pt>
                <c:pt idx="706">
                  <c:v>0</c:v>
                </c:pt>
                <c:pt idx="707">
                  <c:v>6106.0999999999995</c:v>
                </c:pt>
                <c:pt idx="708">
                  <c:v>153.72</c:v>
                </c:pt>
                <c:pt idx="709">
                  <c:v>4470.6899999999996</c:v>
                </c:pt>
                <c:pt idx="710">
                  <c:v>159.21</c:v>
                </c:pt>
                <c:pt idx="711">
                  <c:v>3336.7762499999999</c:v>
                </c:pt>
                <c:pt idx="712">
                  <c:v>149.084</c:v>
                </c:pt>
                <c:pt idx="713">
                  <c:v>811.5</c:v>
                </c:pt>
                <c:pt idx="714">
                  <c:v>1843.5</c:v>
                </c:pt>
                <c:pt idx="715">
                  <c:v>3069.1296000000002</c:v>
                </c:pt>
                <c:pt idx="716">
                  <c:v>153.44672</c:v>
                </c:pt>
                <c:pt idx="717">
                  <c:v>64.259839999999997</c:v>
                </c:pt>
                <c:pt idx="718">
                  <c:v>143.00352000000001</c:v>
                </c:pt>
                <c:pt idx="719">
                  <c:v>159.98591999999999</c:v>
                </c:pt>
                <c:pt idx="720">
                  <c:v>2599.7870600000001</c:v>
                </c:pt>
                <c:pt idx="721">
                  <c:v>2323.90236</c:v>
                </c:pt>
                <c:pt idx="722">
                  <c:v>695.8</c:v>
                </c:pt>
                <c:pt idx="723">
                  <c:v>481.79263999999995</c:v>
                </c:pt>
                <c:pt idx="724">
                  <c:v>3250</c:v>
                </c:pt>
                <c:pt idx="725">
                  <c:v>180</c:v>
                </c:pt>
                <c:pt idx="726">
                  <c:v>2100</c:v>
                </c:pt>
                <c:pt idx="727">
                  <c:v>126</c:v>
                </c:pt>
                <c:pt idx="728">
                  <c:v>0</c:v>
                </c:pt>
                <c:pt idx="729">
                  <c:v>0</c:v>
                </c:pt>
                <c:pt idx="730">
                  <c:v>4224</c:v>
                </c:pt>
                <c:pt idx="731">
                  <c:v>211.20000000000002</c:v>
                </c:pt>
                <c:pt idx="732">
                  <c:v>70</c:v>
                </c:pt>
                <c:pt idx="733">
                  <c:v>417.72800000000001</c:v>
                </c:pt>
                <c:pt idx="734">
                  <c:v>460.37309999999997</c:v>
                </c:pt>
                <c:pt idx="735">
                  <c:v>1076.04</c:v>
                </c:pt>
                <c:pt idx="736">
                  <c:v>170.79999999999998</c:v>
                </c:pt>
                <c:pt idx="737">
                  <c:v>109.43399999999998</c:v>
                </c:pt>
                <c:pt idx="738">
                  <c:v>194.95600000000002</c:v>
                </c:pt>
                <c:pt idx="739">
                  <c:v>199.46999999999997</c:v>
                </c:pt>
                <c:pt idx="740">
                  <c:v>193.24800000000002</c:v>
                </c:pt>
                <c:pt idx="741">
                  <c:v>270.84000000000003</c:v>
                </c:pt>
                <c:pt idx="742">
                  <c:v>64.415999999999997</c:v>
                </c:pt>
                <c:pt idx="743" formatCode="General">
                  <c:v>175.68</c:v>
                </c:pt>
                <c:pt idx="744">
                  <c:v>219.38040000000001</c:v>
                </c:pt>
                <c:pt idx="747">
                  <c:v>559.7725999999999</c:v>
                </c:pt>
                <c:pt idx="748">
                  <c:v>559.7725999999999</c:v>
                </c:pt>
                <c:pt idx="749">
                  <c:v>387.96</c:v>
                </c:pt>
                <c:pt idx="750">
                  <c:v>290.36</c:v>
                </c:pt>
                <c:pt idx="751">
                  <c:v>105</c:v>
                </c:pt>
                <c:pt idx="752">
                  <c:v>0</c:v>
                </c:pt>
                <c:pt idx="753">
                  <c:v>0</c:v>
                </c:pt>
                <c:pt idx="754">
                  <c:v>214.2</c:v>
                </c:pt>
                <c:pt idx="755">
                  <c:v>366.84800000000001</c:v>
                </c:pt>
                <c:pt idx="756">
                  <c:v>257.35500000000002</c:v>
                </c:pt>
                <c:pt idx="757">
                  <c:v>3431.3999999999996</c:v>
                </c:pt>
                <c:pt idx="758">
                  <c:v>197.42040000000003</c:v>
                </c:pt>
                <c:pt idx="759">
                  <c:v>194.95600000000002</c:v>
                </c:pt>
                <c:pt idx="760">
                  <c:v>42.699999999999996</c:v>
                </c:pt>
                <c:pt idx="761">
                  <c:v>0</c:v>
                </c:pt>
                <c:pt idx="762">
                  <c:v>0</c:v>
                </c:pt>
                <c:pt idx="763">
                  <c:v>45.75</c:v>
                </c:pt>
                <c:pt idx="764">
                  <c:v>115.65599999999999</c:v>
                </c:pt>
                <c:pt idx="765">
                  <c:v>147.84</c:v>
                </c:pt>
                <c:pt idx="766">
                  <c:v>162</c:v>
                </c:pt>
                <c:pt idx="767">
                  <c:v>213.48599999999999</c:v>
                </c:pt>
                <c:pt idx="768">
                  <c:v>163.46399999999997</c:v>
                </c:pt>
                <c:pt idx="769">
                  <c:v>97.65</c:v>
                </c:pt>
                <c:pt idx="770">
                  <c:v>247.20000000000002</c:v>
                </c:pt>
                <c:pt idx="771">
                  <c:v>215.47152</c:v>
                </c:pt>
                <c:pt idx="772">
                  <c:v>277.42499999999995</c:v>
                </c:pt>
                <c:pt idx="773">
                  <c:v>102.14400000000001</c:v>
                </c:pt>
                <c:pt idx="774">
                  <c:v>167.30714</c:v>
                </c:pt>
                <c:pt idx="775">
                  <c:v>85.644000000000005</c:v>
                </c:pt>
                <c:pt idx="776">
                  <c:v>209.52035999999998</c:v>
                </c:pt>
                <c:pt idx="777">
                  <c:v>52.157440000000001</c:v>
                </c:pt>
                <c:pt idx="778">
                  <c:v>57.425399999999996</c:v>
                </c:pt>
                <c:pt idx="779">
                  <c:v>3123.2000000000003</c:v>
                </c:pt>
                <c:pt idx="780">
                  <c:v>130</c:v>
                </c:pt>
                <c:pt idx="781">
                  <c:v>68.319999999999993</c:v>
                </c:pt>
                <c:pt idx="782">
                  <c:v>166.4</c:v>
                </c:pt>
                <c:pt idx="783">
                  <c:v>305</c:v>
                </c:pt>
                <c:pt idx="784">
                  <c:v>179.34</c:v>
                </c:pt>
                <c:pt idx="785">
                  <c:v>384.29999999999995</c:v>
                </c:pt>
                <c:pt idx="786">
                  <c:v>157.47200000000001</c:v>
                </c:pt>
                <c:pt idx="787">
                  <c:v>153.58336000000003</c:v>
                </c:pt>
                <c:pt idx="788">
                  <c:v>99.552000000000007</c:v>
                </c:pt>
                <c:pt idx="789">
                  <c:v>1364.4480000000001</c:v>
                </c:pt>
                <c:pt idx="790">
                  <c:v>1598.6880000000001</c:v>
                </c:pt>
                <c:pt idx="791">
                  <c:v>1520.6080000000002</c:v>
                </c:pt>
                <c:pt idx="792">
                  <c:v>277.55</c:v>
                </c:pt>
                <c:pt idx="793">
                  <c:v>244.488</c:v>
                </c:pt>
                <c:pt idx="794">
                  <c:v>15.284159999999998</c:v>
                </c:pt>
                <c:pt idx="796">
                  <c:v>1641.5099999999998</c:v>
                </c:pt>
                <c:pt idx="797">
                  <c:v>298.89999999999998</c:v>
                </c:pt>
                <c:pt idx="798">
                  <c:v>152.22549999999998</c:v>
                </c:pt>
                <c:pt idx="799">
                  <c:v>237.16799999999998</c:v>
                </c:pt>
                <c:pt idx="800">
                  <c:v>181.06752</c:v>
                </c:pt>
                <c:pt idx="801">
                  <c:v>126</c:v>
                </c:pt>
                <c:pt idx="802">
                  <c:v>465</c:v>
                </c:pt>
                <c:pt idx="803">
                  <c:v>840</c:v>
                </c:pt>
                <c:pt idx="804">
                  <c:v>5180</c:v>
                </c:pt>
                <c:pt idx="805">
                  <c:v>452.62</c:v>
                </c:pt>
                <c:pt idx="806">
                  <c:v>166.53</c:v>
                </c:pt>
                <c:pt idx="807">
                  <c:v>252.53999999999996</c:v>
                </c:pt>
                <c:pt idx="808">
                  <c:v>340.38</c:v>
                </c:pt>
                <c:pt idx="809">
                  <c:v>483.11999999999995</c:v>
                </c:pt>
                <c:pt idx="810">
                  <c:v>488</c:v>
                </c:pt>
                <c:pt idx="811">
                  <c:v>218.86311999999995</c:v>
                </c:pt>
                <c:pt idx="812">
                  <c:v>1131.0034399999997</c:v>
                </c:pt>
                <c:pt idx="813">
                  <c:v>309.02600000000001</c:v>
                </c:pt>
                <c:pt idx="814">
                  <c:v>144.44800000000001</c:v>
                </c:pt>
                <c:pt idx="815">
                  <c:v>259.61599999999999</c:v>
                </c:pt>
                <c:pt idx="816">
                  <c:v>320.12799999999999</c:v>
                </c:pt>
                <c:pt idx="817">
                  <c:v>378.68800000000005</c:v>
                </c:pt>
                <c:pt idx="818">
                  <c:v>893.89399999999989</c:v>
                </c:pt>
                <c:pt idx="819">
                  <c:v>251.24435999999997</c:v>
                </c:pt>
                <c:pt idx="820">
                  <c:v>105.06883999999998</c:v>
                </c:pt>
                <c:pt idx="821">
                  <c:v>124.44</c:v>
                </c:pt>
                <c:pt idx="822">
                  <c:v>234.36199999999997</c:v>
                </c:pt>
                <c:pt idx="823">
                  <c:v>146.4</c:v>
                </c:pt>
                <c:pt idx="824">
                  <c:v>165.92000000000002</c:v>
                </c:pt>
                <c:pt idx="825">
                  <c:v>185.44</c:v>
                </c:pt>
                <c:pt idx="826">
                  <c:v>234.24</c:v>
                </c:pt>
                <c:pt idx="827">
                  <c:v>512.4</c:v>
                </c:pt>
                <c:pt idx="828" formatCode="General">
                  <c:v>2823.3239999999996</c:v>
                </c:pt>
                <c:pt idx="829">
                  <c:v>206.42399999999998</c:v>
                </c:pt>
                <c:pt idx="830">
                  <c:v>362.95</c:v>
                </c:pt>
                <c:pt idx="831" formatCode="General">
                  <c:v>359.16800000000001</c:v>
                </c:pt>
                <c:pt idx="832">
                  <c:v>2732.7999999999997</c:v>
                </c:pt>
                <c:pt idx="833">
                  <c:v>286.94400000000002</c:v>
                </c:pt>
                <c:pt idx="834">
                  <c:v>425.536</c:v>
                </c:pt>
                <c:pt idx="835">
                  <c:v>640.25599999999997</c:v>
                </c:pt>
                <c:pt idx="836" formatCode="General">
                  <c:v>1307.8400000000001</c:v>
                </c:pt>
                <c:pt idx="837" formatCode="General">
                  <c:v>624.64</c:v>
                </c:pt>
                <c:pt idx="838">
                  <c:v>181.536</c:v>
                </c:pt>
                <c:pt idx="839">
                  <c:v>311.09999999999997</c:v>
                </c:pt>
                <c:pt idx="840">
                  <c:v>155.428</c:v>
                </c:pt>
                <c:pt idx="841">
                  <c:v>240.096</c:v>
                </c:pt>
                <c:pt idx="842">
                  <c:v>1294.0588800000003</c:v>
                </c:pt>
                <c:pt idx="843" formatCode="General">
                  <c:v>3193.4719999999998</c:v>
                </c:pt>
                <c:pt idx="844">
                  <c:v>4790.2080000000005</c:v>
                </c:pt>
                <c:pt idx="845">
                  <c:v>2155.0079999999998</c:v>
                </c:pt>
                <c:pt idx="846">
                  <c:v>2099.0051199999998</c:v>
                </c:pt>
                <c:pt idx="847">
                  <c:v>816.77536000000009</c:v>
                </c:pt>
                <c:pt idx="848">
                  <c:v>1428.8054400000001</c:v>
                </c:pt>
                <c:pt idx="849">
                  <c:v>459.94000000000005</c:v>
                </c:pt>
                <c:pt idx="850" formatCode="General">
                  <c:v>995.52</c:v>
                </c:pt>
                <c:pt idx="851">
                  <c:v>3013.4</c:v>
                </c:pt>
                <c:pt idx="852">
                  <c:v>2061.8000000000002</c:v>
                </c:pt>
                <c:pt idx="853">
                  <c:v>839.36000000000013</c:v>
                </c:pt>
                <c:pt idx="854">
                  <c:v>3463.4921599999998</c:v>
                </c:pt>
                <c:pt idx="855">
                  <c:v>3463.4921599999998</c:v>
                </c:pt>
                <c:pt idx="856">
                  <c:v>5102.6804999999995</c:v>
                </c:pt>
                <c:pt idx="857">
                  <c:v>835.57312000000002</c:v>
                </c:pt>
                <c:pt idx="858">
                  <c:v>780.80000000000007</c:v>
                </c:pt>
                <c:pt idx="859">
                  <c:v>2128.1167599999999</c:v>
                </c:pt>
                <c:pt idx="860">
                  <c:v>839.36000000000013</c:v>
                </c:pt>
                <c:pt idx="861">
                  <c:v>839.36000000000013</c:v>
                </c:pt>
                <c:pt idx="862">
                  <c:v>2696.2000000000003</c:v>
                </c:pt>
                <c:pt idx="863">
                  <c:v>326.24019999999996</c:v>
                </c:pt>
                <c:pt idx="864">
                  <c:v>315.62497999999994</c:v>
                </c:pt>
                <c:pt idx="865">
                  <c:v>350.262</c:v>
                </c:pt>
                <c:pt idx="866">
                  <c:v>403.2</c:v>
                </c:pt>
                <c:pt idx="867">
                  <c:v>268.42439999999999</c:v>
                </c:pt>
                <c:pt idx="868">
                  <c:v>237.41199999999995</c:v>
                </c:pt>
                <c:pt idx="869">
                  <c:v>901.90939999999978</c:v>
                </c:pt>
                <c:pt idx="870">
                  <c:v>210.511</c:v>
                </c:pt>
                <c:pt idx="871">
                  <c:v>235.19159999999999</c:v>
                </c:pt>
                <c:pt idx="872">
                  <c:v>206.97300000000001</c:v>
                </c:pt>
                <c:pt idx="873">
                  <c:v>3011.4479999999999</c:v>
                </c:pt>
                <c:pt idx="874">
                  <c:v>4106.5199999999995</c:v>
                </c:pt>
                <c:pt idx="875">
                  <c:v>3422.1</c:v>
                </c:pt>
                <c:pt idx="876">
                  <c:v>226.65159999999995</c:v>
                </c:pt>
                <c:pt idx="877">
                  <c:v>240.828</c:v>
                </c:pt>
                <c:pt idx="878">
                  <c:v>148.596</c:v>
                </c:pt>
                <c:pt idx="879">
                  <c:v>258.97183999999999</c:v>
                </c:pt>
                <c:pt idx="880">
                  <c:v>173.85</c:v>
                </c:pt>
                <c:pt idx="881">
                  <c:v>203.25200000000001</c:v>
                </c:pt>
                <c:pt idx="882">
                  <c:v>626.5627199999999</c:v>
                </c:pt>
                <c:pt idx="883">
                  <c:v>671.31719999999996</c:v>
                </c:pt>
                <c:pt idx="884">
                  <c:v>222.52799999999999</c:v>
                </c:pt>
                <c:pt idx="885">
                  <c:v>443.10400000000004</c:v>
                </c:pt>
                <c:pt idx="886">
                  <c:v>220.33199999999999</c:v>
                </c:pt>
                <c:pt idx="887">
                  <c:v>174.21599999999998</c:v>
                </c:pt>
                <c:pt idx="888">
                  <c:v>161.04</c:v>
                </c:pt>
                <c:pt idx="889">
                  <c:v>273.27999999999997</c:v>
                </c:pt>
                <c:pt idx="890">
                  <c:v>129.56400000000002</c:v>
                </c:pt>
                <c:pt idx="891">
                  <c:v>158.11199999999999</c:v>
                </c:pt>
                <c:pt idx="892">
                  <c:v>113.21600000000001</c:v>
                </c:pt>
                <c:pt idx="893">
                  <c:v>164.7</c:v>
                </c:pt>
                <c:pt idx="894">
                  <c:v>231.56819999999999</c:v>
                </c:pt>
                <c:pt idx="895">
                  <c:v>272.30400000000003</c:v>
                </c:pt>
                <c:pt idx="896">
                  <c:v>117.12</c:v>
                </c:pt>
                <c:pt idx="897">
                  <c:v>189.34400000000002</c:v>
                </c:pt>
                <c:pt idx="898">
                  <c:v>85.399999999999991</c:v>
                </c:pt>
                <c:pt idx="899">
                  <c:v>89.792000000000002</c:v>
                </c:pt>
                <c:pt idx="900">
                  <c:v>183.488</c:v>
                </c:pt>
                <c:pt idx="901">
                  <c:v>130.78399999999999</c:v>
                </c:pt>
                <c:pt idx="902">
                  <c:v>118.00572</c:v>
                </c:pt>
                <c:pt idx="903">
                  <c:v>169.09199999999998</c:v>
                </c:pt>
                <c:pt idx="904">
                  <c:v>117.12</c:v>
                </c:pt>
                <c:pt idx="905">
                  <c:v>304.87799999999993</c:v>
                </c:pt>
                <c:pt idx="906">
                  <c:v>474.8239999999999</c:v>
                </c:pt>
                <c:pt idx="907">
                  <c:v>307.44</c:v>
                </c:pt>
                <c:pt idx="908">
                  <c:v>170.79999999999998</c:v>
                </c:pt>
                <c:pt idx="909">
                  <c:v>37.332000000000001</c:v>
                </c:pt>
                <c:pt idx="910" formatCode="General">
                  <c:v>2043.37312</c:v>
                </c:pt>
                <c:pt idx="911" formatCode="General">
                  <c:v>165.38319999999999</c:v>
                </c:pt>
                <c:pt idx="912">
                  <c:v>40.26</c:v>
                </c:pt>
                <c:pt idx="913">
                  <c:v>960.38400000000001</c:v>
                </c:pt>
                <c:pt idx="914">
                  <c:v>1211.1184000000001</c:v>
                </c:pt>
                <c:pt idx="915">
                  <c:v>1120.4480000000001</c:v>
                </c:pt>
                <c:pt idx="916">
                  <c:v>774.94399999999996</c:v>
                </c:pt>
                <c:pt idx="917">
                  <c:v>890.11199999999997</c:v>
                </c:pt>
                <c:pt idx="918">
                  <c:v>174.45999999999998</c:v>
                </c:pt>
                <c:pt idx="919">
                  <c:v>185.44</c:v>
                </c:pt>
                <c:pt idx="920">
                  <c:v>65.660399999999996</c:v>
                </c:pt>
                <c:pt idx="921">
                  <c:v>3046.9500000000003</c:v>
                </c:pt>
                <c:pt idx="922">
                  <c:v>97.111999999999995</c:v>
                </c:pt>
                <c:pt idx="923">
                  <c:v>109.5804</c:v>
                </c:pt>
                <c:pt idx="924" formatCode="General">
                  <c:v>170.55600000000001</c:v>
                </c:pt>
                <c:pt idx="925">
                  <c:v>0</c:v>
                </c:pt>
                <c:pt idx="926">
                  <c:v>80.031999999999996</c:v>
                </c:pt>
                <c:pt idx="927">
                  <c:v>220.33199999999999</c:v>
                </c:pt>
                <c:pt idx="928">
                  <c:v>491.904</c:v>
                </c:pt>
                <c:pt idx="929">
                  <c:v>1117.0319999999999</c:v>
                </c:pt>
                <c:pt idx="930">
                  <c:v>1909.5439999999999</c:v>
                </c:pt>
                <c:pt idx="931">
                  <c:v>48.800000000000004</c:v>
                </c:pt>
                <c:pt idx="932">
                  <c:v>78.08</c:v>
                </c:pt>
                <c:pt idx="933">
                  <c:v>83.936000000000007</c:v>
                </c:pt>
                <c:pt idx="934">
                  <c:v>214.72</c:v>
                </c:pt>
                <c:pt idx="935">
                  <c:v>105.896</c:v>
                </c:pt>
                <c:pt idx="936">
                  <c:v>179.584</c:v>
                </c:pt>
                <c:pt idx="937">
                  <c:v>337.69600000000003</c:v>
                </c:pt>
                <c:pt idx="938">
                  <c:v>107.36</c:v>
                </c:pt>
                <c:pt idx="939">
                  <c:v>460.67200000000003</c:v>
                </c:pt>
                <c:pt idx="940">
                  <c:v>286.94400000000002</c:v>
                </c:pt>
                <c:pt idx="941">
                  <c:v>744.68799999999987</c:v>
                </c:pt>
                <c:pt idx="942">
                  <c:v>467.9919999999999</c:v>
                </c:pt>
                <c:pt idx="943">
                  <c:v>280.11199999999997</c:v>
                </c:pt>
                <c:pt idx="944">
                  <c:v>111.264</c:v>
                </c:pt>
                <c:pt idx="945">
                  <c:v>122.976</c:v>
                </c:pt>
                <c:pt idx="946">
                  <c:v>154.208</c:v>
                </c:pt>
                <c:pt idx="947">
                  <c:v>193.24800000000002</c:v>
                </c:pt>
                <c:pt idx="948">
                  <c:v>267.42399999999998</c:v>
                </c:pt>
                <c:pt idx="949">
                  <c:v>327.93600000000004</c:v>
                </c:pt>
                <c:pt idx="950">
                  <c:v>527.04</c:v>
                </c:pt>
                <c:pt idx="951">
                  <c:v>827.64800000000002</c:v>
                </c:pt>
                <c:pt idx="952">
                  <c:v>1124.3520000000001</c:v>
                </c:pt>
                <c:pt idx="953">
                  <c:v>66.367999999999995</c:v>
                </c:pt>
                <c:pt idx="954">
                  <c:v>105.408</c:v>
                </c:pt>
                <c:pt idx="955">
                  <c:v>236.43599999999998</c:v>
                </c:pt>
                <c:pt idx="956">
                  <c:v>379.5</c:v>
                </c:pt>
                <c:pt idx="957">
                  <c:v>706.5</c:v>
                </c:pt>
                <c:pt idx="958">
                  <c:v>1185</c:v>
                </c:pt>
                <c:pt idx="959">
                  <c:v>859.09349999999995</c:v>
                </c:pt>
                <c:pt idx="960">
                  <c:v>949.6479999999998</c:v>
                </c:pt>
                <c:pt idx="961">
                  <c:v>2701.08</c:v>
                </c:pt>
                <c:pt idx="962">
                  <c:v>770.79599999999994</c:v>
                </c:pt>
                <c:pt idx="963">
                  <c:v>155.428</c:v>
                </c:pt>
                <c:pt idx="964">
                  <c:v>203.00800000000001</c:v>
                </c:pt>
                <c:pt idx="965">
                  <c:v>301.33999999999997</c:v>
                </c:pt>
                <c:pt idx="966">
                  <c:v>116.14399999999998</c:v>
                </c:pt>
                <c:pt idx="967">
                  <c:v>355.26399999999995</c:v>
                </c:pt>
                <c:pt idx="968">
                  <c:v>122.976</c:v>
                </c:pt>
                <c:pt idx="969">
                  <c:v>193.24800000000002</c:v>
                </c:pt>
                <c:pt idx="970">
                  <c:v>0</c:v>
                </c:pt>
                <c:pt idx="971">
                  <c:v>2313.1200000000003</c:v>
                </c:pt>
                <c:pt idx="972">
                  <c:v>3531.1680000000001</c:v>
                </c:pt>
                <c:pt idx="973">
                  <c:v>5533.92</c:v>
                </c:pt>
                <c:pt idx="974">
                  <c:v>384</c:v>
                </c:pt>
                <c:pt idx="975">
                  <c:v>499.71199999999999</c:v>
                </c:pt>
                <c:pt idx="976">
                  <c:v>575.84</c:v>
                </c:pt>
                <c:pt idx="977">
                  <c:v>225</c:v>
                </c:pt>
                <c:pt idx="978">
                  <c:v>1522.5</c:v>
                </c:pt>
                <c:pt idx="979">
                  <c:v>4489.6000000000004</c:v>
                </c:pt>
                <c:pt idx="980">
                  <c:v>851.68200000000002</c:v>
                </c:pt>
                <c:pt idx="981">
                  <c:v>1422.6420000000001</c:v>
                </c:pt>
                <c:pt idx="982">
                  <c:v>1170.4680000000001</c:v>
                </c:pt>
                <c:pt idx="983">
                  <c:v>187.87999999999997</c:v>
                </c:pt>
                <c:pt idx="984">
                  <c:v>16.271999999999998</c:v>
                </c:pt>
                <c:pt idx="985">
                  <c:v>8</c:v>
                </c:pt>
                <c:pt idx="986">
                  <c:v>1628</c:v>
                </c:pt>
                <c:pt idx="987">
                  <c:v>998.40000000000009</c:v>
                </c:pt>
                <c:pt idx="988">
                  <c:v>5</c:v>
                </c:pt>
                <c:pt idx="989">
                  <c:v>6</c:v>
                </c:pt>
                <c:pt idx="990">
                  <c:v>1012</c:v>
                </c:pt>
                <c:pt idx="991">
                  <c:v>1038</c:v>
                </c:pt>
                <c:pt idx="992">
                  <c:v>114.2774</c:v>
                </c:pt>
                <c:pt idx="993">
                  <c:v>173.48400000000001</c:v>
                </c:pt>
                <c:pt idx="994">
                  <c:v>118.78834999999999</c:v>
                </c:pt>
                <c:pt idx="995">
                  <c:v>157.90093999999999</c:v>
                </c:pt>
                <c:pt idx="996">
                  <c:v>166.89600000000002</c:v>
                </c:pt>
                <c:pt idx="997">
                  <c:v>101.504</c:v>
                </c:pt>
                <c:pt idx="998">
                  <c:v>155.54999999999998</c:v>
                </c:pt>
                <c:pt idx="999">
                  <c:v>269.62</c:v>
                </c:pt>
                <c:pt idx="1000">
                  <c:v>134.81</c:v>
                </c:pt>
                <c:pt idx="1001">
                  <c:v>269.62</c:v>
                </c:pt>
                <c:pt idx="1002">
                  <c:v>44.896000000000001</c:v>
                </c:pt>
                <c:pt idx="1003">
                  <c:v>861.50299999999993</c:v>
                </c:pt>
                <c:pt idx="1004">
                  <c:v>169.82400000000001</c:v>
                </c:pt>
                <c:pt idx="1005">
                  <c:v>222.52799999999999</c:v>
                </c:pt>
                <c:pt idx="1006">
                  <c:v>318.17599999999999</c:v>
                </c:pt>
                <c:pt idx="1007">
                  <c:v>478.24</c:v>
                </c:pt>
                <c:pt idx="1008">
                  <c:v>694.91200000000003</c:v>
                </c:pt>
                <c:pt idx="1009">
                  <c:v>950.62400000000002</c:v>
                </c:pt>
                <c:pt idx="1010">
                  <c:v>1194.624</c:v>
                </c:pt>
                <c:pt idx="1011">
                  <c:v>732</c:v>
                </c:pt>
                <c:pt idx="1012">
                  <c:v>43.119680000000002</c:v>
                </c:pt>
                <c:pt idx="1013">
                  <c:v>1318.4</c:v>
                </c:pt>
                <c:pt idx="1014">
                  <c:v>955.2</c:v>
                </c:pt>
                <c:pt idx="1015">
                  <c:v>873.6</c:v>
                </c:pt>
                <c:pt idx="1016">
                  <c:v>604.80000000000007</c:v>
                </c:pt>
                <c:pt idx="1017">
                  <c:v>1016.4</c:v>
                </c:pt>
                <c:pt idx="1018">
                  <c:v>157.38</c:v>
                </c:pt>
                <c:pt idx="1019">
                  <c:v>362.34000000000003</c:v>
                </c:pt>
                <c:pt idx="1020">
                  <c:v>655.14</c:v>
                </c:pt>
                <c:pt idx="1021">
                  <c:v>1015.6500000000001</c:v>
                </c:pt>
                <c:pt idx="1022">
                  <c:v>146.4</c:v>
                </c:pt>
                <c:pt idx="1023">
                  <c:v>300.73</c:v>
                </c:pt>
                <c:pt idx="1024">
                  <c:v>248.88</c:v>
                </c:pt>
                <c:pt idx="1025">
                  <c:v>273.27999999999997</c:v>
                </c:pt>
                <c:pt idx="1026">
                  <c:v>175.68</c:v>
                </c:pt>
                <c:pt idx="1027">
                  <c:v>199.10400000000001</c:v>
                </c:pt>
                <c:pt idx="1028">
                  <c:v>331.84000000000003</c:v>
                </c:pt>
                <c:pt idx="1029">
                  <c:v>456.76800000000003</c:v>
                </c:pt>
                <c:pt idx="1030">
                  <c:v>290.84800000000001</c:v>
                </c:pt>
                <c:pt idx="1031">
                  <c:v>356.85</c:v>
                </c:pt>
                <c:pt idx="1032">
                  <c:v>494.09999999999997</c:v>
                </c:pt>
                <c:pt idx="1033">
                  <c:v>136.15200000000002</c:v>
                </c:pt>
                <c:pt idx="1034">
                  <c:v>50.253019999999999</c:v>
                </c:pt>
                <c:pt idx="1035">
                  <c:v>93.33</c:v>
                </c:pt>
                <c:pt idx="1036">
                  <c:v>122.976</c:v>
                </c:pt>
                <c:pt idx="1037">
                  <c:v>146.4</c:v>
                </c:pt>
                <c:pt idx="1038">
                  <c:v>205.32599999999999</c:v>
                </c:pt>
                <c:pt idx="1039">
                  <c:v>205.5</c:v>
                </c:pt>
                <c:pt idx="1040">
                  <c:v>252</c:v>
                </c:pt>
                <c:pt idx="1041">
                  <c:v>405</c:v>
                </c:pt>
                <c:pt idx="1042">
                  <c:v>513</c:v>
                </c:pt>
                <c:pt idx="1043">
                  <c:v>636</c:v>
                </c:pt>
                <c:pt idx="1044">
                  <c:v>864</c:v>
                </c:pt>
                <c:pt idx="1045">
                  <c:v>1132.5</c:v>
                </c:pt>
                <c:pt idx="1046">
                  <c:v>1777.5</c:v>
                </c:pt>
                <c:pt idx="1047">
                  <c:v>100.3</c:v>
                </c:pt>
                <c:pt idx="1048">
                  <c:v>242.65800000000002</c:v>
                </c:pt>
                <c:pt idx="1049">
                  <c:v>639.19999999999993</c:v>
                </c:pt>
                <c:pt idx="1050">
                  <c:v>21.922180000000001</c:v>
                </c:pt>
                <c:pt idx="1051">
                  <c:v>41.106679999999997</c:v>
                </c:pt>
                <c:pt idx="1052">
                  <c:v>1274.6681999999998</c:v>
                </c:pt>
                <c:pt idx="1053">
                  <c:v>116.9248</c:v>
                </c:pt>
                <c:pt idx="1054">
                  <c:v>41.724000000000004</c:v>
                </c:pt>
                <c:pt idx="1055">
                  <c:v>52.704000000000001</c:v>
                </c:pt>
                <c:pt idx="1056">
                  <c:v>65.88000000000001</c:v>
                </c:pt>
                <c:pt idx="1057">
                  <c:v>250.70999999999998</c:v>
                </c:pt>
                <c:pt idx="1058">
                  <c:v>151.88999999999999</c:v>
                </c:pt>
                <c:pt idx="1059">
                  <c:v>371.12400000000002</c:v>
                </c:pt>
                <c:pt idx="1060">
                  <c:v>382.10399999999998</c:v>
                </c:pt>
                <c:pt idx="1061">
                  <c:v>236.07</c:v>
                </c:pt>
                <c:pt idx="1062">
                  <c:v>172.01999999999998</c:v>
                </c:pt>
                <c:pt idx="1063">
                  <c:v>234.24</c:v>
                </c:pt>
                <c:pt idx="1064">
                  <c:v>259.86</c:v>
                </c:pt>
                <c:pt idx="1065">
                  <c:v>492.27</c:v>
                </c:pt>
                <c:pt idx="1066">
                  <c:v>316.59000000000003</c:v>
                </c:pt>
                <c:pt idx="1067">
                  <c:v>438.76080000000002</c:v>
                </c:pt>
                <c:pt idx="1068">
                  <c:v>470.31000000000006</c:v>
                </c:pt>
                <c:pt idx="1069">
                  <c:v>404.06400000000002</c:v>
                </c:pt>
                <c:pt idx="1070">
                  <c:v>298.65600000000001</c:v>
                </c:pt>
                <c:pt idx="1071">
                  <c:v>162.50400000000002</c:v>
                </c:pt>
                <c:pt idx="1072">
                  <c:v>269.62</c:v>
                </c:pt>
                <c:pt idx="1073">
                  <c:v>327.69199999999995</c:v>
                </c:pt>
                <c:pt idx="1074">
                  <c:v>418.94799999999998</c:v>
                </c:pt>
                <c:pt idx="1075">
                  <c:v>522.64800000000002</c:v>
                </c:pt>
                <c:pt idx="1076">
                  <c:v>576.57199999999989</c:v>
                </c:pt>
                <c:pt idx="1078">
                  <c:v>201.05600000000001</c:v>
                </c:pt>
                <c:pt idx="1079">
                  <c:v>163.96800000000002</c:v>
                </c:pt>
                <c:pt idx="1080">
                  <c:v>119.56</c:v>
                </c:pt>
                <c:pt idx="1081">
                  <c:v>215.696</c:v>
                </c:pt>
                <c:pt idx="1082">
                  <c:v>412.726</c:v>
                </c:pt>
                <c:pt idx="1083">
                  <c:v>517.28000000000009</c:v>
                </c:pt>
                <c:pt idx="1084">
                  <c:v>0</c:v>
                </c:pt>
                <c:pt idx="1085">
                  <c:v>163.96800000000002</c:v>
                </c:pt>
                <c:pt idx="1086">
                  <c:v>167.87200000000001</c:v>
                </c:pt>
                <c:pt idx="1087">
                  <c:v>165.81629999999998</c:v>
                </c:pt>
                <c:pt idx="1088">
                  <c:v>170.06799999999998</c:v>
                </c:pt>
                <c:pt idx="1089">
                  <c:v>263.60540000000003</c:v>
                </c:pt>
                <c:pt idx="1090">
                  <c:v>395.40809999999999</c:v>
                </c:pt>
                <c:pt idx="1091">
                  <c:v>78.465519999999998</c:v>
                </c:pt>
                <c:pt idx="1092">
                  <c:v>392.83999999999992</c:v>
                </c:pt>
                <c:pt idx="1093">
                  <c:v>1004.304</c:v>
                </c:pt>
                <c:pt idx="1094">
                  <c:v>461.52600000000001</c:v>
                </c:pt>
                <c:pt idx="1095">
                  <c:v>1155.462</c:v>
                </c:pt>
                <c:pt idx="1096">
                  <c:v>1906.1279999999999</c:v>
                </c:pt>
                <c:pt idx="1097">
                  <c:v>836.23680000000002</c:v>
                </c:pt>
                <c:pt idx="1098">
                  <c:v>335.74400000000003</c:v>
                </c:pt>
                <c:pt idx="1099">
                  <c:v>261.32399999999996</c:v>
                </c:pt>
                <c:pt idx="1100">
                  <c:v>236.19200000000001</c:v>
                </c:pt>
                <c:pt idx="1101">
                  <c:v>300.608</c:v>
                </c:pt>
                <c:pt idx="1102">
                  <c:v>232.28800000000001</c:v>
                </c:pt>
                <c:pt idx="1103">
                  <c:v>245.952</c:v>
                </c:pt>
                <c:pt idx="1104">
                  <c:v>174.21599999999998</c:v>
                </c:pt>
                <c:pt idx="1105">
                  <c:v>368.92799999999994</c:v>
                </c:pt>
                <c:pt idx="1106">
                  <c:v>44.896000000000001</c:v>
                </c:pt>
                <c:pt idx="1107">
                  <c:v>189.34400000000002</c:v>
                </c:pt>
                <c:pt idx="1108">
                  <c:v>173.48400000000001</c:v>
                </c:pt>
                <c:pt idx="1109">
                  <c:v>9.3696000000000002</c:v>
                </c:pt>
                <c:pt idx="1110">
                  <c:v>189.1</c:v>
                </c:pt>
                <c:pt idx="1111">
                  <c:v>150.66999999999999</c:v>
                </c:pt>
                <c:pt idx="1112">
                  <c:v>58.682000000000002</c:v>
                </c:pt>
                <c:pt idx="1113">
                  <c:v>42.821999999999996</c:v>
                </c:pt>
                <c:pt idx="1114">
                  <c:v>42.821999999999996</c:v>
                </c:pt>
                <c:pt idx="1115">
                  <c:v>8.7839999999999989</c:v>
                </c:pt>
                <c:pt idx="1116">
                  <c:v>7.68</c:v>
                </c:pt>
                <c:pt idx="1117">
                  <c:v>4.4799999999999995</c:v>
                </c:pt>
                <c:pt idx="1118">
                  <c:v>217.28199999999998</c:v>
                </c:pt>
                <c:pt idx="1119">
                  <c:v>96</c:v>
                </c:pt>
                <c:pt idx="1120">
                  <c:v>152</c:v>
                </c:pt>
                <c:pt idx="1121">
                  <c:v>359.16800000000001</c:v>
                </c:pt>
                <c:pt idx="1122">
                  <c:v>124.44</c:v>
                </c:pt>
                <c:pt idx="1123">
                  <c:v>197.02999999999997</c:v>
                </c:pt>
                <c:pt idx="1124">
                  <c:v>255.71199999999999</c:v>
                </c:pt>
                <c:pt idx="1125">
                  <c:v>411.87200000000007</c:v>
                </c:pt>
                <c:pt idx="1126">
                  <c:v>851.072</c:v>
                </c:pt>
                <c:pt idx="1127">
                  <c:v>273.27999999999997</c:v>
                </c:pt>
                <c:pt idx="1128">
                  <c:v>70.272000000000006</c:v>
                </c:pt>
                <c:pt idx="1129">
                  <c:v>74.176000000000002</c:v>
                </c:pt>
                <c:pt idx="1130">
                  <c:v>81.984000000000009</c:v>
                </c:pt>
                <c:pt idx="1131">
                  <c:v>91.744</c:v>
                </c:pt>
                <c:pt idx="1132">
                  <c:v>115.16800000000001</c:v>
                </c:pt>
                <c:pt idx="1133">
                  <c:v>152.256</c:v>
                </c:pt>
                <c:pt idx="1134">
                  <c:v>220.57599999999999</c:v>
                </c:pt>
                <c:pt idx="1135">
                  <c:v>259.61599999999999</c:v>
                </c:pt>
                <c:pt idx="1136">
                  <c:v>204.96</c:v>
                </c:pt>
                <c:pt idx="1137">
                  <c:v>255.71199999999999</c:v>
                </c:pt>
                <c:pt idx="1138">
                  <c:v>355.26400000000001</c:v>
                </c:pt>
                <c:pt idx="1139">
                  <c:v>486.048</c:v>
                </c:pt>
                <c:pt idx="1140">
                  <c:v>495.80799999999999</c:v>
                </c:pt>
                <c:pt idx="1141">
                  <c:v>843.26400000000001</c:v>
                </c:pt>
                <c:pt idx="1142">
                  <c:v>214.72</c:v>
                </c:pt>
                <c:pt idx="1143">
                  <c:v>345.50400000000002</c:v>
                </c:pt>
                <c:pt idx="1144">
                  <c:v>35.714279999999995</c:v>
                </c:pt>
                <c:pt idx="1145">
                  <c:v>351.36</c:v>
                </c:pt>
                <c:pt idx="1146">
                  <c:v>23.018289000000003</c:v>
                </c:pt>
                <c:pt idx="1147">
                  <c:v>355.02</c:v>
                </c:pt>
                <c:pt idx="1148">
                  <c:v>441.15199999999999</c:v>
                </c:pt>
                <c:pt idx="1149">
                  <c:v>173.48400000000001</c:v>
                </c:pt>
                <c:pt idx="1150">
                  <c:v>177.63200000000001</c:v>
                </c:pt>
                <c:pt idx="1151">
                  <c:v>124.684</c:v>
                </c:pt>
                <c:pt idx="1152">
                  <c:v>331.35199999999998</c:v>
                </c:pt>
                <c:pt idx="1153">
                  <c:v>455.66999999999996</c:v>
                </c:pt>
                <c:pt idx="1154">
                  <c:v>259.86</c:v>
                </c:pt>
                <c:pt idx="1155">
                  <c:v>499.71199999999999</c:v>
                </c:pt>
                <c:pt idx="1156">
                  <c:v>186.66</c:v>
                </c:pt>
                <c:pt idx="1157">
                  <c:v>153.72</c:v>
                </c:pt>
                <c:pt idx="1158">
                  <c:v>75.152000000000001</c:v>
                </c:pt>
                <c:pt idx="1159">
                  <c:v>98.82</c:v>
                </c:pt>
                <c:pt idx="1160">
                  <c:v>510.57</c:v>
                </c:pt>
                <c:pt idx="1161">
                  <c:v>111.996</c:v>
                </c:pt>
                <c:pt idx="1162">
                  <c:v>259.86</c:v>
                </c:pt>
                <c:pt idx="1163">
                  <c:v>132.73599999999999</c:v>
                </c:pt>
                <c:pt idx="1164">
                  <c:v>186.66</c:v>
                </c:pt>
                <c:pt idx="1165">
                  <c:v>269.62</c:v>
                </c:pt>
                <c:pt idx="1166">
                  <c:v>113.21600000000001</c:v>
                </c:pt>
                <c:pt idx="1167">
                  <c:v>74.176000000000002</c:v>
                </c:pt>
                <c:pt idx="1168">
                  <c:v>124.928</c:v>
                </c:pt>
                <c:pt idx="1169">
                  <c:v>124.928</c:v>
                </c:pt>
                <c:pt idx="1170">
                  <c:v>60.512</c:v>
                </c:pt>
                <c:pt idx="1171">
                  <c:v>21.472000000000001</c:v>
                </c:pt>
                <c:pt idx="1172">
                  <c:v>33.183999999999997</c:v>
                </c:pt>
                <c:pt idx="1173">
                  <c:v>68.319999999999993</c:v>
                </c:pt>
                <c:pt idx="1174">
                  <c:v>76.128</c:v>
                </c:pt>
                <c:pt idx="1175">
                  <c:v>80.031999999999996</c:v>
                </c:pt>
                <c:pt idx="1176">
                  <c:v>95.64800000000001</c:v>
                </c:pt>
                <c:pt idx="1177">
                  <c:v>283.04000000000002</c:v>
                </c:pt>
                <c:pt idx="1178">
                  <c:v>39.405999999999999</c:v>
                </c:pt>
                <c:pt idx="1179">
                  <c:v>43.554000000000002</c:v>
                </c:pt>
                <c:pt idx="1180">
                  <c:v>51.85</c:v>
                </c:pt>
                <c:pt idx="1181">
                  <c:v>31.11</c:v>
                </c:pt>
                <c:pt idx="1182">
                  <c:v>1116.8</c:v>
                </c:pt>
                <c:pt idx="1183">
                  <c:v>838.40000000000009</c:v>
                </c:pt>
                <c:pt idx="1184">
                  <c:v>155.55000000000001</c:v>
                </c:pt>
                <c:pt idx="1185">
                  <c:v>283.04000000000002</c:v>
                </c:pt>
                <c:pt idx="1186">
                  <c:v>456.76800000000003</c:v>
                </c:pt>
                <c:pt idx="1187">
                  <c:v>365.51199999999994</c:v>
                </c:pt>
                <c:pt idx="1188">
                  <c:v>579.01199999999994</c:v>
                </c:pt>
                <c:pt idx="1189">
                  <c:v>302.31599999999997</c:v>
                </c:pt>
                <c:pt idx="1190">
                  <c:v>155.428</c:v>
                </c:pt>
                <c:pt idx="1191">
                  <c:v>225.09</c:v>
                </c:pt>
                <c:pt idx="1192">
                  <c:v>662.70399999999995</c:v>
                </c:pt>
                <c:pt idx="1193">
                  <c:v>317.68799999999999</c:v>
                </c:pt>
                <c:pt idx="1194">
                  <c:v>501.66400000000004</c:v>
                </c:pt>
                <c:pt idx="1195">
                  <c:v>470.31000000000006</c:v>
                </c:pt>
                <c:pt idx="1196">
                  <c:v>263.52</c:v>
                </c:pt>
                <c:pt idx="1197">
                  <c:v>518.4</c:v>
                </c:pt>
                <c:pt idx="1198">
                  <c:v>197.49359999999999</c:v>
                </c:pt>
                <c:pt idx="1199">
                  <c:v>74.176000000000002</c:v>
                </c:pt>
                <c:pt idx="1200">
                  <c:v>91.744</c:v>
                </c:pt>
                <c:pt idx="1201">
                  <c:v>336.71999999999997</c:v>
                </c:pt>
                <c:pt idx="1202">
                  <c:v>574.20000000000005</c:v>
                </c:pt>
                <c:pt idx="1203">
                  <c:v>82.96</c:v>
                </c:pt>
                <c:pt idx="1204">
                  <c:v>74.176000000000002</c:v>
                </c:pt>
                <c:pt idx="1205">
                  <c:v>91.744</c:v>
                </c:pt>
                <c:pt idx="1206">
                  <c:v>234.24</c:v>
                </c:pt>
                <c:pt idx="1207">
                  <c:v>251.80799999999999</c:v>
                </c:pt>
                <c:pt idx="1208">
                  <c:v>577.79200000000003</c:v>
                </c:pt>
                <c:pt idx="1209">
                  <c:v>309.27</c:v>
                </c:pt>
                <c:pt idx="1210">
                  <c:v>217.404</c:v>
                </c:pt>
                <c:pt idx="1211">
                  <c:v>120.77999999999999</c:v>
                </c:pt>
                <c:pt idx="1212">
                  <c:v>169.09200000000001</c:v>
                </c:pt>
                <c:pt idx="1213">
                  <c:v>112.53</c:v>
                </c:pt>
                <c:pt idx="1214">
                  <c:v>183.488</c:v>
                </c:pt>
                <c:pt idx="1215">
                  <c:v>230.57999999999998</c:v>
                </c:pt>
                <c:pt idx="1216">
                  <c:v>417.23999999999995</c:v>
                </c:pt>
                <c:pt idx="1217">
                  <c:v>715.89599999999996</c:v>
                </c:pt>
                <c:pt idx="1218">
                  <c:v>459.73504000000008</c:v>
                </c:pt>
                <c:pt idx="1219">
                  <c:v>274.93920000000003</c:v>
                </c:pt>
                <c:pt idx="1220">
                  <c:v>115.28999999999999</c:v>
                </c:pt>
                <c:pt idx="1221">
                  <c:v>158.99040000000002</c:v>
                </c:pt>
                <c:pt idx="1222">
                  <c:v>554.16059999999993</c:v>
                </c:pt>
                <c:pt idx="1223">
                  <c:v>3296.8181999999997</c:v>
                </c:pt>
                <c:pt idx="1224">
                  <c:v>298.28999999999996</c:v>
                </c:pt>
                <c:pt idx="1225">
                  <c:v>243.39</c:v>
                </c:pt>
                <c:pt idx="1226">
                  <c:v>184.82999999999998</c:v>
                </c:pt>
                <c:pt idx="1227">
                  <c:v>170.19</c:v>
                </c:pt>
                <c:pt idx="1228">
                  <c:v>107.97</c:v>
                </c:pt>
                <c:pt idx="1229">
                  <c:v>71.37</c:v>
                </c:pt>
                <c:pt idx="1230">
                  <c:v>181.17000000000002</c:v>
                </c:pt>
                <c:pt idx="1231">
                  <c:v>139.07999999999998</c:v>
                </c:pt>
                <c:pt idx="1232">
                  <c:v>104.30999999999999</c:v>
                </c:pt>
                <c:pt idx="1233">
                  <c:v>102.47999999999999</c:v>
                </c:pt>
                <c:pt idx="1234">
                  <c:v>244</c:v>
                </c:pt>
                <c:pt idx="1235">
                  <c:v>324.52</c:v>
                </c:pt>
                <c:pt idx="1236">
                  <c:v>503.85999999999996</c:v>
                </c:pt>
                <c:pt idx="1237">
                  <c:v>85.888000000000005</c:v>
                </c:pt>
                <c:pt idx="1238">
                  <c:v>99.552000000000007</c:v>
                </c:pt>
                <c:pt idx="1239">
                  <c:v>128.83199999999999</c:v>
                </c:pt>
                <c:pt idx="1240">
                  <c:v>312.32</c:v>
                </c:pt>
                <c:pt idx="1241">
                  <c:v>62.463999999999999</c:v>
                </c:pt>
                <c:pt idx="1242">
                  <c:v>70.272000000000006</c:v>
                </c:pt>
                <c:pt idx="1243">
                  <c:v>87.84</c:v>
                </c:pt>
                <c:pt idx="1244">
                  <c:v>242.048</c:v>
                </c:pt>
                <c:pt idx="1245">
                  <c:v>170.55600000000001</c:v>
                </c:pt>
                <c:pt idx="1246">
                  <c:v>115.9</c:v>
                </c:pt>
                <c:pt idx="1247">
                  <c:v>87.620400000000004</c:v>
                </c:pt>
                <c:pt idx="1248">
                  <c:v>219.38040000000001</c:v>
                </c:pt>
                <c:pt idx="1249">
                  <c:v>51.124099999999991</c:v>
                </c:pt>
                <c:pt idx="1250">
                  <c:v>39.077210000000001</c:v>
                </c:pt>
                <c:pt idx="1251">
                  <c:v>175.48480000000004</c:v>
                </c:pt>
                <c:pt idx="1252">
                  <c:v>69.167899999999989</c:v>
                </c:pt>
                <c:pt idx="1253">
                  <c:v>135.42000000000002</c:v>
                </c:pt>
                <c:pt idx="1254">
                  <c:v>121.756</c:v>
                </c:pt>
                <c:pt idx="1255">
                  <c:v>366</c:v>
                </c:pt>
                <c:pt idx="1256">
                  <c:v>381.25</c:v>
                </c:pt>
                <c:pt idx="1257">
                  <c:v>152.256</c:v>
                </c:pt>
                <c:pt idx="1258">
                  <c:v>122</c:v>
                </c:pt>
                <c:pt idx="1259">
                  <c:v>109.80000000000001</c:v>
                </c:pt>
                <c:pt idx="1260">
                  <c:v>77.775000000000006</c:v>
                </c:pt>
                <c:pt idx="1261">
                  <c:v>1396.6559999999999</c:v>
                </c:pt>
                <c:pt idx="1262">
                  <c:v>388.44800000000004</c:v>
                </c:pt>
                <c:pt idx="1263">
                  <c:v>232.28800000000001</c:v>
                </c:pt>
                <c:pt idx="1264">
                  <c:v>11.712000000000002</c:v>
                </c:pt>
                <c:pt idx="1265">
                  <c:v>7.8079999999999998</c:v>
                </c:pt>
                <c:pt idx="1266">
                  <c:v>292.8</c:v>
                </c:pt>
                <c:pt idx="1267">
                  <c:v>101.504</c:v>
                </c:pt>
                <c:pt idx="1268">
                  <c:v>152.256</c:v>
                </c:pt>
                <c:pt idx="1269">
                  <c:v>204.96</c:v>
                </c:pt>
                <c:pt idx="1270">
                  <c:v>306.464</c:v>
                </c:pt>
                <c:pt idx="1271">
                  <c:v>486.048</c:v>
                </c:pt>
                <c:pt idx="1272">
                  <c:v>636.35199999999998</c:v>
                </c:pt>
                <c:pt idx="1273">
                  <c:v>165.92</c:v>
                </c:pt>
                <c:pt idx="1274">
                  <c:v>128.83199999999999</c:v>
                </c:pt>
                <c:pt idx="1275">
                  <c:v>183.488</c:v>
                </c:pt>
                <c:pt idx="1276">
                  <c:v>273.27999999999997</c:v>
                </c:pt>
                <c:pt idx="1277">
                  <c:v>359.16800000000001</c:v>
                </c:pt>
                <c:pt idx="1278">
                  <c:v>124.44</c:v>
                </c:pt>
                <c:pt idx="1279">
                  <c:v>620.37</c:v>
                </c:pt>
                <c:pt idx="1280">
                  <c:v>461.15999999999997</c:v>
                </c:pt>
                <c:pt idx="1281">
                  <c:v>397.11</c:v>
                </c:pt>
                <c:pt idx="1282">
                  <c:v>144.57</c:v>
                </c:pt>
                <c:pt idx="1283">
                  <c:v>894.01600000000008</c:v>
                </c:pt>
                <c:pt idx="1284">
                  <c:v>579.74400000000003</c:v>
                </c:pt>
                <c:pt idx="1285">
                  <c:v>169.82400000000001</c:v>
                </c:pt>
                <c:pt idx="1286">
                  <c:v>224.48</c:v>
                </c:pt>
                <c:pt idx="1287">
                  <c:v>407.96800000000002</c:v>
                </c:pt>
                <c:pt idx="1288">
                  <c:v>566.08000000000004</c:v>
                </c:pt>
                <c:pt idx="1289">
                  <c:v>53.68</c:v>
                </c:pt>
                <c:pt idx="1290">
                  <c:v>769.96639999999991</c:v>
                </c:pt>
                <c:pt idx="1291">
                  <c:v>1049.9929999999999</c:v>
                </c:pt>
                <c:pt idx="1292">
                  <c:v>218.624</c:v>
                </c:pt>
                <c:pt idx="1293">
                  <c:v>31.231999999999999</c:v>
                </c:pt>
                <c:pt idx="1294">
                  <c:v>52.704000000000001</c:v>
                </c:pt>
                <c:pt idx="1295">
                  <c:v>81.984000000000009</c:v>
                </c:pt>
                <c:pt idx="1296">
                  <c:v>109.312</c:v>
                </c:pt>
                <c:pt idx="1297">
                  <c:v>16.591999999999999</c:v>
                </c:pt>
                <c:pt idx="1298">
                  <c:v>22.814</c:v>
                </c:pt>
                <c:pt idx="1299">
                  <c:v>28</c:v>
                </c:pt>
                <c:pt idx="1300">
                  <c:v>28</c:v>
                </c:pt>
                <c:pt idx="1301">
                  <c:v>48</c:v>
                </c:pt>
                <c:pt idx="1302">
                  <c:v>531.4319999999999</c:v>
                </c:pt>
                <c:pt idx="1303">
                  <c:v>805.19999999999993</c:v>
                </c:pt>
                <c:pt idx="1304">
                  <c:v>1087.02</c:v>
                </c:pt>
                <c:pt idx="1305">
                  <c:v>1368.8400000000001</c:v>
                </c:pt>
                <c:pt idx="1306">
                  <c:v>885.71999999999991</c:v>
                </c:pt>
                <c:pt idx="1307">
                  <c:v>1207.8</c:v>
                </c:pt>
                <c:pt idx="1308">
                  <c:v>1248.0600000000002</c:v>
                </c:pt>
                <c:pt idx="1309">
                  <c:v>1586.2440000000001</c:v>
                </c:pt>
                <c:pt idx="1310">
                  <c:v>2777.9399999999996</c:v>
                </c:pt>
                <c:pt idx="1311">
                  <c:v>764.94</c:v>
                </c:pt>
                <c:pt idx="1312">
                  <c:v>2898.7199999999993</c:v>
                </c:pt>
                <c:pt idx="1313">
                  <c:v>3607.2959999999994</c:v>
                </c:pt>
                <c:pt idx="1314">
                  <c:v>88.571999999999989</c:v>
                </c:pt>
                <c:pt idx="1315">
                  <c:v>1054.0800000000002</c:v>
                </c:pt>
                <c:pt idx="1316">
                  <c:v>1668.96</c:v>
                </c:pt>
                <c:pt idx="1317">
                  <c:v>2020.32</c:v>
                </c:pt>
                <c:pt idx="1318">
                  <c:v>1756.8</c:v>
                </c:pt>
                <c:pt idx="1319">
                  <c:v>2080.3440000000001</c:v>
                </c:pt>
                <c:pt idx="1320">
                  <c:v>1098</c:v>
                </c:pt>
                <c:pt idx="1321">
                  <c:v>966.24</c:v>
                </c:pt>
                <c:pt idx="1322">
                  <c:v>1561.6000000000001</c:v>
                </c:pt>
                <c:pt idx="1323">
                  <c:v>1120.4480000000001</c:v>
                </c:pt>
                <c:pt idx="1324">
                  <c:v>1795.84</c:v>
                </c:pt>
                <c:pt idx="1325">
                  <c:v>1967.616</c:v>
                </c:pt>
                <c:pt idx="1326">
                  <c:v>2283.84</c:v>
                </c:pt>
                <c:pt idx="1327">
                  <c:v>2961.1840000000002</c:v>
                </c:pt>
                <c:pt idx="1328">
                  <c:v>2020.32</c:v>
                </c:pt>
                <c:pt idx="1329">
                  <c:v>1957.1850000000002</c:v>
                </c:pt>
                <c:pt idx="1330">
                  <c:v>1975.424</c:v>
                </c:pt>
                <c:pt idx="1331">
                  <c:v>3024.99</c:v>
                </c:pt>
                <c:pt idx="1332">
                  <c:v>4172.3999999999996</c:v>
                </c:pt>
                <c:pt idx="1333">
                  <c:v>1141.92</c:v>
                </c:pt>
                <c:pt idx="1334">
                  <c:v>2635.2000000000003</c:v>
                </c:pt>
                <c:pt idx="1335">
                  <c:v>1873.92</c:v>
                </c:pt>
                <c:pt idx="1336">
                  <c:v>790.56000000000006</c:v>
                </c:pt>
                <c:pt idx="1337">
                  <c:v>1729.35</c:v>
                </c:pt>
                <c:pt idx="1338">
                  <c:v>2547.36</c:v>
                </c:pt>
                <c:pt idx="1339">
                  <c:v>1317.6</c:v>
                </c:pt>
                <c:pt idx="1340">
                  <c:v>2781.6</c:v>
                </c:pt>
                <c:pt idx="1341">
                  <c:v>6422.079999999999</c:v>
                </c:pt>
                <c:pt idx="1342">
                  <c:v>1844.64</c:v>
                </c:pt>
                <c:pt idx="1343">
                  <c:v>1844.64</c:v>
                </c:pt>
                <c:pt idx="1344">
                  <c:v>2635.2000000000003</c:v>
                </c:pt>
                <c:pt idx="1345">
                  <c:v>1194.075</c:v>
                </c:pt>
                <c:pt idx="1346">
                  <c:v>1760.7040000000002</c:v>
                </c:pt>
                <c:pt idx="1347">
                  <c:v>2459.52</c:v>
                </c:pt>
                <c:pt idx="1348">
                  <c:v>2484.8960000000002</c:v>
                </c:pt>
                <c:pt idx="1349">
                  <c:v>2434.1439999999998</c:v>
                </c:pt>
                <c:pt idx="1350">
                  <c:v>5762.3040000000001</c:v>
                </c:pt>
                <c:pt idx="1351">
                  <c:v>6002.4000000000005</c:v>
                </c:pt>
                <c:pt idx="1352">
                  <c:v>4081.6320000000001</c:v>
                </c:pt>
                <c:pt idx="1353">
                  <c:v>1932.48</c:v>
                </c:pt>
                <c:pt idx="1354">
                  <c:v>3601.44</c:v>
                </c:pt>
                <c:pt idx="1355">
                  <c:v>1529.8799999999999</c:v>
                </c:pt>
                <c:pt idx="1356">
                  <c:v>2254.56</c:v>
                </c:pt>
                <c:pt idx="1357">
                  <c:v>3775.1680000000001</c:v>
                </c:pt>
                <c:pt idx="1358">
                  <c:v>1561.6000000000001</c:v>
                </c:pt>
                <c:pt idx="1359">
                  <c:v>317.322</c:v>
                </c:pt>
                <c:pt idx="1360">
                  <c:v>2500.5120000000002</c:v>
                </c:pt>
                <c:pt idx="1361">
                  <c:v>244</c:v>
                </c:pt>
                <c:pt idx="1362">
                  <c:v>195.20000000000002</c:v>
                </c:pt>
                <c:pt idx="1363">
                  <c:v>134.68799999999999</c:v>
                </c:pt>
                <c:pt idx="1364">
                  <c:v>224.48</c:v>
                </c:pt>
                <c:pt idx="1365">
                  <c:v>52.704000000000001</c:v>
                </c:pt>
                <c:pt idx="1366">
                  <c:v>68.076000000000008</c:v>
                </c:pt>
                <c:pt idx="1367">
                  <c:v>96.623999999999995</c:v>
                </c:pt>
                <c:pt idx="1368">
                  <c:v>122.97599999999998</c:v>
                </c:pt>
                <c:pt idx="1369">
                  <c:v>145.80000000000001</c:v>
                </c:pt>
                <c:pt idx="1370">
                  <c:v>36.599999999999994</c:v>
                </c:pt>
                <c:pt idx="1371">
                  <c:v>47.58</c:v>
                </c:pt>
                <c:pt idx="1372">
                  <c:v>58.56</c:v>
                </c:pt>
                <c:pt idx="1373">
                  <c:v>87.84</c:v>
                </c:pt>
                <c:pt idx="1374">
                  <c:v>1105.9983199999999</c:v>
                </c:pt>
                <c:pt idx="1375">
                  <c:v>382.46999999999997</c:v>
                </c:pt>
                <c:pt idx="1376">
                  <c:v>14.517999999999999</c:v>
                </c:pt>
                <c:pt idx="1377">
                  <c:v>38.099379999999996</c:v>
                </c:pt>
                <c:pt idx="1378">
                  <c:v>66.139859999999999</c:v>
                </c:pt>
                <c:pt idx="1379">
                  <c:v>71.736000000000004</c:v>
                </c:pt>
                <c:pt idx="1380">
                  <c:v>78.811999999999998</c:v>
                </c:pt>
                <c:pt idx="1381">
                  <c:v>97.477999999999994</c:v>
                </c:pt>
                <c:pt idx="1382">
                  <c:v>19.52</c:v>
                </c:pt>
                <c:pt idx="1383">
                  <c:v>29.28</c:v>
                </c:pt>
                <c:pt idx="1384">
                  <c:v>21.96</c:v>
                </c:pt>
                <c:pt idx="1385">
                  <c:v>21.96</c:v>
                </c:pt>
                <c:pt idx="1386">
                  <c:v>100.50604</c:v>
                </c:pt>
                <c:pt idx="1388">
                  <c:v>126.88</c:v>
                </c:pt>
                <c:pt idx="1389">
                  <c:v>218.86799999999999</c:v>
                </c:pt>
                <c:pt idx="1390">
                  <c:v>249.60000000000002</c:v>
                </c:pt>
                <c:pt idx="1391">
                  <c:v>410.77400000000006</c:v>
                </c:pt>
                <c:pt idx="1392">
                  <c:v>100.77200000000001</c:v>
                </c:pt>
                <c:pt idx="1393">
                  <c:v>235.70399999999995</c:v>
                </c:pt>
                <c:pt idx="1394">
                  <c:v>456</c:v>
                </c:pt>
                <c:pt idx="1395">
                  <c:v>1182.4000000000001</c:v>
                </c:pt>
                <c:pt idx="1396">
                  <c:v>425.54400000000004</c:v>
                </c:pt>
                <c:pt idx="1397">
                  <c:v>359.52000000000004</c:v>
                </c:pt>
                <c:pt idx="1398">
                  <c:v>495.80799999999999</c:v>
                </c:pt>
                <c:pt idx="1399">
                  <c:v>7.1919000000000004</c:v>
                </c:pt>
                <c:pt idx="1400">
                  <c:v>316.22399999999999</c:v>
                </c:pt>
                <c:pt idx="1401">
                  <c:v>376</c:v>
                </c:pt>
                <c:pt idx="1402">
                  <c:v>279.11159999999995</c:v>
                </c:pt>
                <c:pt idx="1403">
                  <c:v>267.42399999999998</c:v>
                </c:pt>
                <c:pt idx="1404">
                  <c:v>183.488</c:v>
                </c:pt>
                <c:pt idx="1405">
                  <c:v>1130.6959999999999</c:v>
                </c:pt>
                <c:pt idx="1406">
                  <c:v>461.15999999999991</c:v>
                </c:pt>
                <c:pt idx="1407">
                  <c:v>156.16</c:v>
                </c:pt>
                <c:pt idx="1408">
                  <c:v>48.800000000000004</c:v>
                </c:pt>
                <c:pt idx="1409">
                  <c:v>60.512</c:v>
                </c:pt>
                <c:pt idx="1410">
                  <c:v>89.792000000000002</c:v>
                </c:pt>
                <c:pt idx="1411">
                  <c:v>115.16800000000001</c:v>
                </c:pt>
                <c:pt idx="1412">
                  <c:v>130.78399999999999</c:v>
                </c:pt>
                <c:pt idx="1413">
                  <c:v>173.72800000000001</c:v>
                </c:pt>
                <c:pt idx="1414">
                  <c:v>273.27999999999997</c:v>
                </c:pt>
                <c:pt idx="1415">
                  <c:v>361.12</c:v>
                </c:pt>
                <c:pt idx="1416">
                  <c:v>663.68000000000006</c:v>
                </c:pt>
                <c:pt idx="1417">
                  <c:v>870.5920000000001</c:v>
                </c:pt>
                <c:pt idx="1418">
                  <c:v>1932.48</c:v>
                </c:pt>
                <c:pt idx="1419">
                  <c:v>53</c:v>
                </c:pt>
                <c:pt idx="1420">
                  <c:v>65.88</c:v>
                </c:pt>
                <c:pt idx="1421">
                  <c:v>73.199999999999989</c:v>
                </c:pt>
                <c:pt idx="1422">
                  <c:v>95.16</c:v>
                </c:pt>
                <c:pt idx="1423">
                  <c:v>100.64999999999999</c:v>
                </c:pt>
                <c:pt idx="1424">
                  <c:v>112.0448</c:v>
                </c:pt>
                <c:pt idx="1425">
                  <c:v>129.93</c:v>
                </c:pt>
                <c:pt idx="1426">
                  <c:v>153.72</c:v>
                </c:pt>
                <c:pt idx="1427">
                  <c:v>330.49799999999999</c:v>
                </c:pt>
                <c:pt idx="1428">
                  <c:v>387.96</c:v>
                </c:pt>
                <c:pt idx="1429">
                  <c:v>580.11</c:v>
                </c:pt>
                <c:pt idx="1430">
                  <c:v>485.56</c:v>
                </c:pt>
                <c:pt idx="1431">
                  <c:v>729.56</c:v>
                </c:pt>
                <c:pt idx="1432">
                  <c:v>631.96</c:v>
                </c:pt>
                <c:pt idx="1433">
                  <c:v>126.26999999999998</c:v>
                </c:pt>
                <c:pt idx="1434">
                  <c:v>193.98</c:v>
                </c:pt>
                <c:pt idx="1435">
                  <c:v>559.7725999999999</c:v>
                </c:pt>
                <c:pt idx="1436">
                  <c:v>18.240000000000002</c:v>
                </c:pt>
                <c:pt idx="1437">
                  <c:v>370.5</c:v>
                </c:pt>
                <c:pt idx="1438">
                  <c:v>389.61000000000007</c:v>
                </c:pt>
                <c:pt idx="1439">
                  <c:v>19.304999999999996</c:v>
                </c:pt>
                <c:pt idx="1440">
                  <c:v>124.4949</c:v>
                </c:pt>
                <c:pt idx="1441">
                  <c:v>115.2</c:v>
                </c:pt>
                <c:pt idx="1442">
                  <c:v>124.64</c:v>
                </c:pt>
                <c:pt idx="1443">
                  <c:v>95.31</c:v>
                </c:pt>
                <c:pt idx="1444">
                  <c:v>105</c:v>
                </c:pt>
                <c:pt idx="1446">
                  <c:v>9226.4939999999988</c:v>
                </c:pt>
                <c:pt idx="1447">
                  <c:v>110.67840000000002</c:v>
                </c:pt>
                <c:pt idx="1448">
                  <c:v>27.669600000000006</c:v>
                </c:pt>
                <c:pt idx="1449">
                  <c:v>265.60000000000002</c:v>
                </c:pt>
                <c:pt idx="1450">
                  <c:v>345.87</c:v>
                </c:pt>
                <c:pt idx="1451">
                  <c:v>307.44</c:v>
                </c:pt>
                <c:pt idx="1452">
                  <c:v>438.98040000000003</c:v>
                </c:pt>
                <c:pt idx="1453">
                  <c:v>1097.7803999999999</c:v>
                </c:pt>
                <c:pt idx="1454">
                  <c:v>438.98040000000003</c:v>
                </c:pt>
                <c:pt idx="1455">
                  <c:v>518.29259999999999</c:v>
                </c:pt>
                <c:pt idx="1456">
                  <c:v>592.70039999999995</c:v>
                </c:pt>
                <c:pt idx="1457">
                  <c:v>559.7725999999999</c:v>
                </c:pt>
                <c:pt idx="1458">
                  <c:v>438.98040000000003</c:v>
                </c:pt>
                <c:pt idx="1459">
                  <c:v>1427.4</c:v>
                </c:pt>
                <c:pt idx="1460">
                  <c:v>102.47999999999999</c:v>
                </c:pt>
                <c:pt idx="1461">
                  <c:v>142.74</c:v>
                </c:pt>
                <c:pt idx="1462">
                  <c:v>36.356000000000002</c:v>
                </c:pt>
                <c:pt idx="1463">
                  <c:v>1002.352</c:v>
                </c:pt>
                <c:pt idx="1464">
                  <c:v>10.345599999999999</c:v>
                </c:pt>
                <c:pt idx="1465">
                  <c:v>292.43400000000003</c:v>
                </c:pt>
                <c:pt idx="1466">
                  <c:v>121.268</c:v>
                </c:pt>
                <c:pt idx="1467">
                  <c:v>156.16</c:v>
                </c:pt>
                <c:pt idx="1468">
                  <c:v>253.83930000000001</c:v>
                </c:pt>
                <c:pt idx="1469">
                  <c:v>75.03</c:v>
                </c:pt>
                <c:pt idx="1470">
                  <c:v>351.16480000000001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649.04</c:v>
                </c:pt>
                <c:pt idx="1475">
                  <c:v>237.89999999999998</c:v>
                </c:pt>
                <c:pt idx="1476">
                  <c:v>1298.08</c:v>
                </c:pt>
                <c:pt idx="1477">
                  <c:v>250.65600000000001</c:v>
                </c:pt>
                <c:pt idx="1478">
                  <c:v>70.760000000000005</c:v>
                </c:pt>
                <c:pt idx="1479">
                  <c:v>409.92</c:v>
                </c:pt>
                <c:pt idx="1480">
                  <c:v>142.20000000000002</c:v>
                </c:pt>
                <c:pt idx="1481">
                  <c:v>32</c:v>
                </c:pt>
                <c:pt idx="1482">
                  <c:v>1954.44</c:v>
                </c:pt>
                <c:pt idx="1483">
                  <c:v>2092.2999999999997</c:v>
                </c:pt>
                <c:pt idx="1484">
                  <c:v>780.60480000000007</c:v>
                </c:pt>
                <c:pt idx="1485">
                  <c:v>1560</c:v>
                </c:pt>
                <c:pt idx="1486">
                  <c:v>3248</c:v>
                </c:pt>
                <c:pt idx="1487">
                  <c:v>81.199999999999989</c:v>
                </c:pt>
                <c:pt idx="1488">
                  <c:v>182.268</c:v>
                </c:pt>
                <c:pt idx="1489">
                  <c:v>96</c:v>
                </c:pt>
                <c:pt idx="1490">
                  <c:v>285.48</c:v>
                </c:pt>
                <c:pt idx="1491">
                  <c:v>131.54040000000001</c:v>
                </c:pt>
                <c:pt idx="1492">
                  <c:v>131.54040000000001</c:v>
                </c:pt>
                <c:pt idx="1493">
                  <c:v>171.99072000000001</c:v>
                </c:pt>
                <c:pt idx="1494">
                  <c:v>109.5804</c:v>
                </c:pt>
                <c:pt idx="1495">
                  <c:v>285.2604</c:v>
                </c:pt>
                <c:pt idx="1496">
                  <c:v>97.404800000000009</c:v>
                </c:pt>
                <c:pt idx="1497">
                  <c:v>254.64571999999998</c:v>
                </c:pt>
                <c:pt idx="1498">
                  <c:v>286.7</c:v>
                </c:pt>
                <c:pt idx="1499">
                  <c:v>34.511359999999996</c:v>
                </c:pt>
                <c:pt idx="1500">
                  <c:v>76.3232</c:v>
                </c:pt>
                <c:pt idx="1501">
                  <c:v>112.82559999999999</c:v>
                </c:pt>
                <c:pt idx="1502">
                  <c:v>150.9872</c:v>
                </c:pt>
                <c:pt idx="1503">
                  <c:v>663.68</c:v>
                </c:pt>
                <c:pt idx="1504">
                  <c:v>1075.5520000000001</c:v>
                </c:pt>
                <c:pt idx="1505">
                  <c:v>627.29999999999995</c:v>
                </c:pt>
                <c:pt idx="1506">
                  <c:v>811.3</c:v>
                </c:pt>
                <c:pt idx="1507">
                  <c:v>26.010400000000001</c:v>
                </c:pt>
                <c:pt idx="1508">
                  <c:v>3980.7331200000003</c:v>
                </c:pt>
                <c:pt idx="1509">
                  <c:v>280.47800000000001</c:v>
                </c:pt>
                <c:pt idx="1510">
                  <c:v>472.38400000000001</c:v>
                </c:pt>
                <c:pt idx="1511" formatCode="General">
                  <c:v>479.02080000000001</c:v>
                </c:pt>
                <c:pt idx="1512">
                  <c:v>344.16200000000003</c:v>
                </c:pt>
                <c:pt idx="1513">
                  <c:v>245.83</c:v>
                </c:pt>
                <c:pt idx="1514">
                  <c:v>479.02080000000001</c:v>
                </c:pt>
                <c:pt idx="1515">
                  <c:v>292.8</c:v>
                </c:pt>
                <c:pt idx="1516">
                  <c:v>256.2</c:v>
                </c:pt>
                <c:pt idx="1517">
                  <c:v>271.32799999999997</c:v>
                </c:pt>
                <c:pt idx="1518">
                  <c:v>331.84000000000003</c:v>
                </c:pt>
                <c:pt idx="1519">
                  <c:v>2513.94</c:v>
                </c:pt>
                <c:pt idx="1520">
                  <c:v>310.40000000000003</c:v>
                </c:pt>
                <c:pt idx="1521">
                  <c:v>552</c:v>
                </c:pt>
                <c:pt idx="1522">
                  <c:v>509.70623999999998</c:v>
                </c:pt>
                <c:pt idx="1523">
                  <c:v>311.09999999999997</c:v>
                </c:pt>
                <c:pt idx="1524">
                  <c:v>3767.36</c:v>
                </c:pt>
                <c:pt idx="1525">
                  <c:v>93.574000000000012</c:v>
                </c:pt>
                <c:pt idx="1526">
                  <c:v>114.67999999999999</c:v>
                </c:pt>
                <c:pt idx="1527">
                  <c:v>102.48</c:v>
                </c:pt>
                <c:pt idx="1528">
                  <c:v>91.95872</c:v>
                </c:pt>
                <c:pt idx="1529">
                  <c:v>699.01607999999999</c:v>
                </c:pt>
                <c:pt idx="1530">
                  <c:v>1208.25</c:v>
                </c:pt>
                <c:pt idx="1531">
                  <c:v>120.825</c:v>
                </c:pt>
                <c:pt idx="1532">
                  <c:v>136.15200000000002</c:v>
                </c:pt>
                <c:pt idx="1533">
                  <c:v>225.09</c:v>
                </c:pt>
                <c:pt idx="1534">
                  <c:v>427.48800000000006</c:v>
                </c:pt>
                <c:pt idx="1535">
                  <c:v>156.16</c:v>
                </c:pt>
                <c:pt idx="1536">
                  <c:v>70.272000000000006</c:v>
                </c:pt>
                <c:pt idx="1537">
                  <c:v>68.612799999999993</c:v>
                </c:pt>
                <c:pt idx="1538">
                  <c:v>60.8048</c:v>
                </c:pt>
                <c:pt idx="1539">
                  <c:v>248.25779999999997</c:v>
                </c:pt>
                <c:pt idx="1540">
                  <c:v>155.428</c:v>
                </c:pt>
                <c:pt idx="1541">
                  <c:v>121.024</c:v>
                </c:pt>
                <c:pt idx="1542">
                  <c:v>45.994000000000007</c:v>
                </c:pt>
                <c:pt idx="1543">
                  <c:v>154.208</c:v>
                </c:pt>
                <c:pt idx="1544" formatCode="General">
                  <c:v>407.96800000000002</c:v>
                </c:pt>
                <c:pt idx="1545" formatCode="General">
                  <c:v>290.84800000000001</c:v>
                </c:pt>
                <c:pt idx="1546">
                  <c:v>48.555999999999997</c:v>
                </c:pt>
                <c:pt idx="1547">
                  <c:v>63.195999999999998</c:v>
                </c:pt>
                <c:pt idx="1548">
                  <c:v>122</c:v>
                </c:pt>
                <c:pt idx="1549">
                  <c:v>359.26560000000001</c:v>
                </c:pt>
                <c:pt idx="1550">
                  <c:v>898.16399999999999</c:v>
                </c:pt>
                <c:pt idx="1551">
                  <c:v>449.58098000000001</c:v>
                </c:pt>
                <c:pt idx="1552">
                  <c:v>106.42499999999998</c:v>
                </c:pt>
                <c:pt idx="1553">
                  <c:v>0</c:v>
                </c:pt>
                <c:pt idx="1554">
                  <c:v>142.42158000000001</c:v>
                </c:pt>
                <c:pt idx="1555">
                  <c:v>72</c:v>
                </c:pt>
                <c:pt idx="1556">
                  <c:v>605.49210000000005</c:v>
                </c:pt>
                <c:pt idx="1557">
                  <c:v>750.48299999999995</c:v>
                </c:pt>
                <c:pt idx="1558">
                  <c:v>445.49520000000001</c:v>
                </c:pt>
                <c:pt idx="1559">
                  <c:v>387.9966</c:v>
                </c:pt>
                <c:pt idx="1560">
                  <c:v>137.1097</c:v>
                </c:pt>
                <c:pt idx="1561">
                  <c:v>3422.1000000000004</c:v>
                </c:pt>
                <c:pt idx="1562">
                  <c:v>2083.7599999999998</c:v>
                </c:pt>
                <c:pt idx="1563">
                  <c:v>1.5860000000000001</c:v>
                </c:pt>
                <c:pt idx="1564">
                  <c:v>0</c:v>
                </c:pt>
                <c:pt idx="1565" formatCode="General">
                  <c:v>0</c:v>
                </c:pt>
                <c:pt idx="1566">
                  <c:v>0</c:v>
                </c:pt>
                <c:pt idx="1567">
                  <c:v>5380.2</c:v>
                </c:pt>
                <c:pt idx="1568">
                  <c:v>2841.99</c:v>
                </c:pt>
                <c:pt idx="1569">
                  <c:v>261.32399999999996</c:v>
                </c:pt>
                <c:pt idx="1570">
                  <c:v>1571.299</c:v>
                </c:pt>
                <c:pt idx="1571">
                  <c:v>2952.1102500000002</c:v>
                </c:pt>
                <c:pt idx="1572">
                  <c:v>60.755999999999993</c:v>
                </c:pt>
                <c:pt idx="1573">
                  <c:v>290</c:v>
                </c:pt>
                <c:pt idx="1574">
                  <c:v>105.408</c:v>
                </c:pt>
                <c:pt idx="1575">
                  <c:v>112.72799999999998</c:v>
                </c:pt>
                <c:pt idx="1576">
                  <c:v>237.16799999999998</c:v>
                </c:pt>
                <c:pt idx="1577">
                  <c:v>177.51</c:v>
                </c:pt>
                <c:pt idx="1578">
                  <c:v>83.487040000000007</c:v>
                </c:pt>
                <c:pt idx="1579">
                  <c:v>1491.6207999999999</c:v>
                </c:pt>
                <c:pt idx="1580">
                  <c:v>2575.0784000000003</c:v>
                </c:pt>
                <c:pt idx="1581">
                  <c:v>1128.2560000000001</c:v>
                </c:pt>
                <c:pt idx="1582">
                  <c:v>867.7811200000001</c:v>
                </c:pt>
                <c:pt idx="1583">
                  <c:v>19.764000000000003</c:v>
                </c:pt>
                <c:pt idx="1584">
                  <c:v>3523.36</c:v>
                </c:pt>
                <c:pt idx="1585">
                  <c:v>1083.3600000000001</c:v>
                </c:pt>
                <c:pt idx="1586">
                  <c:v>117.12</c:v>
                </c:pt>
                <c:pt idx="1587">
                  <c:v>875.9</c:v>
                </c:pt>
                <c:pt idx="1588">
                  <c:v>350</c:v>
                </c:pt>
                <c:pt idx="1589">
                  <c:v>721</c:v>
                </c:pt>
                <c:pt idx="1590">
                  <c:v>404.125</c:v>
                </c:pt>
                <c:pt idx="1591">
                  <c:v>2200.4682499999999</c:v>
                </c:pt>
                <c:pt idx="1592">
                  <c:v>86.924999999999983</c:v>
                </c:pt>
                <c:pt idx="1593">
                  <c:v>1992.2258399999996</c:v>
                </c:pt>
                <c:pt idx="1594">
                  <c:v>210.816</c:v>
                </c:pt>
                <c:pt idx="1595">
                  <c:v>1199.8248599999999</c:v>
                </c:pt>
                <c:pt idx="1596">
                  <c:v>239.00044</c:v>
                </c:pt>
                <c:pt idx="1597">
                  <c:v>1583.8454799999997</c:v>
                </c:pt>
                <c:pt idx="1598">
                  <c:v>1076.4000000000001</c:v>
                </c:pt>
                <c:pt idx="1599">
                  <c:v>1400.0415</c:v>
                </c:pt>
                <c:pt idx="1600">
                  <c:v>86.787139999999994</c:v>
                </c:pt>
                <c:pt idx="1601">
                  <c:v>605.54822000000013</c:v>
                </c:pt>
                <c:pt idx="1602">
                  <c:v>1554.4703200000001</c:v>
                </c:pt>
                <c:pt idx="1603">
                  <c:v>96.322050000000004</c:v>
                </c:pt>
                <c:pt idx="1604">
                  <c:v>724.96060000000011</c:v>
                </c:pt>
                <c:pt idx="1605">
                  <c:v>2401.7383599999998</c:v>
                </c:pt>
                <c:pt idx="1606">
                  <c:v>140.36832000000001</c:v>
                </c:pt>
                <c:pt idx="1607">
                  <c:v>1229.1963599999999</c:v>
                </c:pt>
                <c:pt idx="1608">
                  <c:v>792.99023999999997</c:v>
                </c:pt>
                <c:pt idx="1609">
                  <c:v>603.40223999999989</c:v>
                </c:pt>
                <c:pt idx="1610">
                  <c:v>1472.1886400000001</c:v>
                </c:pt>
                <c:pt idx="1611">
                  <c:v>3370.5818399999994</c:v>
                </c:pt>
                <c:pt idx="1612">
                  <c:v>175.55190000000002</c:v>
                </c:pt>
                <c:pt idx="1613">
                  <c:v>2885.5147200000001</c:v>
                </c:pt>
                <c:pt idx="1614">
                  <c:v>150.20639999999997</c:v>
                </c:pt>
                <c:pt idx="1615">
                  <c:v>2535.9993600000003</c:v>
                </c:pt>
                <c:pt idx="1616">
                  <c:v>338.13324799999998</c:v>
                </c:pt>
                <c:pt idx="1617">
                  <c:v>0</c:v>
                </c:pt>
                <c:pt idx="1618">
                  <c:v>320.59999999999997</c:v>
                </c:pt>
                <c:pt idx="1619">
                  <c:v>1073.8</c:v>
                </c:pt>
                <c:pt idx="1620">
                  <c:v>0</c:v>
                </c:pt>
                <c:pt idx="1621">
                  <c:v>2212.4699999999998</c:v>
                </c:pt>
                <c:pt idx="1622">
                  <c:v>1134.7829999999999</c:v>
                </c:pt>
                <c:pt idx="1623">
                  <c:v>122.976</c:v>
                </c:pt>
                <c:pt idx="1624">
                  <c:v>1954.44</c:v>
                </c:pt>
                <c:pt idx="1625">
                  <c:v>399</c:v>
                </c:pt>
                <c:pt idx="1626">
                  <c:v>1143.8</c:v>
                </c:pt>
                <c:pt idx="1627">
                  <c:v>1807.3025099999998</c:v>
                </c:pt>
                <c:pt idx="1628">
                  <c:v>2947.0320000000002</c:v>
                </c:pt>
                <c:pt idx="1629">
                  <c:v>3267.8615</c:v>
                </c:pt>
                <c:pt idx="1630">
                  <c:v>1578.4817499999999</c:v>
                </c:pt>
                <c:pt idx="1631">
                  <c:v>173.87439999999998</c:v>
                </c:pt>
                <c:pt idx="1632">
                  <c:v>3389.5040399999998</c:v>
                </c:pt>
                <c:pt idx="1633">
                  <c:v>206.66800000000001</c:v>
                </c:pt>
                <c:pt idx="1634">
                  <c:v>213.75</c:v>
                </c:pt>
                <c:pt idx="1635">
                  <c:v>1039.5</c:v>
                </c:pt>
                <c:pt idx="1636">
                  <c:v>2723</c:v>
                </c:pt>
                <c:pt idx="1637">
                  <c:v>145.5</c:v>
                </c:pt>
                <c:pt idx="1638">
                  <c:v>203</c:v>
                </c:pt>
                <c:pt idx="1639">
                  <c:v>3781.375</c:v>
                </c:pt>
                <c:pt idx="1640">
                  <c:v>3539.9520000000002</c:v>
                </c:pt>
                <c:pt idx="1641">
                  <c:v>596.25572399999999</c:v>
                </c:pt>
                <c:pt idx="1642">
                  <c:v>1087.5</c:v>
                </c:pt>
                <c:pt idx="1643">
                  <c:v>1747.5</c:v>
                </c:pt>
                <c:pt idx="1644">
                  <c:v>493.5</c:v>
                </c:pt>
                <c:pt idx="1645">
                  <c:v>1288.5</c:v>
                </c:pt>
                <c:pt idx="1646">
                  <c:v>1169.3699999999999</c:v>
                </c:pt>
                <c:pt idx="1647">
                  <c:v>440.72499999999997</c:v>
                </c:pt>
                <c:pt idx="1648">
                  <c:v>717.3599999999999</c:v>
                </c:pt>
                <c:pt idx="1649">
                  <c:v>327.69199999999995</c:v>
                </c:pt>
                <c:pt idx="1650">
                  <c:v>331.596</c:v>
                </c:pt>
                <c:pt idx="1651">
                  <c:v>224.77279999999996</c:v>
                </c:pt>
                <c:pt idx="1652">
                  <c:v>85.399999999999991</c:v>
                </c:pt>
                <c:pt idx="1653">
                  <c:v>3950</c:v>
                </c:pt>
                <c:pt idx="1654">
                  <c:v>170.79999999999998</c:v>
                </c:pt>
                <c:pt idx="1655">
                  <c:v>219.2645</c:v>
                </c:pt>
                <c:pt idx="1656">
                  <c:v>39.528000000000006</c:v>
                </c:pt>
                <c:pt idx="1657">
                  <c:v>61.487999999999992</c:v>
                </c:pt>
                <c:pt idx="1658">
                  <c:v>174.21600000000001</c:v>
                </c:pt>
                <c:pt idx="1659">
                  <c:v>112.24</c:v>
                </c:pt>
                <c:pt idx="1660">
                  <c:v>136.63999999999999</c:v>
                </c:pt>
                <c:pt idx="1661">
                  <c:v>49.1965</c:v>
                </c:pt>
                <c:pt idx="1662">
                  <c:v>121.6096</c:v>
                </c:pt>
                <c:pt idx="1663">
                  <c:v>223.99200000000002</c:v>
                </c:pt>
                <c:pt idx="1664">
                  <c:v>165.92000000000002</c:v>
                </c:pt>
                <c:pt idx="1665">
                  <c:v>380.64</c:v>
                </c:pt>
                <c:pt idx="1666">
                  <c:v>1210.24</c:v>
                </c:pt>
                <c:pt idx="1667">
                  <c:v>189.1</c:v>
                </c:pt>
                <c:pt idx="1668">
                  <c:v>109.556</c:v>
                </c:pt>
                <c:pt idx="1669">
                  <c:v>68.319999999999993</c:v>
                </c:pt>
                <c:pt idx="1670">
                  <c:v>513.86400000000003</c:v>
                </c:pt>
                <c:pt idx="1671">
                  <c:v>421.63200000000001</c:v>
                </c:pt>
                <c:pt idx="1672">
                  <c:v>217</c:v>
                </c:pt>
                <c:pt idx="1673" formatCode="General">
                  <c:v>297</c:v>
                </c:pt>
                <c:pt idx="1674">
                  <c:v>262.38783999999998</c:v>
                </c:pt>
                <c:pt idx="1675">
                  <c:v>233.59584000000001</c:v>
                </c:pt>
                <c:pt idx="1676">
                  <c:v>206.38496000000001</c:v>
                </c:pt>
                <c:pt idx="1677">
                  <c:v>239.9984</c:v>
                </c:pt>
                <c:pt idx="1678">
                  <c:v>304.47296</c:v>
                </c:pt>
                <c:pt idx="1679">
                  <c:v>335.66592000000003</c:v>
                </c:pt>
                <c:pt idx="1680">
                  <c:v>325.87199999999996</c:v>
                </c:pt>
                <c:pt idx="1681">
                  <c:v>230.39456000000001</c:v>
                </c:pt>
                <c:pt idx="1682">
                  <c:v>331.19583999999998</c:v>
                </c:pt>
                <c:pt idx="1683">
                  <c:v>409.60768000000002</c:v>
                </c:pt>
                <c:pt idx="1684">
                  <c:v>237.89999999999998</c:v>
                </c:pt>
                <c:pt idx="1685">
                  <c:v>224.60687999999999</c:v>
                </c:pt>
                <c:pt idx="1686">
                  <c:v>205.19423999999998</c:v>
                </c:pt>
                <c:pt idx="1687">
                  <c:v>178.352</c:v>
                </c:pt>
                <c:pt idx="1688" formatCode="General">
                  <c:v>250.48000000000002</c:v>
                </c:pt>
                <c:pt idx="1689">
                  <c:v>191.99872000000002</c:v>
                </c:pt>
                <c:pt idx="1690">
                  <c:v>556.32000000000005</c:v>
                </c:pt>
                <c:pt idx="1691">
                  <c:v>48.800000000000004</c:v>
                </c:pt>
                <c:pt idx="1692">
                  <c:v>1506.4681999999998</c:v>
                </c:pt>
                <c:pt idx="1693">
                  <c:v>275.23200000000003</c:v>
                </c:pt>
                <c:pt idx="1694">
                  <c:v>167.87200000000001</c:v>
                </c:pt>
                <c:pt idx="1695">
                  <c:v>146.4</c:v>
                </c:pt>
                <c:pt idx="1696">
                  <c:v>296.45999999999998</c:v>
                </c:pt>
                <c:pt idx="1697">
                  <c:v>296.45999999999998</c:v>
                </c:pt>
                <c:pt idx="1698">
                  <c:v>296.45999999999998</c:v>
                </c:pt>
                <c:pt idx="1699">
                  <c:v>1097.7803999999999</c:v>
                </c:pt>
                <c:pt idx="1700">
                  <c:v>181.72388000000001</c:v>
                </c:pt>
                <c:pt idx="1701">
                  <c:v>338.62198000000001</c:v>
                </c:pt>
                <c:pt idx="1702">
                  <c:v>125.76736</c:v>
                </c:pt>
                <c:pt idx="1703">
                  <c:v>80.201579999999993</c:v>
                </c:pt>
                <c:pt idx="1704">
                  <c:v>194.95600000000002</c:v>
                </c:pt>
                <c:pt idx="1705">
                  <c:v>170.55600000000001</c:v>
                </c:pt>
                <c:pt idx="1706">
                  <c:v>1573.8</c:v>
                </c:pt>
                <c:pt idx="1707">
                  <c:v>428.22</c:v>
                </c:pt>
                <c:pt idx="1708">
                  <c:v>250.20000000000002</c:v>
                </c:pt>
                <c:pt idx="1709">
                  <c:v>284.60160000000002</c:v>
                </c:pt>
                <c:pt idx="1710">
                  <c:v>143.96</c:v>
                </c:pt>
                <c:pt idx="1711">
                  <c:v>156.16</c:v>
                </c:pt>
                <c:pt idx="1712">
                  <c:v>197.64</c:v>
                </c:pt>
                <c:pt idx="1713">
                  <c:v>70.760000000000005</c:v>
                </c:pt>
                <c:pt idx="1714">
                  <c:v>435.54</c:v>
                </c:pt>
                <c:pt idx="1715">
                  <c:v>339.20000000000005</c:v>
                </c:pt>
                <c:pt idx="1716">
                  <c:v>249.75000000000003</c:v>
                </c:pt>
                <c:pt idx="1717">
                  <c:v>96.897279999999995</c:v>
                </c:pt>
                <c:pt idx="1718">
                  <c:v>142.79489999999998</c:v>
                </c:pt>
                <c:pt idx="1719">
                  <c:v>207.4</c:v>
                </c:pt>
                <c:pt idx="1720">
                  <c:v>36.6</c:v>
                </c:pt>
                <c:pt idx="1721">
                  <c:v>51.239999999999995</c:v>
                </c:pt>
                <c:pt idx="1722">
                  <c:v>131.76</c:v>
                </c:pt>
                <c:pt idx="1723">
                  <c:v>352.09199999999998</c:v>
                </c:pt>
                <c:pt idx="1724">
                  <c:v>504.34800000000001</c:v>
                </c:pt>
              </c:numCache>
            </c:numRef>
          </c:val>
        </c:ser>
        <c:ser>
          <c:idx val="1"/>
          <c:order val="1"/>
          <c:tx>
            <c:strRef>
              <c:f>PRECIO!$L$1:$L$2</c:f>
              <c:strCache>
                <c:ptCount val="2"/>
                <c:pt idx="0">
                  <c:v>VALOR</c:v>
                </c:pt>
                <c:pt idx="1">
                  <c:v>U$S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PRECIO!$A$3:$J$1802</c:f>
              <c:multiLvlStrCache>
                <c:ptCount val="1725"/>
                <c:lvl>
                  <c:pt idx="0">
                    <c:v>23/09/2024</c:v>
                  </c:pt>
                  <c:pt idx="1">
                    <c:v>16/03/2022</c:v>
                  </c:pt>
                  <c:pt idx="2">
                    <c:v>25/04/2025</c:v>
                  </c:pt>
                  <c:pt idx="3">
                    <c:v>03/03/2020</c:v>
                  </c:pt>
                  <c:pt idx="4">
                    <c:v>03/03/2020</c:v>
                  </c:pt>
                  <c:pt idx="5">
                    <c:v>14/08/2020</c:v>
                  </c:pt>
                  <c:pt idx="6">
                    <c:v>14/08/2020</c:v>
                  </c:pt>
                  <c:pt idx="7">
                    <c:v>14/08/2020</c:v>
                  </c:pt>
                  <c:pt idx="8">
                    <c:v>07/08/2021</c:v>
                  </c:pt>
                  <c:pt idx="9">
                    <c:v>25/04/2025</c:v>
                  </c:pt>
                  <c:pt idx="10">
                    <c:v>18/12/2025</c:v>
                  </c:pt>
                  <c:pt idx="11">
                    <c:v>10/12/2024</c:v>
                  </c:pt>
                  <c:pt idx="12">
                    <c:v>18/12/2025</c:v>
                  </c:pt>
                  <c:pt idx="13">
                    <c:v>07/03/2023</c:v>
                  </c:pt>
                  <c:pt idx="14">
                    <c:v>30/10/2025</c:v>
                  </c:pt>
                  <c:pt idx="15">
                    <c:v>21/11/2025</c:v>
                  </c:pt>
                  <c:pt idx="16">
                    <c:v>10/01/2025</c:v>
                  </c:pt>
                  <c:pt idx="17">
                    <c:v>13/02/2025</c:v>
                  </c:pt>
                  <c:pt idx="18">
                    <c:v>18/01/2023</c:v>
                  </c:pt>
                  <c:pt idx="19">
                    <c:v>18/01/2023</c:v>
                  </c:pt>
                  <c:pt idx="20">
                    <c:v>18/01/2023</c:v>
                  </c:pt>
                  <c:pt idx="21">
                    <c:v>18/01/2023</c:v>
                  </c:pt>
                  <c:pt idx="22">
                    <c:v>28/08/2024</c:v>
                  </c:pt>
                  <c:pt idx="24">
                    <c:v>06/12/2023</c:v>
                  </c:pt>
                  <c:pt idx="25">
                    <c:v>21/01/2025</c:v>
                  </c:pt>
                  <c:pt idx="26">
                    <c:v>10/09/2024</c:v>
                  </c:pt>
                  <c:pt idx="27">
                    <c:v>30/12/2025</c:v>
                  </c:pt>
                  <c:pt idx="28">
                    <c:v>15/01/2025</c:v>
                  </c:pt>
                  <c:pt idx="29">
                    <c:v>03/01/2023</c:v>
                  </c:pt>
                  <c:pt idx="30">
                    <c:v>09/10/2025</c:v>
                  </c:pt>
                  <c:pt idx="31">
                    <c:v>15/01/2025</c:v>
                  </c:pt>
                  <c:pt idx="32">
                    <c:v>26/09/2024</c:v>
                  </c:pt>
                  <c:pt idx="33">
                    <c:v>09/10/2025</c:v>
                  </c:pt>
                  <c:pt idx="34">
                    <c:v>12/12/2023</c:v>
                  </c:pt>
                  <c:pt idx="35">
                    <c:v>11/06/2025</c:v>
                  </c:pt>
                  <c:pt idx="36">
                    <c:v>12/03/2025</c:v>
                  </c:pt>
                  <c:pt idx="37">
                    <c:v>22/06/2022</c:v>
                  </c:pt>
                  <c:pt idx="38">
                    <c:v>21/11/2023</c:v>
                  </c:pt>
                  <c:pt idx="39">
                    <c:v>30/12/2025</c:v>
                  </c:pt>
                  <c:pt idx="40">
                    <c:v>30/12/2025</c:v>
                  </c:pt>
                  <c:pt idx="41">
                    <c:v>30/12/2025</c:v>
                  </c:pt>
                  <c:pt idx="42">
                    <c:v>30/12/2025</c:v>
                  </c:pt>
                  <c:pt idx="43">
                    <c:v>23/03/2025</c:v>
                  </c:pt>
                  <c:pt idx="44">
                    <c:v>30/12/2025</c:v>
                  </c:pt>
                  <c:pt idx="45">
                    <c:v>30/12/2025</c:v>
                  </c:pt>
                  <c:pt idx="46">
                    <c:v>19/06/2025</c:v>
                  </c:pt>
                  <c:pt idx="47">
                    <c:v>14/08/2025</c:v>
                  </c:pt>
                  <c:pt idx="48">
                    <c:v>09/10/2025</c:v>
                  </c:pt>
                  <c:pt idx="49">
                    <c:v>09/03/2023</c:v>
                  </c:pt>
                  <c:pt idx="50">
                    <c:v>09/10/2025</c:v>
                  </c:pt>
                  <c:pt idx="51">
                    <c:v>14/08/2025</c:v>
                  </c:pt>
                  <c:pt idx="52">
                    <c:v>14/08/2025</c:v>
                  </c:pt>
                  <c:pt idx="53">
                    <c:v>14/08/2025</c:v>
                  </c:pt>
                  <c:pt idx="54">
                    <c:v>09/03/2023</c:v>
                  </c:pt>
                  <c:pt idx="55">
                    <c:v>29/09/2022</c:v>
                  </c:pt>
                  <c:pt idx="56">
                    <c:v>02/01/2024</c:v>
                  </c:pt>
                  <c:pt idx="57">
                    <c:v>02/01/2024</c:v>
                  </c:pt>
                  <c:pt idx="58">
                    <c:v>02/01/2024</c:v>
                  </c:pt>
                  <c:pt idx="59">
                    <c:v>12/03/2025</c:v>
                  </c:pt>
                  <c:pt idx="60">
                    <c:v>02/09/2024</c:v>
                  </c:pt>
                  <c:pt idx="61">
                    <c:v>14/11/2024</c:v>
                  </c:pt>
                  <c:pt idx="62">
                    <c:v>31/07/2024</c:v>
                  </c:pt>
                  <c:pt idx="63">
                    <c:v>08/03/2022</c:v>
                  </c:pt>
                  <c:pt idx="64">
                    <c:v>08/06/2020</c:v>
                  </c:pt>
                  <c:pt idx="65">
                    <c:v>14/11/2024</c:v>
                  </c:pt>
                  <c:pt idx="66">
                    <c:v>29/04/2025</c:v>
                  </c:pt>
                  <c:pt idx="67">
                    <c:v>10/01/2025</c:v>
                  </c:pt>
                  <c:pt idx="68">
                    <c:v>10/01/2025</c:v>
                  </c:pt>
                  <c:pt idx="69">
                    <c:v>10/01/2025</c:v>
                  </c:pt>
                  <c:pt idx="70">
                    <c:v>10/01/2025</c:v>
                  </c:pt>
                  <c:pt idx="71">
                    <c:v>20/03/2023</c:v>
                  </c:pt>
                  <c:pt idx="72">
                    <c:v>22/12/2025</c:v>
                  </c:pt>
                  <c:pt idx="73">
                    <c:v>22/12/2025</c:v>
                  </c:pt>
                  <c:pt idx="74">
                    <c:v>11/10/2025</c:v>
                  </c:pt>
                  <c:pt idx="75">
                    <c:v>11/10/2025</c:v>
                  </c:pt>
                  <c:pt idx="76">
                    <c:v>18/01/2023</c:v>
                  </c:pt>
                  <c:pt idx="77">
                    <c:v>18/01/2023</c:v>
                  </c:pt>
                  <c:pt idx="78">
                    <c:v>07/10/2024</c:v>
                  </c:pt>
                  <c:pt idx="79">
                    <c:v>13/02/2025</c:v>
                  </c:pt>
                  <c:pt idx="80">
                    <c:v>16/10/2025</c:v>
                  </c:pt>
                  <c:pt idx="81">
                    <c:v>16/10/2025</c:v>
                  </c:pt>
                  <c:pt idx="82">
                    <c:v>16/10/2025</c:v>
                  </c:pt>
                  <c:pt idx="83">
                    <c:v>02/10/2024</c:v>
                  </c:pt>
                  <c:pt idx="84">
                    <c:v>02/10/2024</c:v>
                  </c:pt>
                  <c:pt idx="85">
                    <c:v>20/07/2024</c:v>
                  </c:pt>
                  <c:pt idx="86">
                    <c:v>20/07/2024</c:v>
                  </c:pt>
                  <c:pt idx="87">
                    <c:v>20/07/2024</c:v>
                  </c:pt>
                  <c:pt idx="88">
                    <c:v>03/07/2025</c:v>
                  </c:pt>
                  <c:pt idx="89">
                    <c:v>03/07/2025</c:v>
                  </c:pt>
                  <c:pt idx="90">
                    <c:v>07/10/2024</c:v>
                  </c:pt>
                  <c:pt idx="91">
                    <c:v>07/10/2024</c:v>
                  </c:pt>
                  <c:pt idx="93">
                    <c:v>02/10/2024</c:v>
                  </c:pt>
                  <c:pt idx="94">
                    <c:v>05/12/2023</c:v>
                  </c:pt>
                  <c:pt idx="95">
                    <c:v>12/03/2021</c:v>
                  </c:pt>
                  <c:pt idx="96">
                    <c:v>10/01/2024</c:v>
                  </c:pt>
                  <c:pt idx="97">
                    <c:v>23/10/2023</c:v>
                  </c:pt>
                  <c:pt idx="98">
                    <c:v>10/05/2025</c:v>
                  </c:pt>
                  <c:pt idx="99">
                    <c:v>10/05/2025</c:v>
                  </c:pt>
                  <c:pt idx="100">
                    <c:v>10/05/2023</c:v>
                  </c:pt>
                  <c:pt idx="101">
                    <c:v>09/12/2024</c:v>
                  </c:pt>
                  <c:pt idx="102">
                    <c:v>04/11/2025</c:v>
                  </c:pt>
                  <c:pt idx="103">
                    <c:v>08/12/2025</c:v>
                  </c:pt>
                  <c:pt idx="104">
                    <c:v>16/03/2020</c:v>
                  </c:pt>
                  <c:pt idx="105">
                    <c:v>30/09/2025</c:v>
                  </c:pt>
                  <c:pt idx="106">
                    <c:v>15/11/2023</c:v>
                  </c:pt>
                  <c:pt idx="107">
                    <c:v>10/08/2023</c:v>
                  </c:pt>
                  <c:pt idx="108">
                    <c:v>30/09/2025</c:v>
                  </c:pt>
                  <c:pt idx="109">
                    <c:v>19/09/2020</c:v>
                  </c:pt>
                  <c:pt idx="110">
                    <c:v>20/05/2025</c:v>
                  </c:pt>
                  <c:pt idx="111">
                    <c:v>21/11/2023</c:v>
                  </c:pt>
                  <c:pt idx="112">
                    <c:v>21/11/2025</c:v>
                  </c:pt>
                  <c:pt idx="113">
                    <c:v>21/11/2025</c:v>
                  </c:pt>
                  <c:pt idx="114">
                    <c:v>17/08/2025</c:v>
                  </c:pt>
                  <c:pt idx="115">
                    <c:v>17/08/2025</c:v>
                  </c:pt>
                  <c:pt idx="116">
                    <c:v>26/07/2024</c:v>
                  </c:pt>
                  <c:pt idx="117">
                    <c:v>21/08/2025</c:v>
                  </c:pt>
                  <c:pt idx="118">
                    <c:v>21/08/2025</c:v>
                  </c:pt>
                  <c:pt idx="119">
                    <c:v>30/04/2025</c:v>
                  </c:pt>
                  <c:pt idx="120">
                    <c:v>18/08/2025</c:v>
                  </c:pt>
                  <c:pt idx="121">
                    <c:v>20/02/2024</c:v>
                  </c:pt>
                  <c:pt idx="122">
                    <c:v>27/12/2024</c:v>
                  </c:pt>
                  <c:pt idx="123">
                    <c:v>27/12/2024</c:v>
                  </c:pt>
                  <c:pt idx="124">
                    <c:v>03/05/2024</c:v>
                  </c:pt>
                  <c:pt idx="125">
                    <c:v>08/08/2021</c:v>
                  </c:pt>
                  <c:pt idx="126">
                    <c:v>08/08/2021</c:v>
                  </c:pt>
                  <c:pt idx="127">
                    <c:v>08/08/2021</c:v>
                  </c:pt>
                  <c:pt idx="128">
                    <c:v>08/08/2021</c:v>
                  </c:pt>
                  <c:pt idx="129">
                    <c:v>07/06/2023</c:v>
                  </c:pt>
                  <c:pt idx="130">
                    <c:v>19/11/2025</c:v>
                  </c:pt>
                  <c:pt idx="131">
                    <c:v>19/11/2025</c:v>
                  </c:pt>
                  <c:pt idx="132">
                    <c:v>30/09/2025</c:v>
                  </c:pt>
                  <c:pt idx="133">
                    <c:v>27/07/2025</c:v>
                  </c:pt>
                  <c:pt idx="134">
                    <c:v>31/05/2025</c:v>
                  </c:pt>
                  <c:pt idx="135">
                    <c:v>31/05/2025</c:v>
                  </c:pt>
                  <c:pt idx="136">
                    <c:v>20/06/2024</c:v>
                  </c:pt>
                  <c:pt idx="137">
                    <c:v>27/03/2025</c:v>
                  </c:pt>
                  <c:pt idx="138">
                    <c:v>23/12/2024</c:v>
                  </c:pt>
                  <c:pt idx="139">
                    <c:v>21/11/2025</c:v>
                  </c:pt>
                  <c:pt idx="140">
                    <c:v>23/12/2024</c:v>
                  </c:pt>
                  <c:pt idx="141">
                    <c:v>21/11/2025</c:v>
                  </c:pt>
                  <c:pt idx="142">
                    <c:v>19/08/2024</c:v>
                  </c:pt>
                  <c:pt idx="143">
                    <c:v>23/12/2024</c:v>
                  </c:pt>
                  <c:pt idx="144">
                    <c:v>02/09/2023</c:v>
                  </c:pt>
                  <c:pt idx="145">
                    <c:v>02/09/2023</c:v>
                  </c:pt>
                  <c:pt idx="146">
                    <c:v>09/10/2025</c:v>
                  </c:pt>
                  <c:pt idx="147">
                    <c:v>30/10/2025</c:v>
                  </c:pt>
                  <c:pt idx="148">
                    <c:v>17/08/2025</c:v>
                  </c:pt>
                  <c:pt idx="149">
                    <c:v>09/01/2025</c:v>
                  </c:pt>
                  <c:pt idx="150">
                    <c:v>03/08/1900</c:v>
                  </c:pt>
                  <c:pt idx="151">
                    <c:v>23/12/2024</c:v>
                  </c:pt>
                  <c:pt idx="152">
                    <c:v>30/10/2025</c:v>
                  </c:pt>
                  <c:pt idx="153">
                    <c:v>29/09/2022</c:v>
                  </c:pt>
                  <c:pt idx="154">
                    <c:v>25/04/2023</c:v>
                  </c:pt>
                  <c:pt idx="155">
                    <c:v>29/09/2022</c:v>
                  </c:pt>
                  <c:pt idx="156">
                    <c:v>27/07/2024</c:v>
                  </c:pt>
                  <c:pt idx="157">
                    <c:v>09/10/2025</c:v>
                  </c:pt>
                  <c:pt idx="158">
                    <c:v>09/10/2025</c:v>
                  </c:pt>
                  <c:pt idx="159">
                    <c:v>20/06/2024</c:v>
                  </c:pt>
                  <c:pt idx="160">
                    <c:v>17/08/2025</c:v>
                  </c:pt>
                  <c:pt idx="161">
                    <c:v>16/09/2023</c:v>
                  </c:pt>
                  <c:pt idx="162">
                    <c:v>20/03/2023</c:v>
                  </c:pt>
                  <c:pt idx="163">
                    <c:v>20/03/2023</c:v>
                  </c:pt>
                  <c:pt idx="164">
                    <c:v>20/03/2023</c:v>
                  </c:pt>
                  <c:pt idx="165">
                    <c:v>10/03/2020</c:v>
                  </c:pt>
                  <c:pt idx="166">
                    <c:v>19/09/2020</c:v>
                  </c:pt>
                  <c:pt idx="167">
                    <c:v>27/12/2023</c:v>
                  </c:pt>
                  <c:pt idx="168">
                    <c:v>25/09/2025</c:v>
                  </c:pt>
                  <c:pt idx="169">
                    <c:v>27/07/2022</c:v>
                  </c:pt>
                  <c:pt idx="170">
                    <c:v>27/07/2022</c:v>
                  </c:pt>
                  <c:pt idx="171">
                    <c:v>27/07/2022</c:v>
                  </c:pt>
                  <c:pt idx="172">
                    <c:v>02/04/2024</c:v>
                  </c:pt>
                  <c:pt idx="173">
                    <c:v>05/05/2020</c:v>
                  </c:pt>
                  <c:pt idx="174">
                    <c:v>07/03/2023</c:v>
                  </c:pt>
                  <c:pt idx="175">
                    <c:v>30/08/2023</c:v>
                  </c:pt>
                  <c:pt idx="176">
                    <c:v>25/09/2025</c:v>
                  </c:pt>
                  <c:pt idx="177">
                    <c:v>15/11/2024</c:v>
                  </c:pt>
                  <c:pt idx="178">
                    <c:v>23/07/2025</c:v>
                  </c:pt>
                  <c:pt idx="179">
                    <c:v>18/09/2025</c:v>
                  </c:pt>
                  <c:pt idx="180">
                    <c:v>18/09/2025</c:v>
                  </c:pt>
                  <c:pt idx="181">
                    <c:v>30/10/2025</c:v>
                  </c:pt>
                  <c:pt idx="182">
                    <c:v>30/10/2025</c:v>
                  </c:pt>
                  <c:pt idx="183">
                    <c:v>30/10/2025</c:v>
                  </c:pt>
                  <c:pt idx="184">
                    <c:v>30/10/2025</c:v>
                  </c:pt>
                  <c:pt idx="185">
                    <c:v>25/04/2025</c:v>
                  </c:pt>
                  <c:pt idx="186">
                    <c:v>25/04/2024</c:v>
                  </c:pt>
                  <c:pt idx="187">
                    <c:v>25/04/2024</c:v>
                  </c:pt>
                  <c:pt idx="188">
                    <c:v>21/10/2023</c:v>
                  </c:pt>
                  <c:pt idx="189">
                    <c:v>10/05/2023</c:v>
                  </c:pt>
                  <c:pt idx="190">
                    <c:v>15/03/2024</c:v>
                  </c:pt>
                  <c:pt idx="191">
                    <c:v>15/03/2024</c:v>
                  </c:pt>
                  <c:pt idx="192">
                    <c:v>15/03/2024</c:v>
                  </c:pt>
                  <c:pt idx="193">
                    <c:v>09/09/2025</c:v>
                  </c:pt>
                  <c:pt idx="194">
                    <c:v>09/09/2025</c:v>
                  </c:pt>
                  <c:pt idx="195">
                    <c:v>30/10/2025</c:v>
                  </c:pt>
                  <c:pt idx="196">
                    <c:v>30/10/2025</c:v>
                  </c:pt>
                  <c:pt idx="197">
                    <c:v>30/10/2025</c:v>
                  </c:pt>
                  <c:pt idx="198">
                    <c:v>30/10/2025</c:v>
                  </c:pt>
                  <c:pt idx="199">
                    <c:v>30/10/2025</c:v>
                  </c:pt>
                  <c:pt idx="200">
                    <c:v>30/10/2025</c:v>
                  </c:pt>
                  <c:pt idx="201">
                    <c:v>04/06/2025</c:v>
                  </c:pt>
                  <c:pt idx="202">
                    <c:v>04/06/2025</c:v>
                  </c:pt>
                  <c:pt idx="203">
                    <c:v>04/12/2024</c:v>
                  </c:pt>
                  <c:pt idx="204">
                    <c:v>15/11/2024</c:v>
                  </c:pt>
                  <c:pt idx="205">
                    <c:v>15/11/2024</c:v>
                  </c:pt>
                  <c:pt idx="206">
                    <c:v>02/09/2022</c:v>
                  </c:pt>
                  <c:pt idx="207">
                    <c:v>19/12/2024</c:v>
                  </c:pt>
                  <c:pt idx="208">
                    <c:v>04/12/2024</c:v>
                  </c:pt>
                  <c:pt idx="209">
                    <c:v>04/12/2024</c:v>
                  </c:pt>
                  <c:pt idx="210">
                    <c:v>20/11/2025</c:v>
                  </c:pt>
                  <c:pt idx="211">
                    <c:v>20/05/2025</c:v>
                  </c:pt>
                  <c:pt idx="212">
                    <c:v>20/05/2025</c:v>
                  </c:pt>
                  <c:pt idx="213">
                    <c:v>08/07/2024</c:v>
                  </c:pt>
                  <c:pt idx="214">
                    <c:v>08/07/2024</c:v>
                  </c:pt>
                  <c:pt idx="215">
                    <c:v>08/07/2024</c:v>
                  </c:pt>
                  <c:pt idx="216">
                    <c:v>18/08/2025</c:v>
                  </c:pt>
                  <c:pt idx="217">
                    <c:v>08/05/2025</c:v>
                  </c:pt>
                  <c:pt idx="218">
                    <c:v>06/11/2024</c:v>
                  </c:pt>
                  <c:pt idx="219">
                    <c:v>18/10/2024</c:v>
                  </c:pt>
                  <c:pt idx="220">
                    <c:v>18/10/2024</c:v>
                  </c:pt>
                  <c:pt idx="221">
                    <c:v>19/06/2025</c:v>
                  </c:pt>
                  <c:pt idx="222">
                    <c:v>19/10/2022</c:v>
                  </c:pt>
                  <c:pt idx="223">
                    <c:v>03/12/2024</c:v>
                  </c:pt>
                  <c:pt idx="224">
                    <c:v>07/06/2023</c:v>
                  </c:pt>
                  <c:pt idx="225">
                    <c:v>19/06/2025</c:v>
                  </c:pt>
                  <c:pt idx="226">
                    <c:v>26/07/2024</c:v>
                  </c:pt>
                  <c:pt idx="227">
                    <c:v>20/11/2025</c:v>
                  </c:pt>
                  <c:pt idx="228">
                    <c:v>10/03/2020</c:v>
                  </c:pt>
                  <c:pt idx="229">
                    <c:v>31/05/2025</c:v>
                  </c:pt>
                  <c:pt idx="230">
                    <c:v>31/01/2021</c:v>
                  </c:pt>
                  <c:pt idx="231">
                    <c:v>31/01/2021</c:v>
                  </c:pt>
                  <c:pt idx="232">
                    <c:v>31/01/2021</c:v>
                  </c:pt>
                  <c:pt idx="233">
                    <c:v>29/09/2025</c:v>
                  </c:pt>
                  <c:pt idx="234">
                    <c:v>30/10/2025</c:v>
                  </c:pt>
                  <c:pt idx="235">
                    <c:v>20/07/2024</c:v>
                  </c:pt>
                  <c:pt idx="236">
                    <c:v>03/11/2020</c:v>
                  </c:pt>
                  <c:pt idx="237">
                    <c:v>07/03/2024</c:v>
                  </c:pt>
                  <c:pt idx="238">
                    <c:v>04/07/2024</c:v>
                  </c:pt>
                  <c:pt idx="239">
                    <c:v>27/12/2023</c:v>
                  </c:pt>
                  <c:pt idx="240">
                    <c:v>29/10/2021</c:v>
                  </c:pt>
                  <c:pt idx="241">
                    <c:v>05/12/2022</c:v>
                  </c:pt>
                  <c:pt idx="242">
                    <c:v>15/03/2022</c:v>
                  </c:pt>
                  <c:pt idx="243">
                    <c:v>05/12/2022</c:v>
                  </c:pt>
                  <c:pt idx="244">
                    <c:v>21/09/2023</c:v>
                  </c:pt>
                  <c:pt idx="245">
                    <c:v>21/09/2023</c:v>
                  </c:pt>
                  <c:pt idx="246">
                    <c:v>21/09/2023</c:v>
                  </c:pt>
                  <c:pt idx="247">
                    <c:v>10/03/2020</c:v>
                  </c:pt>
                  <c:pt idx="248">
                    <c:v>06/09/2024</c:v>
                  </c:pt>
                  <c:pt idx="249">
                    <c:v>15/03/2022</c:v>
                  </c:pt>
                  <c:pt idx="250">
                    <c:v>30/04/2025</c:v>
                  </c:pt>
                  <c:pt idx="251">
                    <c:v>10/07/2025</c:v>
                  </c:pt>
                  <c:pt idx="252">
                    <c:v>12/07/2024</c:v>
                  </c:pt>
                  <c:pt idx="253">
                    <c:v>03/04/2024</c:v>
                  </c:pt>
                  <c:pt idx="254">
                    <c:v>19/08/2024</c:v>
                  </c:pt>
                  <c:pt idx="255">
                    <c:v>12/07/2024</c:v>
                  </c:pt>
                  <c:pt idx="256">
                    <c:v>20/03/2023</c:v>
                  </c:pt>
                  <c:pt idx="257">
                    <c:v>20/03/2023</c:v>
                  </c:pt>
                  <c:pt idx="258">
                    <c:v>06/09/2024</c:v>
                  </c:pt>
                  <c:pt idx="259">
                    <c:v>21/09/2023</c:v>
                  </c:pt>
                  <c:pt idx="260">
                    <c:v>24/03/2025</c:v>
                  </c:pt>
                  <c:pt idx="261">
                    <c:v>23/10/2025</c:v>
                  </c:pt>
                  <c:pt idx="262">
                    <c:v>23/10/2025</c:v>
                  </c:pt>
                  <c:pt idx="263">
                    <c:v>09/12/2024</c:v>
                  </c:pt>
                  <c:pt idx="264">
                    <c:v>15/10/2025</c:v>
                  </c:pt>
                  <c:pt idx="265">
                    <c:v>26/11/2025</c:v>
                  </c:pt>
                  <c:pt idx="266">
                    <c:v>24/10/2024</c:v>
                  </c:pt>
                  <c:pt idx="267">
                    <c:v>24/10/2024</c:v>
                  </c:pt>
                  <c:pt idx="268">
                    <c:v>13/09/2022</c:v>
                  </c:pt>
                  <c:pt idx="269">
                    <c:v>26/07/2024</c:v>
                  </c:pt>
                  <c:pt idx="270">
                    <c:v>21/09/2023</c:v>
                  </c:pt>
                  <c:pt idx="271">
                    <c:v>16/09/2023</c:v>
                  </c:pt>
                  <c:pt idx="272">
                    <c:v>21/11/2025</c:v>
                  </c:pt>
                  <c:pt idx="273">
                    <c:v>03/10/2016</c:v>
                  </c:pt>
                  <c:pt idx="274">
                    <c:v>13/10/2022</c:v>
                  </c:pt>
                  <c:pt idx="275">
                    <c:v>30/12/2025</c:v>
                  </c:pt>
                  <c:pt idx="276">
                    <c:v>30/04/2025</c:v>
                  </c:pt>
                  <c:pt idx="277">
                    <c:v>20/11/2025</c:v>
                  </c:pt>
                  <c:pt idx="278">
                    <c:v>20/11/2025</c:v>
                  </c:pt>
                  <c:pt idx="279">
                    <c:v>06/06/2025</c:v>
                  </c:pt>
                  <c:pt idx="280">
                    <c:v>06/06/2025</c:v>
                  </c:pt>
                  <c:pt idx="281">
                    <c:v>10/09/2024</c:v>
                  </c:pt>
                  <c:pt idx="283">
                    <c:v>18/12/2025</c:v>
                  </c:pt>
                  <c:pt idx="284">
                    <c:v>18/12/2025</c:v>
                  </c:pt>
                  <c:pt idx="285">
                    <c:v>30/10/2025</c:v>
                  </c:pt>
                  <c:pt idx="286">
                    <c:v>21/12/2023</c:v>
                  </c:pt>
                  <c:pt idx="287">
                    <c:v>30/10/2025</c:v>
                  </c:pt>
                  <c:pt idx="288">
                    <c:v>01/11/2021</c:v>
                  </c:pt>
                  <c:pt idx="289">
                    <c:v>06/09/2023</c:v>
                  </c:pt>
                  <c:pt idx="290">
                    <c:v>30/10/2025</c:v>
                  </c:pt>
                  <c:pt idx="291">
                    <c:v>06/09/2023</c:v>
                  </c:pt>
                  <c:pt idx="292">
                    <c:v>16/06/2022</c:v>
                  </c:pt>
                  <c:pt idx="293">
                    <c:v>21/12/2023</c:v>
                  </c:pt>
                  <c:pt idx="294">
                    <c:v>06/09/2023</c:v>
                  </c:pt>
                  <c:pt idx="295">
                    <c:v>12/03/2025</c:v>
                  </c:pt>
                  <c:pt idx="296">
                    <c:v>01/11/2021</c:v>
                  </c:pt>
                  <c:pt idx="297">
                    <c:v>01/11/2021</c:v>
                  </c:pt>
                  <c:pt idx="298">
                    <c:v>01/11/2021</c:v>
                  </c:pt>
                  <c:pt idx="299">
                    <c:v>08/03/2024</c:v>
                  </c:pt>
                  <c:pt idx="300">
                    <c:v>08/03/2024</c:v>
                  </c:pt>
                  <c:pt idx="301">
                    <c:v>23/10/2024</c:v>
                  </c:pt>
                  <c:pt idx="302">
                    <c:v>23/10/2024</c:v>
                  </c:pt>
                  <c:pt idx="303">
                    <c:v>13/06/2024</c:v>
                  </c:pt>
                  <c:pt idx="304">
                    <c:v>23/12/2025</c:v>
                  </c:pt>
                  <c:pt idx="305">
                    <c:v>26/09/2025</c:v>
                  </c:pt>
                  <c:pt idx="306">
                    <c:v>30/04/2024</c:v>
                  </c:pt>
                  <c:pt idx="307">
                    <c:v>30/09/2025</c:v>
                  </c:pt>
                  <c:pt idx="308">
                    <c:v>15/08/2025</c:v>
                  </c:pt>
                  <c:pt idx="309">
                    <c:v>20/11/2025</c:v>
                  </c:pt>
                  <c:pt idx="310">
                    <c:v>25/04/2024</c:v>
                  </c:pt>
                  <c:pt idx="311">
                    <c:v>01/06/2020</c:v>
                  </c:pt>
                  <c:pt idx="312">
                    <c:v>18/12/2025</c:v>
                  </c:pt>
                  <c:pt idx="313">
                    <c:v>07/05/2021</c:v>
                  </c:pt>
                  <c:pt idx="314">
                    <c:v>17/06/2021</c:v>
                  </c:pt>
                  <c:pt idx="315">
                    <c:v>11/01/2025</c:v>
                  </c:pt>
                  <c:pt idx="316">
                    <c:v>04/10/2025</c:v>
                  </c:pt>
                  <c:pt idx="317">
                    <c:v>04/10/2025</c:v>
                  </c:pt>
                  <c:pt idx="318">
                    <c:v>12/04/2025</c:v>
                  </c:pt>
                  <c:pt idx="319">
                    <c:v>27/12/2024</c:v>
                  </c:pt>
                  <c:pt idx="320">
                    <c:v>01/11/2021</c:v>
                  </c:pt>
                  <c:pt idx="321">
                    <c:v>10/01/2024</c:v>
                  </c:pt>
                  <c:pt idx="322">
                    <c:v>19/06/2025</c:v>
                  </c:pt>
                  <c:pt idx="323">
                    <c:v>15/03/2024</c:v>
                  </c:pt>
                  <c:pt idx="324">
                    <c:v>27/12/2024</c:v>
                  </c:pt>
                  <c:pt idx="325">
                    <c:v>15/03/2024</c:v>
                  </c:pt>
                  <c:pt idx="326">
                    <c:v>15/03/2024</c:v>
                  </c:pt>
                  <c:pt idx="327">
                    <c:v>21/01/2025</c:v>
                  </c:pt>
                  <c:pt idx="328">
                    <c:v>28/08/2024</c:v>
                  </c:pt>
                  <c:pt idx="329">
                    <c:v>28/08/2024</c:v>
                  </c:pt>
                  <c:pt idx="330">
                    <c:v>28/08/2024</c:v>
                  </c:pt>
                  <c:pt idx="331">
                    <c:v>21/11/2024</c:v>
                  </c:pt>
                  <c:pt idx="332">
                    <c:v>02/06/2022</c:v>
                  </c:pt>
                  <c:pt idx="333">
                    <c:v>02/06/2022</c:v>
                  </c:pt>
                  <c:pt idx="334">
                    <c:v>02/06/2022</c:v>
                  </c:pt>
                  <c:pt idx="335">
                    <c:v>31/05/2025</c:v>
                  </c:pt>
                  <c:pt idx="336">
                    <c:v>05/05/2020</c:v>
                  </c:pt>
                  <c:pt idx="337">
                    <c:v>18/05/2022</c:v>
                  </c:pt>
                  <c:pt idx="338">
                    <c:v>29/09/2025</c:v>
                  </c:pt>
                  <c:pt idx="339">
                    <c:v>29/09/2025</c:v>
                  </c:pt>
                  <c:pt idx="340">
                    <c:v>21/11/2025</c:v>
                  </c:pt>
                  <c:pt idx="341">
                    <c:v>21/11/2025</c:v>
                  </c:pt>
                  <c:pt idx="342">
                    <c:v>21/11/2025</c:v>
                  </c:pt>
                  <c:pt idx="343">
                    <c:v>21/11/2025</c:v>
                  </c:pt>
                  <c:pt idx="344">
                    <c:v>09/05/2023</c:v>
                  </c:pt>
                  <c:pt idx="345">
                    <c:v>21/11/2025</c:v>
                  </c:pt>
                  <c:pt idx="346">
                    <c:v>21/11/2025</c:v>
                  </c:pt>
                  <c:pt idx="347">
                    <c:v>18/08/2024</c:v>
                  </c:pt>
                  <c:pt idx="348">
                    <c:v>30/09/2024</c:v>
                  </c:pt>
                  <c:pt idx="349">
                    <c:v>21/11/2025</c:v>
                  </c:pt>
                  <c:pt idx="350">
                    <c:v>30/05/2025</c:v>
                  </c:pt>
                  <c:pt idx="351">
                    <c:v>30/09/2024</c:v>
                  </c:pt>
                  <c:pt idx="352">
                    <c:v>30/09/2024</c:v>
                  </c:pt>
                  <c:pt idx="353">
                    <c:v>05/05/2020</c:v>
                  </c:pt>
                  <c:pt idx="354">
                    <c:v>05/03/2025</c:v>
                  </c:pt>
                  <c:pt idx="355">
                    <c:v>05/03/2025</c:v>
                  </c:pt>
                  <c:pt idx="356">
                    <c:v>05/03/2025</c:v>
                  </c:pt>
                  <c:pt idx="357">
                    <c:v>01/10/2020</c:v>
                  </c:pt>
                  <c:pt idx="358">
                    <c:v>06/04/2022</c:v>
                  </c:pt>
                  <c:pt idx="359">
                    <c:v>18/05/2022</c:v>
                  </c:pt>
                  <c:pt idx="360">
                    <c:v>18/05/2022</c:v>
                  </c:pt>
                  <c:pt idx="361">
                    <c:v>19/02/2025</c:v>
                  </c:pt>
                  <c:pt idx="362">
                    <c:v>10/09/2024</c:v>
                  </c:pt>
                  <c:pt idx="363">
                    <c:v>16/10/2025</c:v>
                  </c:pt>
                  <c:pt idx="364">
                    <c:v>19/02/2025</c:v>
                  </c:pt>
                  <c:pt idx="365">
                    <c:v>03/01/2024</c:v>
                  </c:pt>
                  <c:pt idx="366">
                    <c:v>10/12/2024</c:v>
                  </c:pt>
                  <c:pt idx="367">
                    <c:v>19/02/2025</c:v>
                  </c:pt>
                  <c:pt idx="368">
                    <c:v>03/01/2024</c:v>
                  </c:pt>
                  <c:pt idx="369">
                    <c:v>30/09/2024</c:v>
                  </c:pt>
                  <c:pt idx="370">
                    <c:v>31/05/2025</c:v>
                  </c:pt>
                  <c:pt idx="371">
                    <c:v>18/09/2025</c:v>
                  </c:pt>
                  <c:pt idx="372">
                    <c:v>30/10/2025</c:v>
                  </c:pt>
                  <c:pt idx="373">
                    <c:v>21/11/2025</c:v>
                  </c:pt>
                  <c:pt idx="374">
                    <c:v>06/04/2022</c:v>
                  </c:pt>
                  <c:pt idx="375">
                    <c:v>04/05/2020</c:v>
                  </c:pt>
                  <c:pt idx="376">
                    <c:v>30/10/2025</c:v>
                  </c:pt>
                  <c:pt idx="377">
                    <c:v>16/02/2022</c:v>
                  </c:pt>
                  <c:pt idx="378">
                    <c:v>29/08/2025</c:v>
                  </c:pt>
                  <c:pt idx="379">
                    <c:v>29/09/2025</c:v>
                  </c:pt>
                  <c:pt idx="380">
                    <c:v>30/09/2024</c:v>
                  </c:pt>
                  <c:pt idx="381">
                    <c:v>10/04/2023</c:v>
                  </c:pt>
                  <c:pt idx="382">
                    <c:v>30/09/2024</c:v>
                  </c:pt>
                  <c:pt idx="383">
                    <c:v>22/12/2025</c:v>
                  </c:pt>
                  <c:pt idx="384">
                    <c:v>22/12/2025</c:v>
                  </c:pt>
                  <c:pt idx="385">
                    <c:v>18/05/2022</c:v>
                  </c:pt>
                  <c:pt idx="386">
                    <c:v>27/12/2024</c:v>
                  </c:pt>
                  <c:pt idx="387">
                    <c:v>25/04/2022</c:v>
                  </c:pt>
                  <c:pt idx="388">
                    <c:v>30/12/2021</c:v>
                  </c:pt>
                  <c:pt idx="389">
                    <c:v>30/12/2021</c:v>
                  </c:pt>
                  <c:pt idx="390">
                    <c:v>23/10/2024</c:v>
                  </c:pt>
                  <c:pt idx="391">
                    <c:v>21/11/2023</c:v>
                  </c:pt>
                  <c:pt idx="392">
                    <c:v>30/05/2025</c:v>
                  </c:pt>
                  <c:pt idx="393">
                    <c:v>30/05/2025</c:v>
                  </c:pt>
                  <c:pt idx="394">
                    <c:v>21/02/2022</c:v>
                  </c:pt>
                  <c:pt idx="395">
                    <c:v>07/06/2024</c:v>
                  </c:pt>
                  <c:pt idx="396">
                    <c:v>07/06/2024</c:v>
                  </c:pt>
                  <c:pt idx="397">
                    <c:v>18/05/2022</c:v>
                  </c:pt>
                  <c:pt idx="398">
                    <c:v>07/06/2024</c:v>
                  </c:pt>
                  <c:pt idx="399">
                    <c:v>07/06/2024</c:v>
                  </c:pt>
                  <c:pt idx="401">
                    <c:v>21/11/2025</c:v>
                  </c:pt>
                  <c:pt idx="402">
                    <c:v>07/06/2024</c:v>
                  </c:pt>
                  <c:pt idx="403">
                    <c:v>30/12/2021</c:v>
                  </c:pt>
                  <c:pt idx="405">
                    <c:v>16/08/2021</c:v>
                  </c:pt>
                  <c:pt idx="406">
                    <c:v>26/09/2024</c:v>
                  </c:pt>
                  <c:pt idx="407">
                    <c:v>20/11/2025</c:v>
                  </c:pt>
                  <c:pt idx="408">
                    <c:v>01/10/2020</c:v>
                  </c:pt>
                  <c:pt idx="409">
                    <c:v>19/11/2025</c:v>
                  </c:pt>
                  <c:pt idx="410">
                    <c:v>12/10/2023</c:v>
                  </c:pt>
                  <c:pt idx="411">
                    <c:v>16/07/2022</c:v>
                  </c:pt>
                  <c:pt idx="412">
                    <c:v>26/06/2020</c:v>
                  </c:pt>
                  <c:pt idx="413">
                    <c:v>25/04/2020</c:v>
                  </c:pt>
                  <c:pt idx="415">
                    <c:v>21/1125</c:v>
                  </c:pt>
                  <c:pt idx="416">
                    <c:v>23/09/2025</c:v>
                  </c:pt>
                  <c:pt idx="417">
                    <c:v>23/09/2025</c:v>
                  </c:pt>
                  <c:pt idx="418">
                    <c:v>28/08/2024</c:v>
                  </c:pt>
                  <c:pt idx="419">
                    <c:v>10/03/2020</c:v>
                  </c:pt>
                  <c:pt idx="420">
                    <c:v>18/01/2023</c:v>
                  </c:pt>
                  <c:pt idx="422">
                    <c:v>18/08/2025</c:v>
                  </c:pt>
                  <c:pt idx="423">
                    <c:v>10/01/2024</c:v>
                  </c:pt>
                  <c:pt idx="424">
                    <c:v>23/09/2024</c:v>
                  </c:pt>
                  <c:pt idx="425">
                    <c:v>23/09/2024</c:v>
                  </c:pt>
                  <c:pt idx="426">
                    <c:v>23/09/2024</c:v>
                  </c:pt>
                  <c:pt idx="427">
                    <c:v>23/09/2024</c:v>
                  </c:pt>
                  <c:pt idx="428">
                    <c:v>02/06/2025</c:v>
                  </c:pt>
                  <c:pt idx="429">
                    <c:v>10/04/2023</c:v>
                  </c:pt>
                  <c:pt idx="430">
                    <c:v>21/11025</c:v>
                  </c:pt>
                  <c:pt idx="431">
                    <c:v>24/07/2024</c:v>
                  </c:pt>
                  <c:pt idx="432">
                    <c:v>18/09/2025</c:v>
                  </c:pt>
                  <c:pt idx="433">
                    <c:v>24/05/2021</c:v>
                  </c:pt>
                  <c:pt idx="434">
                    <c:v>02/06/2025</c:v>
                  </c:pt>
                  <c:pt idx="435">
                    <c:v>30/05/2025</c:v>
                  </c:pt>
                  <c:pt idx="436">
                    <c:v>21/09/2023</c:v>
                  </c:pt>
                  <c:pt idx="437">
                    <c:v>16/08/2023</c:v>
                  </c:pt>
                  <c:pt idx="438">
                    <c:v>30/10/2025</c:v>
                  </c:pt>
                  <c:pt idx="439">
                    <c:v>30/10/2025</c:v>
                  </c:pt>
                  <c:pt idx="440">
                    <c:v>12/03/2025</c:v>
                  </c:pt>
                  <c:pt idx="441">
                    <c:v>21/12/2023</c:v>
                  </c:pt>
                  <c:pt idx="442">
                    <c:v>20/11/2024</c:v>
                  </c:pt>
                  <c:pt idx="443">
                    <c:v>30/10/2025</c:v>
                  </c:pt>
                  <c:pt idx="444">
                    <c:v>20/11/2024</c:v>
                  </c:pt>
                  <c:pt idx="445">
                    <c:v>01/11/2021</c:v>
                  </c:pt>
                  <c:pt idx="446">
                    <c:v>20/11/2024</c:v>
                  </c:pt>
                  <c:pt idx="447">
                    <c:v>20/11/2024</c:v>
                  </c:pt>
                  <c:pt idx="448">
                    <c:v>12/03/2025</c:v>
                  </c:pt>
                  <c:pt idx="449">
                    <c:v>21/12/2023</c:v>
                  </c:pt>
                  <c:pt idx="450">
                    <c:v>20/11/2024</c:v>
                  </c:pt>
                  <c:pt idx="451">
                    <c:v>10/09/2024</c:v>
                  </c:pt>
                  <c:pt idx="452">
                    <c:v>18/11/2024</c:v>
                  </c:pt>
                  <c:pt idx="453">
                    <c:v>13/05/2025</c:v>
                  </c:pt>
                  <c:pt idx="454">
                    <c:v>13/05/2025</c:v>
                  </c:pt>
                  <c:pt idx="455">
                    <c:v>06/06/2024</c:v>
                  </c:pt>
                  <c:pt idx="456">
                    <c:v>06/06/2024</c:v>
                  </c:pt>
                  <c:pt idx="457">
                    <c:v>31/07/2024</c:v>
                  </c:pt>
                  <c:pt idx="458">
                    <c:v>18/11/2024</c:v>
                  </c:pt>
                  <c:pt idx="459">
                    <c:v>10/03/2020</c:v>
                  </c:pt>
                  <c:pt idx="460">
                    <c:v>21/01/2025</c:v>
                  </c:pt>
                  <c:pt idx="461">
                    <c:v>21/03/2023</c:v>
                  </c:pt>
                  <c:pt idx="462">
                    <c:v>10/09/2024</c:v>
                  </c:pt>
                  <c:pt idx="463">
                    <c:v>23/01/2025</c:v>
                  </c:pt>
                  <c:pt idx="464">
                    <c:v>05/05/2020</c:v>
                  </c:pt>
                  <c:pt idx="465">
                    <c:v>05/05/2020</c:v>
                  </c:pt>
                  <c:pt idx="466">
                    <c:v>09/05/2023</c:v>
                  </c:pt>
                  <c:pt idx="467">
                    <c:v>12/02/2021</c:v>
                  </c:pt>
                  <c:pt idx="468">
                    <c:v>09/05/2023</c:v>
                  </c:pt>
                  <c:pt idx="469">
                    <c:v>09/05/2023</c:v>
                  </c:pt>
                  <c:pt idx="470">
                    <c:v>09/05/2023</c:v>
                  </c:pt>
                  <c:pt idx="471">
                    <c:v>22/06/2022</c:v>
                  </c:pt>
                  <c:pt idx="472">
                    <c:v>07/06/2024</c:v>
                  </c:pt>
                  <c:pt idx="473">
                    <c:v>07/06/2024</c:v>
                  </c:pt>
                  <c:pt idx="474">
                    <c:v>10/03/2025</c:v>
                  </c:pt>
                  <c:pt idx="475">
                    <c:v>12/12/2025</c:v>
                  </c:pt>
                  <c:pt idx="476">
                    <c:v>10/03/2020</c:v>
                  </c:pt>
                  <c:pt idx="477">
                    <c:v>27/07/2023</c:v>
                  </c:pt>
                  <c:pt idx="478">
                    <c:v>18/02/2025</c:v>
                  </c:pt>
                  <c:pt idx="479">
                    <c:v>20/02/2020</c:v>
                  </c:pt>
                  <c:pt idx="480">
                    <c:v>20/11/2021</c:v>
                  </c:pt>
                  <c:pt idx="481">
                    <c:v>09/12/2024</c:v>
                  </c:pt>
                  <c:pt idx="482">
                    <c:v>12/12/2022</c:v>
                  </c:pt>
                  <c:pt idx="483">
                    <c:v>23/09/2021</c:v>
                  </c:pt>
                  <c:pt idx="484">
                    <c:v>12/12/2020</c:v>
                  </c:pt>
                  <c:pt idx="485">
                    <c:v>04/12/2024</c:v>
                  </c:pt>
                  <c:pt idx="486">
                    <c:v>20/03/2023</c:v>
                  </c:pt>
                  <c:pt idx="487">
                    <c:v>10/01/2024</c:v>
                  </c:pt>
                  <c:pt idx="488">
                    <c:v>15/03/2021</c:v>
                  </c:pt>
                  <c:pt idx="489">
                    <c:v>14/01/2021</c:v>
                  </c:pt>
                  <c:pt idx="490">
                    <c:v>20/03/2023</c:v>
                  </c:pt>
                  <c:pt idx="491">
                    <c:v>14/01/2021</c:v>
                  </c:pt>
                  <c:pt idx="492">
                    <c:v>02/04/2020</c:v>
                  </c:pt>
                  <c:pt idx="493">
                    <c:v>13/01/2023</c:v>
                  </c:pt>
                  <c:pt idx="495">
                    <c:v>13/11/2020</c:v>
                  </c:pt>
                  <c:pt idx="496">
                    <c:v>28/10/2023</c:v>
                  </c:pt>
                  <c:pt idx="497">
                    <c:v>05/05/2020</c:v>
                  </c:pt>
                  <c:pt idx="498">
                    <c:v>01/07/2021</c:v>
                  </c:pt>
                  <c:pt idx="499">
                    <c:v>22/02/2021</c:v>
                  </c:pt>
                  <c:pt idx="500">
                    <c:v>31/01/2021</c:v>
                  </c:pt>
                  <c:pt idx="501">
                    <c:v>10/03/2020</c:v>
                  </c:pt>
                  <c:pt idx="502">
                    <c:v>11/11/2023</c:v>
                  </c:pt>
                  <c:pt idx="503">
                    <c:v>19/10/2022</c:v>
                  </c:pt>
                  <c:pt idx="504">
                    <c:v>20/09/2021</c:v>
                  </c:pt>
                  <c:pt idx="505">
                    <c:v>21/10/2020</c:v>
                  </c:pt>
                  <c:pt idx="506">
                    <c:v>01/06/2020</c:v>
                  </c:pt>
                  <c:pt idx="507">
                    <c:v>18/01/2023</c:v>
                  </c:pt>
                  <c:pt idx="508">
                    <c:v>10/03/2020</c:v>
                  </c:pt>
                  <c:pt idx="509">
                    <c:v>19/09/2020</c:v>
                  </c:pt>
                  <c:pt idx="510">
                    <c:v>10/03/2020</c:v>
                  </c:pt>
                  <c:pt idx="511">
                    <c:v>16/08/2021</c:v>
                  </c:pt>
                  <c:pt idx="512">
                    <c:v>09/04/2021</c:v>
                  </c:pt>
                  <c:pt idx="513">
                    <c:v>16/08/2021</c:v>
                  </c:pt>
                  <c:pt idx="514">
                    <c:v>10/03/2020</c:v>
                  </c:pt>
                  <c:pt idx="515">
                    <c:v>10/03/2020</c:v>
                  </c:pt>
                  <c:pt idx="516">
                    <c:v>21/03/2023</c:v>
                  </c:pt>
                  <c:pt idx="517">
                    <c:v>23/11/2023</c:v>
                  </c:pt>
                  <c:pt idx="518">
                    <c:v>04/02/2021</c:v>
                  </c:pt>
                  <c:pt idx="519">
                    <c:v>09/12/2024</c:v>
                  </c:pt>
                  <c:pt idx="520">
                    <c:v>21/04/2021</c:v>
                  </c:pt>
                  <c:pt idx="521">
                    <c:v>10/09/2024</c:v>
                  </c:pt>
                  <c:pt idx="522">
                    <c:v>01/11/2021</c:v>
                  </c:pt>
                  <c:pt idx="526">
                    <c:v>19/12/2020</c:v>
                  </c:pt>
                  <c:pt idx="527">
                    <c:v>19/12/2020</c:v>
                  </c:pt>
                  <c:pt idx="528">
                    <c:v>19/12/2020</c:v>
                  </c:pt>
                  <c:pt idx="529">
                    <c:v>19/12/2020</c:v>
                  </c:pt>
                  <c:pt idx="530">
                    <c:v>11/05/2023</c:v>
                  </c:pt>
                  <c:pt idx="531">
                    <c:v>07/12/2021</c:v>
                  </c:pt>
                  <c:pt idx="532">
                    <c:v>05/05/2023</c:v>
                  </c:pt>
                  <c:pt idx="534">
                    <c:v>20/04/2022</c:v>
                  </c:pt>
                  <c:pt idx="535">
                    <c:v>13/07/2023</c:v>
                  </c:pt>
                  <c:pt idx="536">
                    <c:v>01/11/2021</c:v>
                  </c:pt>
                  <c:pt idx="537">
                    <c:v>01/11/2021</c:v>
                  </c:pt>
                  <c:pt idx="538">
                    <c:v>25/07/2020</c:v>
                  </c:pt>
                  <c:pt idx="539">
                    <c:v>13/07/2023</c:v>
                  </c:pt>
                  <c:pt idx="540">
                    <c:v>20/11/2024</c:v>
                  </c:pt>
                  <c:pt idx="541">
                    <c:v>13/07/2023</c:v>
                  </c:pt>
                  <c:pt idx="542">
                    <c:v>20/03/2023</c:v>
                  </c:pt>
                  <c:pt idx="543">
                    <c:v>18/01/2023</c:v>
                  </c:pt>
                  <c:pt idx="544">
                    <c:v>16/02/2022</c:v>
                  </c:pt>
                  <c:pt idx="545">
                    <c:v>24/12/2009</c:v>
                  </c:pt>
                  <c:pt idx="546">
                    <c:v>28/06/2014</c:v>
                  </c:pt>
                  <c:pt idx="547">
                    <c:v>28/06/2014</c:v>
                  </c:pt>
                  <c:pt idx="548">
                    <c:v>29/10/2016</c:v>
                  </c:pt>
                  <c:pt idx="549">
                    <c:v>16/06/2014</c:v>
                  </c:pt>
                  <c:pt idx="550">
                    <c:v>01/12/2021</c:v>
                  </c:pt>
                  <c:pt idx="551">
                    <c:v>01/12/2021</c:v>
                  </c:pt>
                  <c:pt idx="552">
                    <c:v>15/03/2022</c:v>
                  </c:pt>
                  <c:pt idx="553">
                    <c:v>15/03/2022</c:v>
                  </c:pt>
                  <c:pt idx="554">
                    <c:v>12/02/2025</c:v>
                  </c:pt>
                  <c:pt idx="555">
                    <c:v>17/11/2023</c:v>
                  </c:pt>
                  <c:pt idx="556">
                    <c:v>17/11/2023</c:v>
                  </c:pt>
                  <c:pt idx="557">
                    <c:v>15/03/2024</c:v>
                  </c:pt>
                  <c:pt idx="558">
                    <c:v>19/11/2025</c:v>
                  </c:pt>
                  <c:pt idx="559">
                    <c:v>12/12/2025</c:v>
                  </c:pt>
                  <c:pt idx="560">
                    <c:v>12/03/2025</c:v>
                  </c:pt>
                  <c:pt idx="561">
                    <c:v>19/03/2021</c:v>
                  </c:pt>
                  <c:pt idx="562">
                    <c:v>19/03/2021</c:v>
                  </c:pt>
                  <c:pt idx="563">
                    <c:v>02/10/2025</c:v>
                  </c:pt>
                  <c:pt idx="564">
                    <c:v>21/12/2023</c:v>
                  </c:pt>
                  <c:pt idx="565">
                    <c:v>30/10/2025</c:v>
                  </c:pt>
                  <c:pt idx="566">
                    <c:v>20/03/2023</c:v>
                  </c:pt>
                  <c:pt idx="567">
                    <c:v>17/05/2022</c:v>
                  </c:pt>
                  <c:pt idx="568">
                    <c:v>18/09/2025</c:v>
                  </c:pt>
                  <c:pt idx="569">
                    <c:v>13/01/2023</c:v>
                  </c:pt>
                  <c:pt idx="570">
                    <c:v>17/05/2022</c:v>
                  </c:pt>
                  <c:pt idx="571">
                    <c:v>24/11/2021</c:v>
                  </c:pt>
                  <c:pt idx="572">
                    <c:v>17/12/2024</c:v>
                  </c:pt>
                  <c:pt idx="573">
                    <c:v>31/07/2024</c:v>
                  </c:pt>
                  <c:pt idx="575">
                    <c:v>13/01/2023</c:v>
                  </c:pt>
                  <c:pt idx="576">
                    <c:v>10/03/2020</c:v>
                  </c:pt>
                  <c:pt idx="577">
                    <c:v>15/03/2021</c:v>
                  </c:pt>
                  <c:pt idx="579">
                    <c:v>30/12/2021</c:v>
                  </c:pt>
                  <c:pt idx="580">
                    <c:v>23/06/2021</c:v>
                  </c:pt>
                  <c:pt idx="581">
                    <c:v>29/09/2015</c:v>
                  </c:pt>
                  <c:pt idx="582">
                    <c:v>15/09/2025</c:v>
                  </c:pt>
                  <c:pt idx="583">
                    <c:v>25/04/2025</c:v>
                  </c:pt>
                  <c:pt idx="584">
                    <c:v>03/10/2016</c:v>
                  </c:pt>
                  <c:pt idx="585">
                    <c:v>30/04/2025</c:v>
                  </c:pt>
                  <c:pt idx="586">
                    <c:v>05/08/2025</c:v>
                  </c:pt>
                  <c:pt idx="587">
                    <c:v>05/08/2025</c:v>
                  </c:pt>
                  <c:pt idx="588">
                    <c:v>10/09/2024</c:v>
                  </c:pt>
                  <c:pt idx="589">
                    <c:v>17/05/2022</c:v>
                  </c:pt>
                  <c:pt idx="590">
                    <c:v>09/10/2025</c:v>
                  </c:pt>
                  <c:pt idx="591">
                    <c:v>09/10/2025</c:v>
                  </c:pt>
                  <c:pt idx="592">
                    <c:v>26/09/2025</c:v>
                  </c:pt>
                  <c:pt idx="593">
                    <c:v>11/09/2025</c:v>
                  </c:pt>
                  <c:pt idx="594">
                    <c:v>26/09/2025</c:v>
                  </c:pt>
                  <c:pt idx="595">
                    <c:v>08/12/2025</c:v>
                  </c:pt>
                  <c:pt idx="596">
                    <c:v>08/12/2025</c:v>
                  </c:pt>
                  <c:pt idx="597">
                    <c:v>11/09/2020</c:v>
                  </c:pt>
                  <c:pt idx="598">
                    <c:v>09/10/2025</c:v>
                  </c:pt>
                  <c:pt idx="599">
                    <c:v>09/10/2025</c:v>
                  </c:pt>
                  <c:pt idx="600">
                    <c:v>11/04/2023</c:v>
                  </c:pt>
                  <c:pt idx="601">
                    <c:v>11/04/2023</c:v>
                  </c:pt>
                  <c:pt idx="602">
                    <c:v>15/11/2023</c:v>
                  </c:pt>
                  <c:pt idx="603">
                    <c:v>15/11/2023</c:v>
                  </c:pt>
                  <c:pt idx="604">
                    <c:v>27/11/2021</c:v>
                  </c:pt>
                  <c:pt idx="605">
                    <c:v>05/06/2024</c:v>
                  </c:pt>
                  <c:pt idx="606">
                    <c:v>12/12/2024</c:v>
                  </c:pt>
                  <c:pt idx="607">
                    <c:v>15/09/2022</c:v>
                  </c:pt>
                  <c:pt idx="608">
                    <c:v>11/05/2023</c:v>
                  </c:pt>
                  <c:pt idx="609">
                    <c:v>12/12/2024</c:v>
                  </c:pt>
                  <c:pt idx="610">
                    <c:v>12/12/2024</c:v>
                  </c:pt>
                  <c:pt idx="611">
                    <c:v>12/12/2024</c:v>
                  </c:pt>
                  <c:pt idx="612">
                    <c:v>07/12/2023</c:v>
                  </c:pt>
                  <c:pt idx="613">
                    <c:v>12/12/2024</c:v>
                  </c:pt>
                  <c:pt idx="614">
                    <c:v>23/09/2025</c:v>
                  </c:pt>
                  <c:pt idx="615">
                    <c:v>14/11/2023</c:v>
                  </c:pt>
                  <c:pt idx="616">
                    <c:v>08/11/2022</c:v>
                  </c:pt>
                  <c:pt idx="617">
                    <c:v>10/10/2025</c:v>
                  </c:pt>
                  <c:pt idx="618">
                    <c:v>14/11/2023</c:v>
                  </c:pt>
                  <c:pt idx="619">
                    <c:v>31/05/2022</c:v>
                  </c:pt>
                  <c:pt idx="620">
                    <c:v>19/06/2025</c:v>
                  </c:pt>
                  <c:pt idx="621">
                    <c:v>27/11/2025</c:v>
                  </c:pt>
                  <c:pt idx="622">
                    <c:v>21/02/2022</c:v>
                  </c:pt>
                  <c:pt idx="623">
                    <c:v>17/08/2025</c:v>
                  </c:pt>
                  <c:pt idx="624">
                    <c:v>04/10/2021</c:v>
                  </c:pt>
                  <c:pt idx="625">
                    <c:v>12/02/2021</c:v>
                  </c:pt>
                  <c:pt idx="626">
                    <c:v>12/12/2022</c:v>
                  </c:pt>
                  <c:pt idx="627">
                    <c:v>12/12/2022</c:v>
                  </c:pt>
                  <c:pt idx="628">
                    <c:v>03/01/2023</c:v>
                  </c:pt>
                  <c:pt idx="629">
                    <c:v>03/01/2023</c:v>
                  </c:pt>
                  <c:pt idx="630">
                    <c:v>03/01/2023</c:v>
                  </c:pt>
                  <c:pt idx="631">
                    <c:v>31/05/2022</c:v>
                  </c:pt>
                  <c:pt idx="632">
                    <c:v>23/06/2021</c:v>
                  </c:pt>
                  <c:pt idx="633">
                    <c:v>17/02/2024</c:v>
                  </c:pt>
                  <c:pt idx="634">
                    <c:v>09/02/2023</c:v>
                  </c:pt>
                  <c:pt idx="635">
                    <c:v>09/02/2023</c:v>
                  </c:pt>
                  <c:pt idx="636">
                    <c:v>14/02/2024</c:v>
                  </c:pt>
                  <c:pt idx="637">
                    <c:v>18/01/2023</c:v>
                  </c:pt>
                  <c:pt idx="638">
                    <c:v>13/02/2025</c:v>
                  </c:pt>
                  <c:pt idx="639">
                    <c:v>14/06/2014</c:v>
                  </c:pt>
                  <c:pt idx="640">
                    <c:v>10/10/2020</c:v>
                  </c:pt>
                  <c:pt idx="641">
                    <c:v>10/03/2020</c:v>
                  </c:pt>
                  <c:pt idx="642">
                    <c:v>01/06/2020</c:v>
                  </c:pt>
                  <c:pt idx="643">
                    <c:v>01/06/2020</c:v>
                  </c:pt>
                  <c:pt idx="644">
                    <c:v>01/06/2020</c:v>
                  </c:pt>
                  <c:pt idx="645">
                    <c:v>16/09/2021</c:v>
                  </c:pt>
                  <c:pt idx="646">
                    <c:v>20/03/2023</c:v>
                  </c:pt>
                  <c:pt idx="647">
                    <c:v>11/01/2025</c:v>
                  </c:pt>
                  <c:pt idx="648">
                    <c:v>12/03/2021</c:v>
                  </c:pt>
                  <c:pt idx="649">
                    <c:v>12/03/2021</c:v>
                  </c:pt>
                  <c:pt idx="650">
                    <c:v>07/04/2021</c:v>
                  </c:pt>
                  <c:pt idx="651">
                    <c:v>20/03/2023</c:v>
                  </c:pt>
                  <c:pt idx="652">
                    <c:v>18/01/2023</c:v>
                  </c:pt>
                  <c:pt idx="653">
                    <c:v>18/01/2023</c:v>
                  </c:pt>
                  <c:pt idx="654">
                    <c:v>18/01/2023</c:v>
                  </c:pt>
                  <c:pt idx="655">
                    <c:v>18/01/2023</c:v>
                  </c:pt>
                  <c:pt idx="656">
                    <c:v>15/04/2025</c:v>
                  </c:pt>
                  <c:pt idx="657">
                    <c:v>19/08/2016</c:v>
                  </c:pt>
                  <c:pt idx="658">
                    <c:v>20/08/2013</c:v>
                  </c:pt>
                  <c:pt idx="659">
                    <c:v>20/08/2013</c:v>
                  </c:pt>
                  <c:pt idx="660">
                    <c:v>02/10/2024</c:v>
                  </c:pt>
                  <c:pt idx="661">
                    <c:v>02/10/2024</c:v>
                  </c:pt>
                  <c:pt idx="662">
                    <c:v>02/10/2024</c:v>
                  </c:pt>
                  <c:pt idx="663">
                    <c:v>02/10/2024</c:v>
                  </c:pt>
                  <c:pt idx="664">
                    <c:v>02/10/2024</c:v>
                  </c:pt>
                  <c:pt idx="665">
                    <c:v>02/10/2024</c:v>
                  </c:pt>
                  <c:pt idx="666">
                    <c:v>21/11/2025</c:v>
                  </c:pt>
                  <c:pt idx="667">
                    <c:v>15/11/2024</c:v>
                  </c:pt>
                  <c:pt idx="668">
                    <c:v>15/11/2024</c:v>
                  </c:pt>
                  <c:pt idx="670">
                    <c:v>05/12/2023</c:v>
                  </c:pt>
                  <c:pt idx="671">
                    <c:v>05/12/2023</c:v>
                  </c:pt>
                  <c:pt idx="672">
                    <c:v>27/04/2022</c:v>
                  </c:pt>
                  <c:pt idx="673">
                    <c:v>11/01/2022</c:v>
                  </c:pt>
                  <c:pt idx="674">
                    <c:v>13/10/2025</c:v>
                  </c:pt>
                  <c:pt idx="675">
                    <c:v>07/02/2024</c:v>
                  </c:pt>
                  <c:pt idx="676">
                    <c:v>07/02/2024</c:v>
                  </c:pt>
                  <c:pt idx="677">
                    <c:v>15/04/2025</c:v>
                  </c:pt>
                  <c:pt idx="678">
                    <c:v>09/09/2025</c:v>
                  </c:pt>
                  <c:pt idx="679">
                    <c:v>12/07/2025</c:v>
                  </c:pt>
                  <c:pt idx="680">
                    <c:v>23/09/2025</c:v>
                  </c:pt>
                  <c:pt idx="681">
                    <c:v>25/09/2025</c:v>
                  </c:pt>
                  <c:pt idx="682">
                    <c:v>25/09/2025</c:v>
                  </c:pt>
                  <c:pt idx="683">
                    <c:v>30/03/2023</c:v>
                  </c:pt>
                  <c:pt idx="684">
                    <c:v>30/03/2023</c:v>
                  </c:pt>
                  <c:pt idx="685">
                    <c:v>13/07/2023</c:v>
                  </c:pt>
                  <c:pt idx="686">
                    <c:v>13/07/2023</c:v>
                  </c:pt>
                  <c:pt idx="687">
                    <c:v>14/01/2021</c:v>
                  </c:pt>
                  <c:pt idx="688">
                    <c:v>feb-25</c:v>
                  </c:pt>
                  <c:pt idx="689">
                    <c:v>12/07/2025</c:v>
                  </c:pt>
                  <c:pt idx="690">
                    <c:v>29/03/2023</c:v>
                  </c:pt>
                  <c:pt idx="691">
                    <c:v>29/03/2023</c:v>
                  </c:pt>
                  <c:pt idx="692">
                    <c:v>29/03/2023</c:v>
                  </c:pt>
                  <c:pt idx="693">
                    <c:v>29/03/2023</c:v>
                  </c:pt>
                  <c:pt idx="694">
                    <c:v>10/09/2024</c:v>
                  </c:pt>
                  <c:pt idx="695">
                    <c:v>08/04/2024</c:v>
                  </c:pt>
                  <c:pt idx="696">
                    <c:v>08/04/2024</c:v>
                  </c:pt>
                  <c:pt idx="697">
                    <c:v>08/04/2024</c:v>
                  </c:pt>
                  <c:pt idx="698">
                    <c:v>08/04/2024</c:v>
                  </c:pt>
                  <c:pt idx="699">
                    <c:v>04/07/2025</c:v>
                  </c:pt>
                  <c:pt idx="700">
                    <c:v>04/07/2025</c:v>
                  </c:pt>
                  <c:pt idx="701">
                    <c:v>29/03/2023</c:v>
                  </c:pt>
                  <c:pt idx="702">
                    <c:v>29/03/2023</c:v>
                  </c:pt>
                  <c:pt idx="703">
                    <c:v>08/04/024</c:v>
                  </c:pt>
                  <c:pt idx="704">
                    <c:v>24/12/2025</c:v>
                  </c:pt>
                  <c:pt idx="705">
                    <c:v>24/12/2025</c:v>
                  </c:pt>
                  <c:pt idx="706">
                    <c:v>26/01/2023</c:v>
                  </c:pt>
                  <c:pt idx="707">
                    <c:v>07/10/2025</c:v>
                  </c:pt>
                  <c:pt idx="708">
                    <c:v>07/10/2025</c:v>
                  </c:pt>
                  <c:pt idx="709">
                    <c:v>10/12/20255</c:v>
                  </c:pt>
                  <c:pt idx="710">
                    <c:v>10/12/20255</c:v>
                  </c:pt>
                  <c:pt idx="711">
                    <c:v>22/04/2025</c:v>
                  </c:pt>
                  <c:pt idx="712">
                    <c:v>22/04/2025</c:v>
                  </c:pt>
                  <c:pt idx="713">
                    <c:v>01/11/2025</c:v>
                  </c:pt>
                  <c:pt idx="714">
                    <c:v>01/11/2025</c:v>
                  </c:pt>
                  <c:pt idx="715">
                    <c:v>01/02/2024</c:v>
                  </c:pt>
                  <c:pt idx="716">
                    <c:v>01/02/2024</c:v>
                  </c:pt>
                  <c:pt idx="717">
                    <c:v>07/01/2025</c:v>
                  </c:pt>
                  <c:pt idx="718">
                    <c:v>01/02/2024</c:v>
                  </c:pt>
                  <c:pt idx="719">
                    <c:v>12/07/2025</c:v>
                  </c:pt>
                  <c:pt idx="720">
                    <c:v>12/07/2025</c:v>
                  </c:pt>
                  <c:pt idx="721">
                    <c:v>15/11/2024</c:v>
                  </c:pt>
                  <c:pt idx="722">
                    <c:v>23/09/2025</c:v>
                  </c:pt>
                  <c:pt idx="723">
                    <c:v>03/10/2024</c:v>
                  </c:pt>
                  <c:pt idx="724">
                    <c:v>13/03/2025</c:v>
                  </c:pt>
                  <c:pt idx="725">
                    <c:v>13/03/2025</c:v>
                  </c:pt>
                  <c:pt idx="726">
                    <c:v>22/12/2025</c:v>
                  </c:pt>
                  <c:pt idx="727">
                    <c:v>22/12/2025</c:v>
                  </c:pt>
                  <c:pt idx="728">
                    <c:v>24/03/2020</c:v>
                  </c:pt>
                  <c:pt idx="729">
                    <c:v>24/03/2020</c:v>
                  </c:pt>
                  <c:pt idx="730">
                    <c:v>06/10/2025</c:v>
                  </c:pt>
                  <c:pt idx="731">
                    <c:v>06/10/2025</c:v>
                  </c:pt>
                  <c:pt idx="732">
                    <c:v>16/07/2022</c:v>
                  </c:pt>
                  <c:pt idx="733">
                    <c:v>06/09/2023</c:v>
                  </c:pt>
                  <c:pt idx="734">
                    <c:v>28/06/2024</c:v>
                  </c:pt>
                  <c:pt idx="735">
                    <c:v>23/11/2021</c:v>
                  </c:pt>
                  <c:pt idx="736">
                    <c:v>25/05/2025</c:v>
                  </c:pt>
                  <c:pt idx="739">
                    <c:v>27/07/2023</c:v>
                  </c:pt>
                  <c:pt idx="740">
                    <c:v>31/07/2024</c:v>
                  </c:pt>
                  <c:pt idx="741">
                    <c:v>27/07/2023</c:v>
                  </c:pt>
                  <c:pt idx="742">
                    <c:v>05/03/2025</c:v>
                  </c:pt>
                  <c:pt idx="743">
                    <c:v>12/03/2021</c:v>
                  </c:pt>
                  <c:pt idx="744">
                    <c:v>20/11/2025</c:v>
                  </c:pt>
                  <c:pt idx="749">
                    <c:v>16/08/2023</c:v>
                  </c:pt>
                  <c:pt idx="750">
                    <c:v>20/10/2023</c:v>
                  </c:pt>
                  <c:pt idx="751">
                    <c:v>04/10/2023</c:v>
                  </c:pt>
                  <c:pt idx="754">
                    <c:v>24/10/2024</c:v>
                  </c:pt>
                  <c:pt idx="755">
                    <c:v>03/11/2025</c:v>
                  </c:pt>
                  <c:pt idx="756">
                    <c:v>03/11/2025</c:v>
                  </c:pt>
                  <c:pt idx="757">
                    <c:v>03/11/2025</c:v>
                  </c:pt>
                  <c:pt idx="758">
                    <c:v>20/11/2025</c:v>
                  </c:pt>
                  <c:pt idx="759">
                    <c:v>20/11/2025</c:v>
                  </c:pt>
                  <c:pt idx="760">
                    <c:v>22/06/2022</c:v>
                  </c:pt>
                  <c:pt idx="761">
                    <c:v>09/01/2020</c:v>
                  </c:pt>
                  <c:pt idx="762">
                    <c:v>09/01/2020</c:v>
                  </c:pt>
                  <c:pt idx="763">
                    <c:v>10/01/2024</c:v>
                  </c:pt>
                  <c:pt idx="764">
                    <c:v>16/04/2025</c:v>
                  </c:pt>
                  <c:pt idx="765">
                    <c:v>09/09/2025</c:v>
                  </c:pt>
                  <c:pt idx="766">
                    <c:v>14/03/2025</c:v>
                  </c:pt>
                  <c:pt idx="767">
                    <c:v>21/10/2023</c:v>
                  </c:pt>
                  <c:pt idx="768">
                    <c:v>08/12/2025</c:v>
                  </c:pt>
                  <c:pt idx="769">
                    <c:v>27/03/2025</c:v>
                  </c:pt>
                  <c:pt idx="770">
                    <c:v>18/11/2025</c:v>
                  </c:pt>
                  <c:pt idx="771">
                    <c:v>28/02/2024</c:v>
                  </c:pt>
                  <c:pt idx="772">
                    <c:v>18/10/2025</c:v>
                  </c:pt>
                  <c:pt idx="773">
                    <c:v>14/10/2024</c:v>
                  </c:pt>
                  <c:pt idx="774">
                    <c:v>25/07/2024</c:v>
                  </c:pt>
                  <c:pt idx="775">
                    <c:v>10/03/2020</c:v>
                  </c:pt>
                  <c:pt idx="776">
                    <c:v>05/05/2020</c:v>
                  </c:pt>
                  <c:pt idx="777">
                    <c:v>15/03/2022</c:v>
                  </c:pt>
                  <c:pt idx="778">
                    <c:v>21/11/2025</c:v>
                  </c:pt>
                  <c:pt idx="779">
                    <c:v>26/07/2024</c:v>
                  </c:pt>
                  <c:pt idx="780">
                    <c:v>26/07/2024</c:v>
                  </c:pt>
                  <c:pt idx="781">
                    <c:v>26/05/2020</c:v>
                  </c:pt>
                  <c:pt idx="782">
                    <c:v>10/10/2020</c:v>
                  </c:pt>
                  <c:pt idx="783">
                    <c:v>31/07/2024</c:v>
                  </c:pt>
                  <c:pt idx="784">
                    <c:v>08/08/2021</c:v>
                  </c:pt>
                  <c:pt idx="785">
                    <c:v>08/08/2021</c:v>
                  </c:pt>
                  <c:pt idx="786">
                    <c:v>23/09/2021</c:v>
                  </c:pt>
                  <c:pt idx="787">
                    <c:v>25/07/2020</c:v>
                  </c:pt>
                  <c:pt idx="788">
                    <c:v>16/03/2022</c:v>
                  </c:pt>
                  <c:pt idx="789">
                    <c:v>07/06/2024</c:v>
                  </c:pt>
                  <c:pt idx="790">
                    <c:v>07/06/2024</c:v>
                  </c:pt>
                  <c:pt idx="791">
                    <c:v>07/06/2024</c:v>
                  </c:pt>
                  <c:pt idx="792">
                    <c:v>17/10/2024</c:v>
                  </c:pt>
                  <c:pt idx="793">
                    <c:v>01/03/2023</c:v>
                  </c:pt>
                  <c:pt idx="794">
                    <c:v>10/03/2020</c:v>
                  </c:pt>
                  <c:pt idx="796">
                    <c:v>29/07/2025</c:v>
                  </c:pt>
                  <c:pt idx="797">
                    <c:v>29/07/2025</c:v>
                  </c:pt>
                  <c:pt idx="798">
                    <c:v>30/01/2025</c:v>
                  </c:pt>
                  <c:pt idx="799">
                    <c:v>23/01/2023</c:v>
                  </c:pt>
                  <c:pt idx="800">
                    <c:v>28/09/2023</c:v>
                  </c:pt>
                  <c:pt idx="801">
                    <c:v>14/03/2023</c:v>
                  </c:pt>
                  <c:pt idx="802">
                    <c:v>14/03/2023</c:v>
                  </c:pt>
                  <c:pt idx="803">
                    <c:v>14/03/2023</c:v>
                  </c:pt>
                  <c:pt idx="804">
                    <c:v>22/06/2023</c:v>
                  </c:pt>
                  <c:pt idx="805">
                    <c:v>07/07/2022</c:v>
                  </c:pt>
                  <c:pt idx="806">
                    <c:v>06/04/2022</c:v>
                  </c:pt>
                  <c:pt idx="807">
                    <c:v>20/03/2023</c:v>
                  </c:pt>
                  <c:pt idx="808">
                    <c:v>20/03/2023</c:v>
                  </c:pt>
                  <c:pt idx="809">
                    <c:v>20/03/2023</c:v>
                  </c:pt>
                  <c:pt idx="810">
                    <c:v>05/05/2020</c:v>
                  </c:pt>
                  <c:pt idx="811">
                    <c:v>09/09/2022</c:v>
                  </c:pt>
                  <c:pt idx="812">
                    <c:v>09/09/2022</c:v>
                  </c:pt>
                  <c:pt idx="813">
                    <c:v>16/09/2021</c:v>
                  </c:pt>
                  <c:pt idx="814">
                    <c:v>30/09/2022</c:v>
                  </c:pt>
                  <c:pt idx="815">
                    <c:v>10/09/2024</c:v>
                  </c:pt>
                  <c:pt idx="816">
                    <c:v>10/09/2024</c:v>
                  </c:pt>
                  <c:pt idx="817">
                    <c:v>10/09/2024</c:v>
                  </c:pt>
                  <c:pt idx="818">
                    <c:v>19/05/2020</c:v>
                  </c:pt>
                  <c:pt idx="819">
                    <c:v>15/10/2025</c:v>
                  </c:pt>
                  <c:pt idx="820">
                    <c:v>15/10/2025</c:v>
                  </c:pt>
                  <c:pt idx="821">
                    <c:v>04/06/2025</c:v>
                  </c:pt>
                  <c:pt idx="822">
                    <c:v>04/06/2025</c:v>
                  </c:pt>
                  <c:pt idx="823">
                    <c:v>20/11/2025</c:v>
                  </c:pt>
                  <c:pt idx="824">
                    <c:v>20/11/2025</c:v>
                  </c:pt>
                  <c:pt idx="825">
                    <c:v>20/11/2025</c:v>
                  </c:pt>
                  <c:pt idx="826">
                    <c:v>20/11/2025</c:v>
                  </c:pt>
                  <c:pt idx="827">
                    <c:v>20/11/2025</c:v>
                  </c:pt>
                  <c:pt idx="828">
                    <c:v>24/04/2020</c:v>
                  </c:pt>
                  <c:pt idx="829">
                    <c:v>30/10/2025</c:v>
                  </c:pt>
                  <c:pt idx="830">
                    <c:v>20/11/2025</c:v>
                  </c:pt>
                  <c:pt idx="831">
                    <c:v>07/05/2021</c:v>
                  </c:pt>
                  <c:pt idx="832">
                    <c:v>11/05/2023</c:v>
                  </c:pt>
                  <c:pt idx="833">
                    <c:v>30/10/2025</c:v>
                  </c:pt>
                  <c:pt idx="834">
                    <c:v>30/10/2025</c:v>
                  </c:pt>
                  <c:pt idx="835">
                    <c:v>25/04/2024</c:v>
                  </c:pt>
                  <c:pt idx="836">
                    <c:v>16/08/2023</c:v>
                  </c:pt>
                  <c:pt idx="837">
                    <c:v>16/08/2023</c:v>
                  </c:pt>
                  <c:pt idx="838">
                    <c:v>13/07/2022</c:v>
                  </c:pt>
                  <c:pt idx="839">
                    <c:v>27/07/2023</c:v>
                  </c:pt>
                  <c:pt idx="840">
                    <c:v>16/11/2022</c:v>
                  </c:pt>
                  <c:pt idx="841">
                    <c:v>22/03/2022</c:v>
                  </c:pt>
                  <c:pt idx="842">
                    <c:v>12/08/2022</c:v>
                  </c:pt>
                  <c:pt idx="843">
                    <c:v>20/11/2025</c:v>
                  </c:pt>
                  <c:pt idx="844">
                    <c:v>20/11/2025</c:v>
                  </c:pt>
                  <c:pt idx="845">
                    <c:v>20/11/2025</c:v>
                  </c:pt>
                  <c:pt idx="846">
                    <c:v>09/04/2021</c:v>
                  </c:pt>
                  <c:pt idx="847">
                    <c:v>21/11/2023</c:v>
                  </c:pt>
                  <c:pt idx="848">
                    <c:v>21/02/2022</c:v>
                  </c:pt>
                  <c:pt idx="849">
                    <c:v>07/01/2026</c:v>
                  </c:pt>
                  <c:pt idx="850">
                    <c:v>30/11/2022</c:v>
                  </c:pt>
                  <c:pt idx="851">
                    <c:v>30/11/2022</c:v>
                  </c:pt>
                  <c:pt idx="852">
                    <c:v>12/02/2021</c:v>
                  </c:pt>
                  <c:pt idx="853">
                    <c:v>24/03/2025</c:v>
                  </c:pt>
                  <c:pt idx="854">
                    <c:v>23/12/2020</c:v>
                  </c:pt>
                  <c:pt idx="855">
                    <c:v>23/12/2020</c:v>
                  </c:pt>
                  <c:pt idx="856">
                    <c:v>16/08/2021</c:v>
                  </c:pt>
                  <c:pt idx="857">
                    <c:v>24/03/2025</c:v>
                  </c:pt>
                  <c:pt idx="858">
                    <c:v>24/03/2025</c:v>
                  </c:pt>
                  <c:pt idx="859">
                    <c:v>05/05/2020</c:v>
                  </c:pt>
                  <c:pt idx="860">
                    <c:v>24/03/2025</c:v>
                  </c:pt>
                  <c:pt idx="861">
                    <c:v>24/03/2025</c:v>
                  </c:pt>
                  <c:pt idx="862">
                    <c:v>30/11/2022</c:v>
                  </c:pt>
                  <c:pt idx="863">
                    <c:v>27/04/2022</c:v>
                  </c:pt>
                  <c:pt idx="864">
                    <c:v>18/03/2025</c:v>
                  </c:pt>
                  <c:pt idx="865">
                    <c:v>10/12/2024</c:v>
                  </c:pt>
                  <c:pt idx="866">
                    <c:v>02/03/2021</c:v>
                  </c:pt>
                  <c:pt idx="867">
                    <c:v>06/01/2026</c:v>
                  </c:pt>
                  <c:pt idx="868">
                    <c:v>10/12/2024</c:v>
                  </c:pt>
                  <c:pt idx="869">
                    <c:v>05/05/2020</c:v>
                  </c:pt>
                  <c:pt idx="870">
                    <c:v>15/11/2023</c:v>
                  </c:pt>
                  <c:pt idx="871">
                    <c:v>15/09/2025</c:v>
                  </c:pt>
                  <c:pt idx="872">
                    <c:v>23/04/2025</c:v>
                  </c:pt>
                  <c:pt idx="873">
                    <c:v>28/03/2022</c:v>
                  </c:pt>
                  <c:pt idx="874">
                    <c:v>28/03/2022</c:v>
                  </c:pt>
                  <c:pt idx="875">
                    <c:v>28/03/2022</c:v>
                  </c:pt>
                  <c:pt idx="876">
                    <c:v>25/04/2022</c:v>
                  </c:pt>
                  <c:pt idx="877">
                    <c:v>22/02/2021</c:v>
                  </c:pt>
                  <c:pt idx="878">
                    <c:v>29/10/2021</c:v>
                  </c:pt>
                  <c:pt idx="879">
                    <c:v>15/03/2022</c:v>
                  </c:pt>
                  <c:pt idx="880">
                    <c:v>07/10/2024</c:v>
                  </c:pt>
                  <c:pt idx="881">
                    <c:v>13/07/2022</c:v>
                  </c:pt>
                  <c:pt idx="882">
                    <c:v>28/10/2023</c:v>
                  </c:pt>
                  <c:pt idx="883">
                    <c:v>29/10/2025</c:v>
                  </c:pt>
                  <c:pt idx="884">
                    <c:v>15/03/2021</c:v>
                  </c:pt>
                  <c:pt idx="885">
                    <c:v>11/11/2021</c:v>
                  </c:pt>
                  <c:pt idx="886">
                    <c:v>29/09/2025</c:v>
                  </c:pt>
                  <c:pt idx="887">
                    <c:v>29/09/2025</c:v>
                  </c:pt>
                  <c:pt idx="888">
                    <c:v>29/09/2025</c:v>
                  </c:pt>
                  <c:pt idx="889">
                    <c:v>13/01/2023</c:v>
                  </c:pt>
                  <c:pt idx="890">
                    <c:v>15/04/2025</c:v>
                  </c:pt>
                  <c:pt idx="891">
                    <c:v>06/04/2022</c:v>
                  </c:pt>
                  <c:pt idx="892">
                    <c:v>06/04/2022</c:v>
                  </c:pt>
                  <c:pt idx="893">
                    <c:v>10/04/2023</c:v>
                  </c:pt>
                  <c:pt idx="894">
                    <c:v>07/10/2024</c:v>
                  </c:pt>
                  <c:pt idx="895">
                    <c:v>10/12/2024</c:v>
                  </c:pt>
                  <c:pt idx="896">
                    <c:v>10/12/2024</c:v>
                  </c:pt>
                  <c:pt idx="897">
                    <c:v>06/09/2023</c:v>
                  </c:pt>
                  <c:pt idx="898">
                    <c:v>22/02/2021</c:v>
                  </c:pt>
                  <c:pt idx="899">
                    <c:v>06/04/2022</c:v>
                  </c:pt>
                  <c:pt idx="900">
                    <c:v>06/04/2022</c:v>
                  </c:pt>
                  <c:pt idx="901">
                    <c:v>06/04/2022</c:v>
                  </c:pt>
                  <c:pt idx="902">
                    <c:v>05/05/2020</c:v>
                  </c:pt>
                  <c:pt idx="903">
                    <c:v>22/02/2021</c:v>
                  </c:pt>
                  <c:pt idx="904">
                    <c:v>07/06/2024</c:v>
                  </c:pt>
                  <c:pt idx="905">
                    <c:v>30/12/2024</c:v>
                  </c:pt>
                  <c:pt idx="906">
                    <c:v>29/09/2025</c:v>
                  </c:pt>
                  <c:pt idx="907">
                    <c:v>20/11/2025</c:v>
                  </c:pt>
                  <c:pt idx="908">
                    <c:v>12/02/2021</c:v>
                  </c:pt>
                  <c:pt idx="909">
                    <c:v>12/02/2021</c:v>
                  </c:pt>
                  <c:pt idx="910">
                    <c:v>02/12/2021</c:v>
                  </c:pt>
                  <c:pt idx="911">
                    <c:v>02/12/2021</c:v>
                  </c:pt>
                  <c:pt idx="912">
                    <c:v>16/01/2025</c:v>
                  </c:pt>
                  <c:pt idx="913">
                    <c:v>17/08/2025</c:v>
                  </c:pt>
                  <c:pt idx="914">
                    <c:v>19/02/2024</c:v>
                  </c:pt>
                  <c:pt idx="915">
                    <c:v>17/08/2025</c:v>
                  </c:pt>
                  <c:pt idx="916">
                    <c:v>30/04/2025</c:v>
                  </c:pt>
                  <c:pt idx="917">
                    <c:v>30/04/2025</c:v>
                  </c:pt>
                  <c:pt idx="918">
                    <c:v>07/07/2022</c:v>
                  </c:pt>
                  <c:pt idx="919">
                    <c:v>25/04/2024</c:v>
                  </c:pt>
                  <c:pt idx="920">
                    <c:v>28/11/2023</c:v>
                  </c:pt>
                  <c:pt idx="921">
                    <c:v>11/07/2025</c:v>
                  </c:pt>
                  <c:pt idx="922">
                    <c:v>11/01/2025</c:v>
                  </c:pt>
                  <c:pt idx="923">
                    <c:v>20/10/2023</c:v>
                  </c:pt>
                  <c:pt idx="924">
                    <c:v>28/11/2023</c:v>
                  </c:pt>
                  <c:pt idx="925">
                    <c:v>20/11/2025</c:v>
                  </c:pt>
                  <c:pt idx="926">
                    <c:v>21/10/2023</c:v>
                  </c:pt>
                  <c:pt idx="931">
                    <c:v>25/04/2025</c:v>
                  </c:pt>
                  <c:pt idx="932">
                    <c:v>25/04/2025</c:v>
                  </c:pt>
                  <c:pt idx="933">
                    <c:v>27/12/2024</c:v>
                  </c:pt>
                  <c:pt idx="934">
                    <c:v>27/12/2024</c:v>
                  </c:pt>
                  <c:pt idx="935">
                    <c:v>27/12/2024</c:v>
                  </c:pt>
                  <c:pt idx="936">
                    <c:v>27/12/2024</c:v>
                  </c:pt>
                  <c:pt idx="937">
                    <c:v>27/12/2024</c:v>
                  </c:pt>
                  <c:pt idx="938">
                    <c:v>27/12/2024</c:v>
                  </c:pt>
                  <c:pt idx="939">
                    <c:v>06/06/2024</c:v>
                  </c:pt>
                  <c:pt idx="940">
                    <c:v>31/07/2024</c:v>
                  </c:pt>
                  <c:pt idx="941">
                    <c:v>16/11/2022</c:v>
                  </c:pt>
                  <c:pt idx="942">
                    <c:v>06/10/2022</c:v>
                  </c:pt>
                  <c:pt idx="943">
                    <c:v>03/03/2021</c:v>
                  </c:pt>
                  <c:pt idx="944">
                    <c:v>25/04/2024</c:v>
                  </c:pt>
                  <c:pt idx="945">
                    <c:v>28/03/2022</c:v>
                  </c:pt>
                  <c:pt idx="946">
                    <c:v>27/12/2024</c:v>
                  </c:pt>
                  <c:pt idx="947">
                    <c:v>27/12/2024</c:v>
                  </c:pt>
                  <c:pt idx="948">
                    <c:v>27/12/2024</c:v>
                  </c:pt>
                  <c:pt idx="949">
                    <c:v>21/09/2021</c:v>
                  </c:pt>
                  <c:pt idx="950">
                    <c:v>25/04/2024</c:v>
                  </c:pt>
                  <c:pt idx="951">
                    <c:v>25/04/2024</c:v>
                  </c:pt>
                  <c:pt idx="952">
                    <c:v>25/04/2024</c:v>
                  </c:pt>
                  <c:pt idx="953">
                    <c:v>13/01/2023</c:v>
                  </c:pt>
                  <c:pt idx="954">
                    <c:v>25/04/2024</c:v>
                  </c:pt>
                  <c:pt idx="955">
                    <c:v>26/10/2023</c:v>
                  </c:pt>
                  <c:pt idx="956">
                    <c:v>04/06/2025</c:v>
                  </c:pt>
                  <c:pt idx="957">
                    <c:v>30/10/2025</c:v>
                  </c:pt>
                  <c:pt idx="958">
                    <c:v>30/10/2025</c:v>
                  </c:pt>
                  <c:pt idx="959">
                    <c:v>04/11/2025</c:v>
                  </c:pt>
                  <c:pt idx="960">
                    <c:v>16/03/2023</c:v>
                  </c:pt>
                  <c:pt idx="961">
                    <c:v>18/09/2025</c:v>
                  </c:pt>
                  <c:pt idx="962">
                    <c:v>07/07/2022</c:v>
                  </c:pt>
                  <c:pt idx="963">
                    <c:v>07/07/2022</c:v>
                  </c:pt>
                  <c:pt idx="964">
                    <c:v>07/07/2022</c:v>
                  </c:pt>
                  <c:pt idx="965">
                    <c:v>07/07/2022</c:v>
                  </c:pt>
                  <c:pt idx="966">
                    <c:v>14/11/2023</c:v>
                  </c:pt>
                  <c:pt idx="967">
                    <c:v>07/07/2022</c:v>
                  </c:pt>
                  <c:pt idx="968">
                    <c:v>21/09/2021</c:v>
                  </c:pt>
                  <c:pt idx="969">
                    <c:v>21/09/2021</c:v>
                  </c:pt>
                  <c:pt idx="971">
                    <c:v>20/11/2025</c:v>
                  </c:pt>
                  <c:pt idx="972">
                    <c:v>20/11/2025</c:v>
                  </c:pt>
                  <c:pt idx="973">
                    <c:v>20/11/2025</c:v>
                  </c:pt>
                  <c:pt idx="974">
                    <c:v>04/06/2025</c:v>
                  </c:pt>
                  <c:pt idx="975">
                    <c:v>15/07/2021</c:v>
                  </c:pt>
                  <c:pt idx="976">
                    <c:v>09/09/2025</c:v>
                  </c:pt>
                  <c:pt idx="977">
                    <c:v>04/06/2025</c:v>
                  </c:pt>
                  <c:pt idx="978">
                    <c:v>04/06/2025</c:v>
                  </c:pt>
                  <c:pt idx="979">
                    <c:v>20/11/2025</c:v>
                  </c:pt>
                  <c:pt idx="980">
                    <c:v>07/07/2022</c:v>
                  </c:pt>
                  <c:pt idx="981">
                    <c:v>07/07/2022</c:v>
                  </c:pt>
                  <c:pt idx="982">
                    <c:v>18/09/2025</c:v>
                  </c:pt>
                  <c:pt idx="983">
                    <c:v>16/03/2023</c:v>
                  </c:pt>
                  <c:pt idx="984">
                    <c:v>20/10/2023</c:v>
                  </c:pt>
                  <c:pt idx="985">
                    <c:v>20/10/2023</c:v>
                  </c:pt>
                  <c:pt idx="986">
                    <c:v>20/10/2023</c:v>
                  </c:pt>
                  <c:pt idx="987">
                    <c:v>20/10/2023</c:v>
                  </c:pt>
                  <c:pt idx="988">
                    <c:v>29/06/2020</c:v>
                  </c:pt>
                  <c:pt idx="989">
                    <c:v>20/10/2023</c:v>
                  </c:pt>
                  <c:pt idx="990">
                    <c:v>20/10/2023</c:v>
                  </c:pt>
                  <c:pt idx="991">
                    <c:v>20/07/2023</c:v>
                  </c:pt>
                  <c:pt idx="992">
                    <c:v>29/09/2025</c:v>
                  </c:pt>
                  <c:pt idx="993">
                    <c:v>20/03/2023</c:v>
                  </c:pt>
                  <c:pt idx="994">
                    <c:v>29/09/2025</c:v>
                  </c:pt>
                  <c:pt idx="995">
                    <c:v>29/09/2025</c:v>
                  </c:pt>
                  <c:pt idx="996">
                    <c:v>20/03/2023</c:v>
                  </c:pt>
                  <c:pt idx="997">
                    <c:v>22/03/2022</c:v>
                  </c:pt>
                  <c:pt idx="998">
                    <c:v>30/10/2025</c:v>
                  </c:pt>
                  <c:pt idx="999">
                    <c:v>30/10/2025</c:v>
                  </c:pt>
                  <c:pt idx="1000">
                    <c:v>30/10/2025</c:v>
                  </c:pt>
                  <c:pt idx="1001">
                    <c:v>30/10/2025</c:v>
                  </c:pt>
                  <c:pt idx="1002">
                    <c:v>30/10/2025</c:v>
                  </c:pt>
                  <c:pt idx="1003">
                    <c:v>28/03/2022</c:v>
                  </c:pt>
                  <c:pt idx="1004">
                    <c:v>30/10/2025</c:v>
                  </c:pt>
                  <c:pt idx="1005">
                    <c:v>30/10/2025</c:v>
                  </c:pt>
                  <c:pt idx="1006">
                    <c:v>30/10/2025</c:v>
                  </c:pt>
                  <c:pt idx="1007">
                    <c:v>30/10/2025</c:v>
                  </c:pt>
                  <c:pt idx="1008">
                    <c:v>15/03/2024</c:v>
                  </c:pt>
                  <c:pt idx="1009">
                    <c:v>15/03/2024</c:v>
                  </c:pt>
                  <c:pt idx="1010">
                    <c:v>15/03/2024</c:v>
                  </c:pt>
                  <c:pt idx="1011">
                    <c:v>28/03/2022</c:v>
                  </c:pt>
                  <c:pt idx="1012">
                    <c:v>29/09/2025</c:v>
                  </c:pt>
                  <c:pt idx="1013">
                    <c:v>16/06/2022</c:v>
                  </c:pt>
                  <c:pt idx="1014">
                    <c:v>16/06/2022</c:v>
                  </c:pt>
                  <c:pt idx="1015">
                    <c:v>16/09/2022</c:v>
                  </c:pt>
                  <c:pt idx="1016">
                    <c:v>16/06/2022</c:v>
                  </c:pt>
                  <c:pt idx="1017">
                    <c:v>16/06/2022</c:v>
                  </c:pt>
                  <c:pt idx="1018">
                    <c:v>04/06/2025</c:v>
                  </c:pt>
                  <c:pt idx="1019">
                    <c:v>04/06/2025</c:v>
                  </c:pt>
                  <c:pt idx="1020">
                    <c:v>04/06/2025</c:v>
                  </c:pt>
                  <c:pt idx="1021">
                    <c:v>04/06/2025</c:v>
                  </c:pt>
                  <c:pt idx="1022">
                    <c:v>14/11/2024</c:v>
                  </c:pt>
                  <c:pt idx="1023">
                    <c:v>27/01/2024</c:v>
                  </c:pt>
                  <c:pt idx="1024">
                    <c:v>14/11/2024</c:v>
                  </c:pt>
                  <c:pt idx="1025">
                    <c:v>10/09/2024</c:v>
                  </c:pt>
                  <c:pt idx="1026">
                    <c:v>25/04/2025</c:v>
                  </c:pt>
                  <c:pt idx="1027">
                    <c:v>25/04/2025</c:v>
                  </c:pt>
                  <c:pt idx="1028">
                    <c:v>25/04/2025</c:v>
                  </c:pt>
                  <c:pt idx="1029">
                    <c:v>25/04/2025</c:v>
                  </c:pt>
                  <c:pt idx="1030">
                    <c:v>04/06/2025</c:v>
                  </c:pt>
                  <c:pt idx="1031">
                    <c:v>04/06/2025</c:v>
                  </c:pt>
                  <c:pt idx="1032">
                    <c:v>04/06/2025</c:v>
                  </c:pt>
                  <c:pt idx="1033">
                    <c:v>15/10/2025</c:v>
                  </c:pt>
                  <c:pt idx="1034">
                    <c:v>15/10/2025</c:v>
                  </c:pt>
                  <c:pt idx="1035">
                    <c:v>15/10/2025</c:v>
                  </c:pt>
                  <c:pt idx="1036">
                    <c:v>09/09/2025</c:v>
                  </c:pt>
                  <c:pt idx="1037">
                    <c:v>09/09/2025</c:v>
                  </c:pt>
                  <c:pt idx="1038">
                    <c:v>09/09/2025</c:v>
                  </c:pt>
                  <c:pt idx="1039">
                    <c:v>09/09/2025</c:v>
                  </c:pt>
                  <c:pt idx="1040">
                    <c:v>30/10/2025</c:v>
                  </c:pt>
                  <c:pt idx="1041">
                    <c:v>09/09/2025</c:v>
                  </c:pt>
                  <c:pt idx="1042">
                    <c:v>09/09/2025</c:v>
                  </c:pt>
                  <c:pt idx="1043">
                    <c:v>09/09/2025</c:v>
                  </c:pt>
                  <c:pt idx="1044">
                    <c:v>30/10/2025</c:v>
                  </c:pt>
                  <c:pt idx="1045">
                    <c:v>09/09/2025</c:v>
                  </c:pt>
                  <c:pt idx="1046">
                    <c:v>09/09/2025</c:v>
                  </c:pt>
                  <c:pt idx="1047">
                    <c:v>08/03/2022</c:v>
                  </c:pt>
                  <c:pt idx="1048">
                    <c:v>08/03/2022</c:v>
                  </c:pt>
                  <c:pt idx="1049">
                    <c:v>08/03/2022</c:v>
                  </c:pt>
                  <c:pt idx="1050">
                    <c:v>15/10/2025</c:v>
                  </c:pt>
                  <c:pt idx="1051">
                    <c:v>15/10/2025</c:v>
                  </c:pt>
                  <c:pt idx="1052">
                    <c:v>18/01/2023</c:v>
                  </c:pt>
                  <c:pt idx="1053">
                    <c:v>13/03/2024</c:v>
                  </c:pt>
                  <c:pt idx="1054">
                    <c:v>07/02/2024</c:v>
                  </c:pt>
                  <c:pt idx="1055">
                    <c:v>07/02/2024</c:v>
                  </c:pt>
                  <c:pt idx="1056">
                    <c:v>26/02/2025</c:v>
                  </c:pt>
                  <c:pt idx="1057">
                    <c:v>15/04/2025</c:v>
                  </c:pt>
                  <c:pt idx="1058">
                    <c:v>15/04/2025</c:v>
                  </c:pt>
                  <c:pt idx="1059">
                    <c:v>30/10/2025</c:v>
                  </c:pt>
                  <c:pt idx="1060">
                    <c:v>11/06/2025</c:v>
                  </c:pt>
                  <c:pt idx="1061">
                    <c:v>18/12/2025</c:v>
                  </c:pt>
                  <c:pt idx="1062">
                    <c:v>11/06/2025</c:v>
                  </c:pt>
                  <c:pt idx="1063">
                    <c:v>13/04/2023</c:v>
                  </c:pt>
                  <c:pt idx="1064">
                    <c:v>13/04/2023</c:v>
                  </c:pt>
                  <c:pt idx="1065">
                    <c:v>15/04/2025</c:v>
                  </c:pt>
                  <c:pt idx="1066">
                    <c:v>15/04/2025</c:v>
                  </c:pt>
                  <c:pt idx="1067">
                    <c:v>05/12/2024</c:v>
                  </c:pt>
                  <c:pt idx="1068">
                    <c:v>01/11/2023</c:v>
                  </c:pt>
                  <c:pt idx="1069">
                    <c:v>28/05/2025</c:v>
                  </c:pt>
                  <c:pt idx="1070">
                    <c:v>28/05/2025</c:v>
                  </c:pt>
                  <c:pt idx="1071">
                    <c:v>30/10/2025</c:v>
                  </c:pt>
                  <c:pt idx="1072">
                    <c:v>07/05/2021</c:v>
                  </c:pt>
                  <c:pt idx="1073">
                    <c:v>07/05/2021</c:v>
                  </c:pt>
                  <c:pt idx="1074">
                    <c:v>07/05/2021</c:v>
                  </c:pt>
                  <c:pt idx="1075">
                    <c:v>07/05/2021</c:v>
                  </c:pt>
                  <c:pt idx="1076">
                    <c:v>07/05/2021</c:v>
                  </c:pt>
                  <c:pt idx="1078">
                    <c:v>07/03/2024</c:v>
                  </c:pt>
                  <c:pt idx="1079">
                    <c:v>07/03/2024</c:v>
                  </c:pt>
                  <c:pt idx="1080">
                    <c:v>09/09/2025</c:v>
                  </c:pt>
                  <c:pt idx="1081">
                    <c:v>04/06/2025</c:v>
                  </c:pt>
                  <c:pt idx="1082">
                    <c:v>04/06/2025</c:v>
                  </c:pt>
                  <c:pt idx="1083">
                    <c:v>04/06/2025</c:v>
                  </c:pt>
                  <c:pt idx="1084">
                    <c:v>04/06/2025</c:v>
                  </c:pt>
                  <c:pt idx="1085">
                    <c:v>15/10/2025</c:v>
                  </c:pt>
                  <c:pt idx="1086">
                    <c:v>15/10/2025</c:v>
                  </c:pt>
                  <c:pt idx="1087">
                    <c:v>20/10/2023</c:v>
                  </c:pt>
                  <c:pt idx="1088">
                    <c:v>20/10/2023</c:v>
                  </c:pt>
                  <c:pt idx="1089">
                    <c:v>20/10/2023</c:v>
                  </c:pt>
                  <c:pt idx="1090">
                    <c:v>20/10/2023</c:v>
                  </c:pt>
                  <c:pt idx="1091">
                    <c:v>09/09/2022</c:v>
                  </c:pt>
                  <c:pt idx="1092">
                    <c:v>16/03/2023</c:v>
                  </c:pt>
                  <c:pt idx="1093">
                    <c:v>16/03/2023</c:v>
                  </c:pt>
                  <c:pt idx="1094">
                    <c:v>07/07/2022</c:v>
                  </c:pt>
                  <c:pt idx="1095">
                    <c:v>18/09/2025</c:v>
                  </c:pt>
                  <c:pt idx="1096">
                    <c:v>13/05/2021</c:v>
                  </c:pt>
                  <c:pt idx="1097">
                    <c:v>06/10/2021</c:v>
                  </c:pt>
                  <c:pt idx="1098">
                    <c:v>01/11/2023</c:v>
                  </c:pt>
                  <c:pt idx="1099">
                    <c:v>16/11/2022</c:v>
                  </c:pt>
                  <c:pt idx="1100">
                    <c:v>07/03/2024</c:v>
                  </c:pt>
                  <c:pt idx="1101">
                    <c:v>30/10/2025</c:v>
                  </c:pt>
                  <c:pt idx="1102">
                    <c:v>10/12/2024</c:v>
                  </c:pt>
                  <c:pt idx="1103">
                    <c:v>18/12/2025</c:v>
                  </c:pt>
                  <c:pt idx="1104">
                    <c:v>16/11/2022</c:v>
                  </c:pt>
                  <c:pt idx="1105">
                    <c:v>03/03/2021</c:v>
                  </c:pt>
                  <c:pt idx="1106">
                    <c:v>02/06/2022</c:v>
                  </c:pt>
                  <c:pt idx="1107">
                    <c:v>01/11/2023</c:v>
                  </c:pt>
                  <c:pt idx="1108">
                    <c:v>28/08/2024</c:v>
                  </c:pt>
                  <c:pt idx="1109">
                    <c:v>14/11/2024</c:v>
                  </c:pt>
                  <c:pt idx="1110">
                    <c:v>10/12/2021</c:v>
                  </c:pt>
                  <c:pt idx="1111">
                    <c:v>11/12/2021</c:v>
                  </c:pt>
                  <c:pt idx="1112">
                    <c:v>13/12/2021</c:v>
                  </c:pt>
                  <c:pt idx="1113">
                    <c:v>14/12/2021</c:v>
                  </c:pt>
                  <c:pt idx="1114">
                    <c:v>15/12/2021</c:v>
                  </c:pt>
                  <c:pt idx="1115">
                    <c:v>10/09/2024</c:v>
                  </c:pt>
                  <c:pt idx="1116">
                    <c:v>28/10/2024</c:v>
                  </c:pt>
                  <c:pt idx="1117">
                    <c:v>28/10/2024</c:v>
                  </c:pt>
                  <c:pt idx="1118">
                    <c:v>17/12/2021</c:v>
                  </c:pt>
                  <c:pt idx="1119">
                    <c:v>14/07/2025</c:v>
                  </c:pt>
                  <c:pt idx="1120">
                    <c:v>14/07/2025</c:v>
                  </c:pt>
                  <c:pt idx="1121">
                    <c:v>28/03/2022</c:v>
                  </c:pt>
                  <c:pt idx="1122">
                    <c:v>05/06/2025</c:v>
                  </c:pt>
                  <c:pt idx="1123">
                    <c:v>05/06/2025</c:v>
                  </c:pt>
                  <c:pt idx="1124">
                    <c:v>25/04/2024</c:v>
                  </c:pt>
                  <c:pt idx="1125">
                    <c:v>25/04/2024</c:v>
                  </c:pt>
                  <c:pt idx="1126">
                    <c:v>25/04/2024</c:v>
                  </c:pt>
                  <c:pt idx="1127">
                    <c:v>02/09/2022</c:v>
                  </c:pt>
                  <c:pt idx="1128">
                    <c:v>30/10/2025</c:v>
                  </c:pt>
                  <c:pt idx="1129">
                    <c:v>30/10/2025</c:v>
                  </c:pt>
                  <c:pt idx="1130">
                    <c:v>30/10/2025</c:v>
                  </c:pt>
                  <c:pt idx="1131">
                    <c:v>30/10/2025</c:v>
                  </c:pt>
                  <c:pt idx="1132">
                    <c:v>30/10/2025</c:v>
                  </c:pt>
                  <c:pt idx="1133">
                    <c:v>30/10/2025</c:v>
                  </c:pt>
                  <c:pt idx="1134">
                    <c:v>30/10/2025</c:v>
                  </c:pt>
                  <c:pt idx="1135">
                    <c:v>30/10/2025</c:v>
                  </c:pt>
                  <c:pt idx="1136">
                    <c:v>24/03/2020</c:v>
                  </c:pt>
                  <c:pt idx="1137">
                    <c:v>24/03/2020</c:v>
                  </c:pt>
                  <c:pt idx="1138">
                    <c:v>24/03/2020</c:v>
                  </c:pt>
                  <c:pt idx="1139">
                    <c:v>24/03/2020</c:v>
                  </c:pt>
                  <c:pt idx="1140">
                    <c:v>24/03/2020</c:v>
                  </c:pt>
                  <c:pt idx="1141">
                    <c:v>24/03/2020</c:v>
                  </c:pt>
                  <c:pt idx="1142">
                    <c:v>09/09/2025</c:v>
                  </c:pt>
                  <c:pt idx="1143">
                    <c:v>16/02/2022</c:v>
                  </c:pt>
                  <c:pt idx="1144">
                    <c:v>26/02/2025</c:v>
                  </c:pt>
                  <c:pt idx="1145">
                    <c:v>20/03/2023</c:v>
                  </c:pt>
                  <c:pt idx="1146">
                    <c:v>26/02/2025</c:v>
                  </c:pt>
                  <c:pt idx="1147">
                    <c:v>14/04/2023</c:v>
                  </c:pt>
                  <c:pt idx="1148">
                    <c:v>24/10/2024</c:v>
                  </c:pt>
                  <c:pt idx="1149">
                    <c:v>11/06/2025</c:v>
                  </c:pt>
                  <c:pt idx="1150">
                    <c:v>01/11/2023</c:v>
                  </c:pt>
                  <c:pt idx="1151">
                    <c:v>03/03/2021</c:v>
                  </c:pt>
                  <c:pt idx="1152">
                    <c:v>18/12/2025</c:v>
                  </c:pt>
                  <c:pt idx="1153">
                    <c:v>10/12/2024</c:v>
                  </c:pt>
                  <c:pt idx="1154">
                    <c:v>10/12/2024</c:v>
                  </c:pt>
                  <c:pt idx="1155">
                    <c:v>25/04/2024</c:v>
                  </c:pt>
                  <c:pt idx="1156">
                    <c:v>14/01/2021</c:v>
                  </c:pt>
                  <c:pt idx="1157">
                    <c:v>22/07/2021</c:v>
                  </c:pt>
                  <c:pt idx="1158">
                    <c:v>16/11/2022</c:v>
                  </c:pt>
                  <c:pt idx="1159">
                    <c:v>06/09/2023</c:v>
                  </c:pt>
                  <c:pt idx="1160">
                    <c:v>18/12/2025</c:v>
                  </c:pt>
                  <c:pt idx="1161">
                    <c:v>30/10/2025</c:v>
                  </c:pt>
                  <c:pt idx="1162">
                    <c:v>01/11/2023</c:v>
                  </c:pt>
                  <c:pt idx="1163">
                    <c:v>18/12/2025</c:v>
                  </c:pt>
                  <c:pt idx="1164">
                    <c:v>30/10/2025</c:v>
                  </c:pt>
                  <c:pt idx="1165">
                    <c:v>30/10/2025</c:v>
                  </c:pt>
                  <c:pt idx="1166">
                    <c:v>26/10/2023</c:v>
                  </c:pt>
                  <c:pt idx="1167">
                    <c:v>21/09/2021</c:v>
                  </c:pt>
                  <c:pt idx="1168">
                    <c:v>28/03/2022</c:v>
                  </c:pt>
                  <c:pt idx="1169">
                    <c:v>21/10/2021</c:v>
                  </c:pt>
                  <c:pt idx="1170">
                    <c:v>15/03/2024</c:v>
                  </c:pt>
                  <c:pt idx="1171">
                    <c:v>15/03/2024</c:v>
                  </c:pt>
                  <c:pt idx="1172">
                    <c:v>15/03/2024</c:v>
                  </c:pt>
                  <c:pt idx="1173">
                    <c:v>10/09/2024</c:v>
                  </c:pt>
                  <c:pt idx="1174">
                    <c:v>15/03/2024</c:v>
                  </c:pt>
                  <c:pt idx="1175">
                    <c:v>15/03/2024</c:v>
                  </c:pt>
                  <c:pt idx="1176">
                    <c:v>15/03/2024</c:v>
                  </c:pt>
                  <c:pt idx="1177">
                    <c:v>15/03/2024</c:v>
                  </c:pt>
                  <c:pt idx="1178">
                    <c:v>20/11/2025</c:v>
                  </c:pt>
                  <c:pt idx="1179">
                    <c:v>20/11/2025</c:v>
                  </c:pt>
                  <c:pt idx="1180">
                    <c:v>20/11/2025</c:v>
                  </c:pt>
                  <c:pt idx="1181">
                    <c:v>20/11/2025</c:v>
                  </c:pt>
                  <c:pt idx="1182">
                    <c:v>16/06/2022</c:v>
                  </c:pt>
                  <c:pt idx="1183">
                    <c:v>16/06/2022</c:v>
                  </c:pt>
                  <c:pt idx="1184">
                    <c:v>30/10/2025</c:v>
                  </c:pt>
                  <c:pt idx="1185">
                    <c:v>27/01/2024</c:v>
                  </c:pt>
                  <c:pt idx="1186">
                    <c:v>27/01/2024</c:v>
                  </c:pt>
                  <c:pt idx="1187">
                    <c:v>14/01/2021</c:v>
                  </c:pt>
                  <c:pt idx="1188">
                    <c:v>24/04/2024</c:v>
                  </c:pt>
                  <c:pt idx="1189">
                    <c:v>16/11/2022</c:v>
                  </c:pt>
                  <c:pt idx="1190">
                    <c:v>16/11/2022</c:v>
                  </c:pt>
                  <c:pt idx="1191">
                    <c:v>16/11/2022</c:v>
                  </c:pt>
                  <c:pt idx="1192">
                    <c:v>16/02/2022</c:v>
                  </c:pt>
                  <c:pt idx="1193">
                    <c:v>06/09/2023</c:v>
                  </c:pt>
                  <c:pt idx="1194">
                    <c:v>24/04/2024</c:v>
                  </c:pt>
                  <c:pt idx="1195">
                    <c:v>13/04/2023</c:v>
                  </c:pt>
                  <c:pt idx="1196">
                    <c:v>01/06/2021</c:v>
                  </c:pt>
                  <c:pt idx="1197">
                    <c:v>16/06/2022</c:v>
                  </c:pt>
                  <c:pt idx="1198">
                    <c:v>10/10/2025</c:v>
                  </c:pt>
                  <c:pt idx="1199">
                    <c:v>15/03/2024</c:v>
                  </c:pt>
                  <c:pt idx="1200">
                    <c:v>15/03/2024</c:v>
                  </c:pt>
                  <c:pt idx="1201">
                    <c:v>05/05/2021</c:v>
                  </c:pt>
                  <c:pt idx="1202">
                    <c:v>10/03/2021</c:v>
                  </c:pt>
                  <c:pt idx="1203">
                    <c:v>14/11/2023</c:v>
                  </c:pt>
                  <c:pt idx="1204">
                    <c:v>04/06/2025</c:v>
                  </c:pt>
                  <c:pt idx="1205">
                    <c:v>20/11/2025</c:v>
                  </c:pt>
                  <c:pt idx="1206">
                    <c:v>27/12/2024</c:v>
                  </c:pt>
                  <c:pt idx="1207">
                    <c:v>24/04/2020</c:v>
                  </c:pt>
                  <c:pt idx="1208">
                    <c:v>25/04/2024</c:v>
                  </c:pt>
                  <c:pt idx="1209">
                    <c:v>21/01/1900</c:v>
                  </c:pt>
                  <c:pt idx="1210">
                    <c:v>04/06/2025</c:v>
                  </c:pt>
                  <c:pt idx="1211">
                    <c:v>20/11/2025</c:v>
                  </c:pt>
                  <c:pt idx="1212">
                    <c:v>20/11/2025</c:v>
                  </c:pt>
                  <c:pt idx="1213">
                    <c:v>18/12/2025</c:v>
                  </c:pt>
                  <c:pt idx="1214">
                    <c:v>18/12/2025</c:v>
                  </c:pt>
                  <c:pt idx="1215">
                    <c:v>09/09/2025</c:v>
                  </c:pt>
                  <c:pt idx="1216">
                    <c:v>09/09/2025</c:v>
                  </c:pt>
                  <c:pt idx="1217">
                    <c:v>09/09/2025</c:v>
                  </c:pt>
                  <c:pt idx="1218">
                    <c:v>17/05/2025</c:v>
                  </c:pt>
                  <c:pt idx="1219">
                    <c:v>17/05/2025</c:v>
                  </c:pt>
                  <c:pt idx="1220">
                    <c:v>08/04/2025</c:v>
                  </c:pt>
                  <c:pt idx="1221">
                    <c:v>17/05/2025</c:v>
                  </c:pt>
                  <c:pt idx="1222">
                    <c:v>17/05/2025</c:v>
                  </c:pt>
                  <c:pt idx="1223">
                    <c:v>29/06/2022</c:v>
                  </c:pt>
                  <c:pt idx="1224">
                    <c:v>01/11/2023</c:v>
                  </c:pt>
                  <c:pt idx="1225">
                    <c:v>21/12/2023</c:v>
                  </c:pt>
                  <c:pt idx="1226">
                    <c:v>07/03/2024</c:v>
                  </c:pt>
                  <c:pt idx="1227">
                    <c:v>24/10/2024</c:v>
                  </c:pt>
                  <c:pt idx="1228">
                    <c:v>18/12/2025</c:v>
                  </c:pt>
                  <c:pt idx="1229">
                    <c:v>24/10/2024</c:v>
                  </c:pt>
                  <c:pt idx="1230">
                    <c:v>24/10/2024</c:v>
                  </c:pt>
                  <c:pt idx="1231">
                    <c:v>17/09/2025</c:v>
                  </c:pt>
                  <c:pt idx="1232">
                    <c:v>24/10/2024</c:v>
                  </c:pt>
                  <c:pt idx="1233">
                    <c:v>17/09/2025</c:v>
                  </c:pt>
                  <c:pt idx="1234">
                    <c:v>25/04/2024</c:v>
                  </c:pt>
                  <c:pt idx="1235">
                    <c:v>08/06/2020</c:v>
                  </c:pt>
                  <c:pt idx="1236">
                    <c:v>08/06/2020</c:v>
                  </c:pt>
                  <c:pt idx="1237">
                    <c:v>25/04/2025</c:v>
                  </c:pt>
                  <c:pt idx="1238">
                    <c:v>25/04/2025</c:v>
                  </c:pt>
                  <c:pt idx="1239">
                    <c:v>25/04/2025</c:v>
                  </c:pt>
                  <c:pt idx="1240">
                    <c:v>25/04/2025</c:v>
                  </c:pt>
                  <c:pt idx="1241">
                    <c:v>25/04/2025</c:v>
                  </c:pt>
                  <c:pt idx="1242">
                    <c:v>25/04/2025</c:v>
                  </c:pt>
                  <c:pt idx="1243">
                    <c:v>25/04/2025</c:v>
                  </c:pt>
                  <c:pt idx="1244">
                    <c:v>25/04/2025</c:v>
                  </c:pt>
                  <c:pt idx="1245">
                    <c:v>28/08/2024</c:v>
                  </c:pt>
                  <c:pt idx="1246">
                    <c:v>25/04/2025</c:v>
                  </c:pt>
                  <c:pt idx="1247">
                    <c:v>28/11/2023</c:v>
                  </c:pt>
                  <c:pt idx="1249">
                    <c:v>29/09/2025</c:v>
                  </c:pt>
                  <c:pt idx="1250">
                    <c:v>29/09/2025</c:v>
                  </c:pt>
                  <c:pt idx="1251">
                    <c:v>13/03/2024</c:v>
                  </c:pt>
                  <c:pt idx="1252">
                    <c:v>29/09/2025</c:v>
                  </c:pt>
                  <c:pt idx="1253">
                    <c:v>11/06/2025</c:v>
                  </c:pt>
                  <c:pt idx="1254">
                    <c:v>11/01/2025</c:v>
                  </c:pt>
                  <c:pt idx="1255">
                    <c:v>29/01/2024</c:v>
                  </c:pt>
                  <c:pt idx="1256">
                    <c:v>07/12/2021</c:v>
                  </c:pt>
                  <c:pt idx="1257">
                    <c:v>03/03/2023</c:v>
                  </c:pt>
                  <c:pt idx="1258">
                    <c:v>27/07/2023</c:v>
                  </c:pt>
                  <c:pt idx="1259">
                    <c:v>29/01/2024</c:v>
                  </c:pt>
                  <c:pt idx="1260">
                    <c:v>29/01/2024</c:v>
                  </c:pt>
                  <c:pt idx="1262">
                    <c:v>31/07/2024</c:v>
                  </c:pt>
                  <c:pt idx="1263">
                    <c:v>31/07/2024</c:v>
                  </c:pt>
                  <c:pt idx="1264">
                    <c:v>13/10/2022</c:v>
                  </c:pt>
                  <c:pt idx="1265">
                    <c:v>02/06/2022</c:v>
                  </c:pt>
                  <c:pt idx="1266">
                    <c:v>25/04/2024</c:v>
                  </c:pt>
                  <c:pt idx="1267">
                    <c:v>27/12/2024</c:v>
                  </c:pt>
                  <c:pt idx="1268">
                    <c:v>15/03/2024</c:v>
                  </c:pt>
                  <c:pt idx="1269">
                    <c:v>27/12/2024</c:v>
                  </c:pt>
                  <c:pt idx="1270">
                    <c:v>15/03/2024</c:v>
                  </c:pt>
                  <c:pt idx="1271">
                    <c:v>15/03/2024</c:v>
                  </c:pt>
                  <c:pt idx="1272">
                    <c:v>10/05/2023</c:v>
                  </c:pt>
                  <c:pt idx="1273">
                    <c:v>07/05/2021</c:v>
                  </c:pt>
                  <c:pt idx="1274">
                    <c:v>07/05/2021</c:v>
                  </c:pt>
                  <c:pt idx="1275">
                    <c:v>07/05/2021</c:v>
                  </c:pt>
                  <c:pt idx="1276">
                    <c:v>07/05/2021</c:v>
                  </c:pt>
                  <c:pt idx="1277">
                    <c:v>07/05/2021</c:v>
                  </c:pt>
                  <c:pt idx="1278">
                    <c:v>18/12/2024</c:v>
                  </c:pt>
                  <c:pt idx="1279">
                    <c:v>07/03/2024</c:v>
                  </c:pt>
                  <c:pt idx="1280">
                    <c:v>07/03/2024</c:v>
                  </c:pt>
                  <c:pt idx="1281">
                    <c:v>07/03/2024</c:v>
                  </c:pt>
                  <c:pt idx="1282">
                    <c:v>07/03/2024</c:v>
                  </c:pt>
                  <c:pt idx="1283">
                    <c:v>06/06/2024</c:v>
                  </c:pt>
                  <c:pt idx="1284">
                    <c:v>28/05/2025</c:v>
                  </c:pt>
                  <c:pt idx="1285">
                    <c:v>28/05/2025</c:v>
                  </c:pt>
                  <c:pt idx="1286">
                    <c:v>28/05/2025</c:v>
                  </c:pt>
                  <c:pt idx="1287">
                    <c:v>28/05/2025</c:v>
                  </c:pt>
                  <c:pt idx="1288">
                    <c:v>08/06/2020</c:v>
                  </c:pt>
                  <c:pt idx="1289">
                    <c:v>10/03/2020</c:v>
                  </c:pt>
                  <c:pt idx="1290">
                    <c:v>22/04/2024</c:v>
                  </c:pt>
                  <c:pt idx="1291">
                    <c:v>22/04/2024</c:v>
                  </c:pt>
                  <c:pt idx="1292">
                    <c:v>25/04/2024</c:v>
                  </c:pt>
                  <c:pt idx="1293">
                    <c:v>25/04/2024</c:v>
                  </c:pt>
                  <c:pt idx="1294">
                    <c:v>15/03/2024</c:v>
                  </c:pt>
                  <c:pt idx="1295">
                    <c:v>15/03/2024</c:v>
                  </c:pt>
                  <c:pt idx="1296">
                    <c:v>15/03/2024</c:v>
                  </c:pt>
                  <c:pt idx="1297">
                    <c:v>04/06/2025</c:v>
                  </c:pt>
                  <c:pt idx="1298">
                    <c:v>04/06/2025</c:v>
                  </c:pt>
                  <c:pt idx="1299">
                    <c:v>04/06/2025</c:v>
                  </c:pt>
                  <c:pt idx="1300">
                    <c:v>04/06/2025</c:v>
                  </c:pt>
                  <c:pt idx="1301">
                    <c:v>27/12/2023</c:v>
                  </c:pt>
                  <c:pt idx="1302">
                    <c:v>04/05/2024</c:v>
                  </c:pt>
                  <c:pt idx="1303">
                    <c:v>04/05/2024</c:v>
                  </c:pt>
                  <c:pt idx="1304">
                    <c:v>04/05/2024</c:v>
                  </c:pt>
                  <c:pt idx="1305">
                    <c:v>04/05/2024</c:v>
                  </c:pt>
                  <c:pt idx="1306">
                    <c:v>04/05/2024</c:v>
                  </c:pt>
                  <c:pt idx="1307">
                    <c:v>04/05/2024</c:v>
                  </c:pt>
                  <c:pt idx="1308">
                    <c:v>04/05/2024</c:v>
                  </c:pt>
                  <c:pt idx="1309">
                    <c:v>04/05/2024</c:v>
                  </c:pt>
                  <c:pt idx="1310">
                    <c:v>04/05/2024</c:v>
                  </c:pt>
                  <c:pt idx="1311">
                    <c:v>04/05/2024</c:v>
                  </c:pt>
                  <c:pt idx="1312">
                    <c:v>04/05/2024</c:v>
                  </c:pt>
                  <c:pt idx="1313">
                    <c:v>04/05/2024</c:v>
                  </c:pt>
                  <c:pt idx="1314">
                    <c:v>04/05/2024</c:v>
                  </c:pt>
                  <c:pt idx="1315">
                    <c:v>31/10/2025</c:v>
                  </c:pt>
                  <c:pt idx="1316">
                    <c:v>31/10/2025</c:v>
                  </c:pt>
                  <c:pt idx="1317">
                    <c:v>11/07/2025</c:v>
                  </c:pt>
                  <c:pt idx="1318">
                    <c:v>09/09/2025</c:v>
                  </c:pt>
                  <c:pt idx="1319">
                    <c:v>16/08/2023</c:v>
                  </c:pt>
                  <c:pt idx="1320">
                    <c:v>11/05/2023</c:v>
                  </c:pt>
                  <c:pt idx="1321">
                    <c:v>15/05/2021</c:v>
                  </c:pt>
                  <c:pt idx="1322">
                    <c:v>15/03/2024</c:v>
                  </c:pt>
                  <c:pt idx="1323">
                    <c:v>25/09/2025</c:v>
                  </c:pt>
                  <c:pt idx="1324">
                    <c:v>15/03/2024</c:v>
                  </c:pt>
                  <c:pt idx="1325">
                    <c:v>02/10/2026</c:v>
                  </c:pt>
                  <c:pt idx="1326">
                    <c:v>27/01/2024</c:v>
                  </c:pt>
                  <c:pt idx="1327">
                    <c:v>10/09/2024</c:v>
                  </c:pt>
                  <c:pt idx="1328">
                    <c:v>20/11/2025</c:v>
                  </c:pt>
                  <c:pt idx="1329">
                    <c:v>08/06/2020</c:v>
                  </c:pt>
                  <c:pt idx="1330">
                    <c:v>15/07/2021</c:v>
                  </c:pt>
                  <c:pt idx="1331">
                    <c:v>08/06/2020</c:v>
                  </c:pt>
                  <c:pt idx="1332">
                    <c:v>08/06/2020</c:v>
                  </c:pt>
                  <c:pt idx="1333">
                    <c:v>09/09/2025</c:v>
                  </c:pt>
                  <c:pt idx="1334">
                    <c:v>25/04/2025</c:v>
                  </c:pt>
                  <c:pt idx="1335">
                    <c:v>27/12/2023</c:v>
                  </c:pt>
                  <c:pt idx="1336">
                    <c:v>25/04/2025</c:v>
                  </c:pt>
                  <c:pt idx="1337">
                    <c:v>11/07/2025</c:v>
                  </c:pt>
                  <c:pt idx="1338">
                    <c:v>25/04/2025</c:v>
                  </c:pt>
                  <c:pt idx="1339">
                    <c:v>25/04/2024</c:v>
                  </c:pt>
                  <c:pt idx="1340">
                    <c:v>25/04/2024</c:v>
                  </c:pt>
                  <c:pt idx="1341">
                    <c:v>25/04/2024</c:v>
                  </c:pt>
                  <c:pt idx="1342">
                    <c:v>27/12/2024</c:v>
                  </c:pt>
                  <c:pt idx="1343">
                    <c:v>04/06/2025</c:v>
                  </c:pt>
                  <c:pt idx="1344">
                    <c:v>20/11/2025</c:v>
                  </c:pt>
                  <c:pt idx="1345">
                    <c:v>30/10/2025</c:v>
                  </c:pt>
                  <c:pt idx="1346">
                    <c:v>10/09/2024</c:v>
                  </c:pt>
                  <c:pt idx="1347">
                    <c:v>20/11/2025</c:v>
                  </c:pt>
                  <c:pt idx="1348">
                    <c:v>08/06/2020</c:v>
                  </c:pt>
                  <c:pt idx="1349">
                    <c:v>20/11/2025</c:v>
                  </c:pt>
                  <c:pt idx="1350">
                    <c:v>10/09/2024</c:v>
                  </c:pt>
                  <c:pt idx="1351">
                    <c:v>10/09/2024</c:v>
                  </c:pt>
                  <c:pt idx="1352">
                    <c:v>10/09/2024</c:v>
                  </c:pt>
                  <c:pt idx="1353">
                    <c:v>27/12/2024</c:v>
                  </c:pt>
                  <c:pt idx="1354">
                    <c:v>30/10/2025</c:v>
                  </c:pt>
                  <c:pt idx="1355">
                    <c:v>19/08/2020</c:v>
                  </c:pt>
                  <c:pt idx="1356">
                    <c:v>19/08/2020</c:v>
                  </c:pt>
                  <c:pt idx="1357">
                    <c:v>10/09/2023</c:v>
                  </c:pt>
                  <c:pt idx="1358">
                    <c:v>27/12/2023</c:v>
                  </c:pt>
                  <c:pt idx="1359">
                    <c:v>04/11/2025</c:v>
                  </c:pt>
                  <c:pt idx="1360">
                    <c:v>07/05/2021</c:v>
                  </c:pt>
                  <c:pt idx="1361">
                    <c:v>10/09/2024</c:v>
                  </c:pt>
                  <c:pt idx="1362">
                    <c:v>10/09/2024</c:v>
                  </c:pt>
                  <c:pt idx="1363">
                    <c:v>10/09/2024</c:v>
                  </c:pt>
                  <c:pt idx="1364">
                    <c:v>06/06/2025</c:v>
                  </c:pt>
                  <c:pt idx="1365">
                    <c:v>09/09/2025</c:v>
                  </c:pt>
                  <c:pt idx="1366">
                    <c:v>09/09/2025</c:v>
                  </c:pt>
                  <c:pt idx="1367">
                    <c:v>09/09/2025</c:v>
                  </c:pt>
                  <c:pt idx="1368">
                    <c:v>09/09/2025</c:v>
                  </c:pt>
                  <c:pt idx="1369">
                    <c:v>09/09/2025</c:v>
                  </c:pt>
                  <c:pt idx="1370">
                    <c:v>07/05/2021</c:v>
                  </c:pt>
                  <c:pt idx="1371">
                    <c:v>16/08/2022</c:v>
                  </c:pt>
                  <c:pt idx="1372">
                    <c:v>16/08/2022</c:v>
                  </c:pt>
                  <c:pt idx="1373">
                    <c:v>09/05/2022</c:v>
                  </c:pt>
                  <c:pt idx="1374">
                    <c:v>22/04/2024</c:v>
                  </c:pt>
                  <c:pt idx="1375">
                    <c:v>18/12/2025</c:v>
                  </c:pt>
                  <c:pt idx="1376">
                    <c:v>26/02/2025</c:v>
                  </c:pt>
                  <c:pt idx="1377">
                    <c:v>26/02/2025</c:v>
                  </c:pt>
                  <c:pt idx="1378">
                    <c:v>26/02/2025</c:v>
                  </c:pt>
                  <c:pt idx="1379">
                    <c:v>30/10/2025</c:v>
                  </c:pt>
                  <c:pt idx="1380">
                    <c:v>30/10/2025</c:v>
                  </c:pt>
                  <c:pt idx="1381">
                    <c:v>08/03/2022</c:v>
                  </c:pt>
                  <c:pt idx="1382">
                    <c:v>15/06/2021</c:v>
                  </c:pt>
                  <c:pt idx="1383">
                    <c:v>08/06/2020</c:v>
                  </c:pt>
                  <c:pt idx="1384">
                    <c:v>07/05/2021</c:v>
                  </c:pt>
                  <c:pt idx="1385">
                    <c:v>08/06/2020</c:v>
                  </c:pt>
                  <c:pt idx="1386">
                    <c:v>26/02/2025</c:v>
                  </c:pt>
                  <c:pt idx="1388">
                    <c:v>07/07/2022</c:v>
                  </c:pt>
                  <c:pt idx="1389">
                    <c:v>07/07/2022</c:v>
                  </c:pt>
                  <c:pt idx="1390">
                    <c:v>07/07/2022</c:v>
                  </c:pt>
                  <c:pt idx="1391">
                    <c:v>07/07/2022</c:v>
                  </c:pt>
                  <c:pt idx="1392">
                    <c:v>16/03/2023</c:v>
                  </c:pt>
                  <c:pt idx="1393">
                    <c:v>16/03/2023</c:v>
                  </c:pt>
                  <c:pt idx="1394">
                    <c:v>04/11/2025</c:v>
                  </c:pt>
                  <c:pt idx="1395">
                    <c:v>04/11/2025</c:v>
                  </c:pt>
                  <c:pt idx="1396">
                    <c:v>04/11/2025</c:v>
                  </c:pt>
                  <c:pt idx="1397">
                    <c:v>04/11/2025</c:v>
                  </c:pt>
                  <c:pt idx="1398">
                    <c:v>04/11/2025</c:v>
                  </c:pt>
                  <c:pt idx="1399">
                    <c:v>24/05/2021</c:v>
                  </c:pt>
                  <c:pt idx="1400">
                    <c:v>20/03/2023</c:v>
                  </c:pt>
                  <c:pt idx="1401">
                    <c:v>13/01/2023</c:v>
                  </c:pt>
                  <c:pt idx="1402">
                    <c:v>17/10/2025</c:v>
                  </c:pt>
                  <c:pt idx="1403">
                    <c:v>30/10/2025</c:v>
                  </c:pt>
                  <c:pt idx="1404">
                    <c:v>30/10/2025</c:v>
                  </c:pt>
                  <c:pt idx="1405">
                    <c:v>16/03/2023</c:v>
                  </c:pt>
                  <c:pt idx="1406">
                    <c:v>16/03/2023</c:v>
                  </c:pt>
                  <c:pt idx="1407">
                    <c:v>21/10/2020</c:v>
                  </c:pt>
                  <c:pt idx="1408">
                    <c:v>15/03/2024</c:v>
                  </c:pt>
                  <c:pt idx="1409">
                    <c:v>15/03/2024</c:v>
                  </c:pt>
                  <c:pt idx="1410">
                    <c:v>15/03/2024</c:v>
                  </c:pt>
                  <c:pt idx="1411">
                    <c:v>15/03/2024</c:v>
                  </c:pt>
                  <c:pt idx="1412">
                    <c:v>15/03/2024</c:v>
                  </c:pt>
                  <c:pt idx="1413">
                    <c:v>15/03/2024</c:v>
                  </c:pt>
                  <c:pt idx="1414">
                    <c:v>15/03/2024</c:v>
                  </c:pt>
                  <c:pt idx="1415">
                    <c:v>15/03/2024</c:v>
                  </c:pt>
                  <c:pt idx="1416">
                    <c:v>15/03/2024</c:v>
                  </c:pt>
                  <c:pt idx="1417">
                    <c:v>15/03/2024</c:v>
                  </c:pt>
                  <c:pt idx="1418">
                    <c:v>15/03/2024</c:v>
                  </c:pt>
                  <c:pt idx="1419">
                    <c:v>15/10/2025</c:v>
                  </c:pt>
                  <c:pt idx="1420">
                    <c:v>12/12/2025</c:v>
                  </c:pt>
                  <c:pt idx="1421">
                    <c:v>10/10/2025</c:v>
                  </c:pt>
                  <c:pt idx="1422">
                    <c:v>29/04/2025</c:v>
                  </c:pt>
                  <c:pt idx="1423">
                    <c:v>12/12/2025</c:v>
                  </c:pt>
                  <c:pt idx="1424">
                    <c:v>12/12/2025</c:v>
                  </c:pt>
                  <c:pt idx="1425">
                    <c:v>12/12/2025</c:v>
                  </c:pt>
                  <c:pt idx="1426">
                    <c:v>10/10/2025</c:v>
                  </c:pt>
                  <c:pt idx="1427">
                    <c:v>10/10/2025</c:v>
                  </c:pt>
                  <c:pt idx="1428">
                    <c:v>01/11/2023</c:v>
                  </c:pt>
                  <c:pt idx="1429">
                    <c:v>10/10/2025</c:v>
                  </c:pt>
                  <c:pt idx="1430">
                    <c:v>10/03/2020</c:v>
                  </c:pt>
                  <c:pt idx="1431">
                    <c:v>10/03/2020</c:v>
                  </c:pt>
                  <c:pt idx="1432">
                    <c:v>10/03/2020</c:v>
                  </c:pt>
                  <c:pt idx="1433">
                    <c:v>17/09/2025</c:v>
                  </c:pt>
                  <c:pt idx="1434">
                    <c:v>17/09/2025</c:v>
                  </c:pt>
                  <c:pt idx="1436">
                    <c:v>11/11/2025</c:v>
                  </c:pt>
                  <c:pt idx="1437">
                    <c:v>11/11/2025</c:v>
                  </c:pt>
                  <c:pt idx="1438">
                    <c:v>18/11/2025</c:v>
                  </c:pt>
                  <c:pt idx="1439">
                    <c:v>18/11/2025</c:v>
                  </c:pt>
                  <c:pt idx="1440">
                    <c:v>10/12/2021</c:v>
                  </c:pt>
                  <c:pt idx="1441">
                    <c:v>14/11/2023</c:v>
                  </c:pt>
                  <c:pt idx="1442">
                    <c:v>30/12/2022</c:v>
                  </c:pt>
                  <c:pt idx="1443">
                    <c:v>05/05/2025</c:v>
                  </c:pt>
                  <c:pt idx="1444">
                    <c:v>30/12/2022</c:v>
                  </c:pt>
                  <c:pt idx="1446">
                    <c:v>10/12/2025</c:v>
                  </c:pt>
                  <c:pt idx="1447">
                    <c:v>10/12/2025</c:v>
                  </c:pt>
                  <c:pt idx="1448">
                    <c:v>10/12/2025</c:v>
                  </c:pt>
                  <c:pt idx="1449">
                    <c:v>12-nov</c:v>
                  </c:pt>
                  <c:pt idx="1450">
                    <c:v>09/12/2024</c:v>
                  </c:pt>
                  <c:pt idx="1451">
                    <c:v>21/10/2023</c:v>
                  </c:pt>
                  <c:pt idx="1452">
                    <c:v>20/11/2025</c:v>
                  </c:pt>
                  <c:pt idx="1453">
                    <c:v>20/11/2025</c:v>
                  </c:pt>
                  <c:pt idx="1454">
                    <c:v>07/10/2024</c:v>
                  </c:pt>
                  <c:pt idx="1456">
                    <c:v>25/10/2023</c:v>
                  </c:pt>
                  <c:pt idx="1457">
                    <c:v>20/10/2023</c:v>
                  </c:pt>
                  <c:pt idx="1458">
                    <c:v>11/01/2025</c:v>
                  </c:pt>
                  <c:pt idx="1459">
                    <c:v>30/10/2025</c:v>
                  </c:pt>
                  <c:pt idx="1460">
                    <c:v>30/10/2025</c:v>
                  </c:pt>
                  <c:pt idx="1461">
                    <c:v>02/11/2023</c:v>
                  </c:pt>
                  <c:pt idx="1462">
                    <c:v>10/03/2020</c:v>
                  </c:pt>
                  <c:pt idx="1463">
                    <c:v>16/06/2025</c:v>
                  </c:pt>
                  <c:pt idx="1464">
                    <c:v>16/06/2025</c:v>
                  </c:pt>
                  <c:pt idx="1465">
                    <c:v>18/01/2023</c:v>
                  </c:pt>
                  <c:pt idx="1466">
                    <c:v>09/05/2023</c:v>
                  </c:pt>
                  <c:pt idx="1467">
                    <c:v>26/07/2022</c:v>
                  </c:pt>
                  <c:pt idx="1468">
                    <c:v>30/01/2025</c:v>
                  </c:pt>
                  <c:pt idx="1469">
                    <c:v>06/09/2024</c:v>
                  </c:pt>
                  <c:pt idx="1470">
                    <c:v>13/03/2024</c:v>
                  </c:pt>
                  <c:pt idx="1471">
                    <c:v>13/08/2020</c:v>
                  </c:pt>
                  <c:pt idx="1472">
                    <c:v>13/08/2020</c:v>
                  </c:pt>
                  <c:pt idx="1473">
                    <c:v>13/08/2020</c:v>
                  </c:pt>
                  <c:pt idx="1474">
                    <c:v>21/06/2023</c:v>
                  </c:pt>
                  <c:pt idx="1475">
                    <c:v>21/06/2023</c:v>
                  </c:pt>
                  <c:pt idx="1476">
                    <c:v>27/02/2025</c:v>
                  </c:pt>
                  <c:pt idx="1477">
                    <c:v>02/10/2024</c:v>
                  </c:pt>
                  <c:pt idx="1478">
                    <c:v>09/10/2025</c:v>
                  </c:pt>
                  <c:pt idx="1479">
                    <c:v>05/05/2020</c:v>
                  </c:pt>
                  <c:pt idx="1480">
                    <c:v>10/03/2020</c:v>
                  </c:pt>
                  <c:pt idx="1481">
                    <c:v>28/06/2022</c:v>
                  </c:pt>
                  <c:pt idx="1483">
                    <c:v>25/04/2022</c:v>
                  </c:pt>
                  <c:pt idx="1484">
                    <c:v>20/11/2025</c:v>
                  </c:pt>
                  <c:pt idx="1485">
                    <c:v>25/10/2024</c:v>
                  </c:pt>
                  <c:pt idx="1486">
                    <c:v>07/10/2025</c:v>
                  </c:pt>
                  <c:pt idx="1487">
                    <c:v>07/10/2025</c:v>
                  </c:pt>
                  <c:pt idx="1488">
                    <c:v>02/10/2024</c:v>
                  </c:pt>
                  <c:pt idx="1489">
                    <c:v>10/03/2020</c:v>
                  </c:pt>
                  <c:pt idx="1490">
                    <c:v>02/10/2024</c:v>
                  </c:pt>
                  <c:pt idx="1491">
                    <c:v>20/11/2025</c:v>
                  </c:pt>
                  <c:pt idx="1492">
                    <c:v>20/11/2025</c:v>
                  </c:pt>
                  <c:pt idx="1493">
                    <c:v>21/11/2025</c:v>
                  </c:pt>
                  <c:pt idx="1494">
                    <c:v>21/11/2025</c:v>
                  </c:pt>
                  <c:pt idx="1495">
                    <c:v>21/11/2025</c:v>
                  </c:pt>
                  <c:pt idx="1496">
                    <c:v>24/11/2021</c:v>
                  </c:pt>
                  <c:pt idx="1497">
                    <c:v>16/03/2020</c:v>
                  </c:pt>
                  <c:pt idx="1498">
                    <c:v>22/03/2022</c:v>
                  </c:pt>
                  <c:pt idx="1499">
                    <c:v>01/10/2020</c:v>
                  </c:pt>
                  <c:pt idx="1500">
                    <c:v>01/10/2020</c:v>
                  </c:pt>
                  <c:pt idx="1501">
                    <c:v>01/10/2020</c:v>
                  </c:pt>
                  <c:pt idx="1502">
                    <c:v>01/10/2020</c:v>
                  </c:pt>
                  <c:pt idx="1503">
                    <c:v>23/04/2025</c:v>
                  </c:pt>
                  <c:pt idx="1504">
                    <c:v>14/07/2021</c:v>
                  </c:pt>
                  <c:pt idx="1505">
                    <c:v>10/12/2024</c:v>
                  </c:pt>
                  <c:pt idx="1506">
                    <c:v>22/04/2025</c:v>
                  </c:pt>
                  <c:pt idx="1507">
                    <c:v>01/07/2020</c:v>
                  </c:pt>
                  <c:pt idx="1508">
                    <c:v>12/02/2025</c:v>
                  </c:pt>
                  <c:pt idx="1509">
                    <c:v>12/02/2025</c:v>
                  </c:pt>
                  <c:pt idx="1510">
                    <c:v>04/07/2025</c:v>
                  </c:pt>
                  <c:pt idx="1511">
                    <c:v>27/11/2025</c:v>
                  </c:pt>
                  <c:pt idx="1512">
                    <c:v>31/05/2025</c:v>
                  </c:pt>
                  <c:pt idx="1513">
                    <c:v>10/10/2022</c:v>
                  </c:pt>
                  <c:pt idx="1514">
                    <c:v>27/11/2025</c:v>
                  </c:pt>
                  <c:pt idx="1515">
                    <c:v>23/12/2024</c:v>
                  </c:pt>
                  <c:pt idx="1516">
                    <c:v>23/12/2024</c:v>
                  </c:pt>
                  <c:pt idx="1517">
                    <c:v>23/12/2024</c:v>
                  </c:pt>
                  <c:pt idx="1518">
                    <c:v>23/12/2024</c:v>
                  </c:pt>
                  <c:pt idx="1519">
                    <c:v>01/03/2023</c:v>
                  </c:pt>
                  <c:pt idx="1520">
                    <c:v>01/03/2023</c:v>
                  </c:pt>
                  <c:pt idx="1522">
                    <c:v>26/05/2020</c:v>
                  </c:pt>
                  <c:pt idx="1523">
                    <c:v>30/04/2025</c:v>
                  </c:pt>
                  <c:pt idx="1524">
                    <c:v>30/04/2025</c:v>
                  </c:pt>
                  <c:pt idx="1525">
                    <c:v>26/09/2024</c:v>
                  </c:pt>
                  <c:pt idx="1526">
                    <c:v>10/05/2023</c:v>
                  </c:pt>
                  <c:pt idx="1527">
                    <c:v>12/11/2023</c:v>
                  </c:pt>
                  <c:pt idx="1528">
                    <c:v>10/10/2024</c:v>
                  </c:pt>
                  <c:pt idx="1529">
                    <c:v>03/09/2024</c:v>
                  </c:pt>
                  <c:pt idx="1530">
                    <c:v>28/10/2025</c:v>
                  </c:pt>
                  <c:pt idx="1531">
                    <c:v>28/10/2025</c:v>
                  </c:pt>
                  <c:pt idx="1532">
                    <c:v>15/10/2025</c:v>
                  </c:pt>
                  <c:pt idx="1533">
                    <c:v>17/05/2022</c:v>
                  </c:pt>
                  <c:pt idx="1534">
                    <c:v>06/04/2022</c:v>
                  </c:pt>
                  <c:pt idx="1535">
                    <c:v>11/08/2025</c:v>
                  </c:pt>
                  <c:pt idx="1536">
                    <c:v>18/12/2025</c:v>
                  </c:pt>
                  <c:pt idx="1537">
                    <c:v>26/05/2021</c:v>
                  </c:pt>
                  <c:pt idx="1538">
                    <c:v>10/09/2024</c:v>
                  </c:pt>
                  <c:pt idx="1539">
                    <c:v>28/10/2023</c:v>
                  </c:pt>
                  <c:pt idx="1540">
                    <c:v>09/07/2021</c:v>
                  </c:pt>
                  <c:pt idx="1541">
                    <c:v>15/05/2024</c:v>
                  </c:pt>
                  <c:pt idx="1542">
                    <c:v>18/05/2022</c:v>
                  </c:pt>
                  <c:pt idx="1543">
                    <c:v>10/03/2020</c:v>
                  </c:pt>
                  <c:pt idx="1544">
                    <c:v>12/03/2021</c:v>
                  </c:pt>
                  <c:pt idx="1545">
                    <c:v>12/03/2021</c:v>
                  </c:pt>
                  <c:pt idx="1546">
                    <c:v>07/10/2024</c:v>
                  </c:pt>
                  <c:pt idx="1547">
                    <c:v>07/10/2024</c:v>
                  </c:pt>
                  <c:pt idx="1548">
                    <c:v>07/12/2023</c:v>
                  </c:pt>
                  <c:pt idx="1549">
                    <c:v>27/11/2025</c:v>
                  </c:pt>
                  <c:pt idx="1550">
                    <c:v>27/11/2025</c:v>
                  </c:pt>
                  <c:pt idx="1551">
                    <c:v>27/11/2025</c:v>
                  </c:pt>
                  <c:pt idx="1552">
                    <c:v>26/06/2024</c:v>
                  </c:pt>
                  <c:pt idx="1553">
                    <c:v>06/11/2024</c:v>
                  </c:pt>
                  <c:pt idx="1554">
                    <c:v>06/11/2024</c:v>
                  </c:pt>
                  <c:pt idx="1555">
                    <c:v>28/06/2022</c:v>
                  </c:pt>
                  <c:pt idx="1556">
                    <c:v>20/03/2025</c:v>
                  </c:pt>
                  <c:pt idx="1557">
                    <c:v>20/03/2025</c:v>
                  </c:pt>
                  <c:pt idx="1558">
                    <c:v>19/03/2020</c:v>
                  </c:pt>
                  <c:pt idx="1559">
                    <c:v>20/03/2025</c:v>
                  </c:pt>
                  <c:pt idx="1560">
                    <c:v>30/03/2023</c:v>
                  </c:pt>
                  <c:pt idx="1561">
                    <c:v>25/03/2023</c:v>
                  </c:pt>
                  <c:pt idx="1562">
                    <c:v>25/03/2025</c:v>
                  </c:pt>
                  <c:pt idx="1563">
                    <c:v>30/12/2020</c:v>
                  </c:pt>
                  <c:pt idx="1564">
                    <c:v>30/12/2020</c:v>
                  </c:pt>
                  <c:pt idx="1565">
                    <c:v>30/12/2020</c:v>
                  </c:pt>
                  <c:pt idx="1566">
                    <c:v>09/04/2021</c:v>
                  </c:pt>
                  <c:pt idx="1567">
                    <c:v>20/06/2020</c:v>
                  </c:pt>
                  <c:pt idx="1568">
                    <c:v>20/06/2020</c:v>
                  </c:pt>
                  <c:pt idx="1569">
                    <c:v>02/04/2022</c:v>
                  </c:pt>
                  <c:pt idx="1570">
                    <c:v>13/03/2023</c:v>
                  </c:pt>
                  <c:pt idx="1571">
                    <c:v>11/04/2022</c:v>
                  </c:pt>
                  <c:pt idx="1572">
                    <c:v>18/01/2023</c:v>
                  </c:pt>
                  <c:pt idx="1574">
                    <c:v>21/11/2025</c:v>
                  </c:pt>
                  <c:pt idx="1575">
                    <c:v>09/05/2023</c:v>
                  </c:pt>
                  <c:pt idx="1576">
                    <c:v>13/01/2023</c:v>
                  </c:pt>
                  <c:pt idx="1577">
                    <c:v>11/06/2025</c:v>
                  </c:pt>
                  <c:pt idx="1578">
                    <c:v>01/10/2020</c:v>
                  </c:pt>
                  <c:pt idx="1579">
                    <c:v>25/11/2023</c:v>
                  </c:pt>
                  <c:pt idx="1580">
                    <c:v>25/11/2023</c:v>
                  </c:pt>
                  <c:pt idx="1581">
                    <c:v>18/01/2023</c:v>
                  </c:pt>
                  <c:pt idx="1582">
                    <c:v>25/11/2023</c:v>
                  </c:pt>
                  <c:pt idx="1583">
                    <c:v>07/02/2024</c:v>
                  </c:pt>
                  <c:pt idx="1584">
                    <c:v>13/10/2022</c:v>
                  </c:pt>
                  <c:pt idx="1585">
                    <c:v>27/07/2022</c:v>
                  </c:pt>
                  <c:pt idx="1586">
                    <c:v>27/07/2022</c:v>
                  </c:pt>
                  <c:pt idx="1587">
                    <c:v>21/04/2025</c:v>
                  </c:pt>
                  <c:pt idx="1588">
                    <c:v>23/09/2025</c:v>
                  </c:pt>
                  <c:pt idx="1589">
                    <c:v>23/09/2025</c:v>
                  </c:pt>
                  <c:pt idx="1590">
                    <c:v>01/01/2025</c:v>
                  </c:pt>
                  <c:pt idx="1591">
                    <c:v>30/01/2025</c:v>
                  </c:pt>
                  <c:pt idx="1592">
                    <c:v>30/01/2025</c:v>
                  </c:pt>
                  <c:pt idx="1593">
                    <c:v>14/03/2024</c:v>
                  </c:pt>
                  <c:pt idx="1594">
                    <c:v>13/07/2023</c:v>
                  </c:pt>
                  <c:pt idx="1595">
                    <c:v>13/07/2023</c:v>
                  </c:pt>
                  <c:pt idx="1596">
                    <c:v>08/04/2024</c:v>
                  </c:pt>
                  <c:pt idx="1597">
                    <c:v>08/04/2024</c:v>
                  </c:pt>
                  <c:pt idx="1598">
                    <c:v>28/09/2022</c:v>
                  </c:pt>
                  <c:pt idx="1599">
                    <c:v>11/03/2025</c:v>
                  </c:pt>
                  <c:pt idx="1600">
                    <c:v>11/03/2025</c:v>
                  </c:pt>
                  <c:pt idx="1601">
                    <c:v>01/07/2025</c:v>
                  </c:pt>
                  <c:pt idx="1602">
                    <c:v>11/03/2025</c:v>
                  </c:pt>
                  <c:pt idx="1603">
                    <c:v>11/03/2025</c:v>
                  </c:pt>
                  <c:pt idx="1604">
                    <c:v>02/07/2024</c:v>
                  </c:pt>
                  <c:pt idx="1605">
                    <c:v>23/11/2023</c:v>
                  </c:pt>
                  <c:pt idx="1606">
                    <c:v>23/11/2023</c:v>
                  </c:pt>
                  <c:pt idx="1607">
                    <c:v>08/04/2024</c:v>
                  </c:pt>
                  <c:pt idx="1608">
                    <c:v>20/10/2022</c:v>
                  </c:pt>
                  <c:pt idx="1609">
                    <c:v>08/04/2024</c:v>
                  </c:pt>
                  <c:pt idx="1610">
                    <c:v>29/03/2023</c:v>
                  </c:pt>
                  <c:pt idx="1611">
                    <c:v>29/03/2023</c:v>
                  </c:pt>
                  <c:pt idx="1612">
                    <c:v>29/03/2023</c:v>
                  </c:pt>
                  <c:pt idx="1613">
                    <c:v>29/03/2023</c:v>
                  </c:pt>
                  <c:pt idx="1614">
                    <c:v>29/03/2023</c:v>
                  </c:pt>
                  <c:pt idx="1615">
                    <c:v>16/07/2024</c:v>
                  </c:pt>
                  <c:pt idx="1616">
                    <c:v>16/07/2024</c:v>
                  </c:pt>
                  <c:pt idx="1617">
                    <c:v>14/03/2024</c:v>
                  </c:pt>
                  <c:pt idx="1618">
                    <c:v>23/09/2025</c:v>
                  </c:pt>
                  <c:pt idx="1619">
                    <c:v>23/09/2025</c:v>
                  </c:pt>
                  <c:pt idx="1620">
                    <c:v>30/01/2023</c:v>
                  </c:pt>
                  <c:pt idx="1621">
                    <c:v>29/07/2022</c:v>
                  </c:pt>
                  <c:pt idx="1622">
                    <c:v>29/07/2022</c:v>
                  </c:pt>
                  <c:pt idx="1623">
                    <c:v>29/07/2022</c:v>
                  </c:pt>
                  <c:pt idx="1624">
                    <c:v>30/01/2023</c:v>
                  </c:pt>
                  <c:pt idx="1625">
                    <c:v>23/09/2025</c:v>
                  </c:pt>
                  <c:pt idx="1626">
                    <c:v>23/09/2025</c:v>
                  </c:pt>
                  <c:pt idx="1627">
                    <c:v>01/02/2024</c:v>
                  </c:pt>
                  <c:pt idx="1628">
                    <c:v>13/03/2023</c:v>
                  </c:pt>
                  <c:pt idx="1629">
                    <c:v>01/02/2024</c:v>
                  </c:pt>
                  <c:pt idx="1630">
                    <c:v>01/02/2024</c:v>
                  </c:pt>
                  <c:pt idx="1631">
                    <c:v>12/07/2025</c:v>
                  </c:pt>
                  <c:pt idx="1632">
                    <c:v>12/07/2025</c:v>
                  </c:pt>
                  <c:pt idx="1633">
                    <c:v>03/10/2016</c:v>
                  </c:pt>
                  <c:pt idx="1634">
                    <c:v>19/06/2024</c:v>
                  </c:pt>
                  <c:pt idx="1635">
                    <c:v>30/01/2025</c:v>
                  </c:pt>
                  <c:pt idx="1636">
                    <c:v>10/12/2025</c:v>
                  </c:pt>
                  <c:pt idx="1637">
                    <c:v>10/12/2025</c:v>
                  </c:pt>
                  <c:pt idx="1638">
                    <c:v>23/07/2025</c:v>
                  </c:pt>
                  <c:pt idx="1639">
                    <c:v>23/07/2025</c:v>
                  </c:pt>
                  <c:pt idx="1640">
                    <c:v>06/01/2023</c:v>
                  </c:pt>
                  <c:pt idx="1641">
                    <c:v>03/11/2025</c:v>
                  </c:pt>
                  <c:pt idx="1642">
                    <c:v>09/11/2025</c:v>
                  </c:pt>
                  <c:pt idx="1643">
                    <c:v>01/07/2025</c:v>
                  </c:pt>
                  <c:pt idx="1644">
                    <c:v>01/07/2025</c:v>
                  </c:pt>
                  <c:pt idx="1645">
                    <c:v>01/07/2025</c:v>
                  </c:pt>
                  <c:pt idx="1646">
                    <c:v>01/01/2025</c:v>
                  </c:pt>
                  <c:pt idx="1647">
                    <c:v>01/01/2025</c:v>
                  </c:pt>
                  <c:pt idx="1648">
                    <c:v>20/10/2022</c:v>
                  </c:pt>
                  <c:pt idx="1649">
                    <c:v>30/04/2025</c:v>
                  </c:pt>
                  <c:pt idx="1650">
                    <c:v>20/11/2025</c:v>
                  </c:pt>
                  <c:pt idx="1651">
                    <c:v>02/10/2024</c:v>
                  </c:pt>
                  <c:pt idx="1652">
                    <c:v>30/12/2025</c:v>
                  </c:pt>
                  <c:pt idx="1653">
                    <c:v>23/09/2024</c:v>
                  </c:pt>
                  <c:pt idx="1654">
                    <c:v>30/12/2025</c:v>
                  </c:pt>
                  <c:pt idx="1655">
                    <c:v>25/05/2023</c:v>
                  </c:pt>
                  <c:pt idx="1656">
                    <c:v>21/08/2025</c:v>
                  </c:pt>
                  <c:pt idx="1657">
                    <c:v>21/09/2023</c:v>
                  </c:pt>
                  <c:pt idx="1658">
                    <c:v>20/06/2024</c:v>
                  </c:pt>
                  <c:pt idx="1659">
                    <c:v>20/06/2024</c:v>
                  </c:pt>
                  <c:pt idx="1660">
                    <c:v>30/12/2025</c:v>
                  </c:pt>
                  <c:pt idx="1661">
                    <c:v>17/08/2025</c:v>
                  </c:pt>
                  <c:pt idx="1662">
                    <c:v>08/04/2025</c:v>
                  </c:pt>
                  <c:pt idx="1663">
                    <c:v>07/07/2025</c:v>
                  </c:pt>
                  <c:pt idx="1664">
                    <c:v>03/06/2024</c:v>
                  </c:pt>
                  <c:pt idx="1665">
                    <c:v>14/06/2023</c:v>
                  </c:pt>
                  <c:pt idx="1666">
                    <c:v>14/08/2024</c:v>
                  </c:pt>
                  <c:pt idx="1667">
                    <c:v>14/08/2024</c:v>
                  </c:pt>
                  <c:pt idx="1668">
                    <c:v>18/01/2023</c:v>
                  </c:pt>
                  <c:pt idx="1669">
                    <c:v>15/05/2024</c:v>
                  </c:pt>
                  <c:pt idx="1670">
                    <c:v>30/10/2025</c:v>
                  </c:pt>
                  <c:pt idx="1671">
                    <c:v>13/07/2022</c:v>
                  </c:pt>
                  <c:pt idx="1672">
                    <c:v>20/02/2020</c:v>
                  </c:pt>
                  <c:pt idx="1673">
                    <c:v>07/04/2021</c:v>
                  </c:pt>
                  <c:pt idx="1674">
                    <c:v>19/06/2025</c:v>
                  </c:pt>
                  <c:pt idx="1675">
                    <c:v>20/03/2025</c:v>
                  </c:pt>
                  <c:pt idx="1676">
                    <c:v>20/11/2025</c:v>
                  </c:pt>
                  <c:pt idx="1677">
                    <c:v>20/11/2025</c:v>
                  </c:pt>
                  <c:pt idx="1678">
                    <c:v>10/12/2024</c:v>
                  </c:pt>
                  <c:pt idx="1679">
                    <c:v>10/12/2024</c:v>
                  </c:pt>
                  <c:pt idx="1680">
                    <c:v>07/10/2024</c:v>
                  </c:pt>
                  <c:pt idx="1681">
                    <c:v>16/07/2024</c:v>
                  </c:pt>
                  <c:pt idx="1682">
                    <c:v>10/12/2024</c:v>
                  </c:pt>
                  <c:pt idx="1683">
                    <c:v>10/12/2024</c:v>
                  </c:pt>
                  <c:pt idx="1684">
                    <c:v>07/10/2024</c:v>
                  </c:pt>
                  <c:pt idx="1685">
                    <c:v>05/08/2025</c:v>
                  </c:pt>
                  <c:pt idx="1686">
                    <c:v>05/08/2025</c:v>
                  </c:pt>
                  <c:pt idx="1687">
                    <c:v>19/06/2025</c:v>
                  </c:pt>
                  <c:pt idx="1688">
                    <c:v>20/11/2025</c:v>
                  </c:pt>
                  <c:pt idx="1689">
                    <c:v>20/11/2025</c:v>
                  </c:pt>
                  <c:pt idx="1690">
                    <c:v>13/11/2021</c:v>
                  </c:pt>
                  <c:pt idx="1691">
                    <c:v>19/02/2024</c:v>
                  </c:pt>
                  <c:pt idx="1693">
                    <c:v>30/04/2025</c:v>
                  </c:pt>
                  <c:pt idx="1694">
                    <c:v>30/04/2025</c:v>
                  </c:pt>
                  <c:pt idx="1695">
                    <c:v>30/04/2025</c:v>
                  </c:pt>
                  <c:pt idx="1696">
                    <c:v>12/07/2024</c:v>
                  </c:pt>
                  <c:pt idx="1697">
                    <c:v>12/07/2024</c:v>
                  </c:pt>
                  <c:pt idx="1698">
                    <c:v>12/07/2004</c:v>
                  </c:pt>
                  <c:pt idx="1699">
                    <c:v>20/11/2025</c:v>
                  </c:pt>
                  <c:pt idx="1700">
                    <c:v>05/05/2020</c:v>
                  </c:pt>
                  <c:pt idx="1701">
                    <c:v>05/05/2020</c:v>
                  </c:pt>
                  <c:pt idx="1702">
                    <c:v>09/04/2021</c:v>
                  </c:pt>
                  <c:pt idx="1703">
                    <c:v>30/04/2025</c:v>
                  </c:pt>
                  <c:pt idx="1704">
                    <c:v>20/11/2025</c:v>
                  </c:pt>
                  <c:pt idx="1705">
                    <c:v>20/11/2025</c:v>
                  </c:pt>
                  <c:pt idx="1706">
                    <c:v>10/03/2020</c:v>
                  </c:pt>
                  <c:pt idx="1707">
                    <c:v>02/10/2024</c:v>
                  </c:pt>
                  <c:pt idx="1708">
                    <c:v>10/03/2020</c:v>
                  </c:pt>
                  <c:pt idx="1709">
                    <c:v>12/07/2024</c:v>
                  </c:pt>
                  <c:pt idx="1710">
                    <c:v>17/08/2025</c:v>
                  </c:pt>
                  <c:pt idx="1711">
                    <c:v>17/08/2025</c:v>
                  </c:pt>
                  <c:pt idx="1712">
                    <c:v>12/07/2024</c:v>
                  </c:pt>
                  <c:pt idx="1713">
                    <c:v>30/04/2025</c:v>
                  </c:pt>
                  <c:pt idx="1714">
                    <c:v>09/12/2024</c:v>
                  </c:pt>
                  <c:pt idx="1715">
                    <c:v>28/03/2022</c:v>
                  </c:pt>
                  <c:pt idx="1716">
                    <c:v>13/10/2025</c:v>
                  </c:pt>
                  <c:pt idx="1717">
                    <c:v>14/11/2023</c:v>
                  </c:pt>
                  <c:pt idx="1718">
                    <c:v>14/11/2023</c:v>
                  </c:pt>
                  <c:pt idx="1719">
                    <c:v>14/11/2023</c:v>
                  </c:pt>
                  <c:pt idx="1720">
                    <c:v>27/07/2023</c:v>
                  </c:pt>
                  <c:pt idx="1721">
                    <c:v>27/07/2023</c:v>
                  </c:pt>
                  <c:pt idx="1722">
                    <c:v>07/12/2021</c:v>
                  </c:pt>
                  <c:pt idx="1723">
                    <c:v>07/07/2022</c:v>
                  </c:pt>
                  <c:pt idx="1724">
                    <c:v>07/07/2022</c:v>
                  </c:pt>
                </c:lvl>
                <c:lvl>
                  <c:pt idx="7">
                    <c:v>0</c:v>
                  </c:pt>
                  <c:pt idx="72">
                    <c:v>0</c:v>
                  </c:pt>
                  <c:pt idx="88">
                    <c:v>0</c:v>
                  </c:pt>
                  <c:pt idx="103">
                    <c:v>46</c:v>
                  </c:pt>
                  <c:pt idx="121">
                    <c:v>45</c:v>
                  </c:pt>
                  <c:pt idx="130">
                    <c:v>45</c:v>
                  </c:pt>
                  <c:pt idx="131">
                    <c:v>45</c:v>
                  </c:pt>
                  <c:pt idx="132">
                    <c:v>45</c:v>
                  </c:pt>
                  <c:pt idx="133">
                    <c:v>45</c:v>
                  </c:pt>
                  <c:pt idx="163">
                    <c:v>u</c:v>
                  </c:pt>
                  <c:pt idx="167">
                    <c:v>25</c:v>
                  </c:pt>
                  <c:pt idx="168">
                    <c:v>2055</c:v>
                  </c:pt>
                  <c:pt idx="172">
                    <c:v>44</c:v>
                  </c:pt>
                  <c:pt idx="176">
                    <c:v>1</c:v>
                  </c:pt>
                  <c:pt idx="218">
                    <c:v>45</c:v>
                  </c:pt>
                  <c:pt idx="248">
                    <c:v>41</c:v>
                  </c:pt>
                  <c:pt idx="251">
                    <c:v>1</c:v>
                  </c:pt>
                  <c:pt idx="260">
                    <c:v>0</c:v>
                  </c:pt>
                  <c:pt idx="263">
                    <c:v>42</c:v>
                  </c:pt>
                  <c:pt idx="264">
                    <c:v>42</c:v>
                  </c:pt>
                  <c:pt idx="266">
                    <c:v>42</c:v>
                  </c:pt>
                  <c:pt idx="267">
                    <c:v>42</c:v>
                  </c:pt>
                  <c:pt idx="299">
                    <c:v>45</c:v>
                  </c:pt>
                  <c:pt idx="300">
                    <c:v>45</c:v>
                  </c:pt>
                  <c:pt idx="303">
                    <c:v>0</c:v>
                  </c:pt>
                  <c:pt idx="304">
                    <c:v>42</c:v>
                  </c:pt>
                  <c:pt idx="305">
                    <c:v>42</c:v>
                  </c:pt>
                  <c:pt idx="306">
                    <c:v>45</c:v>
                  </c:pt>
                  <c:pt idx="307">
                    <c:v>42</c:v>
                  </c:pt>
                  <c:pt idx="317">
                    <c:v>44</c:v>
                  </c:pt>
                  <c:pt idx="333">
                    <c:v>0</c:v>
                  </c:pt>
                  <c:pt idx="386">
                    <c:v>0</c:v>
                  </c:pt>
                  <c:pt idx="410">
                    <c:v>44</c:v>
                  </c:pt>
                  <c:pt idx="413">
                    <c:v>34</c:v>
                  </c:pt>
                  <c:pt idx="460">
                    <c:v>0</c:v>
                  </c:pt>
                  <c:pt idx="482">
                    <c:v>1</c:v>
                  </c:pt>
                  <c:pt idx="493">
                    <c:v>45</c:v>
                  </c:pt>
                  <c:pt idx="496">
                    <c:v>44</c:v>
                  </c:pt>
                  <c:pt idx="540">
                    <c:v>45</c:v>
                  </c:pt>
                  <c:pt idx="544">
                    <c:v>45</c:v>
                  </c:pt>
                  <c:pt idx="567">
                    <c:v>am</c:v>
                  </c:pt>
                  <c:pt idx="572">
                    <c:v>47</c:v>
                  </c:pt>
                  <c:pt idx="574">
                    <c:v>45</c:v>
                  </c:pt>
                  <c:pt idx="590">
                    <c:v>41</c:v>
                  </c:pt>
                  <c:pt idx="591">
                    <c:v>41</c:v>
                  </c:pt>
                  <c:pt idx="592">
                    <c:v>42</c:v>
                  </c:pt>
                  <c:pt idx="593">
                    <c:v>0</c:v>
                  </c:pt>
                  <c:pt idx="596">
                    <c:v>41</c:v>
                  </c:pt>
                  <c:pt idx="598">
                    <c:v>44</c:v>
                  </c:pt>
                  <c:pt idx="599">
                    <c:v>44</c:v>
                  </c:pt>
                  <c:pt idx="622">
                    <c:v>0</c:v>
                  </c:pt>
                  <c:pt idx="633">
                    <c:v>0</c:v>
                  </c:pt>
                  <c:pt idx="636">
                    <c:v>0</c:v>
                  </c:pt>
                  <c:pt idx="694">
                    <c:v>0</c:v>
                  </c:pt>
                  <c:pt idx="702">
                    <c:v>0</c:v>
                  </c:pt>
                  <c:pt idx="706">
                    <c:v>0</c:v>
                  </c:pt>
                  <c:pt idx="722">
                    <c:v>0</c:v>
                  </c:pt>
                  <c:pt idx="751">
                    <c:v>0</c:v>
                  </c:pt>
                  <c:pt idx="754">
                    <c:v>42</c:v>
                  </c:pt>
                  <c:pt idx="762">
                    <c:v>0</c:v>
                  </c:pt>
                  <c:pt idx="765">
                    <c:v>44</c:v>
                  </c:pt>
                  <c:pt idx="766">
                    <c:v>45</c:v>
                  </c:pt>
                  <c:pt idx="767">
                    <c:v>42</c:v>
                  </c:pt>
                  <c:pt idx="768">
                    <c:v>42</c:v>
                  </c:pt>
                  <c:pt idx="769">
                    <c:v>42</c:v>
                  </c:pt>
                  <c:pt idx="773">
                    <c:v>42</c:v>
                  </c:pt>
                  <c:pt idx="848">
                    <c:v>0</c:v>
                  </c:pt>
                  <c:pt idx="855">
                    <c:v>0</c:v>
                  </c:pt>
                  <c:pt idx="881">
                    <c:v>0</c:v>
                  </c:pt>
                  <c:pt idx="882">
                    <c:v>42</c:v>
                  </c:pt>
                  <c:pt idx="883">
                    <c:v>45</c:v>
                  </c:pt>
                  <c:pt idx="907">
                    <c:v>1</c:v>
                  </c:pt>
                  <c:pt idx="921">
                    <c:v>45</c:v>
                  </c:pt>
                  <c:pt idx="959">
                    <c:v>41</c:v>
                  </c:pt>
                  <c:pt idx="961">
                    <c:v>41</c:v>
                  </c:pt>
                  <c:pt idx="982">
                    <c:v>41</c:v>
                  </c:pt>
                  <c:pt idx="987">
                    <c:v>0</c:v>
                  </c:pt>
                  <c:pt idx="1013">
                    <c:v>0</c:v>
                  </c:pt>
                  <c:pt idx="1048">
                    <c:v>0</c:v>
                  </c:pt>
                  <c:pt idx="1087">
                    <c:v>41</c:v>
                  </c:pt>
                  <c:pt idx="1088">
                    <c:v>41</c:v>
                  </c:pt>
                  <c:pt idx="1089">
                    <c:v>41</c:v>
                  </c:pt>
                  <c:pt idx="1090">
                    <c:v>41</c:v>
                  </c:pt>
                  <c:pt idx="1095">
                    <c:v>41</c:v>
                  </c:pt>
                  <c:pt idx="1096">
                    <c:v>45</c:v>
                  </c:pt>
                  <c:pt idx="1097">
                    <c:v>45</c:v>
                  </c:pt>
                  <c:pt idx="1115">
                    <c:v>42</c:v>
                  </c:pt>
                  <c:pt idx="1120">
                    <c:v>0</c:v>
                  </c:pt>
                  <c:pt idx="1218">
                    <c:v>46</c:v>
                  </c:pt>
                  <c:pt idx="1219">
                    <c:v>45</c:v>
                  </c:pt>
                  <c:pt idx="1220">
                    <c:v>45</c:v>
                  </c:pt>
                  <c:pt idx="1221">
                    <c:v>45</c:v>
                  </c:pt>
                  <c:pt idx="1222">
                    <c:v>45</c:v>
                  </c:pt>
                  <c:pt idx="1302">
                    <c:v>40</c:v>
                  </c:pt>
                  <c:pt idx="1303">
                    <c:v>40</c:v>
                  </c:pt>
                  <c:pt idx="1304">
                    <c:v>40</c:v>
                  </c:pt>
                  <c:pt idx="1305">
                    <c:v>40</c:v>
                  </c:pt>
                  <c:pt idx="1306">
                    <c:v>40</c:v>
                  </c:pt>
                  <c:pt idx="1307">
                    <c:v>40</c:v>
                  </c:pt>
                  <c:pt idx="1308">
                    <c:v>40</c:v>
                  </c:pt>
                  <c:pt idx="1309">
                    <c:v>40</c:v>
                  </c:pt>
                  <c:pt idx="1310">
                    <c:v>40</c:v>
                  </c:pt>
                  <c:pt idx="1311">
                    <c:v>40</c:v>
                  </c:pt>
                  <c:pt idx="1312">
                    <c:v>40</c:v>
                  </c:pt>
                  <c:pt idx="1313">
                    <c:v>40</c:v>
                  </c:pt>
                  <c:pt idx="1314">
                    <c:v>40</c:v>
                  </c:pt>
                  <c:pt idx="1315">
                    <c:v>45</c:v>
                  </c:pt>
                  <c:pt idx="1316">
                    <c:v>45</c:v>
                  </c:pt>
                  <c:pt idx="1317">
                    <c:v>45</c:v>
                  </c:pt>
                  <c:pt idx="1318">
                    <c:v>45</c:v>
                  </c:pt>
                  <c:pt idx="1319">
                    <c:v>11/02/1900</c:v>
                  </c:pt>
                  <c:pt idx="1324">
                    <c:v>42</c:v>
                  </c:pt>
                  <c:pt idx="1325">
                    <c:v>42</c:v>
                  </c:pt>
                  <c:pt idx="1326">
                    <c:v>45</c:v>
                  </c:pt>
                  <c:pt idx="1327">
                    <c:v>41</c:v>
                  </c:pt>
                  <c:pt idx="1328">
                    <c:v>45</c:v>
                  </c:pt>
                  <c:pt idx="1333">
                    <c:v>45</c:v>
                  </c:pt>
                  <c:pt idx="1334">
                    <c:v>45</c:v>
                  </c:pt>
                  <c:pt idx="1336">
                    <c:v>45</c:v>
                  </c:pt>
                  <c:pt idx="1337">
                    <c:v>45</c:v>
                  </c:pt>
                  <c:pt idx="1338">
                    <c:v>45</c:v>
                  </c:pt>
                  <c:pt idx="1342">
                    <c:v>45</c:v>
                  </c:pt>
                  <c:pt idx="1343">
                    <c:v>45</c:v>
                  </c:pt>
                  <c:pt idx="1344">
                    <c:v>45</c:v>
                  </c:pt>
                  <c:pt idx="1345">
                    <c:v>45</c:v>
                  </c:pt>
                  <c:pt idx="1346">
                    <c:v>41</c:v>
                  </c:pt>
                  <c:pt idx="1347">
                    <c:v>45</c:v>
                  </c:pt>
                  <c:pt idx="1350">
                    <c:v>41</c:v>
                  </c:pt>
                  <c:pt idx="1351">
                    <c:v>41</c:v>
                  </c:pt>
                  <c:pt idx="1352">
                    <c:v>41</c:v>
                  </c:pt>
                  <c:pt idx="1353">
                    <c:v>45</c:v>
                  </c:pt>
                  <c:pt idx="1354">
                    <c:v>45</c:v>
                  </c:pt>
                  <c:pt idx="1356">
                    <c:v>45</c:v>
                  </c:pt>
                  <c:pt idx="1381">
                    <c:v>45</c:v>
                  </c:pt>
                  <c:pt idx="1390">
                    <c:v>0</c:v>
                  </c:pt>
                  <c:pt idx="1394">
                    <c:v>42</c:v>
                  </c:pt>
                  <c:pt idx="1396">
                    <c:v>42</c:v>
                  </c:pt>
                  <c:pt idx="1397">
                    <c:v>42</c:v>
                  </c:pt>
                  <c:pt idx="1438">
                    <c:v>0</c:v>
                  </c:pt>
                  <c:pt idx="1441">
                    <c:v>0</c:v>
                  </c:pt>
                  <c:pt idx="1442">
                    <c:v>0</c:v>
                  </c:pt>
                  <c:pt idx="1444">
                    <c:v>45</c:v>
                  </c:pt>
                  <c:pt idx="1446">
                    <c:v>45</c:v>
                  </c:pt>
                  <c:pt idx="1447">
                    <c:v>45</c:v>
                  </c:pt>
                  <c:pt idx="1448">
                    <c:v>45</c:v>
                  </c:pt>
                  <c:pt idx="1477">
                    <c:v>42</c:v>
                  </c:pt>
                  <c:pt idx="1493">
                    <c:v>44</c:v>
                  </c:pt>
                  <c:pt idx="1504">
                    <c:v>0</c:v>
                  </c:pt>
                  <c:pt idx="1507">
                    <c:v>45</c:v>
                  </c:pt>
                  <c:pt idx="1508">
                    <c:v>0</c:v>
                  </c:pt>
                  <c:pt idx="1529">
                    <c:v>42</c:v>
                  </c:pt>
                  <c:pt idx="1530">
                    <c:v>45</c:v>
                  </c:pt>
                  <c:pt idx="1531">
                    <c:v>45</c:v>
                  </c:pt>
                  <c:pt idx="1534">
                    <c:v>0</c:v>
                  </c:pt>
                  <c:pt idx="1539">
                    <c:v>45</c:v>
                  </c:pt>
                  <c:pt idx="1547">
                    <c:v>45</c:v>
                  </c:pt>
                  <c:pt idx="1552">
                    <c:v>43</c:v>
                  </c:pt>
                  <c:pt idx="1553">
                    <c:v>0</c:v>
                  </c:pt>
                  <c:pt idx="1598">
                    <c:v>1,2</c:v>
                  </c:pt>
                  <c:pt idx="1600">
                    <c:v>0</c:v>
                  </c:pt>
                  <c:pt idx="1603">
                    <c:v>0</c:v>
                  </c:pt>
                  <c:pt idx="1610">
                    <c:v>0</c:v>
                  </c:pt>
                  <c:pt idx="1618">
                    <c:v>0</c:v>
                  </c:pt>
                  <c:pt idx="1639">
                    <c:v>0</c:v>
                  </c:pt>
                  <c:pt idx="1640">
                    <c:v>0</c:v>
                  </c:pt>
                  <c:pt idx="1643">
                    <c:v>0</c:v>
                  </c:pt>
                  <c:pt idx="1651">
                    <c:v>44</c:v>
                  </c:pt>
                  <c:pt idx="1716">
                    <c:v>0</c:v>
                  </c:pt>
                </c:lvl>
                <c:lvl>
                  <c:pt idx="0">
                    <c:v>1,5</c:v>
                  </c:pt>
                  <c:pt idx="1">
                    <c:v>1,5</c:v>
                  </c:pt>
                  <c:pt idx="2">
                    <c:v>1,5</c:v>
                  </c:pt>
                  <c:pt idx="3">
                    <c:v>1,3</c:v>
                  </c:pt>
                  <c:pt idx="4">
                    <c:v>3</c:v>
                  </c:pt>
                  <c:pt idx="5">
                    <c:v>1,8</c:v>
                  </c:pt>
                  <c:pt idx="6">
                    <c:v>5</c:v>
                  </c:pt>
                  <c:pt idx="7">
                    <c:v>1,6</c:v>
                  </c:pt>
                  <c:pt idx="8">
                    <c:v>1,5</c:v>
                  </c:pt>
                  <c:pt idx="9">
                    <c:v>1,5</c:v>
                  </c:pt>
                  <c:pt idx="10">
                    <c:v>1,8</c:v>
                  </c:pt>
                  <c:pt idx="11">
                    <c:v>2</c:v>
                  </c:pt>
                  <c:pt idx="12">
                    <c:v>1,6</c:v>
                  </c:pt>
                  <c:pt idx="13">
                    <c:v>1,6</c:v>
                  </c:pt>
                  <c:pt idx="14">
                    <c:v>1,6</c:v>
                  </c:pt>
                  <c:pt idx="15">
                    <c:v>1,8</c:v>
                  </c:pt>
                  <c:pt idx="16">
                    <c:v>2</c:v>
                  </c:pt>
                  <c:pt idx="17">
                    <c:v>1,8</c:v>
                  </c:pt>
                  <c:pt idx="18">
                    <c:v>1,6</c:v>
                  </c:pt>
                  <c:pt idx="19">
                    <c:v>3</c:v>
                  </c:pt>
                  <c:pt idx="20">
                    <c:v>3</c:v>
                  </c:pt>
                  <c:pt idx="21">
                    <c:v>3</c:v>
                  </c:pt>
                  <c:pt idx="22">
                    <c:v>3</c:v>
                  </c:pt>
                  <c:pt idx="23">
                    <c:v>2,5</c:v>
                  </c:pt>
                  <c:pt idx="24">
                    <c:v>1,6</c:v>
                  </c:pt>
                  <c:pt idx="25">
                    <c:v>1,4</c:v>
                  </c:pt>
                  <c:pt idx="26">
                    <c:v>1,6</c:v>
                  </c:pt>
                  <c:pt idx="27">
                    <c:v>1,7</c:v>
                  </c:pt>
                  <c:pt idx="28">
                    <c:v>1,7</c:v>
                  </c:pt>
                  <c:pt idx="29">
                    <c:v>1,6</c:v>
                  </c:pt>
                  <c:pt idx="30">
                    <c:v>1,7</c:v>
                  </c:pt>
                  <c:pt idx="31">
                    <c:v>1,6</c:v>
                  </c:pt>
                  <c:pt idx="32">
                    <c:v>1,5</c:v>
                  </c:pt>
                  <c:pt idx="33">
                    <c:v>2</c:v>
                  </c:pt>
                  <c:pt idx="34">
                    <c:v>1,6</c:v>
                  </c:pt>
                  <c:pt idx="35">
                    <c:v>1,5</c:v>
                  </c:pt>
                  <c:pt idx="36">
                    <c:v>1,8</c:v>
                  </c:pt>
                  <c:pt idx="37">
                    <c:v>1,3</c:v>
                  </c:pt>
                  <c:pt idx="38">
                    <c:v>1,2</c:v>
                  </c:pt>
                  <c:pt idx="39">
                    <c:v>2</c:v>
                  </c:pt>
                  <c:pt idx="40">
                    <c:v>1,2</c:v>
                  </c:pt>
                  <c:pt idx="41">
                    <c:v>1,2</c:v>
                  </c:pt>
                  <c:pt idx="42">
                    <c:v>2</c:v>
                  </c:pt>
                  <c:pt idx="43">
                    <c:v>1,8</c:v>
                  </c:pt>
                  <c:pt idx="44">
                    <c:v>1,6</c:v>
                  </c:pt>
                  <c:pt idx="45">
                    <c:v>1,1</c:v>
                  </c:pt>
                  <c:pt idx="46">
                    <c:v>2</c:v>
                  </c:pt>
                  <c:pt idx="47">
                    <c:v>1,8</c:v>
                  </c:pt>
                  <c:pt idx="48">
                    <c:v>1,7</c:v>
                  </c:pt>
                  <c:pt idx="49">
                    <c:v>1,6</c:v>
                  </c:pt>
                  <c:pt idx="50">
                    <c:v>1,8</c:v>
                  </c:pt>
                  <c:pt idx="51">
                    <c:v>1,5</c:v>
                  </c:pt>
                  <c:pt idx="52">
                    <c:v>1,2</c:v>
                  </c:pt>
                  <c:pt idx="53">
                    <c:v>4,5</c:v>
                  </c:pt>
                  <c:pt idx="54">
                    <c:v>1,5</c:v>
                  </c:pt>
                  <c:pt idx="55">
                    <c:v>1,6</c:v>
                  </c:pt>
                  <c:pt idx="56">
                    <c:v>1,8</c:v>
                  </c:pt>
                  <c:pt idx="57">
                    <c:v>1,4</c:v>
                  </c:pt>
                  <c:pt idx="58">
                    <c:v>1,1</c:v>
                  </c:pt>
                  <c:pt idx="59">
                    <c:v>1,6</c:v>
                  </c:pt>
                  <c:pt idx="60">
                    <c:v>1,6</c:v>
                  </c:pt>
                  <c:pt idx="61">
                    <c:v>1,6</c:v>
                  </c:pt>
                  <c:pt idx="62">
                    <c:v>1,5</c:v>
                  </c:pt>
                  <c:pt idx="63">
                    <c:v>1,6</c:v>
                  </c:pt>
                  <c:pt idx="64">
                    <c:v>1,6</c:v>
                  </c:pt>
                  <c:pt idx="65">
                    <c:v>1,6</c:v>
                  </c:pt>
                  <c:pt idx="66">
                    <c:v>1,5</c:v>
                  </c:pt>
                  <c:pt idx="67">
                    <c:v>2</c:v>
                  </c:pt>
                  <c:pt idx="68">
                    <c:v>2</c:v>
                  </c:pt>
                  <c:pt idx="69">
                    <c:v>2</c:v>
                  </c:pt>
                  <c:pt idx="70">
                    <c:v>2</c:v>
                  </c:pt>
                  <c:pt idx="71">
                    <c:v>1,8</c:v>
                  </c:pt>
                  <c:pt idx="72">
                    <c:v>1,3</c:v>
                  </c:pt>
                  <c:pt idx="73">
                    <c:v>1,5</c:v>
                  </c:pt>
                  <c:pt idx="74">
                    <c:v>1,3</c:v>
                  </c:pt>
                  <c:pt idx="75">
                    <c:v>1,5</c:v>
                  </c:pt>
                  <c:pt idx="76">
                    <c:v>2</c:v>
                  </c:pt>
                  <c:pt idx="77">
                    <c:v>2</c:v>
                  </c:pt>
                  <c:pt idx="78">
                    <c:v>1,85</c:v>
                  </c:pt>
                  <c:pt idx="79">
                    <c:v>1,85</c:v>
                  </c:pt>
                  <c:pt idx="80">
                    <c:v>2</c:v>
                  </c:pt>
                  <c:pt idx="81">
                    <c:v>1,62</c:v>
                  </c:pt>
                  <c:pt idx="82">
                    <c:v>1,3</c:v>
                  </c:pt>
                  <c:pt idx="83">
                    <c:v>1,8</c:v>
                  </c:pt>
                  <c:pt idx="84">
                    <c:v>1,8</c:v>
                  </c:pt>
                  <c:pt idx="85">
                    <c:v>3</c:v>
                  </c:pt>
                  <c:pt idx="86">
                    <c:v>3</c:v>
                  </c:pt>
                  <c:pt idx="87">
                    <c:v>3</c:v>
                  </c:pt>
                  <c:pt idx="88">
                    <c:v>1,3</c:v>
                  </c:pt>
                  <c:pt idx="89">
                    <c:v>1,4</c:v>
                  </c:pt>
                  <c:pt idx="90">
                    <c:v>1,6</c:v>
                  </c:pt>
                  <c:pt idx="91">
                    <c:v>1,8</c:v>
                  </c:pt>
                  <c:pt idx="92">
                    <c:v>1,7</c:v>
                  </c:pt>
                  <c:pt idx="93">
                    <c:v>1,8</c:v>
                  </c:pt>
                  <c:pt idx="94">
                    <c:v>1,8</c:v>
                  </c:pt>
                  <c:pt idx="95">
                    <c:v>1,8</c:v>
                  </c:pt>
                  <c:pt idx="96">
                    <c:v>1,8</c:v>
                  </c:pt>
                  <c:pt idx="97">
                    <c:v>1,6</c:v>
                  </c:pt>
                  <c:pt idx="98">
                    <c:v>1,8</c:v>
                  </c:pt>
                  <c:pt idx="99">
                    <c:v>2</c:v>
                  </c:pt>
                  <c:pt idx="100">
                    <c:v>1,3</c:v>
                  </c:pt>
                  <c:pt idx="101">
                    <c:v>1,5</c:v>
                  </c:pt>
                  <c:pt idx="102">
                    <c:v>1,8</c:v>
                  </c:pt>
                  <c:pt idx="103">
                    <c:v>1,5</c:v>
                  </c:pt>
                  <c:pt idx="104">
                    <c:v>1,4</c:v>
                  </c:pt>
                  <c:pt idx="105">
                    <c:v>1,5</c:v>
                  </c:pt>
                  <c:pt idx="106">
                    <c:v>1,35</c:v>
                  </c:pt>
                  <c:pt idx="107">
                    <c:v>1,35</c:v>
                  </c:pt>
                  <c:pt idx="108">
                    <c:v>1,5</c:v>
                  </c:pt>
                  <c:pt idx="109">
                    <c:v>1,4</c:v>
                  </c:pt>
                  <c:pt idx="110">
                    <c:v>1</c:v>
                  </c:pt>
                  <c:pt idx="111">
                    <c:v>1,4</c:v>
                  </c:pt>
                  <c:pt idx="112">
                    <c:v>1,6</c:v>
                  </c:pt>
                  <c:pt idx="113">
                    <c:v>1,8</c:v>
                  </c:pt>
                  <c:pt idx="114">
                    <c:v>2</c:v>
                  </c:pt>
                  <c:pt idx="115">
                    <c:v>2</c:v>
                  </c:pt>
                  <c:pt idx="116">
                    <c:v>1,8</c:v>
                  </c:pt>
                  <c:pt idx="117">
                    <c:v>1,6</c:v>
                  </c:pt>
                  <c:pt idx="118">
                    <c:v>1,6</c:v>
                  </c:pt>
                  <c:pt idx="119">
                    <c:v>1,6</c:v>
                  </c:pt>
                  <c:pt idx="120">
                    <c:v>2</c:v>
                  </c:pt>
                  <c:pt idx="121">
                    <c:v>1,4</c:v>
                  </c:pt>
                  <c:pt idx="122">
                    <c:v>1,2</c:v>
                  </c:pt>
                  <c:pt idx="123">
                    <c:v>1,3</c:v>
                  </c:pt>
                  <c:pt idx="124">
                    <c:v>1,4</c:v>
                  </c:pt>
                  <c:pt idx="125">
                    <c:v>1,5</c:v>
                  </c:pt>
                  <c:pt idx="126">
                    <c:v>2</c:v>
                  </c:pt>
                  <c:pt idx="127">
                    <c:v>1,6</c:v>
                  </c:pt>
                  <c:pt idx="128">
                    <c:v>1,6</c:v>
                  </c:pt>
                  <c:pt idx="129">
                    <c:v>1,3</c:v>
                  </c:pt>
                  <c:pt idx="130">
                    <c:v>1,5</c:v>
                  </c:pt>
                  <c:pt idx="131">
                    <c:v>1,5</c:v>
                  </c:pt>
                  <c:pt idx="132">
                    <c:v>1,45</c:v>
                  </c:pt>
                  <c:pt idx="133">
                    <c:v>1,45</c:v>
                  </c:pt>
                  <c:pt idx="134">
                    <c:v>1,3</c:v>
                  </c:pt>
                  <c:pt idx="135">
                    <c:v>1,5</c:v>
                  </c:pt>
                  <c:pt idx="136">
                    <c:v>1,8</c:v>
                  </c:pt>
                  <c:pt idx="137">
                    <c:v>1,5</c:v>
                  </c:pt>
                  <c:pt idx="138">
                    <c:v>1,6</c:v>
                  </c:pt>
                  <c:pt idx="139">
                    <c:v>1,8</c:v>
                  </c:pt>
                  <c:pt idx="140">
                    <c:v>1,6</c:v>
                  </c:pt>
                  <c:pt idx="141">
                    <c:v>1,8</c:v>
                  </c:pt>
                  <c:pt idx="142">
                    <c:v>1,6</c:v>
                  </c:pt>
                  <c:pt idx="143">
                    <c:v>1,4</c:v>
                  </c:pt>
                  <c:pt idx="144">
                    <c:v>1,8</c:v>
                  </c:pt>
                  <c:pt idx="145">
                    <c:v>1,8</c:v>
                  </c:pt>
                  <c:pt idx="146">
                    <c:v>1,8</c:v>
                  </c:pt>
                  <c:pt idx="147">
                    <c:v>1,6</c:v>
                  </c:pt>
                  <c:pt idx="148">
                    <c:v>1,8</c:v>
                  </c:pt>
                  <c:pt idx="149">
                    <c:v>1,8</c:v>
                  </c:pt>
                  <c:pt idx="150">
                    <c:v>1,8</c:v>
                  </c:pt>
                  <c:pt idx="151">
                    <c:v>1,6</c:v>
                  </c:pt>
                  <c:pt idx="152">
                    <c:v>1,5</c:v>
                  </c:pt>
                  <c:pt idx="153">
                    <c:v>1,8</c:v>
                  </c:pt>
                  <c:pt idx="154">
                    <c:v>1,6</c:v>
                  </c:pt>
                  <c:pt idx="155">
                    <c:v>1,6</c:v>
                  </c:pt>
                  <c:pt idx="156">
                    <c:v>1,6</c:v>
                  </c:pt>
                  <c:pt idx="157">
                    <c:v>1,6</c:v>
                  </c:pt>
                  <c:pt idx="158">
                    <c:v>1,6</c:v>
                  </c:pt>
                  <c:pt idx="159">
                    <c:v>1,6</c:v>
                  </c:pt>
                  <c:pt idx="160">
                    <c:v>1,6</c:v>
                  </c:pt>
                  <c:pt idx="161">
                    <c:v>1,8</c:v>
                  </c:pt>
                  <c:pt idx="162">
                    <c:v>1,8</c:v>
                  </c:pt>
                  <c:pt idx="163">
                    <c:v>1,5</c:v>
                  </c:pt>
                  <c:pt idx="164">
                    <c:v>1,8</c:v>
                  </c:pt>
                  <c:pt idx="165">
                    <c:v>2</c:v>
                  </c:pt>
                  <c:pt idx="166">
                    <c:v>1,4</c:v>
                  </c:pt>
                  <c:pt idx="167">
                    <c:v>1,6</c:v>
                  </c:pt>
                  <c:pt idx="168">
                    <c:v>1,6</c:v>
                  </c:pt>
                  <c:pt idx="169">
                    <c:v>1,3</c:v>
                  </c:pt>
                  <c:pt idx="170">
                    <c:v>1,3</c:v>
                  </c:pt>
                  <c:pt idx="171">
                    <c:v>1,6</c:v>
                  </c:pt>
                  <c:pt idx="172">
                    <c:v>1,6</c:v>
                  </c:pt>
                  <c:pt idx="173">
                    <c:v>1,6</c:v>
                  </c:pt>
                  <c:pt idx="174">
                    <c:v>1,6</c:v>
                  </c:pt>
                  <c:pt idx="175">
                    <c:v>1,6</c:v>
                  </c:pt>
                  <c:pt idx="176">
                    <c:v>1,6</c:v>
                  </c:pt>
                  <c:pt idx="177">
                    <c:v>1,45</c:v>
                  </c:pt>
                  <c:pt idx="178">
                    <c:v>1,45</c:v>
                  </c:pt>
                  <c:pt idx="179">
                    <c:v>1,8</c:v>
                  </c:pt>
                  <c:pt idx="180">
                    <c:v>1,8</c:v>
                  </c:pt>
                  <c:pt idx="181">
                    <c:v>1,6</c:v>
                  </c:pt>
                  <c:pt idx="182">
                    <c:v>1,6</c:v>
                  </c:pt>
                  <c:pt idx="183">
                    <c:v>1,6</c:v>
                  </c:pt>
                  <c:pt idx="184">
                    <c:v>1,6</c:v>
                  </c:pt>
                  <c:pt idx="185">
                    <c:v>1,6</c:v>
                  </c:pt>
                  <c:pt idx="186">
                    <c:v>1,4</c:v>
                  </c:pt>
                  <c:pt idx="187">
                    <c:v>1,4</c:v>
                  </c:pt>
                  <c:pt idx="188">
                    <c:v>1,6</c:v>
                  </c:pt>
                  <c:pt idx="189">
                    <c:v>1,6</c:v>
                  </c:pt>
                  <c:pt idx="190">
                    <c:v>1,6</c:v>
                  </c:pt>
                  <c:pt idx="191">
                    <c:v>1,6</c:v>
                  </c:pt>
                  <c:pt idx="192">
                    <c:v>1,6</c:v>
                  </c:pt>
                  <c:pt idx="193">
                    <c:v>1,8</c:v>
                  </c:pt>
                  <c:pt idx="194">
                    <c:v>1,8</c:v>
                  </c:pt>
                  <c:pt idx="195">
                    <c:v>1,8</c:v>
                  </c:pt>
                  <c:pt idx="196">
                    <c:v>1,6</c:v>
                  </c:pt>
                  <c:pt idx="197">
                    <c:v>1,6</c:v>
                  </c:pt>
                  <c:pt idx="198">
                    <c:v>1,6</c:v>
                  </c:pt>
                  <c:pt idx="199">
                    <c:v>1,6</c:v>
                  </c:pt>
                  <c:pt idx="200">
                    <c:v>1,6</c:v>
                  </c:pt>
                  <c:pt idx="201">
                    <c:v>1,8</c:v>
                  </c:pt>
                  <c:pt idx="202">
                    <c:v>1,8</c:v>
                  </c:pt>
                  <c:pt idx="203">
                    <c:v>1,46</c:v>
                  </c:pt>
                  <c:pt idx="204">
                    <c:v>2</c:v>
                  </c:pt>
                  <c:pt idx="205">
                    <c:v>1,6</c:v>
                  </c:pt>
                  <c:pt idx="206">
                    <c:v>1</c:v>
                  </c:pt>
                  <c:pt idx="208">
                    <c:v>1,4</c:v>
                  </c:pt>
                  <c:pt idx="209">
                    <c:v>1,4</c:v>
                  </c:pt>
                  <c:pt idx="210">
                    <c:v>1,8</c:v>
                  </c:pt>
                  <c:pt idx="211">
                    <c:v>1,3</c:v>
                  </c:pt>
                  <c:pt idx="212">
                    <c:v>1,6</c:v>
                  </c:pt>
                  <c:pt idx="213">
                    <c:v>1,6</c:v>
                  </c:pt>
                  <c:pt idx="214">
                    <c:v>1,6</c:v>
                  </c:pt>
                  <c:pt idx="215">
                    <c:v>1,6</c:v>
                  </c:pt>
                  <c:pt idx="216">
                    <c:v>1,8</c:v>
                  </c:pt>
                  <c:pt idx="217">
                    <c:v>1,8</c:v>
                  </c:pt>
                  <c:pt idx="218">
                    <c:v>1,3</c:v>
                  </c:pt>
                  <c:pt idx="219">
                    <c:v>2,6</c:v>
                  </c:pt>
                  <c:pt idx="220">
                    <c:v>3,2</c:v>
                  </c:pt>
                  <c:pt idx="221">
                    <c:v>1,8</c:v>
                  </c:pt>
                  <c:pt idx="222">
                    <c:v>1,8</c:v>
                  </c:pt>
                  <c:pt idx="223">
                    <c:v>1,6</c:v>
                  </c:pt>
                  <c:pt idx="224">
                    <c:v>1,6</c:v>
                  </c:pt>
                  <c:pt idx="225">
                    <c:v>1,6</c:v>
                  </c:pt>
                  <c:pt idx="226">
                    <c:v>1,7</c:v>
                  </c:pt>
                  <c:pt idx="227">
                    <c:v>1,8</c:v>
                  </c:pt>
                  <c:pt idx="228">
                    <c:v>2</c:v>
                  </c:pt>
                  <c:pt idx="229">
                    <c:v>1,4</c:v>
                  </c:pt>
                  <c:pt idx="230">
                    <c:v>1,6</c:v>
                  </c:pt>
                  <c:pt idx="231">
                    <c:v>1,6</c:v>
                  </c:pt>
                  <c:pt idx="232">
                    <c:v>1,6</c:v>
                  </c:pt>
                  <c:pt idx="233">
                    <c:v>1,6</c:v>
                  </c:pt>
                  <c:pt idx="234">
                    <c:v>1,6</c:v>
                  </c:pt>
                  <c:pt idx="235">
                    <c:v>3</c:v>
                  </c:pt>
                  <c:pt idx="236">
                    <c:v>1,3</c:v>
                  </c:pt>
                  <c:pt idx="237">
                    <c:v>1,6</c:v>
                  </c:pt>
                  <c:pt idx="238">
                    <c:v>1,6</c:v>
                  </c:pt>
                  <c:pt idx="239">
                    <c:v>1,6</c:v>
                  </c:pt>
                  <c:pt idx="240">
                    <c:v>1,4</c:v>
                  </c:pt>
                  <c:pt idx="241">
                    <c:v>1,4</c:v>
                  </c:pt>
                  <c:pt idx="242">
                    <c:v>1,6</c:v>
                  </c:pt>
                  <c:pt idx="243">
                    <c:v>1,4</c:v>
                  </c:pt>
                  <c:pt idx="244">
                    <c:v>1,45</c:v>
                  </c:pt>
                  <c:pt idx="245">
                    <c:v>1,45</c:v>
                  </c:pt>
                  <c:pt idx="246">
                    <c:v>1,45</c:v>
                  </c:pt>
                  <c:pt idx="247">
                    <c:v>2</c:v>
                  </c:pt>
                  <c:pt idx="248">
                    <c:v>1,5</c:v>
                  </c:pt>
                  <c:pt idx="249">
                    <c:v>1,6</c:v>
                  </c:pt>
                  <c:pt idx="250">
                    <c:v>1,6</c:v>
                  </c:pt>
                  <c:pt idx="251">
                    <c:v>1,3</c:v>
                  </c:pt>
                  <c:pt idx="252">
                    <c:v>1,6</c:v>
                  </c:pt>
                  <c:pt idx="253">
                    <c:v>1,6</c:v>
                  </c:pt>
                  <c:pt idx="254">
                    <c:v>1,6</c:v>
                  </c:pt>
                  <c:pt idx="255">
                    <c:v>1,8</c:v>
                  </c:pt>
                  <c:pt idx="256">
                    <c:v>1,8</c:v>
                  </c:pt>
                  <c:pt idx="257">
                    <c:v>1,8</c:v>
                  </c:pt>
                  <c:pt idx="258">
                    <c:v>1,5</c:v>
                  </c:pt>
                  <c:pt idx="259">
                    <c:v>1,8</c:v>
                  </c:pt>
                  <c:pt idx="260">
                    <c:v>2</c:v>
                  </c:pt>
                  <c:pt idx="261">
                    <c:v>1,3</c:v>
                  </c:pt>
                  <c:pt idx="262">
                    <c:v>1,45</c:v>
                  </c:pt>
                  <c:pt idx="263">
                    <c:v>1,5</c:v>
                  </c:pt>
                  <c:pt idx="264">
                    <c:v>1,4</c:v>
                  </c:pt>
                  <c:pt idx="265">
                    <c:v>1,6</c:v>
                  </c:pt>
                  <c:pt idx="266">
                    <c:v>1,6</c:v>
                  </c:pt>
                  <c:pt idx="267">
                    <c:v>1,6</c:v>
                  </c:pt>
                  <c:pt idx="268">
                    <c:v>1,3</c:v>
                  </c:pt>
                  <c:pt idx="269">
                    <c:v>1,5</c:v>
                  </c:pt>
                  <c:pt idx="270">
                    <c:v>1,45</c:v>
                  </c:pt>
                  <c:pt idx="271">
                    <c:v>1,5</c:v>
                  </c:pt>
                  <c:pt idx="272">
                    <c:v>1,6</c:v>
                  </c:pt>
                  <c:pt idx="273">
                    <c:v>1,6</c:v>
                  </c:pt>
                  <c:pt idx="274">
                    <c:v>1,7</c:v>
                  </c:pt>
                  <c:pt idx="275">
                    <c:v>1,3</c:v>
                  </c:pt>
                  <c:pt idx="276">
                    <c:v>1,6</c:v>
                  </c:pt>
                  <c:pt idx="277">
                    <c:v>1,8</c:v>
                  </c:pt>
                  <c:pt idx="278">
                    <c:v>1,8</c:v>
                  </c:pt>
                  <c:pt idx="279">
                    <c:v>1,8</c:v>
                  </c:pt>
                  <c:pt idx="280">
                    <c:v>1,8</c:v>
                  </c:pt>
                  <c:pt idx="281">
                    <c:v>1,8</c:v>
                  </c:pt>
                  <c:pt idx="282">
                    <c:v>1,5</c:v>
                  </c:pt>
                  <c:pt idx="283">
                    <c:v>1,8</c:v>
                  </c:pt>
                  <c:pt idx="284">
                    <c:v>1,8</c:v>
                  </c:pt>
                  <c:pt idx="285">
                    <c:v>1,6</c:v>
                  </c:pt>
                  <c:pt idx="286">
                    <c:v>1,5</c:v>
                  </c:pt>
                  <c:pt idx="287">
                    <c:v>1,4</c:v>
                  </c:pt>
                  <c:pt idx="288">
                    <c:v>1,45</c:v>
                  </c:pt>
                  <c:pt idx="289">
                    <c:v>1,45</c:v>
                  </c:pt>
                  <c:pt idx="290">
                    <c:v>1,6</c:v>
                  </c:pt>
                  <c:pt idx="291">
                    <c:v>1,45</c:v>
                  </c:pt>
                  <c:pt idx="292">
                    <c:v>1,5</c:v>
                  </c:pt>
                  <c:pt idx="293">
                    <c:v>1,6</c:v>
                  </c:pt>
                  <c:pt idx="294">
                    <c:v>1,5</c:v>
                  </c:pt>
                  <c:pt idx="295">
                    <c:v>1,6</c:v>
                  </c:pt>
                  <c:pt idx="296">
                    <c:v>1,6</c:v>
                  </c:pt>
                  <c:pt idx="297">
                    <c:v>1,4</c:v>
                  </c:pt>
                  <c:pt idx="298">
                    <c:v>1,5</c:v>
                  </c:pt>
                  <c:pt idx="299">
                    <c:v>1,5</c:v>
                  </c:pt>
                  <c:pt idx="300">
                    <c:v>1,5</c:v>
                  </c:pt>
                  <c:pt idx="301">
                    <c:v>1,3</c:v>
                  </c:pt>
                  <c:pt idx="302">
                    <c:v>1,3</c:v>
                  </c:pt>
                  <c:pt idx="303">
                    <c:v>1,45</c:v>
                  </c:pt>
                  <c:pt idx="304">
                    <c:v>1,5</c:v>
                  </c:pt>
                  <c:pt idx="305">
                    <c:v>1,5</c:v>
                  </c:pt>
                  <c:pt idx="306">
                    <c:v>1,5</c:v>
                  </c:pt>
                  <c:pt idx="307">
                    <c:v>1,45</c:v>
                  </c:pt>
                  <c:pt idx="308">
                    <c:v>1,5</c:v>
                  </c:pt>
                  <c:pt idx="309">
                    <c:v>1,5</c:v>
                  </c:pt>
                  <c:pt idx="310">
                    <c:v>1,7</c:v>
                  </c:pt>
                  <c:pt idx="311">
                    <c:v>1,8</c:v>
                  </c:pt>
                  <c:pt idx="312">
                    <c:v>1,8</c:v>
                  </c:pt>
                  <c:pt idx="313">
                    <c:v>1,7</c:v>
                  </c:pt>
                  <c:pt idx="314">
                    <c:v>2</c:v>
                  </c:pt>
                  <c:pt idx="315">
                    <c:v>2,5</c:v>
                  </c:pt>
                  <c:pt idx="316">
                    <c:v>1,6</c:v>
                  </c:pt>
                  <c:pt idx="317">
                    <c:v>1,35</c:v>
                  </c:pt>
                  <c:pt idx="318">
                    <c:v>1,3</c:v>
                  </c:pt>
                  <c:pt idx="319">
                    <c:v>1,3</c:v>
                  </c:pt>
                  <c:pt idx="320">
                    <c:v>1,45</c:v>
                  </c:pt>
                  <c:pt idx="321">
                    <c:v>2,5</c:v>
                  </c:pt>
                  <c:pt idx="322">
                    <c:v>2</c:v>
                  </c:pt>
                  <c:pt idx="323">
                    <c:v>1,6</c:v>
                  </c:pt>
                  <c:pt idx="324">
                    <c:v>1,6</c:v>
                  </c:pt>
                  <c:pt idx="325">
                    <c:v>1,6</c:v>
                  </c:pt>
                  <c:pt idx="326">
                    <c:v>1,6</c:v>
                  </c:pt>
                  <c:pt idx="327">
                    <c:v>2</c:v>
                  </c:pt>
                  <c:pt idx="328">
                    <c:v>1,4</c:v>
                  </c:pt>
                  <c:pt idx="329">
                    <c:v>1,4</c:v>
                  </c:pt>
                  <c:pt idx="330">
                    <c:v>1,4</c:v>
                  </c:pt>
                  <c:pt idx="331">
                    <c:v>1,8</c:v>
                  </c:pt>
                  <c:pt idx="332">
                    <c:v>1,4</c:v>
                  </c:pt>
                  <c:pt idx="333">
                    <c:v>1,4</c:v>
                  </c:pt>
                  <c:pt idx="334">
                    <c:v>1,4</c:v>
                  </c:pt>
                  <c:pt idx="335">
                    <c:v>1,4</c:v>
                  </c:pt>
                  <c:pt idx="336">
                    <c:v>1,4</c:v>
                  </c:pt>
                  <c:pt idx="337">
                    <c:v>1,3</c:v>
                  </c:pt>
                  <c:pt idx="338">
                    <c:v>1,4</c:v>
                  </c:pt>
                  <c:pt idx="339">
                    <c:v>1,6</c:v>
                  </c:pt>
                  <c:pt idx="340">
                    <c:v>1,5</c:v>
                  </c:pt>
                  <c:pt idx="341">
                    <c:v>1,8</c:v>
                  </c:pt>
                  <c:pt idx="342">
                    <c:v>1,5</c:v>
                  </c:pt>
                  <c:pt idx="343">
                    <c:v>1,6</c:v>
                  </c:pt>
                  <c:pt idx="344">
                    <c:v>1,5</c:v>
                  </c:pt>
                  <c:pt idx="345">
                    <c:v>1,8</c:v>
                  </c:pt>
                  <c:pt idx="346">
                    <c:v>1,3</c:v>
                  </c:pt>
                  <c:pt idx="347">
                    <c:v>1,6</c:v>
                  </c:pt>
                  <c:pt idx="348">
                    <c:v>1,45</c:v>
                  </c:pt>
                  <c:pt idx="349">
                    <c:v>1,8</c:v>
                  </c:pt>
                  <c:pt idx="350">
                    <c:v>1,4</c:v>
                  </c:pt>
                  <c:pt idx="351">
                    <c:v>1,5</c:v>
                  </c:pt>
                  <c:pt idx="352">
                    <c:v>1,6</c:v>
                  </c:pt>
                  <c:pt idx="353">
                    <c:v>1,4</c:v>
                  </c:pt>
                  <c:pt idx="354">
                    <c:v>1,5</c:v>
                  </c:pt>
                  <c:pt idx="355">
                    <c:v>1,5</c:v>
                  </c:pt>
                  <c:pt idx="356">
                    <c:v>1,6</c:v>
                  </c:pt>
                  <c:pt idx="357">
                    <c:v>1,6</c:v>
                  </c:pt>
                  <c:pt idx="358">
                    <c:v>1,6</c:v>
                  </c:pt>
                  <c:pt idx="359">
                    <c:v>1,3</c:v>
                  </c:pt>
                  <c:pt idx="360">
                    <c:v>1,3</c:v>
                  </c:pt>
                  <c:pt idx="361">
                    <c:v>1,35</c:v>
                  </c:pt>
                  <c:pt idx="362">
                    <c:v>1,35</c:v>
                  </c:pt>
                  <c:pt idx="363">
                    <c:v>1,6</c:v>
                  </c:pt>
                  <c:pt idx="364">
                    <c:v>1,35</c:v>
                  </c:pt>
                  <c:pt idx="365">
                    <c:v>1,3</c:v>
                  </c:pt>
                  <c:pt idx="366">
                    <c:v>1,35</c:v>
                  </c:pt>
                  <c:pt idx="367">
                    <c:v>1,35</c:v>
                  </c:pt>
                  <c:pt idx="368">
                    <c:v>1,3</c:v>
                  </c:pt>
                  <c:pt idx="369">
                    <c:v>1,8</c:v>
                  </c:pt>
                  <c:pt idx="370">
                    <c:v>1,4</c:v>
                  </c:pt>
                  <c:pt idx="371">
                    <c:v>1,8</c:v>
                  </c:pt>
                  <c:pt idx="372">
                    <c:v>1,8</c:v>
                  </c:pt>
                  <c:pt idx="373">
                    <c:v>1,8</c:v>
                  </c:pt>
                  <c:pt idx="374">
                    <c:v>1,6</c:v>
                  </c:pt>
                  <c:pt idx="375">
                    <c:v>1,6</c:v>
                  </c:pt>
                  <c:pt idx="376">
                    <c:v>1,8</c:v>
                  </c:pt>
                  <c:pt idx="377">
                    <c:v>1,6</c:v>
                  </c:pt>
                  <c:pt idx="378">
                    <c:v>1,4</c:v>
                  </c:pt>
                  <c:pt idx="379">
                    <c:v>1,4</c:v>
                  </c:pt>
                  <c:pt idx="380">
                    <c:v>1,8</c:v>
                  </c:pt>
                  <c:pt idx="381">
                    <c:v>1,8</c:v>
                  </c:pt>
                  <c:pt idx="382">
                    <c:v>1,6</c:v>
                  </c:pt>
                  <c:pt idx="383">
                    <c:v>1,8</c:v>
                  </c:pt>
                  <c:pt idx="384">
                    <c:v>1,6</c:v>
                  </c:pt>
                  <c:pt idx="385">
                    <c:v>1,6</c:v>
                  </c:pt>
                  <c:pt idx="386">
                    <c:v>1,4</c:v>
                  </c:pt>
                  <c:pt idx="387">
                    <c:v>1,4</c:v>
                  </c:pt>
                  <c:pt idx="388">
                    <c:v>1,6</c:v>
                  </c:pt>
                  <c:pt idx="389">
                    <c:v>1,6</c:v>
                  </c:pt>
                  <c:pt idx="390">
                    <c:v>1,6</c:v>
                  </c:pt>
                  <c:pt idx="391">
                    <c:v>1,3</c:v>
                  </c:pt>
                  <c:pt idx="392">
                    <c:v>1,3</c:v>
                  </c:pt>
                  <c:pt idx="393">
                    <c:v>1,3</c:v>
                  </c:pt>
                  <c:pt idx="394">
                    <c:v>1,6</c:v>
                  </c:pt>
                  <c:pt idx="395">
                    <c:v>1,8</c:v>
                  </c:pt>
                  <c:pt idx="396">
                    <c:v>1,8</c:v>
                  </c:pt>
                  <c:pt idx="397">
                    <c:v>1,3</c:v>
                  </c:pt>
                  <c:pt idx="398">
                    <c:v>2</c:v>
                  </c:pt>
                  <c:pt idx="399">
                    <c:v>1,8</c:v>
                  </c:pt>
                  <c:pt idx="400">
                    <c:v>1,8</c:v>
                  </c:pt>
                  <c:pt idx="401">
                    <c:v>1,6</c:v>
                  </c:pt>
                  <c:pt idx="402">
                    <c:v>2</c:v>
                  </c:pt>
                  <c:pt idx="403">
                    <c:v>1,6</c:v>
                  </c:pt>
                  <c:pt idx="404">
                    <c:v>1,8</c:v>
                  </c:pt>
                  <c:pt idx="405">
                    <c:v>1,6</c:v>
                  </c:pt>
                  <c:pt idx="406">
                    <c:v>1,8</c:v>
                  </c:pt>
                  <c:pt idx="407">
                    <c:v>1,5</c:v>
                  </c:pt>
                  <c:pt idx="408">
                    <c:v>1,6</c:v>
                  </c:pt>
                  <c:pt idx="409">
                    <c:v>1,6</c:v>
                  </c:pt>
                  <c:pt idx="410">
                    <c:v>1,45</c:v>
                  </c:pt>
                  <c:pt idx="411">
                    <c:v>1,4</c:v>
                  </c:pt>
                  <c:pt idx="412">
                    <c:v>1,67</c:v>
                  </c:pt>
                  <c:pt idx="413">
                    <c:v>1,2</c:v>
                  </c:pt>
                  <c:pt idx="414">
                    <c:v>1,8</c:v>
                  </c:pt>
                  <c:pt idx="415">
                    <c:v>1,6</c:v>
                  </c:pt>
                  <c:pt idx="416">
                    <c:v>1,8</c:v>
                  </c:pt>
                  <c:pt idx="417">
                    <c:v>1,8</c:v>
                  </c:pt>
                  <c:pt idx="418">
                    <c:v>2,5</c:v>
                  </c:pt>
                  <c:pt idx="419">
                    <c:v>2</c:v>
                  </c:pt>
                  <c:pt idx="420">
                    <c:v>3</c:v>
                  </c:pt>
                  <c:pt idx="421">
                    <c:v>3</c:v>
                  </c:pt>
                  <c:pt idx="422">
                    <c:v>2</c:v>
                  </c:pt>
                  <c:pt idx="423">
                    <c:v>2,5</c:v>
                  </c:pt>
                  <c:pt idx="424">
                    <c:v>2</c:v>
                  </c:pt>
                  <c:pt idx="425">
                    <c:v>2</c:v>
                  </c:pt>
                  <c:pt idx="426">
                    <c:v>2</c:v>
                  </c:pt>
                  <c:pt idx="427">
                    <c:v>2</c:v>
                  </c:pt>
                  <c:pt idx="428">
                    <c:v>1,5</c:v>
                  </c:pt>
                  <c:pt idx="429">
                    <c:v>1,5</c:v>
                  </c:pt>
                  <c:pt idx="430">
                    <c:v>1,8</c:v>
                  </c:pt>
                  <c:pt idx="431">
                    <c:v>1,5</c:v>
                  </c:pt>
                  <c:pt idx="432">
                    <c:v>1,8</c:v>
                  </c:pt>
                  <c:pt idx="433">
                    <c:v>1,4</c:v>
                  </c:pt>
                  <c:pt idx="434">
                    <c:v>1,5</c:v>
                  </c:pt>
                  <c:pt idx="435">
                    <c:v>1,4</c:v>
                  </c:pt>
                  <c:pt idx="436">
                    <c:v>1,45</c:v>
                  </c:pt>
                  <c:pt idx="437">
                    <c:v>1,4</c:v>
                  </c:pt>
                  <c:pt idx="438">
                    <c:v>1,8</c:v>
                  </c:pt>
                  <c:pt idx="439">
                    <c:v>1,8</c:v>
                  </c:pt>
                  <c:pt idx="440">
                    <c:v>1,7</c:v>
                  </c:pt>
                  <c:pt idx="441">
                    <c:v>1,6</c:v>
                  </c:pt>
                  <c:pt idx="442">
                    <c:v>1,6</c:v>
                  </c:pt>
                  <c:pt idx="443">
                    <c:v>1,7</c:v>
                  </c:pt>
                  <c:pt idx="444">
                    <c:v>1,5</c:v>
                  </c:pt>
                  <c:pt idx="445">
                    <c:v>1,6</c:v>
                  </c:pt>
                  <c:pt idx="446">
                    <c:v>1,6</c:v>
                  </c:pt>
                  <c:pt idx="447">
                    <c:v>1,6</c:v>
                  </c:pt>
                  <c:pt idx="448">
                    <c:v>1,5</c:v>
                  </c:pt>
                  <c:pt idx="449">
                    <c:v>1,7</c:v>
                  </c:pt>
                  <c:pt idx="450">
                    <c:v>1,6</c:v>
                  </c:pt>
                  <c:pt idx="451">
                    <c:v>1,5</c:v>
                  </c:pt>
                  <c:pt idx="452">
                    <c:v>1,6</c:v>
                  </c:pt>
                  <c:pt idx="453">
                    <c:v>1,35</c:v>
                  </c:pt>
                  <c:pt idx="454">
                    <c:v>1,35</c:v>
                  </c:pt>
                  <c:pt idx="455">
                    <c:v>1,4</c:v>
                  </c:pt>
                  <c:pt idx="456">
                    <c:v>1,4</c:v>
                  </c:pt>
                  <c:pt idx="457">
                    <c:v>1,4</c:v>
                  </c:pt>
                  <c:pt idx="458">
                    <c:v>1,6</c:v>
                  </c:pt>
                  <c:pt idx="459">
                    <c:v>2</c:v>
                  </c:pt>
                  <c:pt idx="460">
                    <c:v>1,45</c:v>
                  </c:pt>
                  <c:pt idx="461">
                    <c:v>1,45</c:v>
                  </c:pt>
                  <c:pt idx="462">
                    <c:v>1,8</c:v>
                  </c:pt>
                  <c:pt idx="463">
                    <c:v>1,6</c:v>
                  </c:pt>
                  <c:pt idx="464">
                    <c:v>1,4</c:v>
                  </c:pt>
                  <c:pt idx="465">
                    <c:v>1,4</c:v>
                  </c:pt>
                  <c:pt idx="466">
                    <c:v>1,4</c:v>
                  </c:pt>
                  <c:pt idx="467">
                    <c:v>1,3</c:v>
                  </c:pt>
                  <c:pt idx="468">
                    <c:v>1,3</c:v>
                  </c:pt>
                  <c:pt idx="469">
                    <c:v>1,3</c:v>
                  </c:pt>
                  <c:pt idx="470">
                    <c:v>1,3</c:v>
                  </c:pt>
                  <c:pt idx="471">
                    <c:v>1,3</c:v>
                  </c:pt>
                  <c:pt idx="472">
                    <c:v>1,6</c:v>
                  </c:pt>
                  <c:pt idx="473">
                    <c:v>1,6</c:v>
                  </c:pt>
                  <c:pt idx="474">
                    <c:v>1,3</c:v>
                  </c:pt>
                  <c:pt idx="475">
                    <c:v>1,8</c:v>
                  </c:pt>
                  <c:pt idx="476">
                    <c:v>2</c:v>
                  </c:pt>
                  <c:pt idx="477">
                    <c:v>1,5</c:v>
                  </c:pt>
                  <c:pt idx="478">
                    <c:v>1,6</c:v>
                  </c:pt>
                  <c:pt idx="479">
                    <c:v>1,6</c:v>
                  </c:pt>
                  <c:pt idx="480">
                    <c:v>1,6</c:v>
                  </c:pt>
                  <c:pt idx="481">
                    <c:v>1,5</c:v>
                  </c:pt>
                  <c:pt idx="482">
                    <c:v>1,1</c:v>
                  </c:pt>
                  <c:pt idx="483">
                    <c:v>1,4</c:v>
                  </c:pt>
                  <c:pt idx="484">
                    <c:v>1,35</c:v>
                  </c:pt>
                  <c:pt idx="486">
                    <c:v>1,8</c:v>
                  </c:pt>
                  <c:pt idx="487">
                    <c:v>1,8</c:v>
                  </c:pt>
                  <c:pt idx="488">
                    <c:v>1,6</c:v>
                  </c:pt>
                  <c:pt idx="489">
                    <c:v>1,5</c:v>
                  </c:pt>
                  <c:pt idx="490">
                    <c:v>1,8</c:v>
                  </c:pt>
                  <c:pt idx="491">
                    <c:v>1,5</c:v>
                  </c:pt>
                  <c:pt idx="492">
                    <c:v>1,3</c:v>
                  </c:pt>
                  <c:pt idx="493">
                    <c:v>1,4</c:v>
                  </c:pt>
                  <c:pt idx="495">
                    <c:v>1,6</c:v>
                  </c:pt>
                  <c:pt idx="496">
                    <c:v>1,4</c:v>
                  </c:pt>
                  <c:pt idx="497">
                    <c:v>1,6</c:v>
                  </c:pt>
                  <c:pt idx="498">
                    <c:v>1,6</c:v>
                  </c:pt>
                  <c:pt idx="499">
                    <c:v>1,4</c:v>
                  </c:pt>
                  <c:pt idx="500">
                    <c:v>1,4</c:v>
                  </c:pt>
                  <c:pt idx="501">
                    <c:v>2</c:v>
                  </c:pt>
                  <c:pt idx="502">
                    <c:v>1,6</c:v>
                  </c:pt>
                  <c:pt idx="503">
                    <c:v>2,4</c:v>
                  </c:pt>
                  <c:pt idx="504">
                    <c:v>1,6</c:v>
                  </c:pt>
                  <c:pt idx="505">
                    <c:v>1,6</c:v>
                  </c:pt>
                  <c:pt idx="506">
                    <c:v>1,8</c:v>
                  </c:pt>
                  <c:pt idx="507">
                    <c:v>2</c:v>
                  </c:pt>
                  <c:pt idx="508">
                    <c:v>2</c:v>
                  </c:pt>
                  <c:pt idx="509">
                    <c:v>1,6</c:v>
                  </c:pt>
                  <c:pt idx="510">
                    <c:v>2</c:v>
                  </c:pt>
                  <c:pt idx="511">
                    <c:v>1,7</c:v>
                  </c:pt>
                  <c:pt idx="512">
                    <c:v>1,6</c:v>
                  </c:pt>
                  <c:pt idx="513">
                    <c:v>1,6</c:v>
                  </c:pt>
                  <c:pt idx="514">
                    <c:v>2</c:v>
                  </c:pt>
                  <c:pt idx="515">
                    <c:v>2</c:v>
                  </c:pt>
                  <c:pt idx="516">
                    <c:v>1,45</c:v>
                  </c:pt>
                  <c:pt idx="517">
                    <c:v>1,25</c:v>
                  </c:pt>
                  <c:pt idx="518">
                    <c:v>1,3</c:v>
                  </c:pt>
                  <c:pt idx="519">
                    <c:v>1,5</c:v>
                  </c:pt>
                  <c:pt idx="520">
                    <c:v>1,4</c:v>
                  </c:pt>
                  <c:pt idx="521">
                    <c:v>1</c:v>
                  </c:pt>
                  <c:pt idx="522">
                    <c:v>1,6</c:v>
                  </c:pt>
                  <c:pt idx="524">
                    <c:v>1,3</c:v>
                  </c:pt>
                  <c:pt idx="525">
                    <c:v>1,6</c:v>
                  </c:pt>
                  <c:pt idx="526">
                    <c:v>1,1</c:v>
                  </c:pt>
                  <c:pt idx="527">
                    <c:v>1,1</c:v>
                  </c:pt>
                  <c:pt idx="528">
                    <c:v>1,1</c:v>
                  </c:pt>
                  <c:pt idx="529">
                    <c:v>1,1</c:v>
                  </c:pt>
                  <c:pt idx="530">
                    <c:v>1,6</c:v>
                  </c:pt>
                  <c:pt idx="531">
                    <c:v>1,3</c:v>
                  </c:pt>
                  <c:pt idx="532">
                    <c:v>1,6</c:v>
                  </c:pt>
                  <c:pt idx="534">
                    <c:v>1,6</c:v>
                  </c:pt>
                  <c:pt idx="535">
                    <c:v>1,3</c:v>
                  </c:pt>
                  <c:pt idx="536">
                    <c:v>1,6</c:v>
                  </c:pt>
                  <c:pt idx="537">
                    <c:v>1,8</c:v>
                  </c:pt>
                  <c:pt idx="538">
                    <c:v>1,6</c:v>
                  </c:pt>
                  <c:pt idx="539">
                    <c:v>1,3</c:v>
                  </c:pt>
                  <c:pt idx="540">
                    <c:v>1,35</c:v>
                  </c:pt>
                  <c:pt idx="541">
                    <c:v>1,2</c:v>
                  </c:pt>
                  <c:pt idx="542">
                    <c:v>1,8</c:v>
                  </c:pt>
                  <c:pt idx="543">
                    <c:v>1,6</c:v>
                  </c:pt>
                  <c:pt idx="544">
                    <c:v>1,6</c:v>
                  </c:pt>
                  <c:pt idx="545">
                    <c:v>1,45</c:v>
                  </c:pt>
                  <c:pt idx="546">
                    <c:v>1,7</c:v>
                  </c:pt>
                  <c:pt idx="547">
                    <c:v>1,5</c:v>
                  </c:pt>
                  <c:pt idx="548">
                    <c:v>1,5</c:v>
                  </c:pt>
                  <c:pt idx="549">
                    <c:v>1,6</c:v>
                  </c:pt>
                  <c:pt idx="550">
                    <c:v>1,6</c:v>
                  </c:pt>
                  <c:pt idx="551">
                    <c:v>1,6</c:v>
                  </c:pt>
                  <c:pt idx="552">
                    <c:v>1,6</c:v>
                  </c:pt>
                  <c:pt idx="553">
                    <c:v>1,6</c:v>
                  </c:pt>
                  <c:pt idx="554">
                    <c:v>1,3</c:v>
                  </c:pt>
                  <c:pt idx="555">
                    <c:v>1,6</c:v>
                  </c:pt>
                  <c:pt idx="556">
                    <c:v>1,8</c:v>
                  </c:pt>
                  <c:pt idx="557">
                    <c:v>1,6</c:v>
                  </c:pt>
                  <c:pt idx="558">
                    <c:v>1,3</c:v>
                  </c:pt>
                  <c:pt idx="559">
                    <c:v>1,3</c:v>
                  </c:pt>
                  <c:pt idx="560">
                    <c:v>1,6</c:v>
                  </c:pt>
                  <c:pt idx="561">
                    <c:v>1,6</c:v>
                  </c:pt>
                  <c:pt idx="562">
                    <c:v>1,6</c:v>
                  </c:pt>
                  <c:pt idx="563">
                    <c:v>1,4</c:v>
                  </c:pt>
                  <c:pt idx="564">
                    <c:v>1,6</c:v>
                  </c:pt>
                  <c:pt idx="565">
                    <c:v>1,6</c:v>
                  </c:pt>
                  <c:pt idx="566">
                    <c:v>1,4</c:v>
                  </c:pt>
                  <c:pt idx="567">
                    <c:v>1,5</c:v>
                  </c:pt>
                  <c:pt idx="568">
                    <c:v>1,5</c:v>
                  </c:pt>
                  <c:pt idx="569">
                    <c:v>2</c:v>
                  </c:pt>
                  <c:pt idx="570">
                    <c:v>1,6</c:v>
                  </c:pt>
                  <c:pt idx="571">
                    <c:v>1,6</c:v>
                  </c:pt>
                  <c:pt idx="572">
                    <c:v>1,4</c:v>
                  </c:pt>
                  <c:pt idx="573">
                    <c:v>1,35</c:v>
                  </c:pt>
                  <c:pt idx="574">
                    <c:v>1,7</c:v>
                  </c:pt>
                  <c:pt idx="575">
                    <c:v>1,6</c:v>
                  </c:pt>
                  <c:pt idx="576">
                    <c:v>1,6</c:v>
                  </c:pt>
                  <c:pt idx="577">
                    <c:v>1,4</c:v>
                  </c:pt>
                  <c:pt idx="579">
                    <c:v>1,6</c:v>
                  </c:pt>
                  <c:pt idx="580">
                    <c:v>1,6</c:v>
                  </c:pt>
                  <c:pt idx="582">
                    <c:v>1,5</c:v>
                  </c:pt>
                  <c:pt idx="583">
                    <c:v>1,6</c:v>
                  </c:pt>
                  <c:pt idx="584">
                    <c:v>1,1</c:v>
                  </c:pt>
                  <c:pt idx="585">
                    <c:v>2</c:v>
                  </c:pt>
                  <c:pt idx="586">
                    <c:v>3</c:v>
                  </c:pt>
                  <c:pt idx="587">
                    <c:v>1,7</c:v>
                  </c:pt>
                  <c:pt idx="588">
                    <c:v>1,6</c:v>
                  </c:pt>
                  <c:pt idx="589">
                    <c:v>1,6</c:v>
                  </c:pt>
                  <c:pt idx="590">
                    <c:v>1,5</c:v>
                  </c:pt>
                  <c:pt idx="591">
                    <c:v>1,8</c:v>
                  </c:pt>
                  <c:pt idx="592">
                    <c:v>1,6</c:v>
                  </c:pt>
                  <c:pt idx="593">
                    <c:v>1,4</c:v>
                  </c:pt>
                  <c:pt idx="594">
                    <c:v>2,25</c:v>
                  </c:pt>
                  <c:pt idx="595">
                    <c:v>2,3</c:v>
                  </c:pt>
                  <c:pt idx="596">
                    <c:v>1,6</c:v>
                  </c:pt>
                  <c:pt idx="597">
                    <c:v>2</c:v>
                  </c:pt>
                  <c:pt idx="598">
                    <c:v>1,5</c:v>
                  </c:pt>
                  <c:pt idx="599">
                    <c:v>2,6</c:v>
                  </c:pt>
                  <c:pt idx="600">
                    <c:v>1,3</c:v>
                  </c:pt>
                  <c:pt idx="601">
                    <c:v>1,6</c:v>
                  </c:pt>
                  <c:pt idx="602">
                    <c:v>1,6</c:v>
                  </c:pt>
                  <c:pt idx="603">
                    <c:v>1,3</c:v>
                  </c:pt>
                  <c:pt idx="604">
                    <c:v>3</c:v>
                  </c:pt>
                  <c:pt idx="605">
                    <c:v>1,6</c:v>
                  </c:pt>
                  <c:pt idx="606">
                    <c:v>1,6</c:v>
                  </c:pt>
                  <c:pt idx="607">
                    <c:v>1,8</c:v>
                  </c:pt>
                  <c:pt idx="608">
                    <c:v>1,8</c:v>
                  </c:pt>
                  <c:pt idx="609">
                    <c:v>1,6</c:v>
                  </c:pt>
                  <c:pt idx="610">
                    <c:v>1,4</c:v>
                  </c:pt>
                  <c:pt idx="611">
                    <c:v>1,6</c:v>
                  </c:pt>
                  <c:pt idx="612">
                    <c:v>1,8</c:v>
                  </c:pt>
                  <c:pt idx="613">
                    <c:v>1,6</c:v>
                  </c:pt>
                  <c:pt idx="614">
                    <c:v>1,8</c:v>
                  </c:pt>
                  <c:pt idx="615">
                    <c:v>1,6</c:v>
                  </c:pt>
                  <c:pt idx="616">
                    <c:v>2</c:v>
                  </c:pt>
                  <c:pt idx="617">
                    <c:v>1,8</c:v>
                  </c:pt>
                  <c:pt idx="618">
                    <c:v>1,8</c:v>
                  </c:pt>
                  <c:pt idx="619">
                    <c:v>1,6</c:v>
                  </c:pt>
                  <c:pt idx="620">
                    <c:v>1,7</c:v>
                  </c:pt>
                  <c:pt idx="621">
                    <c:v>1,7</c:v>
                  </c:pt>
                  <c:pt idx="622">
                    <c:v>1,7</c:v>
                  </c:pt>
                  <c:pt idx="623">
                    <c:v>1,7</c:v>
                  </c:pt>
                  <c:pt idx="624">
                    <c:v>1,7</c:v>
                  </c:pt>
                  <c:pt idx="625">
                    <c:v>1,6</c:v>
                  </c:pt>
                  <c:pt idx="626">
                    <c:v>1,7</c:v>
                  </c:pt>
                  <c:pt idx="627">
                    <c:v>1,7</c:v>
                  </c:pt>
                  <c:pt idx="628">
                    <c:v>1,7</c:v>
                  </c:pt>
                  <c:pt idx="629">
                    <c:v>1,7</c:v>
                  </c:pt>
                  <c:pt idx="630">
                    <c:v>1,7</c:v>
                  </c:pt>
                  <c:pt idx="631">
                    <c:v>1,6</c:v>
                  </c:pt>
                  <c:pt idx="632">
                    <c:v>1,4</c:v>
                  </c:pt>
                  <c:pt idx="633">
                    <c:v>1,6</c:v>
                  </c:pt>
                  <c:pt idx="634">
                    <c:v>1,3</c:v>
                  </c:pt>
                  <c:pt idx="635">
                    <c:v>1,2</c:v>
                  </c:pt>
                  <c:pt idx="636">
                    <c:v>1,4</c:v>
                  </c:pt>
                  <c:pt idx="637">
                    <c:v>2</c:v>
                  </c:pt>
                  <c:pt idx="638">
                    <c:v>1,8</c:v>
                  </c:pt>
                  <c:pt idx="639">
                    <c:v>2</c:v>
                  </c:pt>
                  <c:pt idx="640">
                    <c:v>1,6</c:v>
                  </c:pt>
                  <c:pt idx="641">
                    <c:v>2</c:v>
                  </c:pt>
                  <c:pt idx="642">
                    <c:v>1,8</c:v>
                  </c:pt>
                  <c:pt idx="643">
                    <c:v>1,8</c:v>
                  </c:pt>
                  <c:pt idx="644">
                    <c:v>1,8</c:v>
                  </c:pt>
                  <c:pt idx="645">
                    <c:v>1,6</c:v>
                  </c:pt>
                  <c:pt idx="646">
                    <c:v>1,8</c:v>
                  </c:pt>
                  <c:pt idx="647">
                    <c:v>2</c:v>
                  </c:pt>
                  <c:pt idx="648">
                    <c:v>1,8</c:v>
                  </c:pt>
                  <c:pt idx="649">
                    <c:v>1,8</c:v>
                  </c:pt>
                  <c:pt idx="650">
                    <c:v>1,8</c:v>
                  </c:pt>
                  <c:pt idx="651">
                    <c:v>2</c:v>
                  </c:pt>
                  <c:pt idx="652">
                    <c:v>2</c:v>
                  </c:pt>
                  <c:pt idx="653">
                    <c:v>2</c:v>
                  </c:pt>
                  <c:pt idx="654">
                    <c:v>2</c:v>
                  </c:pt>
                  <c:pt idx="655">
                    <c:v>2</c:v>
                  </c:pt>
                  <c:pt idx="656">
                    <c:v>1,5</c:v>
                  </c:pt>
                  <c:pt idx="657">
                    <c:v>1,8</c:v>
                  </c:pt>
                  <c:pt idx="658">
                    <c:v>1,8</c:v>
                  </c:pt>
                  <c:pt idx="659">
                    <c:v>1,8</c:v>
                  </c:pt>
                  <c:pt idx="660">
                    <c:v>1,8</c:v>
                  </c:pt>
                  <c:pt idx="661">
                    <c:v>1,8</c:v>
                  </c:pt>
                  <c:pt idx="662">
                    <c:v>1,8</c:v>
                  </c:pt>
                  <c:pt idx="663">
                    <c:v>1,8</c:v>
                  </c:pt>
                  <c:pt idx="664">
                    <c:v>1,8</c:v>
                  </c:pt>
                  <c:pt idx="665">
                    <c:v>1,8</c:v>
                  </c:pt>
                  <c:pt idx="666">
                    <c:v>1,8</c:v>
                  </c:pt>
                  <c:pt idx="667">
                    <c:v>1</c:v>
                  </c:pt>
                  <c:pt idx="668">
                    <c:v>1</c:v>
                  </c:pt>
                  <c:pt idx="670">
                    <c:v>1,6</c:v>
                  </c:pt>
                  <c:pt idx="671">
                    <c:v>1,6</c:v>
                  </c:pt>
                  <c:pt idx="672">
                    <c:v>1,2</c:v>
                  </c:pt>
                  <c:pt idx="673">
                    <c:v>1,3</c:v>
                  </c:pt>
                  <c:pt idx="674">
                    <c:v>1,3</c:v>
                  </c:pt>
                  <c:pt idx="675">
                    <c:v>1,3</c:v>
                  </c:pt>
                  <c:pt idx="676">
                    <c:v>1,5</c:v>
                  </c:pt>
                  <c:pt idx="677">
                    <c:v>1,5</c:v>
                  </c:pt>
                  <c:pt idx="678">
                    <c:v>2</c:v>
                  </c:pt>
                  <c:pt idx="679">
                    <c:v>1,3</c:v>
                  </c:pt>
                  <c:pt idx="680">
                    <c:v>1,4</c:v>
                  </c:pt>
                  <c:pt idx="681">
                    <c:v>1,3</c:v>
                  </c:pt>
                  <c:pt idx="682">
                    <c:v>1,45</c:v>
                  </c:pt>
                  <c:pt idx="683">
                    <c:v>1,2</c:v>
                  </c:pt>
                  <c:pt idx="684">
                    <c:v>1,4</c:v>
                  </c:pt>
                  <c:pt idx="685">
                    <c:v>1,3</c:v>
                  </c:pt>
                  <c:pt idx="687">
                    <c:v>1,8</c:v>
                  </c:pt>
                  <c:pt idx="688">
                    <c:v>1,45</c:v>
                  </c:pt>
                  <c:pt idx="689">
                    <c:v>1,6</c:v>
                  </c:pt>
                  <c:pt idx="690">
                    <c:v>1,25</c:v>
                  </c:pt>
                  <c:pt idx="691">
                    <c:v>1,3</c:v>
                  </c:pt>
                  <c:pt idx="692">
                    <c:v>1,3</c:v>
                  </c:pt>
                  <c:pt idx="693">
                    <c:v>1,4</c:v>
                  </c:pt>
                  <c:pt idx="694">
                    <c:v>1,6</c:v>
                  </c:pt>
                  <c:pt idx="695">
                    <c:v>1,4</c:v>
                  </c:pt>
                  <c:pt idx="696">
                    <c:v>1,4</c:v>
                  </c:pt>
                  <c:pt idx="697">
                    <c:v>1,4</c:v>
                  </c:pt>
                  <c:pt idx="698">
                    <c:v>1,4</c:v>
                  </c:pt>
                  <c:pt idx="699">
                    <c:v>1,4</c:v>
                  </c:pt>
                  <c:pt idx="700">
                    <c:v>1,3</c:v>
                  </c:pt>
                  <c:pt idx="701">
                    <c:v>1,3</c:v>
                  </c:pt>
                  <c:pt idx="702">
                    <c:v>1,5</c:v>
                  </c:pt>
                  <c:pt idx="703">
                    <c:v>1,4</c:v>
                  </c:pt>
                  <c:pt idx="704">
                    <c:v>1,4</c:v>
                  </c:pt>
                  <c:pt idx="705">
                    <c:v>1,6</c:v>
                  </c:pt>
                  <c:pt idx="706">
                    <c:v>1,2</c:v>
                  </c:pt>
                  <c:pt idx="707">
                    <c:v>1,4</c:v>
                  </c:pt>
                  <c:pt idx="708">
                    <c:v>1,5</c:v>
                  </c:pt>
                  <c:pt idx="709">
                    <c:v>1,4</c:v>
                  </c:pt>
                  <c:pt idx="710">
                    <c:v>1,5</c:v>
                  </c:pt>
                  <c:pt idx="711">
                    <c:v>1,45</c:v>
                  </c:pt>
                  <c:pt idx="712">
                    <c:v>1,3</c:v>
                  </c:pt>
                  <c:pt idx="713">
                    <c:v>1,5</c:v>
                  </c:pt>
                  <c:pt idx="714">
                    <c:v>1,5</c:v>
                  </c:pt>
                  <c:pt idx="715">
                    <c:v>1,6</c:v>
                  </c:pt>
                  <c:pt idx="716">
                    <c:v>1,6</c:v>
                  </c:pt>
                  <c:pt idx="717">
                    <c:v>1,6</c:v>
                  </c:pt>
                  <c:pt idx="718">
                    <c:v>1,6</c:v>
                  </c:pt>
                  <c:pt idx="719">
                    <c:v>1,6</c:v>
                  </c:pt>
                  <c:pt idx="720">
                    <c:v>1,3</c:v>
                  </c:pt>
                  <c:pt idx="721">
                    <c:v>1,3</c:v>
                  </c:pt>
                  <c:pt idx="722">
                    <c:v>1,4</c:v>
                  </c:pt>
                  <c:pt idx="723">
                    <c:v>1,6</c:v>
                  </c:pt>
                  <c:pt idx="724">
                    <c:v>1,3</c:v>
                  </c:pt>
                  <c:pt idx="725">
                    <c:v>1,8</c:v>
                  </c:pt>
                  <c:pt idx="726">
                    <c:v>1,5</c:v>
                  </c:pt>
                  <c:pt idx="727">
                    <c:v>1,8</c:v>
                  </c:pt>
                  <c:pt idx="728">
                    <c:v>1,8</c:v>
                  </c:pt>
                  <c:pt idx="729">
                    <c:v>3</c:v>
                  </c:pt>
                  <c:pt idx="730">
                    <c:v>1,6</c:v>
                  </c:pt>
                  <c:pt idx="731">
                    <c:v>1,6</c:v>
                  </c:pt>
                  <c:pt idx="732">
                    <c:v>1,4</c:v>
                  </c:pt>
                  <c:pt idx="733">
                    <c:v>1,6</c:v>
                  </c:pt>
                  <c:pt idx="734">
                    <c:v>1,5</c:v>
                  </c:pt>
                  <c:pt idx="735">
                    <c:v>1,4</c:v>
                  </c:pt>
                  <c:pt idx="736">
                    <c:v>2,5</c:v>
                  </c:pt>
                  <c:pt idx="737">
                    <c:v>3</c:v>
                  </c:pt>
                  <c:pt idx="738">
                    <c:v>2</c:v>
                  </c:pt>
                  <c:pt idx="739">
                    <c:v>1,5</c:v>
                  </c:pt>
                  <c:pt idx="740">
                    <c:v>1,6</c:v>
                  </c:pt>
                  <c:pt idx="741">
                    <c:v>1,5</c:v>
                  </c:pt>
                  <c:pt idx="742">
                    <c:v>1,6</c:v>
                  </c:pt>
                  <c:pt idx="743">
                    <c:v>1,6</c:v>
                  </c:pt>
                  <c:pt idx="744">
                    <c:v>1,8</c:v>
                  </c:pt>
                  <c:pt idx="747">
                    <c:v>1,7</c:v>
                  </c:pt>
                  <c:pt idx="748">
                    <c:v>1,7</c:v>
                  </c:pt>
                  <c:pt idx="749">
                    <c:v>1,2</c:v>
                  </c:pt>
                  <c:pt idx="750">
                    <c:v>1,4</c:v>
                  </c:pt>
                  <c:pt idx="751">
                    <c:v>5</c:v>
                  </c:pt>
                  <c:pt idx="754">
                    <c:v>1,7</c:v>
                  </c:pt>
                  <c:pt idx="755">
                    <c:v>1,6</c:v>
                  </c:pt>
                  <c:pt idx="756">
                    <c:v>2,1</c:v>
                  </c:pt>
                  <c:pt idx="757">
                    <c:v>1,4</c:v>
                  </c:pt>
                  <c:pt idx="758">
                    <c:v>1,8</c:v>
                  </c:pt>
                  <c:pt idx="759">
                    <c:v>2</c:v>
                  </c:pt>
                  <c:pt idx="760">
                    <c:v>1,4</c:v>
                  </c:pt>
                  <c:pt idx="761">
                    <c:v>1,6</c:v>
                  </c:pt>
                  <c:pt idx="762">
                    <c:v>1,3</c:v>
                  </c:pt>
                  <c:pt idx="763">
                    <c:v>2,5</c:v>
                  </c:pt>
                  <c:pt idx="764">
                    <c:v>1,2</c:v>
                  </c:pt>
                  <c:pt idx="765">
                    <c:v>1,6</c:v>
                  </c:pt>
                  <c:pt idx="766">
                    <c:v>1,5</c:v>
                  </c:pt>
                  <c:pt idx="767">
                    <c:v>1,7</c:v>
                  </c:pt>
                  <c:pt idx="768">
                    <c:v>1,4</c:v>
                  </c:pt>
                  <c:pt idx="769">
                    <c:v>1,5</c:v>
                  </c:pt>
                  <c:pt idx="770">
                    <c:v>1,5</c:v>
                  </c:pt>
                  <c:pt idx="771">
                    <c:v>1,8</c:v>
                  </c:pt>
                  <c:pt idx="772">
                    <c:v>1,5</c:v>
                  </c:pt>
                  <c:pt idx="773">
                    <c:v>1,6</c:v>
                  </c:pt>
                  <c:pt idx="774">
                    <c:v>1,3</c:v>
                  </c:pt>
                  <c:pt idx="775">
                    <c:v>1,8</c:v>
                  </c:pt>
                  <c:pt idx="776">
                    <c:v>1,4</c:v>
                  </c:pt>
                  <c:pt idx="777">
                    <c:v>1,6</c:v>
                  </c:pt>
                  <c:pt idx="778">
                    <c:v>1,8</c:v>
                  </c:pt>
                  <c:pt idx="779">
                    <c:v>1,6</c:v>
                  </c:pt>
                  <c:pt idx="780">
                    <c:v>1</c:v>
                  </c:pt>
                  <c:pt idx="781">
                    <c:v>1,6</c:v>
                  </c:pt>
                  <c:pt idx="782">
                    <c:v>1,6</c:v>
                  </c:pt>
                  <c:pt idx="783">
                    <c:v>2</c:v>
                  </c:pt>
                  <c:pt idx="784">
                    <c:v>1,5</c:v>
                  </c:pt>
                  <c:pt idx="785">
                    <c:v>1,5</c:v>
                  </c:pt>
                  <c:pt idx="786">
                    <c:v>1,4</c:v>
                  </c:pt>
                  <c:pt idx="787">
                    <c:v>1,6</c:v>
                  </c:pt>
                  <c:pt idx="788">
                    <c:v>1,6</c:v>
                  </c:pt>
                  <c:pt idx="789">
                    <c:v>1,6</c:v>
                  </c:pt>
                  <c:pt idx="790">
                    <c:v>1,6</c:v>
                  </c:pt>
                  <c:pt idx="791">
                    <c:v>1,6</c:v>
                  </c:pt>
                  <c:pt idx="792">
                    <c:v>1,3</c:v>
                  </c:pt>
                  <c:pt idx="793">
                    <c:v>1,2</c:v>
                  </c:pt>
                  <c:pt idx="794">
                    <c:v>1,8</c:v>
                  </c:pt>
                  <c:pt idx="796">
                    <c:v>1,5</c:v>
                  </c:pt>
                  <c:pt idx="797">
                    <c:v>1,4</c:v>
                  </c:pt>
                  <c:pt idx="798">
                    <c:v>1,55</c:v>
                  </c:pt>
                  <c:pt idx="799">
                    <c:v>1,2</c:v>
                  </c:pt>
                  <c:pt idx="800">
                    <c:v>1,2</c:v>
                  </c:pt>
                  <c:pt idx="801">
                    <c:v>1,5</c:v>
                  </c:pt>
                  <c:pt idx="802">
                    <c:v>1,5</c:v>
                  </c:pt>
                  <c:pt idx="803">
                    <c:v>1,5</c:v>
                  </c:pt>
                  <c:pt idx="804">
                    <c:v>1,4</c:v>
                  </c:pt>
                  <c:pt idx="805">
                    <c:v>1,4</c:v>
                  </c:pt>
                  <c:pt idx="806">
                    <c:v>1,5</c:v>
                  </c:pt>
                  <c:pt idx="807">
                    <c:v>1,8</c:v>
                  </c:pt>
                  <c:pt idx="808">
                    <c:v>1,8</c:v>
                  </c:pt>
                  <c:pt idx="809">
                    <c:v>1,8</c:v>
                  </c:pt>
                  <c:pt idx="810">
                    <c:v>1,6</c:v>
                  </c:pt>
                  <c:pt idx="811">
                    <c:v>1,4</c:v>
                  </c:pt>
                  <c:pt idx="812">
                    <c:v>1,4</c:v>
                  </c:pt>
                  <c:pt idx="813">
                    <c:v>1,7</c:v>
                  </c:pt>
                  <c:pt idx="814">
                    <c:v>1,6</c:v>
                  </c:pt>
                  <c:pt idx="815">
                    <c:v>1,6</c:v>
                  </c:pt>
                  <c:pt idx="816">
                    <c:v>1,6</c:v>
                  </c:pt>
                  <c:pt idx="817">
                    <c:v>1,6</c:v>
                  </c:pt>
                  <c:pt idx="818">
                    <c:v>1,7</c:v>
                  </c:pt>
                  <c:pt idx="819">
                    <c:v>1,7</c:v>
                  </c:pt>
                  <c:pt idx="820">
                    <c:v>1,7</c:v>
                  </c:pt>
                  <c:pt idx="821">
                    <c:v>1,7</c:v>
                  </c:pt>
                  <c:pt idx="822">
                    <c:v>1,7</c:v>
                  </c:pt>
                  <c:pt idx="823">
                    <c:v>1,6</c:v>
                  </c:pt>
                  <c:pt idx="824">
                    <c:v>1,6</c:v>
                  </c:pt>
                  <c:pt idx="825">
                    <c:v>1,6</c:v>
                  </c:pt>
                  <c:pt idx="826">
                    <c:v>1,6</c:v>
                  </c:pt>
                  <c:pt idx="827">
                    <c:v>1,4</c:v>
                  </c:pt>
                  <c:pt idx="828">
                    <c:v>1,4</c:v>
                  </c:pt>
                  <c:pt idx="829">
                    <c:v>1,8</c:v>
                  </c:pt>
                  <c:pt idx="830">
                    <c:v>1,7</c:v>
                  </c:pt>
                  <c:pt idx="831">
                    <c:v>1,6</c:v>
                  </c:pt>
                  <c:pt idx="832">
                    <c:v>1,4</c:v>
                  </c:pt>
                  <c:pt idx="833">
                    <c:v>1,6</c:v>
                  </c:pt>
                  <c:pt idx="834">
                    <c:v>1,6</c:v>
                  </c:pt>
                  <c:pt idx="835">
                    <c:v>1,6</c:v>
                  </c:pt>
                  <c:pt idx="836">
                    <c:v>1,6</c:v>
                  </c:pt>
                  <c:pt idx="837">
                    <c:v>1,6</c:v>
                  </c:pt>
                  <c:pt idx="838">
                    <c:v>1,6</c:v>
                  </c:pt>
                  <c:pt idx="839">
                    <c:v>1,7</c:v>
                  </c:pt>
                  <c:pt idx="840">
                    <c:v>1,4</c:v>
                  </c:pt>
                  <c:pt idx="841">
                    <c:v>1,6</c:v>
                  </c:pt>
                  <c:pt idx="842">
                    <c:v>1,6</c:v>
                  </c:pt>
                  <c:pt idx="843">
                    <c:v>1,6</c:v>
                  </c:pt>
                  <c:pt idx="844">
                    <c:v>1,6</c:v>
                  </c:pt>
                  <c:pt idx="845">
                    <c:v>1,6</c:v>
                  </c:pt>
                  <c:pt idx="846">
                    <c:v>1,6</c:v>
                  </c:pt>
                  <c:pt idx="847">
                    <c:v>1,6</c:v>
                  </c:pt>
                  <c:pt idx="848">
                    <c:v>1,6</c:v>
                  </c:pt>
                  <c:pt idx="849">
                    <c:v>1,3</c:v>
                  </c:pt>
                  <c:pt idx="850">
                    <c:v>1,2</c:v>
                  </c:pt>
                  <c:pt idx="851">
                    <c:v>1,3</c:v>
                  </c:pt>
                  <c:pt idx="852">
                    <c:v>1,3</c:v>
                  </c:pt>
                  <c:pt idx="853">
                    <c:v>1,6</c:v>
                  </c:pt>
                  <c:pt idx="854">
                    <c:v>1,6</c:v>
                  </c:pt>
                  <c:pt idx="855">
                    <c:v>1,6</c:v>
                  </c:pt>
                  <c:pt idx="856">
                    <c:v>1,5</c:v>
                  </c:pt>
                  <c:pt idx="857">
                    <c:v>1,6</c:v>
                  </c:pt>
                  <c:pt idx="858">
                    <c:v>1,6</c:v>
                  </c:pt>
                  <c:pt idx="859">
                    <c:v>1,4</c:v>
                  </c:pt>
                  <c:pt idx="860">
                    <c:v>1,6</c:v>
                  </c:pt>
                  <c:pt idx="861">
                    <c:v>1,6</c:v>
                  </c:pt>
                  <c:pt idx="862">
                    <c:v>1,3</c:v>
                  </c:pt>
                  <c:pt idx="863">
                    <c:v>1,3</c:v>
                  </c:pt>
                  <c:pt idx="864">
                    <c:v>1,45</c:v>
                  </c:pt>
                  <c:pt idx="865">
                    <c:v>1,45</c:v>
                  </c:pt>
                  <c:pt idx="866">
                    <c:v>1,4</c:v>
                  </c:pt>
                  <c:pt idx="867">
                    <c:v>1,5</c:v>
                  </c:pt>
                  <c:pt idx="868">
                    <c:v>1,4</c:v>
                  </c:pt>
                  <c:pt idx="869">
                    <c:v>1,4</c:v>
                  </c:pt>
                  <c:pt idx="870">
                    <c:v>1,45</c:v>
                  </c:pt>
                  <c:pt idx="871">
                    <c:v>1,5</c:v>
                  </c:pt>
                  <c:pt idx="872">
                    <c:v>1,45</c:v>
                  </c:pt>
                  <c:pt idx="873">
                    <c:v>1,7</c:v>
                  </c:pt>
                  <c:pt idx="874">
                    <c:v>1,7</c:v>
                  </c:pt>
                  <c:pt idx="875">
                    <c:v>1,7</c:v>
                  </c:pt>
                  <c:pt idx="876">
                    <c:v>1,4</c:v>
                  </c:pt>
                  <c:pt idx="877">
                    <c:v>1,4</c:v>
                  </c:pt>
                  <c:pt idx="878">
                    <c:v>1,4</c:v>
                  </c:pt>
                  <c:pt idx="879">
                    <c:v>1,6</c:v>
                  </c:pt>
                  <c:pt idx="880">
                    <c:v>1,9</c:v>
                  </c:pt>
                  <c:pt idx="881">
                    <c:v>1,4</c:v>
                  </c:pt>
                  <c:pt idx="882">
                    <c:v>1,2</c:v>
                  </c:pt>
                  <c:pt idx="883">
                    <c:v>1,2</c:v>
                  </c:pt>
                  <c:pt idx="884">
                    <c:v>1,6</c:v>
                  </c:pt>
                  <c:pt idx="885">
                    <c:v>1,6</c:v>
                  </c:pt>
                  <c:pt idx="886">
                    <c:v>1,4</c:v>
                  </c:pt>
                  <c:pt idx="887">
                    <c:v>1,4</c:v>
                  </c:pt>
                  <c:pt idx="888">
                    <c:v>1,5</c:v>
                  </c:pt>
                  <c:pt idx="889">
                    <c:v>1,6</c:v>
                  </c:pt>
                  <c:pt idx="890">
                    <c:v>1,8</c:v>
                  </c:pt>
                  <c:pt idx="891">
                    <c:v>1,6</c:v>
                  </c:pt>
                  <c:pt idx="892">
                    <c:v>1,6</c:v>
                  </c:pt>
                  <c:pt idx="893">
                    <c:v>1,5</c:v>
                  </c:pt>
                  <c:pt idx="894">
                    <c:v>1,9</c:v>
                  </c:pt>
                  <c:pt idx="895">
                    <c:v>1,8</c:v>
                  </c:pt>
                  <c:pt idx="896">
                    <c:v>2</c:v>
                  </c:pt>
                  <c:pt idx="897">
                    <c:v>1,6</c:v>
                  </c:pt>
                  <c:pt idx="898">
                    <c:v>1,4</c:v>
                  </c:pt>
                  <c:pt idx="899">
                    <c:v>1,6</c:v>
                  </c:pt>
                  <c:pt idx="900">
                    <c:v>1,6</c:v>
                  </c:pt>
                  <c:pt idx="901">
                    <c:v>1,6</c:v>
                  </c:pt>
                  <c:pt idx="902">
                    <c:v>1,4</c:v>
                  </c:pt>
                  <c:pt idx="903">
                    <c:v>1,4</c:v>
                  </c:pt>
                  <c:pt idx="904">
                    <c:v>2</c:v>
                  </c:pt>
                  <c:pt idx="905">
                    <c:v>1,4</c:v>
                  </c:pt>
                  <c:pt idx="906">
                    <c:v>1,4</c:v>
                  </c:pt>
                  <c:pt idx="907">
                    <c:v>1,8</c:v>
                  </c:pt>
                  <c:pt idx="908">
                    <c:v>1,4</c:v>
                  </c:pt>
                  <c:pt idx="909">
                    <c:v>1,8</c:v>
                  </c:pt>
                  <c:pt idx="910">
                    <c:v>1,6</c:v>
                  </c:pt>
                  <c:pt idx="911">
                    <c:v>2</c:v>
                  </c:pt>
                  <c:pt idx="912">
                    <c:v>3,3</c:v>
                  </c:pt>
                  <c:pt idx="913">
                    <c:v>1,6</c:v>
                  </c:pt>
                  <c:pt idx="914">
                    <c:v>1,6</c:v>
                  </c:pt>
                  <c:pt idx="915">
                    <c:v>1,6</c:v>
                  </c:pt>
                  <c:pt idx="916">
                    <c:v>1,6</c:v>
                  </c:pt>
                  <c:pt idx="917">
                    <c:v>1,6</c:v>
                  </c:pt>
                  <c:pt idx="918">
                    <c:v>1,3</c:v>
                  </c:pt>
                  <c:pt idx="919">
                    <c:v>1,6</c:v>
                  </c:pt>
                  <c:pt idx="920">
                    <c:v>1,8</c:v>
                  </c:pt>
                  <c:pt idx="921">
                    <c:v>1,5</c:v>
                  </c:pt>
                  <c:pt idx="922">
                    <c:v>2</c:v>
                  </c:pt>
                  <c:pt idx="923">
                    <c:v>1,8</c:v>
                  </c:pt>
                  <c:pt idx="924">
                    <c:v>2</c:v>
                  </c:pt>
                  <c:pt idx="925">
                    <c:v>1,8</c:v>
                  </c:pt>
                  <c:pt idx="926">
                    <c:v>1,6</c:v>
                  </c:pt>
                  <c:pt idx="927">
                    <c:v>1,4</c:v>
                  </c:pt>
                  <c:pt idx="928">
                    <c:v>1,4</c:v>
                  </c:pt>
                  <c:pt idx="929">
                    <c:v>1,4</c:v>
                  </c:pt>
                  <c:pt idx="930">
                    <c:v>1,4</c:v>
                  </c:pt>
                  <c:pt idx="931">
                    <c:v>1,6</c:v>
                  </c:pt>
                  <c:pt idx="932">
                    <c:v>1,6</c:v>
                  </c:pt>
                  <c:pt idx="933">
                    <c:v>1,6</c:v>
                  </c:pt>
                  <c:pt idx="934">
                    <c:v>1,6</c:v>
                  </c:pt>
                  <c:pt idx="935">
                    <c:v>1,4</c:v>
                  </c:pt>
                  <c:pt idx="936">
                    <c:v>1,6</c:v>
                  </c:pt>
                  <c:pt idx="937">
                    <c:v>1,6</c:v>
                  </c:pt>
                  <c:pt idx="938">
                    <c:v>1,6</c:v>
                  </c:pt>
                  <c:pt idx="939">
                    <c:v>1,6</c:v>
                  </c:pt>
                  <c:pt idx="940">
                    <c:v>1,6</c:v>
                  </c:pt>
                  <c:pt idx="941">
                    <c:v>1,4</c:v>
                  </c:pt>
                  <c:pt idx="942">
                    <c:v>1,4</c:v>
                  </c:pt>
                  <c:pt idx="943">
                    <c:v>1,4</c:v>
                  </c:pt>
                  <c:pt idx="944">
                    <c:v>1,6</c:v>
                  </c:pt>
                  <c:pt idx="945">
                    <c:v>1,6</c:v>
                  </c:pt>
                  <c:pt idx="946">
                    <c:v>1,6</c:v>
                  </c:pt>
                  <c:pt idx="947">
                    <c:v>1,6</c:v>
                  </c:pt>
                  <c:pt idx="948">
                    <c:v>1,6</c:v>
                  </c:pt>
                  <c:pt idx="949">
                    <c:v>1,6</c:v>
                  </c:pt>
                  <c:pt idx="950">
                    <c:v>1,6</c:v>
                  </c:pt>
                  <c:pt idx="951">
                    <c:v>1,6</c:v>
                  </c:pt>
                  <c:pt idx="952">
                    <c:v>1,6</c:v>
                  </c:pt>
                  <c:pt idx="953">
                    <c:v>1,6</c:v>
                  </c:pt>
                  <c:pt idx="954">
                    <c:v>1,6</c:v>
                  </c:pt>
                  <c:pt idx="955">
                    <c:v>1,7</c:v>
                  </c:pt>
                  <c:pt idx="956">
                    <c:v>1,5</c:v>
                  </c:pt>
                  <c:pt idx="957">
                    <c:v>1,5</c:v>
                  </c:pt>
                  <c:pt idx="958">
                    <c:v>1,5</c:v>
                  </c:pt>
                  <c:pt idx="959">
                    <c:v>1,5</c:v>
                  </c:pt>
                  <c:pt idx="960">
                    <c:v>1,4</c:v>
                  </c:pt>
                  <c:pt idx="961">
                    <c:v>1,5</c:v>
                  </c:pt>
                  <c:pt idx="962">
                    <c:v>1,3</c:v>
                  </c:pt>
                  <c:pt idx="963">
                    <c:v>1,3</c:v>
                  </c:pt>
                  <c:pt idx="964">
                    <c:v>1,3</c:v>
                  </c:pt>
                  <c:pt idx="965">
                    <c:v>1,3</c:v>
                  </c:pt>
                  <c:pt idx="966">
                    <c:v>1,4</c:v>
                  </c:pt>
                  <c:pt idx="967">
                    <c:v>1,3</c:v>
                  </c:pt>
                  <c:pt idx="968">
                    <c:v>1,6</c:v>
                  </c:pt>
                  <c:pt idx="969">
                    <c:v>1,6</c:v>
                  </c:pt>
                  <c:pt idx="971">
                    <c:v>1,6</c:v>
                  </c:pt>
                  <c:pt idx="972">
                    <c:v>1,6</c:v>
                  </c:pt>
                  <c:pt idx="973">
                    <c:v>1,6</c:v>
                  </c:pt>
                  <c:pt idx="974">
                    <c:v>1,5</c:v>
                  </c:pt>
                  <c:pt idx="975">
                    <c:v>1,6</c:v>
                  </c:pt>
                  <c:pt idx="976">
                    <c:v>1,6</c:v>
                  </c:pt>
                  <c:pt idx="977">
                    <c:v>1,5</c:v>
                  </c:pt>
                  <c:pt idx="978">
                    <c:v>1,5</c:v>
                  </c:pt>
                  <c:pt idx="979">
                    <c:v>1,6</c:v>
                  </c:pt>
                  <c:pt idx="980">
                    <c:v>1,3</c:v>
                  </c:pt>
                  <c:pt idx="981">
                    <c:v>1,3</c:v>
                  </c:pt>
                  <c:pt idx="982">
                    <c:v>1,5</c:v>
                  </c:pt>
                  <c:pt idx="983">
                    <c:v>1,4</c:v>
                  </c:pt>
                  <c:pt idx="984">
                    <c:v>1,2</c:v>
                  </c:pt>
                  <c:pt idx="985">
                    <c:v>1,4</c:v>
                  </c:pt>
                  <c:pt idx="986">
                    <c:v>2</c:v>
                  </c:pt>
                  <c:pt idx="987">
                    <c:v>1,6</c:v>
                  </c:pt>
                  <c:pt idx="988">
                    <c:v>2</c:v>
                  </c:pt>
                  <c:pt idx="989">
                    <c:v>2</c:v>
                  </c:pt>
                  <c:pt idx="990">
                    <c:v>2</c:v>
                  </c:pt>
                  <c:pt idx="991">
                    <c:v>2</c:v>
                  </c:pt>
                  <c:pt idx="992">
                    <c:v>1,45</c:v>
                  </c:pt>
                  <c:pt idx="993">
                    <c:v>1,8</c:v>
                  </c:pt>
                  <c:pt idx="994">
                    <c:v>1,45</c:v>
                  </c:pt>
                  <c:pt idx="995">
                    <c:v>1,45</c:v>
                  </c:pt>
                  <c:pt idx="996">
                    <c:v>1,8</c:v>
                  </c:pt>
                  <c:pt idx="997">
                    <c:v>1,6</c:v>
                  </c:pt>
                  <c:pt idx="998">
                    <c:v>1,7</c:v>
                  </c:pt>
                  <c:pt idx="999">
                    <c:v>1,7</c:v>
                  </c:pt>
                  <c:pt idx="1000">
                    <c:v>1,7</c:v>
                  </c:pt>
                  <c:pt idx="1001">
                    <c:v>1,7</c:v>
                  </c:pt>
                  <c:pt idx="1002">
                    <c:v>1,6</c:v>
                  </c:pt>
                  <c:pt idx="1003">
                    <c:v>1,45</c:v>
                  </c:pt>
                  <c:pt idx="1004">
                    <c:v>1,6</c:v>
                  </c:pt>
                  <c:pt idx="1005">
                    <c:v>1,6</c:v>
                  </c:pt>
                  <c:pt idx="1006">
                    <c:v>1,6</c:v>
                  </c:pt>
                  <c:pt idx="1007">
                    <c:v>1,6</c:v>
                  </c:pt>
                  <c:pt idx="1008">
                    <c:v>1,6</c:v>
                  </c:pt>
                  <c:pt idx="1009">
                    <c:v>1,6</c:v>
                  </c:pt>
                  <c:pt idx="1010">
                    <c:v>1,6</c:v>
                  </c:pt>
                  <c:pt idx="1011">
                    <c:v>1,6</c:v>
                  </c:pt>
                  <c:pt idx="1012">
                    <c:v>1,6</c:v>
                  </c:pt>
                  <c:pt idx="1013">
                    <c:v>1,6</c:v>
                  </c:pt>
                  <c:pt idx="1014">
                    <c:v>1,6</c:v>
                  </c:pt>
                  <c:pt idx="1015">
                    <c:v>1,6</c:v>
                  </c:pt>
                  <c:pt idx="1016">
                    <c:v>1,6</c:v>
                  </c:pt>
                  <c:pt idx="1017">
                    <c:v>1,4</c:v>
                  </c:pt>
                  <c:pt idx="1018">
                    <c:v>1,5</c:v>
                  </c:pt>
                  <c:pt idx="1019">
                    <c:v>1,5</c:v>
                  </c:pt>
                  <c:pt idx="1020">
                    <c:v>1,5</c:v>
                  </c:pt>
                  <c:pt idx="1021">
                    <c:v>1,5</c:v>
                  </c:pt>
                  <c:pt idx="1022">
                    <c:v>1,6</c:v>
                  </c:pt>
                  <c:pt idx="1023">
                    <c:v>1,7</c:v>
                  </c:pt>
                  <c:pt idx="1024">
                    <c:v>1,7</c:v>
                  </c:pt>
                  <c:pt idx="1025">
                    <c:v>1,6</c:v>
                  </c:pt>
                  <c:pt idx="1026">
                    <c:v>1,6</c:v>
                  </c:pt>
                  <c:pt idx="1027">
                    <c:v>1,6</c:v>
                  </c:pt>
                  <c:pt idx="1028">
                    <c:v>1,6</c:v>
                  </c:pt>
                  <c:pt idx="1029">
                    <c:v>1,6</c:v>
                  </c:pt>
                  <c:pt idx="1030">
                    <c:v>1,6</c:v>
                  </c:pt>
                  <c:pt idx="1031">
                    <c:v>1,5</c:v>
                  </c:pt>
                  <c:pt idx="1032">
                    <c:v>1,5</c:v>
                  </c:pt>
                  <c:pt idx="1033">
                    <c:v>1,8</c:v>
                  </c:pt>
                  <c:pt idx="1034">
                    <c:v>1,7</c:v>
                  </c:pt>
                  <c:pt idx="1035">
                    <c:v>1,7</c:v>
                  </c:pt>
                  <c:pt idx="1036">
                    <c:v>1,6</c:v>
                  </c:pt>
                  <c:pt idx="1037">
                    <c:v>1,6</c:v>
                  </c:pt>
                  <c:pt idx="1038">
                    <c:v>1,7</c:v>
                  </c:pt>
                  <c:pt idx="1039">
                    <c:v>1,5</c:v>
                  </c:pt>
                  <c:pt idx="1040">
                    <c:v>1,5</c:v>
                  </c:pt>
                  <c:pt idx="1041">
                    <c:v>1,5</c:v>
                  </c:pt>
                  <c:pt idx="1042">
                    <c:v>1,5</c:v>
                  </c:pt>
                  <c:pt idx="1043">
                    <c:v>1,5</c:v>
                  </c:pt>
                  <c:pt idx="1044">
                    <c:v>1,5</c:v>
                  </c:pt>
                  <c:pt idx="1045">
                    <c:v>1,5</c:v>
                  </c:pt>
                  <c:pt idx="1046">
                    <c:v>1,5</c:v>
                  </c:pt>
                  <c:pt idx="1047">
                    <c:v>1,7</c:v>
                  </c:pt>
                  <c:pt idx="1048">
                    <c:v>1,7</c:v>
                  </c:pt>
                  <c:pt idx="1049">
                    <c:v>1,7</c:v>
                  </c:pt>
                  <c:pt idx="1050">
                    <c:v>1,7</c:v>
                  </c:pt>
                  <c:pt idx="1051">
                    <c:v>1,7</c:v>
                  </c:pt>
                  <c:pt idx="1052">
                    <c:v>1,9</c:v>
                  </c:pt>
                  <c:pt idx="1053">
                    <c:v>1,6</c:v>
                  </c:pt>
                  <c:pt idx="1054">
                    <c:v>1,8</c:v>
                  </c:pt>
                  <c:pt idx="1055">
                    <c:v>1,8</c:v>
                  </c:pt>
                  <c:pt idx="1056">
                    <c:v>1,8</c:v>
                  </c:pt>
                  <c:pt idx="1057">
                    <c:v>1,5</c:v>
                  </c:pt>
                  <c:pt idx="1058">
                    <c:v>1,5</c:v>
                  </c:pt>
                  <c:pt idx="1059">
                    <c:v>1,8</c:v>
                  </c:pt>
                  <c:pt idx="1060">
                    <c:v>1,8</c:v>
                  </c:pt>
                  <c:pt idx="1061">
                    <c:v>1,5</c:v>
                  </c:pt>
                  <c:pt idx="1062">
                    <c:v>1,5</c:v>
                  </c:pt>
                  <c:pt idx="1063">
                    <c:v>1,5</c:v>
                  </c:pt>
                  <c:pt idx="1064">
                    <c:v>1,5</c:v>
                  </c:pt>
                  <c:pt idx="1065">
                    <c:v>1,5</c:v>
                  </c:pt>
                  <c:pt idx="1066">
                    <c:v>1,5</c:v>
                  </c:pt>
                  <c:pt idx="1067">
                    <c:v>1,8</c:v>
                  </c:pt>
                  <c:pt idx="1068">
                    <c:v>1,5</c:v>
                  </c:pt>
                  <c:pt idx="1069">
                    <c:v>1,6</c:v>
                  </c:pt>
                  <c:pt idx="1070">
                    <c:v>1,6</c:v>
                  </c:pt>
                  <c:pt idx="1071">
                    <c:v>1,8</c:v>
                  </c:pt>
                  <c:pt idx="1072">
                    <c:v>1,7</c:v>
                  </c:pt>
                  <c:pt idx="1073">
                    <c:v>1,7</c:v>
                  </c:pt>
                  <c:pt idx="1074">
                    <c:v>1,7</c:v>
                  </c:pt>
                  <c:pt idx="1075">
                    <c:v>1,7</c:v>
                  </c:pt>
                  <c:pt idx="1076">
                    <c:v>1,7</c:v>
                  </c:pt>
                  <c:pt idx="1078">
                    <c:v>1,6</c:v>
                  </c:pt>
                  <c:pt idx="1079">
                    <c:v>1,6</c:v>
                  </c:pt>
                  <c:pt idx="1080">
                    <c:v>2</c:v>
                  </c:pt>
                  <c:pt idx="1081">
                    <c:v>1,7</c:v>
                  </c:pt>
                  <c:pt idx="1082">
                    <c:v>1,7</c:v>
                  </c:pt>
                  <c:pt idx="1083">
                    <c:v>1,6</c:v>
                  </c:pt>
                  <c:pt idx="1084">
                    <c:v>1,7</c:v>
                  </c:pt>
                  <c:pt idx="1085">
                    <c:v>1,6</c:v>
                  </c:pt>
                  <c:pt idx="1086">
                    <c:v>1,6</c:v>
                  </c:pt>
                  <c:pt idx="1087">
                    <c:v>1,7</c:v>
                  </c:pt>
                  <c:pt idx="1088">
                    <c:v>1,7</c:v>
                  </c:pt>
                  <c:pt idx="1089">
                    <c:v>1,7</c:v>
                  </c:pt>
                  <c:pt idx="1090">
                    <c:v>1,7</c:v>
                  </c:pt>
                  <c:pt idx="1091">
                    <c:v>1,4</c:v>
                  </c:pt>
                  <c:pt idx="1092">
                    <c:v>1,4</c:v>
                  </c:pt>
                  <c:pt idx="1093">
                    <c:v>1,4</c:v>
                  </c:pt>
                  <c:pt idx="1094">
                    <c:v>1,3</c:v>
                  </c:pt>
                  <c:pt idx="1095">
                    <c:v>1,5</c:v>
                  </c:pt>
                  <c:pt idx="1096">
                    <c:v>1,4</c:v>
                  </c:pt>
                  <c:pt idx="1097">
                    <c:v>1,4</c:v>
                  </c:pt>
                  <c:pt idx="1098">
                    <c:v>1,6</c:v>
                  </c:pt>
                  <c:pt idx="1099">
                    <c:v>1,4</c:v>
                  </c:pt>
                  <c:pt idx="1100">
                    <c:v>1,6</c:v>
                  </c:pt>
                  <c:pt idx="1101">
                    <c:v>1,6</c:v>
                  </c:pt>
                  <c:pt idx="1102">
                    <c:v>1,6</c:v>
                  </c:pt>
                  <c:pt idx="1103">
                    <c:v>1,6</c:v>
                  </c:pt>
                  <c:pt idx="1104">
                    <c:v>1,4</c:v>
                  </c:pt>
                  <c:pt idx="1105">
                    <c:v>1,4</c:v>
                  </c:pt>
                  <c:pt idx="1106">
                    <c:v>1,6</c:v>
                  </c:pt>
                  <c:pt idx="1107">
                    <c:v>1,6</c:v>
                  </c:pt>
                  <c:pt idx="1108">
                    <c:v>1,8</c:v>
                  </c:pt>
                  <c:pt idx="1109">
                    <c:v>1,6</c:v>
                  </c:pt>
                  <c:pt idx="1110">
                    <c:v>1</c:v>
                  </c:pt>
                  <c:pt idx="1111">
                    <c:v>1,3</c:v>
                  </c:pt>
                  <c:pt idx="1112">
                    <c:v>1,3</c:v>
                  </c:pt>
                  <c:pt idx="1113">
                    <c:v>1,3</c:v>
                  </c:pt>
                  <c:pt idx="1114">
                    <c:v>1,3</c:v>
                  </c:pt>
                  <c:pt idx="1115">
                    <c:v>1,5</c:v>
                  </c:pt>
                  <c:pt idx="1116">
                    <c:v>1,6</c:v>
                  </c:pt>
                  <c:pt idx="1117">
                    <c:v>1,6</c:v>
                  </c:pt>
                  <c:pt idx="1118">
                    <c:v>1,3</c:v>
                  </c:pt>
                  <c:pt idx="1119">
                    <c:v>1,6</c:v>
                  </c:pt>
                  <c:pt idx="1120">
                    <c:v>1,6</c:v>
                  </c:pt>
                  <c:pt idx="1121">
                    <c:v>1,6</c:v>
                  </c:pt>
                  <c:pt idx="1122">
                    <c:v>1,7</c:v>
                  </c:pt>
                  <c:pt idx="1123">
                    <c:v>1,7</c:v>
                  </c:pt>
                  <c:pt idx="1124">
                    <c:v>1,6</c:v>
                  </c:pt>
                  <c:pt idx="1125">
                    <c:v>1,6</c:v>
                  </c:pt>
                  <c:pt idx="1126">
                    <c:v>1,6</c:v>
                  </c:pt>
                  <c:pt idx="1127">
                    <c:v>1,4</c:v>
                  </c:pt>
                  <c:pt idx="1128">
                    <c:v>1,6</c:v>
                  </c:pt>
                  <c:pt idx="1129">
                    <c:v>1,6</c:v>
                  </c:pt>
                  <c:pt idx="1130">
                    <c:v>1,6</c:v>
                  </c:pt>
                  <c:pt idx="1131">
                    <c:v>1,6</c:v>
                  </c:pt>
                  <c:pt idx="1132">
                    <c:v>1,6</c:v>
                  </c:pt>
                  <c:pt idx="1133">
                    <c:v>1,6</c:v>
                  </c:pt>
                  <c:pt idx="1134">
                    <c:v>1,6</c:v>
                  </c:pt>
                  <c:pt idx="1135">
                    <c:v>1,6</c:v>
                  </c:pt>
                  <c:pt idx="1136">
                    <c:v>1,6</c:v>
                  </c:pt>
                  <c:pt idx="1137">
                    <c:v>1,6</c:v>
                  </c:pt>
                  <c:pt idx="1138">
                    <c:v>1,6</c:v>
                  </c:pt>
                  <c:pt idx="1139">
                    <c:v>1,6</c:v>
                  </c:pt>
                  <c:pt idx="1140">
                    <c:v>1,6</c:v>
                  </c:pt>
                  <c:pt idx="1141">
                    <c:v>1,6</c:v>
                  </c:pt>
                  <c:pt idx="1142">
                    <c:v>1,6</c:v>
                  </c:pt>
                  <c:pt idx="1143">
                    <c:v>1,6</c:v>
                  </c:pt>
                  <c:pt idx="1144">
                    <c:v>1,7</c:v>
                  </c:pt>
                  <c:pt idx="1145">
                    <c:v>1,8</c:v>
                  </c:pt>
                  <c:pt idx="1146">
                    <c:v>1,7</c:v>
                  </c:pt>
                  <c:pt idx="1147">
                    <c:v>1,5</c:v>
                  </c:pt>
                  <c:pt idx="1148">
                    <c:v>1,6</c:v>
                  </c:pt>
                  <c:pt idx="1149">
                    <c:v>1,8</c:v>
                  </c:pt>
                  <c:pt idx="1150">
                    <c:v>1,6</c:v>
                  </c:pt>
                  <c:pt idx="1151">
                    <c:v>1,4</c:v>
                  </c:pt>
                  <c:pt idx="1152">
                    <c:v>1,4</c:v>
                  </c:pt>
                  <c:pt idx="1153">
                    <c:v>1,5</c:v>
                  </c:pt>
                  <c:pt idx="1154">
                    <c:v>1,5</c:v>
                  </c:pt>
                  <c:pt idx="1155">
                    <c:v>1,6</c:v>
                  </c:pt>
                  <c:pt idx="1156">
                    <c:v>1,5</c:v>
                  </c:pt>
                  <c:pt idx="1157">
                    <c:v>1,5</c:v>
                  </c:pt>
                  <c:pt idx="1158">
                    <c:v>1,4</c:v>
                  </c:pt>
                  <c:pt idx="1159">
                    <c:v>1,5</c:v>
                  </c:pt>
                  <c:pt idx="1160">
                    <c:v>1,5</c:v>
                  </c:pt>
                  <c:pt idx="1161">
                    <c:v>1,8</c:v>
                  </c:pt>
                  <c:pt idx="1162">
                    <c:v>1,5</c:v>
                  </c:pt>
                  <c:pt idx="1163">
                    <c:v>1,6</c:v>
                  </c:pt>
                  <c:pt idx="1164">
                    <c:v>1,7</c:v>
                  </c:pt>
                  <c:pt idx="1165">
                    <c:v>1,7</c:v>
                  </c:pt>
                  <c:pt idx="1166">
                    <c:v>1,6</c:v>
                  </c:pt>
                  <c:pt idx="1167">
                    <c:v>1,6</c:v>
                  </c:pt>
                  <c:pt idx="1168">
                    <c:v>1,6</c:v>
                  </c:pt>
                  <c:pt idx="1169">
                    <c:v>1,6</c:v>
                  </c:pt>
                  <c:pt idx="1170">
                    <c:v>1,6</c:v>
                  </c:pt>
                  <c:pt idx="1171">
                    <c:v>1,6</c:v>
                  </c:pt>
                  <c:pt idx="1172">
                    <c:v>1,6</c:v>
                  </c:pt>
                  <c:pt idx="1173">
                    <c:v>1,6</c:v>
                  </c:pt>
                  <c:pt idx="1174">
                    <c:v>1,6</c:v>
                  </c:pt>
                  <c:pt idx="1175">
                    <c:v>1,6</c:v>
                  </c:pt>
                  <c:pt idx="1176">
                    <c:v>1,6</c:v>
                  </c:pt>
                  <c:pt idx="1177">
                    <c:v>1,6</c:v>
                  </c:pt>
                  <c:pt idx="1178">
                    <c:v>1,7</c:v>
                  </c:pt>
                  <c:pt idx="1179">
                    <c:v>1,7</c:v>
                  </c:pt>
                  <c:pt idx="1180">
                    <c:v>1,7</c:v>
                  </c:pt>
                  <c:pt idx="1181">
                    <c:v>1,7</c:v>
                  </c:pt>
                  <c:pt idx="1182">
                    <c:v>1,6</c:v>
                  </c:pt>
                  <c:pt idx="1183">
                    <c:v>1,6</c:v>
                  </c:pt>
                  <c:pt idx="1184">
                    <c:v>1,5</c:v>
                  </c:pt>
                  <c:pt idx="1185">
                    <c:v>1,6</c:v>
                  </c:pt>
                  <c:pt idx="1186">
                    <c:v>1,6</c:v>
                  </c:pt>
                  <c:pt idx="1187">
                    <c:v>1,4</c:v>
                  </c:pt>
                  <c:pt idx="1188">
                    <c:v>1,4</c:v>
                  </c:pt>
                  <c:pt idx="1189">
                    <c:v>1,4</c:v>
                  </c:pt>
                  <c:pt idx="1190">
                    <c:v>1,4</c:v>
                  </c:pt>
                  <c:pt idx="1191">
                    <c:v>1,5</c:v>
                  </c:pt>
                  <c:pt idx="1192">
                    <c:v>1,4</c:v>
                  </c:pt>
                  <c:pt idx="1193">
                    <c:v>1,4</c:v>
                  </c:pt>
                  <c:pt idx="1194">
                    <c:v>1,6</c:v>
                  </c:pt>
                  <c:pt idx="1195">
                    <c:v>1,5</c:v>
                  </c:pt>
                  <c:pt idx="1196">
                    <c:v>1,5</c:v>
                  </c:pt>
                  <c:pt idx="1197">
                    <c:v>1,6</c:v>
                  </c:pt>
                  <c:pt idx="1198">
                    <c:v>1,5</c:v>
                  </c:pt>
                  <c:pt idx="1199">
                    <c:v>1,6</c:v>
                  </c:pt>
                  <c:pt idx="1200">
                    <c:v>1,6</c:v>
                  </c:pt>
                  <c:pt idx="1201">
                    <c:v>1,5</c:v>
                  </c:pt>
                  <c:pt idx="1202">
                    <c:v>1,8</c:v>
                  </c:pt>
                  <c:pt idx="1203">
                    <c:v>1,7</c:v>
                  </c:pt>
                  <c:pt idx="1204">
                    <c:v>1,6</c:v>
                  </c:pt>
                  <c:pt idx="1205">
                    <c:v>1,6</c:v>
                  </c:pt>
                  <c:pt idx="1206">
                    <c:v>1,6</c:v>
                  </c:pt>
                  <c:pt idx="1207">
                    <c:v>1,6</c:v>
                  </c:pt>
                  <c:pt idx="1208">
                    <c:v>1,6</c:v>
                  </c:pt>
                  <c:pt idx="1209">
                    <c:v>1,5</c:v>
                  </c:pt>
                  <c:pt idx="1210">
                    <c:v>1,8</c:v>
                  </c:pt>
                  <c:pt idx="1211">
                    <c:v>1,8</c:v>
                  </c:pt>
                  <c:pt idx="1212">
                    <c:v>1,8</c:v>
                  </c:pt>
                  <c:pt idx="1213">
                    <c:v>1,5</c:v>
                  </c:pt>
                  <c:pt idx="1214">
                    <c:v>1,6</c:v>
                  </c:pt>
                  <c:pt idx="1215">
                    <c:v>1,8</c:v>
                  </c:pt>
                  <c:pt idx="1216">
                    <c:v>1,8</c:v>
                  </c:pt>
                  <c:pt idx="1217">
                    <c:v>1,8</c:v>
                  </c:pt>
                  <c:pt idx="1218">
                    <c:v>1,6</c:v>
                  </c:pt>
                  <c:pt idx="1219">
                    <c:v>1,6</c:v>
                  </c:pt>
                  <c:pt idx="1220">
                    <c:v>1,4</c:v>
                  </c:pt>
                  <c:pt idx="1221">
                    <c:v>1,6</c:v>
                  </c:pt>
                  <c:pt idx="1222">
                    <c:v>1,4</c:v>
                  </c:pt>
                  <c:pt idx="1223">
                    <c:v>1,3</c:v>
                  </c:pt>
                  <c:pt idx="1224">
                    <c:v>1,5</c:v>
                  </c:pt>
                  <c:pt idx="1225">
                    <c:v>1,5</c:v>
                  </c:pt>
                  <c:pt idx="1226">
                    <c:v>1,5</c:v>
                  </c:pt>
                  <c:pt idx="1227">
                    <c:v>1,5</c:v>
                  </c:pt>
                  <c:pt idx="1228">
                    <c:v>1,5</c:v>
                  </c:pt>
                  <c:pt idx="1229">
                    <c:v>1,5</c:v>
                  </c:pt>
                  <c:pt idx="1230">
                    <c:v>1,5</c:v>
                  </c:pt>
                  <c:pt idx="1231">
                    <c:v>1,5</c:v>
                  </c:pt>
                  <c:pt idx="1232">
                    <c:v>1,5</c:v>
                  </c:pt>
                  <c:pt idx="1233">
                    <c:v>1,5</c:v>
                  </c:pt>
                  <c:pt idx="1234">
                    <c:v>1,6</c:v>
                  </c:pt>
                  <c:pt idx="1235">
                    <c:v>1,4</c:v>
                  </c:pt>
                  <c:pt idx="1236">
                    <c:v>1,4</c:v>
                  </c:pt>
                  <c:pt idx="1237">
                    <c:v>1,6</c:v>
                  </c:pt>
                  <c:pt idx="1238">
                    <c:v>1,6</c:v>
                  </c:pt>
                  <c:pt idx="1239">
                    <c:v>1,6</c:v>
                  </c:pt>
                  <c:pt idx="1240">
                    <c:v>1,6</c:v>
                  </c:pt>
                  <c:pt idx="1241">
                    <c:v>1,6</c:v>
                  </c:pt>
                  <c:pt idx="1242">
                    <c:v>1,6</c:v>
                  </c:pt>
                  <c:pt idx="1243">
                    <c:v>1,6</c:v>
                  </c:pt>
                  <c:pt idx="1244">
                    <c:v>1,6</c:v>
                  </c:pt>
                  <c:pt idx="1245">
                    <c:v>2</c:v>
                  </c:pt>
                  <c:pt idx="1246">
                    <c:v>2,5</c:v>
                  </c:pt>
                  <c:pt idx="1247">
                    <c:v>1,8</c:v>
                  </c:pt>
                  <c:pt idx="1248">
                    <c:v>1,8</c:v>
                  </c:pt>
                  <c:pt idx="1249">
                    <c:v>1,45</c:v>
                  </c:pt>
                  <c:pt idx="1250">
                    <c:v>1,45</c:v>
                  </c:pt>
                  <c:pt idx="1251">
                    <c:v>1,6</c:v>
                  </c:pt>
                  <c:pt idx="1252">
                    <c:v>1,45</c:v>
                  </c:pt>
                  <c:pt idx="1253">
                    <c:v>1,5</c:v>
                  </c:pt>
                  <c:pt idx="1254">
                    <c:v>2</c:v>
                  </c:pt>
                  <c:pt idx="1255">
                    <c:v>1,25</c:v>
                  </c:pt>
                  <c:pt idx="1256">
                    <c:v>1,25</c:v>
                  </c:pt>
                  <c:pt idx="1257">
                    <c:v>1,6</c:v>
                  </c:pt>
                  <c:pt idx="1258">
                    <c:v>1,25</c:v>
                  </c:pt>
                  <c:pt idx="1259">
                    <c:v>1,25</c:v>
                  </c:pt>
                  <c:pt idx="1260">
                    <c:v>1,25</c:v>
                  </c:pt>
                  <c:pt idx="1261">
                    <c:v>1,8</c:v>
                  </c:pt>
                  <c:pt idx="1262">
                    <c:v>1,6</c:v>
                  </c:pt>
                  <c:pt idx="1263">
                    <c:v>1,6</c:v>
                  </c:pt>
                  <c:pt idx="1264">
                    <c:v>1,6</c:v>
                  </c:pt>
                  <c:pt idx="1265">
                    <c:v>1,6</c:v>
                  </c:pt>
                  <c:pt idx="1266">
                    <c:v>1,6</c:v>
                  </c:pt>
                  <c:pt idx="1267">
                    <c:v>1,6</c:v>
                  </c:pt>
                  <c:pt idx="1268">
                    <c:v>1,6</c:v>
                  </c:pt>
                  <c:pt idx="1269">
                    <c:v>1,6</c:v>
                  </c:pt>
                  <c:pt idx="1270">
                    <c:v>1,6</c:v>
                  </c:pt>
                  <c:pt idx="1271">
                    <c:v>1,6</c:v>
                  </c:pt>
                  <c:pt idx="1272">
                    <c:v>1,6</c:v>
                  </c:pt>
                  <c:pt idx="1273">
                    <c:v>1,7</c:v>
                  </c:pt>
                  <c:pt idx="1274">
                    <c:v>1,6</c:v>
                  </c:pt>
                  <c:pt idx="1275">
                    <c:v>1,6</c:v>
                  </c:pt>
                  <c:pt idx="1276">
                    <c:v>1,6</c:v>
                  </c:pt>
                  <c:pt idx="1277">
                    <c:v>1,6</c:v>
                  </c:pt>
                  <c:pt idx="1278">
                    <c:v>1,5</c:v>
                  </c:pt>
                  <c:pt idx="1279">
                    <c:v>1,5</c:v>
                  </c:pt>
                  <c:pt idx="1280">
                    <c:v>1,5</c:v>
                  </c:pt>
                  <c:pt idx="1281">
                    <c:v>1,5</c:v>
                  </c:pt>
                  <c:pt idx="1282">
                    <c:v>1,5</c:v>
                  </c:pt>
                  <c:pt idx="1283">
                    <c:v>1,6</c:v>
                  </c:pt>
                  <c:pt idx="1284">
                    <c:v>1,6</c:v>
                  </c:pt>
                  <c:pt idx="1285">
                    <c:v>1,6</c:v>
                  </c:pt>
                  <c:pt idx="1286">
                    <c:v>1,6</c:v>
                  </c:pt>
                  <c:pt idx="1287">
                    <c:v>1,6</c:v>
                  </c:pt>
                  <c:pt idx="1288">
                    <c:v>1,6</c:v>
                  </c:pt>
                  <c:pt idx="1289">
                    <c:v>2</c:v>
                  </c:pt>
                  <c:pt idx="1290">
                    <c:v>1,4</c:v>
                  </c:pt>
                  <c:pt idx="1291">
                    <c:v>1,4</c:v>
                  </c:pt>
                  <c:pt idx="1292">
                    <c:v>1,6</c:v>
                  </c:pt>
                  <c:pt idx="1293">
                    <c:v>1,6</c:v>
                  </c:pt>
                  <c:pt idx="1294">
                    <c:v>1,6</c:v>
                  </c:pt>
                  <c:pt idx="1295">
                    <c:v>1,6</c:v>
                  </c:pt>
                  <c:pt idx="1296">
                    <c:v>1,6</c:v>
                  </c:pt>
                  <c:pt idx="1297">
                    <c:v>1,7</c:v>
                  </c:pt>
                  <c:pt idx="1298">
                    <c:v>1,7</c:v>
                  </c:pt>
                  <c:pt idx="1299">
                    <c:v>1,7</c:v>
                  </c:pt>
                  <c:pt idx="1300">
                    <c:v>1,7</c:v>
                  </c:pt>
                  <c:pt idx="1302">
                    <c:v>1,5</c:v>
                  </c:pt>
                  <c:pt idx="1303">
                    <c:v>1,5</c:v>
                  </c:pt>
                  <c:pt idx="1304">
                    <c:v>1,5</c:v>
                  </c:pt>
                  <c:pt idx="1305">
                    <c:v>1,5</c:v>
                  </c:pt>
                  <c:pt idx="1306">
                    <c:v>1,5</c:v>
                  </c:pt>
                  <c:pt idx="1307">
                    <c:v>1,5</c:v>
                  </c:pt>
                  <c:pt idx="1308">
                    <c:v>1,5</c:v>
                  </c:pt>
                  <c:pt idx="1309">
                    <c:v>1,5</c:v>
                  </c:pt>
                  <c:pt idx="1310">
                    <c:v>1,5</c:v>
                  </c:pt>
                  <c:pt idx="1311">
                    <c:v>1,5</c:v>
                  </c:pt>
                  <c:pt idx="1312">
                    <c:v>1,5</c:v>
                  </c:pt>
                  <c:pt idx="1313">
                    <c:v>1,4</c:v>
                  </c:pt>
                  <c:pt idx="1314">
                    <c:v>1,5</c:v>
                  </c:pt>
                  <c:pt idx="1315">
                    <c:v>1,6</c:v>
                  </c:pt>
                  <c:pt idx="1316">
                    <c:v>1,6</c:v>
                  </c:pt>
                  <c:pt idx="1317">
                    <c:v>1,6</c:v>
                  </c:pt>
                  <c:pt idx="1318">
                    <c:v>1,6</c:v>
                  </c:pt>
                  <c:pt idx="1319">
                    <c:v>1,4</c:v>
                  </c:pt>
                  <c:pt idx="1320">
                    <c:v>1,5</c:v>
                  </c:pt>
                  <c:pt idx="1321">
                    <c:v>1,6</c:v>
                  </c:pt>
                  <c:pt idx="1322">
                    <c:v>1,6</c:v>
                  </c:pt>
                  <c:pt idx="1323">
                    <c:v>1,6</c:v>
                  </c:pt>
                  <c:pt idx="1324">
                    <c:v>1,6</c:v>
                  </c:pt>
                  <c:pt idx="1325">
                    <c:v>1,6</c:v>
                  </c:pt>
                  <c:pt idx="1326">
                    <c:v>1,6</c:v>
                  </c:pt>
                  <c:pt idx="1327">
                    <c:v>1,6</c:v>
                  </c:pt>
                  <c:pt idx="1328">
                    <c:v>1,6</c:v>
                  </c:pt>
                  <c:pt idx="1329">
                    <c:v>1,55</c:v>
                  </c:pt>
                  <c:pt idx="1330">
                    <c:v>1,6</c:v>
                  </c:pt>
                  <c:pt idx="1331">
                    <c:v>1,5</c:v>
                  </c:pt>
                  <c:pt idx="1332">
                    <c:v>1,5</c:v>
                  </c:pt>
                  <c:pt idx="1333">
                    <c:v>1,6</c:v>
                  </c:pt>
                  <c:pt idx="1334">
                    <c:v>1,6</c:v>
                  </c:pt>
                  <c:pt idx="1335">
                    <c:v>1,6</c:v>
                  </c:pt>
                  <c:pt idx="1336">
                    <c:v>1,6</c:v>
                  </c:pt>
                  <c:pt idx="1337">
                    <c:v>1,5</c:v>
                  </c:pt>
                  <c:pt idx="1338">
                    <c:v>1,6</c:v>
                  </c:pt>
                  <c:pt idx="1339">
                    <c:v>1,5</c:v>
                  </c:pt>
                  <c:pt idx="1340">
                    <c:v>1,5</c:v>
                  </c:pt>
                  <c:pt idx="1341">
                    <c:v>1,4</c:v>
                  </c:pt>
                  <c:pt idx="1342">
                    <c:v>1,6</c:v>
                  </c:pt>
                  <c:pt idx="1343">
                    <c:v>1,6</c:v>
                  </c:pt>
                  <c:pt idx="1344">
                    <c:v>1,6</c:v>
                  </c:pt>
                  <c:pt idx="1345">
                    <c:v>1,5</c:v>
                  </c:pt>
                  <c:pt idx="1346">
                    <c:v>1,6</c:v>
                  </c:pt>
                  <c:pt idx="1347">
                    <c:v>1,6</c:v>
                  </c:pt>
                  <c:pt idx="1348">
                    <c:v>1,6</c:v>
                  </c:pt>
                  <c:pt idx="1349">
                    <c:v>1,6</c:v>
                  </c:pt>
                  <c:pt idx="1350">
                    <c:v>1,6</c:v>
                  </c:pt>
                  <c:pt idx="1351">
                    <c:v>1,6</c:v>
                  </c:pt>
                  <c:pt idx="1352">
                    <c:v>1,6</c:v>
                  </c:pt>
                  <c:pt idx="1353">
                    <c:v>1,6</c:v>
                  </c:pt>
                  <c:pt idx="1354">
                    <c:v>1,6</c:v>
                  </c:pt>
                  <c:pt idx="1355">
                    <c:v>1,5</c:v>
                  </c:pt>
                  <c:pt idx="1356">
                    <c:v>1,5</c:v>
                  </c:pt>
                  <c:pt idx="1357">
                    <c:v>1,6</c:v>
                  </c:pt>
                  <c:pt idx="1358">
                    <c:v>1,6</c:v>
                  </c:pt>
                  <c:pt idx="1359">
                    <c:v>1,7</c:v>
                  </c:pt>
                  <c:pt idx="1360">
                    <c:v>1,6</c:v>
                  </c:pt>
                  <c:pt idx="1361">
                    <c:v>1,6</c:v>
                  </c:pt>
                  <c:pt idx="1362">
                    <c:v>1,6</c:v>
                  </c:pt>
                  <c:pt idx="1363">
                    <c:v>1,6</c:v>
                  </c:pt>
                  <c:pt idx="1364">
                    <c:v>1,6</c:v>
                  </c:pt>
                  <c:pt idx="1365">
                    <c:v>1,8</c:v>
                  </c:pt>
                  <c:pt idx="1366">
                    <c:v>1,8</c:v>
                  </c:pt>
                  <c:pt idx="1367">
                    <c:v>1,8</c:v>
                  </c:pt>
                  <c:pt idx="1368">
                    <c:v>1,8</c:v>
                  </c:pt>
                  <c:pt idx="1369">
                    <c:v>1,8</c:v>
                  </c:pt>
                  <c:pt idx="1370">
                    <c:v>1,5</c:v>
                  </c:pt>
                  <c:pt idx="1371">
                    <c:v>1,5</c:v>
                  </c:pt>
                  <c:pt idx="1372">
                    <c:v>1,6</c:v>
                  </c:pt>
                  <c:pt idx="1373">
                    <c:v>1,6</c:v>
                  </c:pt>
                  <c:pt idx="1374">
                    <c:v>1,4</c:v>
                  </c:pt>
                  <c:pt idx="1375">
                    <c:v>1,5</c:v>
                  </c:pt>
                  <c:pt idx="1376">
                    <c:v>1,7</c:v>
                  </c:pt>
                  <c:pt idx="1377">
                    <c:v>1,7</c:v>
                  </c:pt>
                  <c:pt idx="1378">
                    <c:v>1,7</c:v>
                  </c:pt>
                  <c:pt idx="1379">
                    <c:v>1,4</c:v>
                  </c:pt>
                  <c:pt idx="1380">
                    <c:v>1,7</c:v>
                  </c:pt>
                  <c:pt idx="1381">
                    <c:v>1,7</c:v>
                  </c:pt>
                  <c:pt idx="1382">
                    <c:v>2</c:v>
                  </c:pt>
                  <c:pt idx="1383">
                    <c:v>2</c:v>
                  </c:pt>
                  <c:pt idx="1384">
                    <c:v>2</c:v>
                  </c:pt>
                  <c:pt idx="1385">
                    <c:v>2</c:v>
                  </c:pt>
                  <c:pt idx="1386">
                    <c:v>1,7</c:v>
                  </c:pt>
                  <c:pt idx="1388">
                    <c:v>1,3</c:v>
                  </c:pt>
                  <c:pt idx="1389">
                    <c:v>1,3</c:v>
                  </c:pt>
                  <c:pt idx="1390">
                    <c:v>1,3</c:v>
                  </c:pt>
                  <c:pt idx="1391">
                    <c:v>1,3</c:v>
                  </c:pt>
                  <c:pt idx="1392">
                    <c:v>1,4</c:v>
                  </c:pt>
                  <c:pt idx="1393">
                    <c:v>1,4</c:v>
                  </c:pt>
                  <c:pt idx="1394">
                    <c:v>1,6</c:v>
                  </c:pt>
                  <c:pt idx="1395">
                    <c:v>1,6</c:v>
                  </c:pt>
                  <c:pt idx="1396">
                    <c:v>1,36</c:v>
                  </c:pt>
                  <c:pt idx="1397">
                    <c:v>1,6</c:v>
                  </c:pt>
                  <c:pt idx="1398">
                    <c:v>1,6</c:v>
                  </c:pt>
                  <c:pt idx="1399">
                    <c:v>1,5</c:v>
                  </c:pt>
                  <c:pt idx="1400">
                    <c:v>1,6</c:v>
                  </c:pt>
                  <c:pt idx="1401">
                    <c:v>1,6</c:v>
                  </c:pt>
                  <c:pt idx="1402">
                    <c:v>1,8</c:v>
                  </c:pt>
                  <c:pt idx="1403">
                    <c:v>1,6</c:v>
                  </c:pt>
                  <c:pt idx="1404">
                    <c:v>1,6</c:v>
                  </c:pt>
                  <c:pt idx="1405">
                    <c:v>1,4</c:v>
                  </c:pt>
                  <c:pt idx="1406">
                    <c:v>1,4</c:v>
                  </c:pt>
                  <c:pt idx="1407">
                    <c:v>1,6</c:v>
                  </c:pt>
                  <c:pt idx="1408">
                    <c:v>1,6</c:v>
                  </c:pt>
                  <c:pt idx="1409">
                    <c:v>1,6</c:v>
                  </c:pt>
                  <c:pt idx="1410">
                    <c:v>1,6</c:v>
                  </c:pt>
                  <c:pt idx="1411">
                    <c:v>1,6</c:v>
                  </c:pt>
                  <c:pt idx="1412">
                    <c:v>1,6</c:v>
                  </c:pt>
                  <c:pt idx="1413">
                    <c:v>1,6</c:v>
                  </c:pt>
                  <c:pt idx="1414">
                    <c:v>1,6</c:v>
                  </c:pt>
                  <c:pt idx="1415">
                    <c:v>1,6</c:v>
                  </c:pt>
                  <c:pt idx="1416">
                    <c:v>1,6</c:v>
                  </c:pt>
                  <c:pt idx="1417">
                    <c:v>1,6</c:v>
                  </c:pt>
                  <c:pt idx="1418">
                    <c:v>1,6</c:v>
                  </c:pt>
                  <c:pt idx="1419">
                    <c:v>1,5</c:v>
                  </c:pt>
                  <c:pt idx="1420">
                    <c:v>1,5</c:v>
                  </c:pt>
                  <c:pt idx="1421">
                    <c:v>1,5</c:v>
                  </c:pt>
                  <c:pt idx="1422">
                    <c:v>1,5</c:v>
                  </c:pt>
                  <c:pt idx="1423">
                    <c:v>1,5</c:v>
                  </c:pt>
                  <c:pt idx="1424">
                    <c:v>1,6</c:v>
                  </c:pt>
                  <c:pt idx="1425">
                    <c:v>1,5</c:v>
                  </c:pt>
                  <c:pt idx="1426">
                    <c:v>1,5</c:v>
                  </c:pt>
                  <c:pt idx="1427">
                    <c:v>1,5</c:v>
                  </c:pt>
                  <c:pt idx="1428">
                    <c:v>1,5</c:v>
                  </c:pt>
                  <c:pt idx="1429">
                    <c:v>1,5</c:v>
                  </c:pt>
                  <c:pt idx="1430">
                    <c:v>2</c:v>
                  </c:pt>
                  <c:pt idx="1431">
                    <c:v>2</c:v>
                  </c:pt>
                  <c:pt idx="1432">
                    <c:v>2</c:v>
                  </c:pt>
                  <c:pt idx="1433">
                    <c:v>1,5</c:v>
                  </c:pt>
                  <c:pt idx="1434">
                    <c:v>1,5</c:v>
                  </c:pt>
                  <c:pt idx="1435">
                    <c:v>1,7</c:v>
                  </c:pt>
                  <c:pt idx="1436">
                    <c:v>1,6</c:v>
                  </c:pt>
                  <c:pt idx="1437">
                    <c:v>1,3</c:v>
                  </c:pt>
                  <c:pt idx="1438">
                    <c:v>1,35</c:v>
                  </c:pt>
                  <c:pt idx="1439">
                    <c:v>1,65</c:v>
                  </c:pt>
                  <c:pt idx="1440">
                    <c:v>1,5</c:v>
                  </c:pt>
                  <c:pt idx="1441">
                    <c:v>2</c:v>
                  </c:pt>
                  <c:pt idx="1442">
                    <c:v>2</c:v>
                  </c:pt>
                  <c:pt idx="1443">
                    <c:v>2,5</c:v>
                  </c:pt>
                  <c:pt idx="1444">
                    <c:v>1,5</c:v>
                  </c:pt>
                  <c:pt idx="1446">
                    <c:v>1,5</c:v>
                  </c:pt>
                  <c:pt idx="1447">
                    <c:v>1,8</c:v>
                  </c:pt>
                  <c:pt idx="1448">
                    <c:v>1,8</c:v>
                  </c:pt>
                  <c:pt idx="1449">
                    <c:v>1,6</c:v>
                  </c:pt>
                  <c:pt idx="1450">
                    <c:v>1,5</c:v>
                  </c:pt>
                  <c:pt idx="1451">
                    <c:v>1,4</c:v>
                  </c:pt>
                  <c:pt idx="1452">
                    <c:v>1,8</c:v>
                  </c:pt>
                  <c:pt idx="1453">
                    <c:v>1,8</c:v>
                  </c:pt>
                  <c:pt idx="1454">
                    <c:v>1,8</c:v>
                  </c:pt>
                  <c:pt idx="1455">
                    <c:v>1,7</c:v>
                  </c:pt>
                  <c:pt idx="1456">
                    <c:v>1,8</c:v>
                  </c:pt>
                  <c:pt idx="1457">
                    <c:v>1,7</c:v>
                  </c:pt>
                  <c:pt idx="1458">
                    <c:v>1,8</c:v>
                  </c:pt>
                  <c:pt idx="1459">
                    <c:v>1,8</c:v>
                  </c:pt>
                  <c:pt idx="1460">
                    <c:v>1,2</c:v>
                  </c:pt>
                  <c:pt idx="1461">
                    <c:v>1,8</c:v>
                  </c:pt>
                  <c:pt idx="1462">
                    <c:v>2</c:v>
                  </c:pt>
                  <c:pt idx="1463">
                    <c:v>1,3</c:v>
                  </c:pt>
                  <c:pt idx="1464">
                    <c:v>1,6</c:v>
                  </c:pt>
                  <c:pt idx="1465">
                    <c:v>3</c:v>
                  </c:pt>
                  <c:pt idx="1466">
                    <c:v>1,4</c:v>
                  </c:pt>
                  <c:pt idx="1467">
                    <c:v>1,6</c:v>
                  </c:pt>
                  <c:pt idx="1468">
                    <c:v>1,5</c:v>
                  </c:pt>
                  <c:pt idx="1469">
                    <c:v>1,5</c:v>
                  </c:pt>
                  <c:pt idx="1470">
                    <c:v>1,6</c:v>
                  </c:pt>
                  <c:pt idx="1471">
                    <c:v>1,2</c:v>
                  </c:pt>
                  <c:pt idx="1472">
                    <c:v>1,2</c:v>
                  </c:pt>
                  <c:pt idx="1473">
                    <c:v>1,3</c:v>
                  </c:pt>
                  <c:pt idx="1474">
                    <c:v>1,4</c:v>
                  </c:pt>
                  <c:pt idx="1475">
                    <c:v>1,5</c:v>
                  </c:pt>
                  <c:pt idx="1476">
                    <c:v>1,4</c:v>
                  </c:pt>
                  <c:pt idx="1477">
                    <c:v>1,6</c:v>
                  </c:pt>
                  <c:pt idx="1478">
                    <c:v>2</c:v>
                  </c:pt>
                  <c:pt idx="1479">
                    <c:v>1,4</c:v>
                  </c:pt>
                  <c:pt idx="1480">
                    <c:v>1,8</c:v>
                  </c:pt>
                  <c:pt idx="1481">
                    <c:v>1,6</c:v>
                  </c:pt>
                  <c:pt idx="1482">
                    <c:v>1,8</c:v>
                  </c:pt>
                  <c:pt idx="1483">
                    <c:v>1,4</c:v>
                  </c:pt>
                  <c:pt idx="1484">
                    <c:v>1,6</c:v>
                  </c:pt>
                  <c:pt idx="1485">
                    <c:v>1,3</c:v>
                  </c:pt>
                  <c:pt idx="1486">
                    <c:v>1,4</c:v>
                  </c:pt>
                  <c:pt idx="1487">
                    <c:v>1,4</c:v>
                  </c:pt>
                  <c:pt idx="1488">
                    <c:v>1,8</c:v>
                  </c:pt>
                  <c:pt idx="1489">
                    <c:v>2</c:v>
                  </c:pt>
                  <c:pt idx="1490">
                    <c:v>1,8</c:v>
                  </c:pt>
                  <c:pt idx="1491">
                    <c:v>1,8</c:v>
                  </c:pt>
                  <c:pt idx="1492">
                    <c:v>1,8</c:v>
                  </c:pt>
                  <c:pt idx="1493">
                    <c:v>1,8</c:v>
                  </c:pt>
                  <c:pt idx="1494">
                    <c:v>1,8</c:v>
                  </c:pt>
                  <c:pt idx="1495">
                    <c:v>1,8</c:v>
                  </c:pt>
                  <c:pt idx="1496">
                    <c:v>1,6</c:v>
                  </c:pt>
                  <c:pt idx="1497">
                    <c:v>1,4</c:v>
                  </c:pt>
                  <c:pt idx="1498">
                    <c:v>1,25</c:v>
                  </c:pt>
                  <c:pt idx="1499">
                    <c:v>1,6</c:v>
                  </c:pt>
                  <c:pt idx="1500">
                    <c:v>1,6</c:v>
                  </c:pt>
                  <c:pt idx="1501">
                    <c:v>1,6</c:v>
                  </c:pt>
                  <c:pt idx="1502">
                    <c:v>1,6</c:v>
                  </c:pt>
                  <c:pt idx="1503">
                    <c:v>1,7</c:v>
                  </c:pt>
                  <c:pt idx="1504">
                    <c:v>1,6</c:v>
                  </c:pt>
                  <c:pt idx="1505">
                    <c:v>1,7</c:v>
                  </c:pt>
                  <c:pt idx="1506">
                    <c:v>1,75</c:v>
                  </c:pt>
                  <c:pt idx="1507">
                    <c:v>1,3</c:v>
                  </c:pt>
                  <c:pt idx="1508">
                    <c:v>1,3</c:v>
                  </c:pt>
                  <c:pt idx="1509">
                    <c:v>1,1</c:v>
                  </c:pt>
                  <c:pt idx="1510">
                    <c:v>1,6</c:v>
                  </c:pt>
                  <c:pt idx="1511">
                    <c:v>1,6</c:v>
                  </c:pt>
                  <c:pt idx="1512">
                    <c:v>1,3</c:v>
                  </c:pt>
                  <c:pt idx="1513">
                    <c:v>1,3</c:v>
                  </c:pt>
                  <c:pt idx="1514">
                    <c:v>1,6</c:v>
                  </c:pt>
                  <c:pt idx="1515">
                    <c:v>1,6</c:v>
                  </c:pt>
                  <c:pt idx="1516">
                    <c:v>1,5</c:v>
                  </c:pt>
                  <c:pt idx="1517">
                    <c:v>1,6</c:v>
                  </c:pt>
                  <c:pt idx="1518">
                    <c:v>1,6</c:v>
                  </c:pt>
                  <c:pt idx="1519">
                    <c:v>1,3</c:v>
                  </c:pt>
                  <c:pt idx="1520">
                    <c:v>1,6</c:v>
                  </c:pt>
                  <c:pt idx="1521">
                    <c:v>1,6</c:v>
                  </c:pt>
                  <c:pt idx="1522">
                    <c:v>1,6</c:v>
                  </c:pt>
                  <c:pt idx="1523">
                    <c:v>1,7</c:v>
                  </c:pt>
                  <c:pt idx="1524">
                    <c:v>2</c:v>
                  </c:pt>
                  <c:pt idx="1525">
                    <c:v>1,3</c:v>
                  </c:pt>
                  <c:pt idx="1526">
                    <c:v>2</c:v>
                  </c:pt>
                  <c:pt idx="1527">
                    <c:v>2</c:v>
                  </c:pt>
                  <c:pt idx="1528">
                    <c:v>1,6</c:v>
                  </c:pt>
                  <c:pt idx="1529">
                    <c:v>1,9</c:v>
                  </c:pt>
                  <c:pt idx="1530">
                    <c:v>1,5</c:v>
                  </c:pt>
                  <c:pt idx="1531">
                    <c:v>1,5</c:v>
                  </c:pt>
                  <c:pt idx="1532">
                    <c:v>1,8</c:v>
                  </c:pt>
                  <c:pt idx="1533">
                    <c:v>1,5</c:v>
                  </c:pt>
                  <c:pt idx="1534">
                    <c:v>1,6</c:v>
                  </c:pt>
                  <c:pt idx="1535">
                    <c:v>1,6</c:v>
                  </c:pt>
                  <c:pt idx="1536">
                    <c:v>1,8</c:v>
                  </c:pt>
                  <c:pt idx="1537">
                    <c:v>1,6</c:v>
                  </c:pt>
                  <c:pt idx="1538">
                    <c:v>1,6</c:v>
                  </c:pt>
                  <c:pt idx="1539">
                    <c:v>1,4</c:v>
                  </c:pt>
                  <c:pt idx="1540">
                    <c:v>1,4</c:v>
                  </c:pt>
                  <c:pt idx="1541">
                    <c:v>1,6</c:v>
                  </c:pt>
                  <c:pt idx="1542">
                    <c:v>1,3</c:v>
                  </c:pt>
                  <c:pt idx="1543">
                    <c:v>1,6</c:v>
                  </c:pt>
                  <c:pt idx="1544">
                    <c:v>1,6</c:v>
                  </c:pt>
                  <c:pt idx="1545">
                    <c:v>1,6</c:v>
                  </c:pt>
                  <c:pt idx="1546">
                    <c:v>2</c:v>
                  </c:pt>
                  <c:pt idx="1547">
                    <c:v>2</c:v>
                  </c:pt>
                  <c:pt idx="1548">
                    <c:v>1</c:v>
                  </c:pt>
                  <c:pt idx="1549">
                    <c:v>1,6</c:v>
                  </c:pt>
                  <c:pt idx="1550">
                    <c:v>1,8</c:v>
                  </c:pt>
                  <c:pt idx="1551">
                    <c:v>1,7</c:v>
                  </c:pt>
                  <c:pt idx="1552">
                    <c:v>1,5</c:v>
                  </c:pt>
                  <c:pt idx="1553">
                    <c:v>1,5</c:v>
                  </c:pt>
                  <c:pt idx="1554">
                    <c:v>1,7</c:v>
                  </c:pt>
                  <c:pt idx="1555">
                    <c:v>1,6</c:v>
                  </c:pt>
                  <c:pt idx="1556">
                    <c:v>1,5</c:v>
                  </c:pt>
                  <c:pt idx="1557">
                    <c:v>1,5</c:v>
                  </c:pt>
                  <c:pt idx="1558">
                    <c:v>1,5</c:v>
                  </c:pt>
                  <c:pt idx="1559">
                    <c:v>1,5</c:v>
                  </c:pt>
                  <c:pt idx="1560">
                    <c:v>1,3</c:v>
                  </c:pt>
                  <c:pt idx="1561">
                    <c:v>1,5</c:v>
                  </c:pt>
                  <c:pt idx="1562">
                    <c:v>1,4</c:v>
                  </c:pt>
                  <c:pt idx="1563">
                    <c:v>1,3</c:v>
                  </c:pt>
                  <c:pt idx="1564">
                    <c:v>1,3</c:v>
                  </c:pt>
                  <c:pt idx="1565">
                    <c:v>1,3</c:v>
                  </c:pt>
                  <c:pt idx="1566">
                    <c:v>1,7</c:v>
                  </c:pt>
                  <c:pt idx="1567">
                    <c:v>1,5</c:v>
                  </c:pt>
                  <c:pt idx="1568">
                    <c:v>1,5</c:v>
                  </c:pt>
                  <c:pt idx="1569">
                    <c:v>1,4</c:v>
                  </c:pt>
                  <c:pt idx="1570">
                    <c:v>1,25</c:v>
                  </c:pt>
                  <c:pt idx="1571">
                    <c:v>1,25</c:v>
                  </c:pt>
                  <c:pt idx="1572">
                    <c:v>2</c:v>
                  </c:pt>
                  <c:pt idx="1573">
                    <c:v>2</c:v>
                  </c:pt>
                  <c:pt idx="1574">
                    <c:v>1,6</c:v>
                  </c:pt>
                  <c:pt idx="1575">
                    <c:v>1,4</c:v>
                  </c:pt>
                  <c:pt idx="1576">
                    <c:v>1,8</c:v>
                  </c:pt>
                  <c:pt idx="1577">
                    <c:v>1,5</c:v>
                  </c:pt>
                  <c:pt idx="1578">
                    <c:v>1,6</c:v>
                  </c:pt>
                  <c:pt idx="1579">
                    <c:v>1,6</c:v>
                  </c:pt>
                  <c:pt idx="1580">
                    <c:v>1,6</c:v>
                  </c:pt>
                  <c:pt idx="1581">
                    <c:v>1,6</c:v>
                  </c:pt>
                  <c:pt idx="1582">
                    <c:v>1,6</c:v>
                  </c:pt>
                  <c:pt idx="1583">
                    <c:v>1,8</c:v>
                  </c:pt>
                  <c:pt idx="1584">
                    <c:v>1,6</c:v>
                  </c:pt>
                  <c:pt idx="1585">
                    <c:v>1,6</c:v>
                  </c:pt>
                  <c:pt idx="1586">
                    <c:v>1,6</c:v>
                  </c:pt>
                  <c:pt idx="1587">
                    <c:v>1,9</c:v>
                  </c:pt>
                  <c:pt idx="1588">
                    <c:v>1,4</c:v>
                  </c:pt>
                  <c:pt idx="1589">
                    <c:v>1,4</c:v>
                  </c:pt>
                  <c:pt idx="1590">
                    <c:v>1,25</c:v>
                  </c:pt>
                  <c:pt idx="1591">
                    <c:v>1,25</c:v>
                  </c:pt>
                  <c:pt idx="1592">
                    <c:v>1,25</c:v>
                  </c:pt>
                  <c:pt idx="1593">
                    <c:v>1,2</c:v>
                  </c:pt>
                  <c:pt idx="1594">
                    <c:v>1,6</c:v>
                  </c:pt>
                  <c:pt idx="1595">
                    <c:v>1,3</c:v>
                  </c:pt>
                  <c:pt idx="1596">
                    <c:v>1,4</c:v>
                  </c:pt>
                  <c:pt idx="1597">
                    <c:v>1,4</c:v>
                  </c:pt>
                  <c:pt idx="1598">
                    <c:v>1,3</c:v>
                  </c:pt>
                  <c:pt idx="1599">
                    <c:v>1,3</c:v>
                  </c:pt>
                  <c:pt idx="1600">
                    <c:v>1,45</c:v>
                  </c:pt>
                  <c:pt idx="1601">
                    <c:v>1,37</c:v>
                  </c:pt>
                  <c:pt idx="1602">
                    <c:v>1,3</c:v>
                  </c:pt>
                  <c:pt idx="1603">
                    <c:v>1,45</c:v>
                  </c:pt>
                  <c:pt idx="1604">
                    <c:v>1,3</c:v>
                  </c:pt>
                  <c:pt idx="1605">
                    <c:v>1,4</c:v>
                  </c:pt>
                  <c:pt idx="1606">
                    <c:v>1,8</c:v>
                  </c:pt>
                  <c:pt idx="1607">
                    <c:v>1,4</c:v>
                  </c:pt>
                  <c:pt idx="1608">
                    <c:v>1,2</c:v>
                  </c:pt>
                  <c:pt idx="1609">
                    <c:v>1,4</c:v>
                  </c:pt>
                  <c:pt idx="1610">
                    <c:v>1,3</c:v>
                  </c:pt>
                  <c:pt idx="1611">
                    <c:v>1,2</c:v>
                  </c:pt>
                  <c:pt idx="1612">
                    <c:v>1,5</c:v>
                  </c:pt>
                  <c:pt idx="1613">
                    <c:v>1,2</c:v>
                  </c:pt>
                  <c:pt idx="1614">
                    <c:v>1,5</c:v>
                  </c:pt>
                  <c:pt idx="1615">
                    <c:v>1,6</c:v>
                  </c:pt>
                  <c:pt idx="1616">
                    <c:v>1,6</c:v>
                  </c:pt>
                  <c:pt idx="1617">
                    <c:v>1,35</c:v>
                  </c:pt>
                  <c:pt idx="1618">
                    <c:v>1,4</c:v>
                  </c:pt>
                  <c:pt idx="1619">
                    <c:v>1,4</c:v>
                  </c:pt>
                  <c:pt idx="1620">
                    <c:v>1,3</c:v>
                  </c:pt>
                  <c:pt idx="1621">
                    <c:v>1,3</c:v>
                  </c:pt>
                  <c:pt idx="1622">
                    <c:v>1,3</c:v>
                  </c:pt>
                  <c:pt idx="1623">
                    <c:v>1,6</c:v>
                  </c:pt>
                  <c:pt idx="1624">
                    <c:v>1</c:v>
                  </c:pt>
                  <c:pt idx="1625">
                    <c:v>1,4</c:v>
                  </c:pt>
                  <c:pt idx="1626">
                    <c:v>1,4</c:v>
                  </c:pt>
                  <c:pt idx="1627">
                    <c:v>1,35</c:v>
                  </c:pt>
                  <c:pt idx="1628">
                    <c:v>1,2</c:v>
                  </c:pt>
                  <c:pt idx="1629">
                    <c:v>1,25</c:v>
                  </c:pt>
                  <c:pt idx="1630">
                    <c:v>1,25</c:v>
                  </c:pt>
                  <c:pt idx="1631">
                    <c:v>1,4</c:v>
                  </c:pt>
                  <c:pt idx="1632">
                    <c:v>1,3</c:v>
                  </c:pt>
                  <c:pt idx="1633">
                    <c:v>1,4</c:v>
                  </c:pt>
                  <c:pt idx="1634">
                    <c:v>1,5</c:v>
                  </c:pt>
                  <c:pt idx="1635">
                    <c:v>1,4</c:v>
                  </c:pt>
                  <c:pt idx="1636">
                    <c:v>1,4</c:v>
                  </c:pt>
                  <c:pt idx="1637">
                    <c:v>1,5</c:v>
                  </c:pt>
                  <c:pt idx="1638">
                    <c:v>1,4</c:v>
                  </c:pt>
                  <c:pt idx="1639">
                    <c:v>1,3</c:v>
                  </c:pt>
                  <c:pt idx="1640">
                    <c:v>1,3</c:v>
                  </c:pt>
                  <c:pt idx="1641">
                    <c:v>1,59</c:v>
                  </c:pt>
                  <c:pt idx="1642">
                    <c:v>1,5</c:v>
                  </c:pt>
                  <c:pt idx="1643">
                    <c:v>1,5</c:v>
                  </c:pt>
                  <c:pt idx="1644">
                    <c:v>1,5</c:v>
                  </c:pt>
                  <c:pt idx="1645">
                    <c:v>1,5</c:v>
                  </c:pt>
                  <c:pt idx="1646">
                    <c:v>1,5</c:v>
                  </c:pt>
                  <c:pt idx="1647">
                    <c:v>1,25</c:v>
                  </c:pt>
                  <c:pt idx="1648">
                    <c:v>1,2</c:v>
                  </c:pt>
                  <c:pt idx="1649">
                    <c:v>1,7</c:v>
                  </c:pt>
                  <c:pt idx="1650">
                    <c:v>1,8</c:v>
                  </c:pt>
                  <c:pt idx="1651">
                    <c:v>1,4</c:v>
                  </c:pt>
                  <c:pt idx="1652">
                    <c:v>2</c:v>
                  </c:pt>
                  <c:pt idx="1653">
                    <c:v>1,5</c:v>
                  </c:pt>
                  <c:pt idx="1654">
                    <c:v>2</c:v>
                  </c:pt>
                  <c:pt idx="1655">
                    <c:v>1,3</c:v>
                  </c:pt>
                  <c:pt idx="1656">
                    <c:v>1,8</c:v>
                  </c:pt>
                  <c:pt idx="1657">
                    <c:v>1,8</c:v>
                  </c:pt>
                  <c:pt idx="1658">
                    <c:v>1,7</c:v>
                  </c:pt>
                  <c:pt idx="1659">
                    <c:v>2</c:v>
                  </c:pt>
                  <c:pt idx="1660">
                    <c:v>2</c:v>
                  </c:pt>
                  <c:pt idx="1661">
                    <c:v>2,5</c:v>
                  </c:pt>
                  <c:pt idx="1662">
                    <c:v>1,6</c:v>
                  </c:pt>
                  <c:pt idx="1663">
                    <c:v>1,6</c:v>
                  </c:pt>
                  <c:pt idx="1664">
                    <c:v>1,6</c:v>
                  </c:pt>
                  <c:pt idx="1665">
                    <c:v>1,2</c:v>
                  </c:pt>
                  <c:pt idx="1666">
                    <c:v>1,6</c:v>
                  </c:pt>
                  <c:pt idx="1667">
                    <c:v>2,5</c:v>
                  </c:pt>
                  <c:pt idx="1668">
                    <c:v>2</c:v>
                  </c:pt>
                  <c:pt idx="1669">
                    <c:v>2</c:v>
                  </c:pt>
                  <c:pt idx="1670">
                    <c:v>1,8</c:v>
                  </c:pt>
                  <c:pt idx="1671">
                    <c:v>1,6</c:v>
                  </c:pt>
                  <c:pt idx="1672">
                    <c:v>1,4</c:v>
                  </c:pt>
                  <c:pt idx="1673">
                    <c:v>1,35</c:v>
                  </c:pt>
                  <c:pt idx="1674">
                    <c:v>1,6</c:v>
                  </c:pt>
                  <c:pt idx="1675">
                    <c:v>1,6</c:v>
                  </c:pt>
                  <c:pt idx="1676">
                    <c:v>1,6</c:v>
                  </c:pt>
                  <c:pt idx="1677">
                    <c:v>1,6</c:v>
                  </c:pt>
                  <c:pt idx="1678">
                    <c:v>1,6</c:v>
                  </c:pt>
                  <c:pt idx="1679">
                    <c:v>1,6</c:v>
                  </c:pt>
                  <c:pt idx="1680">
                    <c:v>1,5</c:v>
                  </c:pt>
                  <c:pt idx="1681">
                    <c:v>1,6</c:v>
                  </c:pt>
                  <c:pt idx="1682">
                    <c:v>1,6</c:v>
                  </c:pt>
                  <c:pt idx="1683">
                    <c:v>1,6</c:v>
                  </c:pt>
                  <c:pt idx="1684">
                    <c:v>1,5</c:v>
                  </c:pt>
                  <c:pt idx="1685">
                    <c:v>1,8</c:v>
                  </c:pt>
                  <c:pt idx="1686">
                    <c:v>1,8</c:v>
                  </c:pt>
                  <c:pt idx="1687">
                    <c:v>1,6</c:v>
                  </c:pt>
                  <c:pt idx="1688">
                    <c:v>1,6</c:v>
                  </c:pt>
                  <c:pt idx="1689">
                    <c:v>1,6</c:v>
                  </c:pt>
                  <c:pt idx="1690">
                    <c:v>1,6</c:v>
                  </c:pt>
                  <c:pt idx="1691">
                    <c:v>1,6</c:v>
                  </c:pt>
                  <c:pt idx="1692">
                    <c:v>1,9</c:v>
                  </c:pt>
                  <c:pt idx="1693">
                    <c:v>1,6</c:v>
                  </c:pt>
                  <c:pt idx="1694">
                    <c:v>1,6</c:v>
                  </c:pt>
                  <c:pt idx="1695">
                    <c:v>1,6</c:v>
                  </c:pt>
                  <c:pt idx="1696">
                    <c:v>2</c:v>
                  </c:pt>
                  <c:pt idx="1697">
                    <c:v>2</c:v>
                  </c:pt>
                  <c:pt idx="1698">
                    <c:v>2</c:v>
                  </c:pt>
                  <c:pt idx="1699">
                    <c:v>1,8</c:v>
                  </c:pt>
                  <c:pt idx="1700">
                    <c:v>1,7</c:v>
                  </c:pt>
                  <c:pt idx="1701">
                    <c:v>1,7</c:v>
                  </c:pt>
                  <c:pt idx="1702">
                    <c:v>1,7</c:v>
                  </c:pt>
                  <c:pt idx="1703">
                    <c:v>1,7</c:v>
                  </c:pt>
                  <c:pt idx="1704">
                    <c:v>2</c:v>
                  </c:pt>
                  <c:pt idx="1705">
                    <c:v>2</c:v>
                  </c:pt>
                  <c:pt idx="1706">
                    <c:v>2</c:v>
                  </c:pt>
                  <c:pt idx="1707">
                    <c:v>1,8</c:v>
                  </c:pt>
                  <c:pt idx="1708">
                    <c:v>1,8</c:v>
                  </c:pt>
                  <c:pt idx="1709">
                    <c:v>1,6</c:v>
                  </c:pt>
                  <c:pt idx="1710">
                    <c:v>2</c:v>
                  </c:pt>
                  <c:pt idx="1711">
                    <c:v>2</c:v>
                  </c:pt>
                  <c:pt idx="1712">
                    <c:v>2</c:v>
                  </c:pt>
                  <c:pt idx="1713">
                    <c:v>2</c:v>
                  </c:pt>
                  <c:pt idx="1714">
                    <c:v>1,5</c:v>
                  </c:pt>
                  <c:pt idx="1715">
                    <c:v>1,6</c:v>
                  </c:pt>
                  <c:pt idx="1716">
                    <c:v>1,35</c:v>
                  </c:pt>
                  <c:pt idx="1717">
                    <c:v>1,7</c:v>
                  </c:pt>
                  <c:pt idx="1718">
                    <c:v>1,7</c:v>
                  </c:pt>
                  <c:pt idx="1719">
                    <c:v>1,7</c:v>
                  </c:pt>
                  <c:pt idx="1720">
                    <c:v>1,2</c:v>
                  </c:pt>
                  <c:pt idx="1721">
                    <c:v>1,2</c:v>
                  </c:pt>
                  <c:pt idx="1722">
                    <c:v>1,2</c:v>
                  </c:pt>
                  <c:pt idx="1723">
                    <c:v>1,3</c:v>
                  </c:pt>
                  <c:pt idx="1724">
                    <c:v>1,3</c:v>
                  </c:pt>
                </c:lvl>
                <c:lvl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15">
                    <c:v>0</c:v>
                  </c:pt>
                  <c:pt idx="18">
                    <c:v>0</c:v>
                  </c:pt>
                  <c:pt idx="24">
                    <c:v>0</c:v>
                  </c:pt>
                  <c:pt idx="25">
                    <c:v>0</c:v>
                  </c:pt>
                  <c:pt idx="37">
                    <c:v>0</c:v>
                  </c:pt>
                  <c:pt idx="72">
                    <c:v>0</c:v>
                  </c:pt>
                  <c:pt idx="73">
                    <c:v>0</c:v>
                  </c:pt>
                  <c:pt idx="74">
                    <c:v>0</c:v>
                  </c:pt>
                  <c:pt idx="88">
                    <c:v>0</c:v>
                  </c:pt>
                  <c:pt idx="99">
                    <c:v>s</c:v>
                  </c:pt>
                  <c:pt idx="103">
                    <c:v>2,79</c:v>
                  </c:pt>
                  <c:pt idx="121">
                    <c:v>3,64</c:v>
                  </c:pt>
                  <c:pt idx="130">
                    <c:v>5</c:v>
                  </c:pt>
                  <c:pt idx="131">
                    <c:v>3,05</c:v>
                  </c:pt>
                  <c:pt idx="132">
                    <c:v>3,05</c:v>
                  </c:pt>
                  <c:pt idx="133">
                    <c:v>5</c:v>
                  </c:pt>
                  <c:pt idx="172">
                    <c:v>15,1</c:v>
                  </c:pt>
                  <c:pt idx="199">
                    <c:v>q</c:v>
                  </c:pt>
                  <c:pt idx="203">
                    <c:v>0</c:v>
                  </c:pt>
                  <c:pt idx="218">
                    <c:v>0</c:v>
                  </c:pt>
                  <c:pt idx="248">
                    <c:v>5,1</c:v>
                  </c:pt>
                  <c:pt idx="251">
                    <c:v>0</c:v>
                  </c:pt>
                  <c:pt idx="261">
                    <c:v>1,1</c:v>
                  </c:pt>
                  <c:pt idx="263">
                    <c:v>0</c:v>
                  </c:pt>
                  <c:pt idx="266">
                    <c:v>5</c:v>
                  </c:pt>
                  <c:pt idx="267">
                    <c:v>3</c:v>
                  </c:pt>
                  <c:pt idx="299">
                    <c:v>23,65</c:v>
                  </c:pt>
                  <c:pt idx="300">
                    <c:v>6,4</c:v>
                  </c:pt>
                  <c:pt idx="303">
                    <c:v>55,65</c:v>
                  </c:pt>
                  <c:pt idx="304">
                    <c:v>7,3</c:v>
                  </c:pt>
                  <c:pt idx="305">
                    <c:v>4,7</c:v>
                  </c:pt>
                  <c:pt idx="306">
                    <c:v>8</c:v>
                  </c:pt>
                  <c:pt idx="307">
                    <c:v>135</c:v>
                  </c:pt>
                  <c:pt idx="317">
                    <c:v>0</c:v>
                  </c:pt>
                  <c:pt idx="333">
                    <c:v>0</c:v>
                  </c:pt>
                  <c:pt idx="386">
                    <c:v>0</c:v>
                  </c:pt>
                  <c:pt idx="413">
                    <c:v>0</c:v>
                  </c:pt>
                  <c:pt idx="460">
                    <c:v>1,1</c:v>
                  </c:pt>
                  <c:pt idx="461">
                    <c:v>1,1</c:v>
                  </c:pt>
                  <c:pt idx="493">
                    <c:v>0</c:v>
                  </c:pt>
                  <c:pt idx="495">
                    <c:v>1</c:v>
                  </c:pt>
                  <c:pt idx="496">
                    <c:v>0</c:v>
                  </c:pt>
                  <c:pt idx="516">
                    <c:v>1,1</c:v>
                  </c:pt>
                  <c:pt idx="517">
                    <c:v>1,1</c:v>
                  </c:pt>
                  <c:pt idx="525">
                    <c:v>12</c:v>
                  </c:pt>
                  <c:pt idx="540">
                    <c:v>11,45</c:v>
                  </c:pt>
                  <c:pt idx="544">
                    <c:v>0</c:v>
                  </c:pt>
                  <c:pt idx="554">
                    <c:v>45</c:v>
                  </c:pt>
                  <c:pt idx="572">
                    <c:v>6,18</c:v>
                  </c:pt>
                  <c:pt idx="574">
                    <c:v>5</c:v>
                  </c:pt>
                  <c:pt idx="590">
                    <c:v>82</c:v>
                  </c:pt>
                  <c:pt idx="591">
                    <c:v>3,28</c:v>
                  </c:pt>
                  <c:pt idx="592">
                    <c:v>0</c:v>
                  </c:pt>
                  <c:pt idx="593">
                    <c:v>0</c:v>
                  </c:pt>
                  <c:pt idx="596">
                    <c:v>18,2</c:v>
                  </c:pt>
                  <c:pt idx="598">
                    <c:v>41</c:v>
                  </c:pt>
                  <c:pt idx="599">
                    <c:v>0</c:v>
                  </c:pt>
                  <c:pt idx="606">
                    <c:v>0</c:v>
                  </c:pt>
                  <c:pt idx="607">
                    <c:v>c</c:v>
                  </c:pt>
                  <c:pt idx="622">
                    <c:v>0</c:v>
                  </c:pt>
                  <c:pt idx="633">
                    <c:v>1</c:v>
                  </c:pt>
                  <c:pt idx="694">
                    <c:v>0</c:v>
                  </c:pt>
                  <c:pt idx="705">
                    <c:v>36,32</c:v>
                  </c:pt>
                  <c:pt idx="706">
                    <c:v>1</c:v>
                  </c:pt>
                  <c:pt idx="751">
                    <c:v>0</c:v>
                  </c:pt>
                  <c:pt idx="754">
                    <c:v>3</c:v>
                  </c:pt>
                  <c:pt idx="755">
                    <c:v>0</c:v>
                  </c:pt>
                  <c:pt idx="757">
                    <c:v>0</c:v>
                  </c:pt>
                  <c:pt idx="762">
                    <c:v>0</c:v>
                  </c:pt>
                  <c:pt idx="766">
                    <c:v>2,4</c:v>
                  </c:pt>
                  <c:pt idx="767">
                    <c:v>2,99</c:v>
                  </c:pt>
                  <c:pt idx="768">
                    <c:v>2,78</c:v>
                  </c:pt>
                  <c:pt idx="769">
                    <c:v>1,55</c:v>
                  </c:pt>
                  <c:pt idx="773">
                    <c:v>1,52</c:v>
                  </c:pt>
                  <c:pt idx="852">
                    <c:v>0</c:v>
                  </c:pt>
                  <c:pt idx="855">
                    <c:v>0</c:v>
                  </c:pt>
                  <c:pt idx="880">
                    <c:v>1</c:v>
                  </c:pt>
                  <c:pt idx="881">
                    <c:v>0</c:v>
                  </c:pt>
                  <c:pt idx="900">
                    <c:v>0</c:v>
                  </c:pt>
                  <c:pt idx="921">
                    <c:v>37</c:v>
                  </c:pt>
                  <c:pt idx="959">
                    <c:v>11,45</c:v>
                  </c:pt>
                  <c:pt idx="961">
                    <c:v>36</c:v>
                  </c:pt>
                  <c:pt idx="964">
                    <c:v>0</c:v>
                  </c:pt>
                  <c:pt idx="965">
                    <c:v>0</c:v>
                  </c:pt>
                  <c:pt idx="982">
                    <c:v>15,6</c:v>
                  </c:pt>
                  <c:pt idx="987">
                    <c:v>0</c:v>
                  </c:pt>
                  <c:pt idx="1013">
                    <c:v>0</c:v>
                  </c:pt>
                  <c:pt idx="1087">
                    <c:v>1,95</c:v>
                  </c:pt>
                  <c:pt idx="1088">
                    <c:v>2</c:v>
                  </c:pt>
                  <c:pt idx="1089">
                    <c:v>3,1</c:v>
                  </c:pt>
                  <c:pt idx="1090">
                    <c:v>4,65</c:v>
                  </c:pt>
                  <c:pt idx="1095">
                    <c:v>15,4</c:v>
                  </c:pt>
                  <c:pt idx="1115">
                    <c:v>0,16</c:v>
                  </c:pt>
                  <c:pt idx="1120">
                    <c:v>0</c:v>
                  </c:pt>
                  <c:pt idx="1146">
                    <c:v>1,05</c:v>
                  </c:pt>
                  <c:pt idx="1218">
                    <c:v>5,12</c:v>
                  </c:pt>
                  <c:pt idx="1220">
                    <c:v>1,5</c:v>
                  </c:pt>
                  <c:pt idx="1221">
                    <c:v>1,81</c:v>
                  </c:pt>
                  <c:pt idx="1315">
                    <c:v>12</c:v>
                  </c:pt>
                  <c:pt idx="1316">
                    <c:v>19</c:v>
                  </c:pt>
                  <c:pt idx="1317">
                    <c:v>23</c:v>
                  </c:pt>
                  <c:pt idx="1318">
                    <c:v>20</c:v>
                  </c:pt>
                  <c:pt idx="1319">
                    <c:v>29</c:v>
                  </c:pt>
                  <c:pt idx="1324">
                    <c:v>23</c:v>
                  </c:pt>
                  <c:pt idx="1325">
                    <c:v>24</c:v>
                  </c:pt>
                  <c:pt idx="1326">
                    <c:v>26</c:v>
                  </c:pt>
                  <c:pt idx="1327">
                    <c:v>37</c:v>
                  </c:pt>
                  <c:pt idx="1328">
                    <c:v>23</c:v>
                  </c:pt>
                  <c:pt idx="1333">
                    <c:v>13</c:v>
                  </c:pt>
                  <c:pt idx="1334">
                    <c:v>30</c:v>
                  </c:pt>
                  <c:pt idx="1336">
                    <c:v>9</c:v>
                  </c:pt>
                  <c:pt idx="1337">
                    <c:v>21</c:v>
                  </c:pt>
                  <c:pt idx="1338">
                    <c:v>29</c:v>
                  </c:pt>
                  <c:pt idx="1342">
                    <c:v>21</c:v>
                  </c:pt>
                  <c:pt idx="1343">
                    <c:v>21</c:v>
                  </c:pt>
                  <c:pt idx="1344">
                    <c:v>30</c:v>
                  </c:pt>
                  <c:pt idx="1345">
                    <c:v>14,5</c:v>
                  </c:pt>
                  <c:pt idx="1346">
                    <c:v>22</c:v>
                  </c:pt>
                  <c:pt idx="1347">
                    <c:v>28</c:v>
                  </c:pt>
                  <c:pt idx="1350">
                    <c:v>72</c:v>
                  </c:pt>
                  <c:pt idx="1351">
                    <c:v>75</c:v>
                  </c:pt>
                  <c:pt idx="1352">
                    <c:v>51</c:v>
                  </c:pt>
                  <c:pt idx="1354">
                    <c:v>41</c:v>
                  </c:pt>
                  <c:pt idx="1356">
                    <c:v>28</c:v>
                  </c:pt>
                  <c:pt idx="1378">
                    <c:v>1</c:v>
                  </c:pt>
                  <c:pt idx="1381">
                    <c:v>0</c:v>
                  </c:pt>
                  <c:pt idx="1390">
                    <c:v>0</c:v>
                  </c:pt>
                  <c:pt idx="1394">
                    <c:v>6,8</c:v>
                  </c:pt>
                  <c:pt idx="1395">
                    <c:v>17,6</c:v>
                  </c:pt>
                  <c:pt idx="1396">
                    <c:v>7,45</c:v>
                  </c:pt>
                  <c:pt idx="1397">
                    <c:v>5,35</c:v>
                  </c:pt>
                  <c:pt idx="1436">
                    <c:v>0,3</c:v>
                  </c:pt>
                  <c:pt idx="1437">
                    <c:v>7,5</c:v>
                  </c:pt>
                  <c:pt idx="1438">
                    <c:v>7,13</c:v>
                  </c:pt>
                  <c:pt idx="1439">
                    <c:v>0,31</c:v>
                  </c:pt>
                  <c:pt idx="1441">
                    <c:v>0</c:v>
                  </c:pt>
                  <c:pt idx="1444">
                    <c:v>70</c:v>
                  </c:pt>
                  <c:pt idx="1446">
                    <c:v>112,04</c:v>
                  </c:pt>
                  <c:pt idx="1447">
                    <c:v>1,12</c:v>
                  </c:pt>
                  <c:pt idx="1448">
                    <c:v>1,12</c:v>
                  </c:pt>
                  <c:pt idx="1464">
                    <c:v>0</c:v>
                  </c:pt>
                  <c:pt idx="1477">
                    <c:v>3,73</c:v>
                  </c:pt>
                  <c:pt idx="1493">
                    <c:v>1,78</c:v>
                  </c:pt>
                  <c:pt idx="1508">
                    <c:v>0</c:v>
                  </c:pt>
                  <c:pt idx="1529">
                    <c:v>7,18</c:v>
                  </c:pt>
                  <c:pt idx="1530">
                    <c:v>17,9</c:v>
                  </c:pt>
                  <c:pt idx="1531">
                    <c:v>1,79</c:v>
                  </c:pt>
                  <c:pt idx="1534">
                    <c:v>0</c:v>
                  </c:pt>
                  <c:pt idx="1547">
                    <c:v>0</c:v>
                  </c:pt>
                  <c:pt idx="1552">
                    <c:v>1,65</c:v>
                  </c:pt>
                  <c:pt idx="1554">
                    <c:v>0</c:v>
                  </c:pt>
                  <c:pt idx="1558">
                    <c:v>0</c:v>
                  </c:pt>
                  <c:pt idx="1599">
                    <c:v>1</c:v>
                  </c:pt>
                  <c:pt idx="1600">
                    <c:v>1</c:v>
                  </c:pt>
                  <c:pt idx="1601">
                    <c:v>1</c:v>
                  </c:pt>
                  <c:pt idx="1602">
                    <c:v>1</c:v>
                  </c:pt>
                  <c:pt idx="1603">
                    <c:v>1</c:v>
                  </c:pt>
                  <c:pt idx="1604">
                    <c:v>1</c:v>
                  </c:pt>
                  <c:pt idx="1620">
                    <c:v>1,05</c:v>
                  </c:pt>
                  <c:pt idx="1624">
                    <c:v>1</c:v>
                  </c:pt>
                  <c:pt idx="1639">
                    <c:v>0</c:v>
                  </c:pt>
                  <c:pt idx="1651">
                    <c:v>0</c:v>
                  </c:pt>
                  <c:pt idx="1674">
                    <c:v>1</c:v>
                  </c:pt>
                  <c:pt idx="1716">
                    <c:v>0</c:v>
                  </c:pt>
                </c:lvl>
                <c:lvl>
                  <c:pt idx="0">
                    <c:v>1800</c:v>
                  </c:pt>
                  <c:pt idx="1">
                    <c:v>264,17</c:v>
                  </c:pt>
                  <c:pt idx="2">
                    <c:v>168</c:v>
                  </c:pt>
                  <c:pt idx="3">
                    <c:v>260</c:v>
                  </c:pt>
                  <c:pt idx="4">
                    <c:v>13</c:v>
                  </c:pt>
                  <c:pt idx="5">
                    <c:v>93,5</c:v>
                  </c:pt>
                  <c:pt idx="6">
                    <c:v>9,35</c:v>
                  </c:pt>
                  <c:pt idx="7">
                    <c:v>1070</c:v>
                  </c:pt>
                  <c:pt idx="8">
                    <c:v>0</c:v>
                  </c:pt>
                  <c:pt idx="9">
                    <c:v>906</c:v>
                  </c:pt>
                  <c:pt idx="10">
                    <c:v>72</c:v>
                  </c:pt>
                  <c:pt idx="11">
                    <c:v>72</c:v>
                  </c:pt>
                  <c:pt idx="12">
                    <c:v>72</c:v>
                  </c:pt>
                  <c:pt idx="13">
                    <c:v>160</c:v>
                  </c:pt>
                  <c:pt idx="14">
                    <c:v>363</c:v>
                  </c:pt>
                  <c:pt idx="15">
                    <c:v>19,9</c:v>
                  </c:pt>
                  <c:pt idx="16">
                    <c:v>19,9</c:v>
                  </c:pt>
                  <c:pt idx="17">
                    <c:v>8</c:v>
                  </c:pt>
                  <c:pt idx="18">
                    <c:v>109,9</c:v>
                  </c:pt>
                  <c:pt idx="19">
                    <c:v>24,9</c:v>
                  </c:pt>
                  <c:pt idx="20">
                    <c:v>34,9</c:v>
                  </c:pt>
                  <c:pt idx="21">
                    <c:v>24,9</c:v>
                  </c:pt>
                  <c:pt idx="22">
                    <c:v>39,9</c:v>
                  </c:pt>
                  <c:pt idx="23">
                    <c:v>34,9</c:v>
                  </c:pt>
                  <c:pt idx="24">
                    <c:v>0</c:v>
                  </c:pt>
                  <c:pt idx="25">
                    <c:v>0</c:v>
                  </c:pt>
                  <c:pt idx="26">
                    <c:v>175,41</c:v>
                  </c:pt>
                  <c:pt idx="27">
                    <c:v>182,95</c:v>
                  </c:pt>
                  <c:pt idx="28">
                    <c:v>199,8</c:v>
                  </c:pt>
                  <c:pt idx="29">
                    <c:v>198,77</c:v>
                  </c:pt>
                  <c:pt idx="30">
                    <c:v>254</c:v>
                  </c:pt>
                  <c:pt idx="31">
                    <c:v>411</c:v>
                  </c:pt>
                  <c:pt idx="32">
                    <c:v>307,359</c:v>
                  </c:pt>
                  <c:pt idx="33">
                    <c:v>127</c:v>
                  </c:pt>
                  <c:pt idx="34">
                    <c:v>159</c:v>
                  </c:pt>
                  <c:pt idx="35">
                    <c:v>97</c:v>
                  </c:pt>
                  <c:pt idx="36">
                    <c:v>44</c:v>
                  </c:pt>
                  <c:pt idx="37">
                    <c:v>800</c:v>
                  </c:pt>
                  <c:pt idx="38">
                    <c:v>148</c:v>
                  </c:pt>
                  <c:pt idx="39">
                    <c:v>1135</c:v>
                  </c:pt>
                  <c:pt idx="40">
                    <c:v>110</c:v>
                  </c:pt>
                  <c:pt idx="41">
                    <c:v>1107</c:v>
                  </c:pt>
                  <c:pt idx="42">
                    <c:v>644</c:v>
                  </c:pt>
                  <c:pt idx="43">
                    <c:v>262</c:v>
                  </c:pt>
                  <c:pt idx="44">
                    <c:v>314</c:v>
                  </c:pt>
                  <c:pt idx="45">
                    <c:v>100</c:v>
                  </c:pt>
                  <c:pt idx="46">
                    <c:v>675,85</c:v>
                  </c:pt>
                  <c:pt idx="47">
                    <c:v>430,5</c:v>
                  </c:pt>
                  <c:pt idx="48">
                    <c:v>533</c:v>
                  </c:pt>
                  <c:pt idx="49">
                    <c:v>150</c:v>
                  </c:pt>
                  <c:pt idx="50">
                    <c:v>430,5</c:v>
                  </c:pt>
                  <c:pt idx="51">
                    <c:v>200</c:v>
                  </c:pt>
                  <c:pt idx="52">
                    <c:v>150</c:v>
                  </c:pt>
                  <c:pt idx="53">
                    <c:v>10</c:v>
                  </c:pt>
                  <c:pt idx="54">
                    <c:v>1702,8</c:v>
                  </c:pt>
                  <c:pt idx="55">
                    <c:v>187,98</c:v>
                  </c:pt>
                  <c:pt idx="56">
                    <c:v>1179</c:v>
                  </c:pt>
                  <c:pt idx="57">
                    <c:v>258</c:v>
                  </c:pt>
                  <c:pt idx="58">
                    <c:v>44</c:v>
                  </c:pt>
                  <c:pt idx="59">
                    <c:v>179</c:v>
                  </c:pt>
                  <c:pt idx="60">
                    <c:v>49,2</c:v>
                  </c:pt>
                  <c:pt idx="61">
                    <c:v>99</c:v>
                  </c:pt>
                  <c:pt idx="62">
                    <c:v>98</c:v>
                  </c:pt>
                  <c:pt idx="63">
                    <c:v>57</c:v>
                  </c:pt>
                  <c:pt idx="64">
                    <c:v>57</c:v>
                  </c:pt>
                  <c:pt idx="65">
                    <c:v>67</c:v>
                  </c:pt>
                  <c:pt idx="66">
                    <c:v>69</c:v>
                  </c:pt>
                  <c:pt idx="67">
                    <c:v>14,9</c:v>
                  </c:pt>
                  <c:pt idx="68">
                    <c:v>14,9</c:v>
                  </c:pt>
                  <c:pt idx="69">
                    <c:v>29,9</c:v>
                  </c:pt>
                  <c:pt idx="70">
                    <c:v>29,9</c:v>
                  </c:pt>
                  <c:pt idx="71">
                    <c:v>275</c:v>
                  </c:pt>
                  <c:pt idx="72">
                    <c:v>1490</c:v>
                  </c:pt>
                  <c:pt idx="73">
                    <c:v>59,6</c:v>
                  </c:pt>
                  <c:pt idx="74">
                    <c:v>1739,49</c:v>
                  </c:pt>
                  <c:pt idx="75">
                    <c:v>59,9</c:v>
                  </c:pt>
                  <c:pt idx="76">
                    <c:v>89,9</c:v>
                  </c:pt>
                  <c:pt idx="77">
                    <c:v>109,9</c:v>
                  </c:pt>
                  <c:pt idx="78">
                    <c:v>89,9</c:v>
                  </c:pt>
                  <c:pt idx="79">
                    <c:v>109,9</c:v>
                  </c:pt>
                  <c:pt idx="80">
                    <c:v>9</c:v>
                  </c:pt>
                  <c:pt idx="81">
                    <c:v>81</c:v>
                  </c:pt>
                  <c:pt idx="82">
                    <c:v>1941,8</c:v>
                  </c:pt>
                  <c:pt idx="83">
                    <c:v>80</c:v>
                  </c:pt>
                  <c:pt idx="84">
                    <c:v>110</c:v>
                  </c:pt>
                  <c:pt idx="85">
                    <c:v>50</c:v>
                  </c:pt>
                  <c:pt idx="86">
                    <c:v>60</c:v>
                  </c:pt>
                  <c:pt idx="87">
                    <c:v>90</c:v>
                  </c:pt>
                  <c:pt idx="88">
                    <c:v>695</c:v>
                  </c:pt>
                  <c:pt idx="89">
                    <c:v>27</c:v>
                  </c:pt>
                  <c:pt idx="90">
                    <c:v>299,9</c:v>
                  </c:pt>
                  <c:pt idx="91">
                    <c:v>299,9</c:v>
                  </c:pt>
                  <c:pt idx="92">
                    <c:v>299,9</c:v>
                  </c:pt>
                  <c:pt idx="93">
                    <c:v>79</c:v>
                  </c:pt>
                  <c:pt idx="94">
                    <c:v>79</c:v>
                  </c:pt>
                  <c:pt idx="95">
                    <c:v>119</c:v>
                  </c:pt>
                  <c:pt idx="96">
                    <c:v>189</c:v>
                  </c:pt>
                  <c:pt idx="97">
                    <c:v>198</c:v>
                  </c:pt>
                  <c:pt idx="98">
                    <c:v>220</c:v>
                  </c:pt>
                  <c:pt idx="99">
                    <c:v>22</c:v>
                  </c:pt>
                  <c:pt idx="100">
                    <c:v>167,5</c:v>
                  </c:pt>
                  <c:pt idx="101">
                    <c:v>176</c:v>
                  </c:pt>
                  <c:pt idx="102">
                    <c:v>221</c:v>
                  </c:pt>
                  <c:pt idx="104">
                    <c:v>62,88</c:v>
                  </c:pt>
                  <c:pt idx="105">
                    <c:v>89</c:v>
                  </c:pt>
                  <c:pt idx="106">
                    <c:v>387</c:v>
                  </c:pt>
                  <c:pt idx="107">
                    <c:v>299,25</c:v>
                  </c:pt>
                  <c:pt idx="108">
                    <c:v>84</c:v>
                  </c:pt>
                  <c:pt idx="109">
                    <c:v>269</c:v>
                  </c:pt>
                  <c:pt idx="110">
                    <c:v>6,5</c:v>
                  </c:pt>
                  <c:pt idx="111">
                    <c:v>246</c:v>
                  </c:pt>
                  <c:pt idx="112">
                    <c:v>206</c:v>
                  </c:pt>
                  <c:pt idx="113">
                    <c:v>247</c:v>
                  </c:pt>
                  <c:pt idx="114">
                    <c:v>43</c:v>
                  </c:pt>
                  <c:pt idx="115">
                    <c:v>26</c:v>
                  </c:pt>
                  <c:pt idx="116">
                    <c:v>48</c:v>
                  </c:pt>
                  <c:pt idx="117">
                    <c:v>46,81</c:v>
                  </c:pt>
                  <c:pt idx="118">
                    <c:v>40,81</c:v>
                  </c:pt>
                  <c:pt idx="119">
                    <c:v>326</c:v>
                  </c:pt>
                  <c:pt idx="120">
                    <c:v>225</c:v>
                  </c:pt>
                  <c:pt idx="121">
                    <c:v>0</c:v>
                  </c:pt>
                  <c:pt idx="122">
                    <c:v>82,9</c:v>
                  </c:pt>
                  <c:pt idx="123">
                    <c:v>2984,18</c:v>
                  </c:pt>
                  <c:pt idx="124">
                    <c:v>160</c:v>
                  </c:pt>
                  <c:pt idx="125">
                    <c:v>210</c:v>
                  </c:pt>
                  <c:pt idx="126">
                    <c:v>40</c:v>
                  </c:pt>
                  <c:pt idx="127">
                    <c:v>390</c:v>
                  </c:pt>
                  <c:pt idx="128">
                    <c:v>600</c:v>
                  </c:pt>
                  <c:pt idx="129">
                    <c:v>644,79</c:v>
                  </c:pt>
                  <c:pt idx="134">
                    <c:v>129</c:v>
                  </c:pt>
                  <c:pt idx="135">
                    <c:v>103</c:v>
                  </c:pt>
                  <c:pt idx="136">
                    <c:v>20</c:v>
                  </c:pt>
                  <c:pt idx="137">
                    <c:v>280</c:v>
                  </c:pt>
                  <c:pt idx="138">
                    <c:v>125</c:v>
                  </c:pt>
                  <c:pt idx="139">
                    <c:v>116</c:v>
                  </c:pt>
                  <c:pt idx="140">
                    <c:v>40</c:v>
                  </c:pt>
                  <c:pt idx="141">
                    <c:v>63</c:v>
                  </c:pt>
                  <c:pt idx="142">
                    <c:v>110,59</c:v>
                  </c:pt>
                  <c:pt idx="143">
                    <c:v>128,8</c:v>
                  </c:pt>
                  <c:pt idx="144">
                    <c:v>157,95</c:v>
                  </c:pt>
                  <c:pt idx="145">
                    <c:v>101,4</c:v>
                  </c:pt>
                  <c:pt idx="146">
                    <c:v>90,2</c:v>
                  </c:pt>
                  <c:pt idx="147">
                    <c:v>100</c:v>
                  </c:pt>
                  <c:pt idx="148">
                    <c:v>160</c:v>
                  </c:pt>
                  <c:pt idx="149">
                    <c:v>114,8</c:v>
                  </c:pt>
                  <c:pt idx="150">
                    <c:v>98,4</c:v>
                  </c:pt>
                  <c:pt idx="151">
                    <c:v>350</c:v>
                  </c:pt>
                  <c:pt idx="152">
                    <c:v>185</c:v>
                  </c:pt>
                  <c:pt idx="153">
                    <c:v>20,43</c:v>
                  </c:pt>
                  <c:pt idx="154">
                    <c:v>39,52</c:v>
                  </c:pt>
                  <c:pt idx="155">
                    <c:v>65,38</c:v>
                  </c:pt>
                  <c:pt idx="156">
                    <c:v>81,4</c:v>
                  </c:pt>
                  <c:pt idx="157">
                    <c:v>184,5</c:v>
                  </c:pt>
                  <c:pt idx="158">
                    <c:v>123</c:v>
                  </c:pt>
                  <c:pt idx="159">
                    <c:v>241,56</c:v>
                  </c:pt>
                  <c:pt idx="160">
                    <c:v>246</c:v>
                  </c:pt>
                  <c:pt idx="161">
                    <c:v>86,31</c:v>
                  </c:pt>
                  <c:pt idx="162">
                    <c:v>109</c:v>
                  </c:pt>
                  <c:pt idx="163">
                    <c:v>1900</c:v>
                  </c:pt>
                  <c:pt idx="164">
                    <c:v>49</c:v>
                  </c:pt>
                  <c:pt idx="165">
                    <c:v>95</c:v>
                  </c:pt>
                  <c:pt idx="166">
                    <c:v>594</c:v>
                  </c:pt>
                  <c:pt idx="167">
                    <c:v>160</c:v>
                  </c:pt>
                  <c:pt idx="168">
                    <c:v>388</c:v>
                  </c:pt>
                  <c:pt idx="169">
                    <c:v>1383</c:v>
                  </c:pt>
                  <c:pt idx="170">
                    <c:v>138,3</c:v>
                  </c:pt>
                  <c:pt idx="171">
                    <c:v>138</c:v>
                  </c:pt>
                  <c:pt idx="172">
                    <c:v>350</c:v>
                  </c:pt>
                  <c:pt idx="173">
                    <c:v>101</c:v>
                  </c:pt>
                  <c:pt idx="174">
                    <c:v>160</c:v>
                  </c:pt>
                  <c:pt idx="175">
                    <c:v>116</c:v>
                  </c:pt>
                  <c:pt idx="176">
                    <c:v>249</c:v>
                  </c:pt>
                  <c:pt idx="177">
                    <c:v>50,88</c:v>
                  </c:pt>
                  <c:pt idx="178">
                    <c:v>192,2</c:v>
                  </c:pt>
                  <c:pt idx="179">
                    <c:v>247</c:v>
                  </c:pt>
                  <c:pt idx="180">
                    <c:v>289</c:v>
                  </c:pt>
                  <c:pt idx="181">
                    <c:v>154</c:v>
                  </c:pt>
                  <c:pt idx="182">
                    <c:v>187</c:v>
                  </c:pt>
                  <c:pt idx="183">
                    <c:v>242</c:v>
                  </c:pt>
                  <c:pt idx="184">
                    <c:v>297</c:v>
                  </c:pt>
                  <c:pt idx="185">
                    <c:v>324</c:v>
                  </c:pt>
                  <c:pt idx="186">
                    <c:v>550</c:v>
                  </c:pt>
                  <c:pt idx="187">
                    <c:v>650</c:v>
                  </c:pt>
                  <c:pt idx="188">
                    <c:v>61</c:v>
                  </c:pt>
                  <c:pt idx="189">
                    <c:v>85</c:v>
                  </c:pt>
                  <c:pt idx="190">
                    <c:v>198</c:v>
                  </c:pt>
                  <c:pt idx="191">
                    <c:v>276</c:v>
                  </c:pt>
                  <c:pt idx="192">
                    <c:v>130</c:v>
                  </c:pt>
                  <c:pt idx="193">
                    <c:v>75</c:v>
                  </c:pt>
                  <c:pt idx="194">
                    <c:v>95</c:v>
                  </c:pt>
                  <c:pt idx="195">
                    <c:v>230</c:v>
                  </c:pt>
                  <c:pt idx="196">
                    <c:v>51</c:v>
                  </c:pt>
                  <c:pt idx="197">
                    <c:v>61</c:v>
                  </c:pt>
                  <c:pt idx="198">
                    <c:v>72</c:v>
                  </c:pt>
                  <c:pt idx="199">
                    <c:v>81</c:v>
                  </c:pt>
                  <c:pt idx="200">
                    <c:v>107</c:v>
                  </c:pt>
                  <c:pt idx="201">
                    <c:v>100</c:v>
                  </c:pt>
                  <c:pt idx="202">
                    <c:v>120</c:v>
                  </c:pt>
                  <c:pt idx="203">
                    <c:v>180</c:v>
                  </c:pt>
                  <c:pt idx="204">
                    <c:v>180</c:v>
                  </c:pt>
                  <c:pt idx="205">
                    <c:v>180</c:v>
                  </c:pt>
                  <c:pt idx="206">
                    <c:v>2459,02</c:v>
                  </c:pt>
                  <c:pt idx="207">
                    <c:v>0</c:v>
                  </c:pt>
                  <c:pt idx="208">
                    <c:v>600</c:v>
                  </c:pt>
                  <c:pt idx="209">
                    <c:v>600</c:v>
                  </c:pt>
                  <c:pt idx="210">
                    <c:v>39,9</c:v>
                  </c:pt>
                  <c:pt idx="211">
                    <c:v>290</c:v>
                  </c:pt>
                  <c:pt idx="212">
                    <c:v>130</c:v>
                  </c:pt>
                  <c:pt idx="213">
                    <c:v>220,5</c:v>
                  </c:pt>
                  <c:pt idx="214">
                    <c:v>173,25</c:v>
                  </c:pt>
                  <c:pt idx="215">
                    <c:v>141,75</c:v>
                  </c:pt>
                  <c:pt idx="216">
                    <c:v>267,75</c:v>
                  </c:pt>
                  <c:pt idx="217">
                    <c:v>233,25</c:v>
                  </c:pt>
                  <c:pt idx="218">
                    <c:v>98,6</c:v>
                  </c:pt>
                  <c:pt idx="219">
                    <c:v>25</c:v>
                  </c:pt>
                  <c:pt idx="220">
                    <c:v>30</c:v>
                  </c:pt>
                  <c:pt idx="221">
                    <c:v>266,4</c:v>
                  </c:pt>
                  <c:pt idx="222">
                    <c:v>420,24</c:v>
                  </c:pt>
                  <c:pt idx="223">
                    <c:v>469,8</c:v>
                  </c:pt>
                  <c:pt idx="224">
                    <c:v>742,6</c:v>
                  </c:pt>
                  <c:pt idx="225">
                    <c:v>284,92</c:v>
                  </c:pt>
                  <c:pt idx="226">
                    <c:v>366,3</c:v>
                  </c:pt>
                  <c:pt idx="227">
                    <c:v>99,9</c:v>
                  </c:pt>
                  <c:pt idx="228">
                    <c:v>72</c:v>
                  </c:pt>
                  <c:pt idx="229">
                    <c:v>483</c:v>
                  </c:pt>
                  <c:pt idx="230">
                    <c:v>239</c:v>
                  </c:pt>
                  <c:pt idx="231">
                    <c:v>260</c:v>
                  </c:pt>
                  <c:pt idx="232">
                    <c:v>295</c:v>
                  </c:pt>
                  <c:pt idx="233">
                    <c:v>51</c:v>
                  </c:pt>
                  <c:pt idx="234">
                    <c:v>185</c:v>
                  </c:pt>
                  <c:pt idx="235">
                    <c:v>50</c:v>
                  </c:pt>
                  <c:pt idx="236">
                    <c:v>1128</c:v>
                  </c:pt>
                  <c:pt idx="237">
                    <c:v>76</c:v>
                  </c:pt>
                  <c:pt idx="238">
                    <c:v>48</c:v>
                  </c:pt>
                  <c:pt idx="239">
                    <c:v>163</c:v>
                  </c:pt>
                  <c:pt idx="240">
                    <c:v>140</c:v>
                  </c:pt>
                  <c:pt idx="241">
                    <c:v>202,01</c:v>
                  </c:pt>
                  <c:pt idx="242">
                    <c:v>168</c:v>
                  </c:pt>
                  <c:pt idx="243">
                    <c:v>237,17</c:v>
                  </c:pt>
                  <c:pt idx="244">
                    <c:v>221</c:v>
                  </c:pt>
                  <c:pt idx="245">
                    <c:v>163</c:v>
                  </c:pt>
                  <c:pt idx="246">
                    <c:v>144</c:v>
                  </c:pt>
                  <c:pt idx="247">
                    <c:v>25</c:v>
                  </c:pt>
                  <c:pt idx="249">
                    <c:v>70</c:v>
                  </c:pt>
                  <c:pt idx="250">
                    <c:v>111</c:v>
                  </c:pt>
                  <c:pt idx="251">
                    <c:v>179,24</c:v>
                  </c:pt>
                  <c:pt idx="252">
                    <c:v>230,85</c:v>
                  </c:pt>
                  <c:pt idx="253">
                    <c:v>222,3</c:v>
                  </c:pt>
                  <c:pt idx="254">
                    <c:v>550</c:v>
                  </c:pt>
                  <c:pt idx="255">
                    <c:v>231,99</c:v>
                  </c:pt>
                  <c:pt idx="256">
                    <c:v>599</c:v>
                  </c:pt>
                  <c:pt idx="257">
                    <c:v>799</c:v>
                  </c:pt>
                  <c:pt idx="258">
                    <c:v>278</c:v>
                  </c:pt>
                  <c:pt idx="259">
                    <c:v>25</c:v>
                  </c:pt>
                  <c:pt idx="260">
                    <c:v>13</c:v>
                  </c:pt>
                  <c:pt idx="261">
                    <c:v>118,5</c:v>
                  </c:pt>
                  <c:pt idx="262">
                    <c:v>171,66</c:v>
                  </c:pt>
                  <c:pt idx="263">
                    <c:v>182</c:v>
                  </c:pt>
                  <c:pt idx="264">
                    <c:v>2,97</c:v>
                  </c:pt>
                  <c:pt idx="265">
                    <c:v>383,94</c:v>
                  </c:pt>
                  <c:pt idx="266">
                    <c:v>0</c:v>
                  </c:pt>
                  <c:pt idx="267">
                    <c:v>0</c:v>
                  </c:pt>
                  <c:pt idx="268">
                    <c:v>58,2</c:v>
                  </c:pt>
                  <c:pt idx="269">
                    <c:v>67,05</c:v>
                  </c:pt>
                  <c:pt idx="270">
                    <c:v>175</c:v>
                  </c:pt>
                  <c:pt idx="271">
                    <c:v>121,6</c:v>
                  </c:pt>
                  <c:pt idx="272">
                    <c:v>92</c:v>
                  </c:pt>
                  <c:pt idx="273">
                    <c:v>5720</c:v>
                  </c:pt>
                  <c:pt idx="274">
                    <c:v>103</c:v>
                  </c:pt>
                  <c:pt idx="275">
                    <c:v>263,98</c:v>
                  </c:pt>
                  <c:pt idx="276">
                    <c:v>279</c:v>
                  </c:pt>
                  <c:pt idx="277">
                    <c:v>266</c:v>
                  </c:pt>
                  <c:pt idx="278">
                    <c:v>59,9</c:v>
                  </c:pt>
                  <c:pt idx="279">
                    <c:v>50</c:v>
                  </c:pt>
                  <c:pt idx="280">
                    <c:v>90</c:v>
                  </c:pt>
                  <c:pt idx="281">
                    <c:v>190</c:v>
                  </c:pt>
                  <c:pt idx="282">
                    <c:v>399,9</c:v>
                  </c:pt>
                  <c:pt idx="283">
                    <c:v>66</c:v>
                  </c:pt>
                  <c:pt idx="284">
                    <c:v>87</c:v>
                  </c:pt>
                  <c:pt idx="285">
                    <c:v>279</c:v>
                  </c:pt>
                  <c:pt idx="286">
                    <c:v>138</c:v>
                  </c:pt>
                  <c:pt idx="287">
                    <c:v>142</c:v>
                  </c:pt>
                  <c:pt idx="288">
                    <c:v>176</c:v>
                  </c:pt>
                  <c:pt idx="289">
                    <c:v>119</c:v>
                  </c:pt>
                  <c:pt idx="290">
                    <c:v>219</c:v>
                  </c:pt>
                  <c:pt idx="291">
                    <c:v>165</c:v>
                  </c:pt>
                  <c:pt idx="292">
                    <c:v>169</c:v>
                  </c:pt>
                  <c:pt idx="293">
                    <c:v>305</c:v>
                  </c:pt>
                  <c:pt idx="294">
                    <c:v>200</c:v>
                  </c:pt>
                  <c:pt idx="295">
                    <c:v>206</c:v>
                  </c:pt>
                  <c:pt idx="296">
                    <c:v>270,16</c:v>
                  </c:pt>
                  <c:pt idx="297">
                    <c:v>145</c:v>
                  </c:pt>
                  <c:pt idx="298">
                    <c:v>224</c:v>
                  </c:pt>
                  <c:pt idx="299">
                    <c:v>0</c:v>
                  </c:pt>
                  <c:pt idx="300">
                    <c:v>0</c:v>
                  </c:pt>
                  <c:pt idx="301">
                    <c:v>3307</c:v>
                  </c:pt>
                  <c:pt idx="302">
                    <c:v>7488</c:v>
                  </c:pt>
                  <c:pt idx="303">
                    <c:v>1760</c:v>
                  </c:pt>
                  <c:pt idx="304">
                    <c:v>0</c:v>
                  </c:pt>
                  <c:pt idx="306">
                    <c:v>0</c:v>
                  </c:pt>
                  <c:pt idx="307">
                    <c:v>3485</c:v>
                  </c:pt>
                  <c:pt idx="308">
                    <c:v>1085</c:v>
                  </c:pt>
                  <c:pt idx="309">
                    <c:v>120</c:v>
                  </c:pt>
                  <c:pt idx="310">
                    <c:v>305</c:v>
                  </c:pt>
                  <c:pt idx="311">
                    <c:v>49,9</c:v>
                  </c:pt>
                  <c:pt idx="312">
                    <c:v>18,9</c:v>
                  </c:pt>
                  <c:pt idx="313">
                    <c:v>60</c:v>
                  </c:pt>
                  <c:pt idx="314">
                    <c:v>12</c:v>
                  </c:pt>
                  <c:pt idx="315">
                    <c:v>24,9</c:v>
                  </c:pt>
                  <c:pt idx="316">
                    <c:v>123</c:v>
                  </c:pt>
                  <c:pt idx="317">
                    <c:v>367</c:v>
                  </c:pt>
                  <c:pt idx="318">
                    <c:v>630</c:v>
                  </c:pt>
                  <c:pt idx="319">
                    <c:v>2692,83</c:v>
                  </c:pt>
                  <c:pt idx="320">
                    <c:v>208,54</c:v>
                  </c:pt>
                  <c:pt idx="321">
                    <c:v>14</c:v>
                  </c:pt>
                  <c:pt idx="322">
                    <c:v>29</c:v>
                  </c:pt>
                  <c:pt idx="323">
                    <c:v>140</c:v>
                  </c:pt>
                  <c:pt idx="324">
                    <c:v>242</c:v>
                  </c:pt>
                  <c:pt idx="325">
                    <c:v>295</c:v>
                  </c:pt>
                  <c:pt idx="326">
                    <c:v>390</c:v>
                  </c:pt>
                  <c:pt idx="327">
                    <c:v>150</c:v>
                  </c:pt>
                  <c:pt idx="328">
                    <c:v>250</c:v>
                  </c:pt>
                  <c:pt idx="329">
                    <c:v>350</c:v>
                  </c:pt>
                  <c:pt idx="330">
                    <c:v>3250</c:v>
                  </c:pt>
                  <c:pt idx="331">
                    <c:v>88</c:v>
                  </c:pt>
                  <c:pt idx="332">
                    <c:v>108</c:v>
                  </c:pt>
                  <c:pt idx="333">
                    <c:v>224</c:v>
                  </c:pt>
                  <c:pt idx="334">
                    <c:v>165</c:v>
                  </c:pt>
                  <c:pt idx="335">
                    <c:v>97</c:v>
                  </c:pt>
                  <c:pt idx="336">
                    <c:v>69,56</c:v>
                  </c:pt>
                  <c:pt idx="337">
                    <c:v>143,01</c:v>
                  </c:pt>
                  <c:pt idx="338">
                    <c:v>95</c:v>
                  </c:pt>
                  <c:pt idx="339">
                    <c:v>212</c:v>
                  </c:pt>
                  <c:pt idx="340">
                    <c:v>101</c:v>
                  </c:pt>
                  <c:pt idx="341">
                    <c:v>105</c:v>
                  </c:pt>
                  <c:pt idx="342">
                    <c:v>88</c:v>
                  </c:pt>
                  <c:pt idx="343">
                    <c:v>185</c:v>
                  </c:pt>
                  <c:pt idx="344">
                    <c:v>129</c:v>
                  </c:pt>
                  <c:pt idx="345">
                    <c:v>135</c:v>
                  </c:pt>
                  <c:pt idx="346">
                    <c:v>67</c:v>
                  </c:pt>
                  <c:pt idx="347">
                    <c:v>156</c:v>
                  </c:pt>
                  <c:pt idx="348">
                    <c:v>54</c:v>
                  </c:pt>
                  <c:pt idx="349">
                    <c:v>70,01</c:v>
                  </c:pt>
                  <c:pt idx="350">
                    <c:v>81</c:v>
                  </c:pt>
                  <c:pt idx="351">
                    <c:v>141,8</c:v>
                  </c:pt>
                  <c:pt idx="352">
                    <c:v>150</c:v>
                  </c:pt>
                  <c:pt idx="353">
                    <c:v>51,23</c:v>
                  </c:pt>
                  <c:pt idx="354">
                    <c:v>187</c:v>
                  </c:pt>
                  <c:pt idx="355">
                    <c:v>138</c:v>
                  </c:pt>
                  <c:pt idx="356">
                    <c:v>59</c:v>
                  </c:pt>
                  <c:pt idx="357">
                    <c:v>152,02</c:v>
                  </c:pt>
                  <c:pt idx="358">
                    <c:v>209</c:v>
                  </c:pt>
                  <c:pt idx="359">
                    <c:v>205,1</c:v>
                  </c:pt>
                  <c:pt idx="360">
                    <c:v>275</c:v>
                  </c:pt>
                  <c:pt idx="361">
                    <c:v>300,81</c:v>
                  </c:pt>
                  <c:pt idx="362">
                    <c:v>468,85</c:v>
                  </c:pt>
                  <c:pt idx="363">
                    <c:v>299,18</c:v>
                  </c:pt>
                  <c:pt idx="364">
                    <c:v>299,18</c:v>
                  </c:pt>
                  <c:pt idx="365">
                    <c:v>310</c:v>
                  </c:pt>
                  <c:pt idx="366">
                    <c:v>394,26</c:v>
                  </c:pt>
                  <c:pt idx="367">
                    <c:v>314,75</c:v>
                  </c:pt>
                  <c:pt idx="368">
                    <c:v>290</c:v>
                  </c:pt>
                  <c:pt idx="369">
                    <c:v>32</c:v>
                  </c:pt>
                  <c:pt idx="370">
                    <c:v>66</c:v>
                  </c:pt>
                  <c:pt idx="371">
                    <c:v>29</c:v>
                  </c:pt>
                  <c:pt idx="372">
                    <c:v>49</c:v>
                  </c:pt>
                  <c:pt idx="373">
                    <c:v>56,09</c:v>
                  </c:pt>
                  <c:pt idx="374">
                    <c:v>147</c:v>
                  </c:pt>
                  <c:pt idx="375">
                    <c:v>37,83</c:v>
                  </c:pt>
                  <c:pt idx="376">
                    <c:v>89</c:v>
                  </c:pt>
                  <c:pt idx="377">
                    <c:v>209</c:v>
                  </c:pt>
                  <c:pt idx="378">
                    <c:v>279</c:v>
                  </c:pt>
                  <c:pt idx="379">
                    <c:v>413</c:v>
                  </c:pt>
                  <c:pt idx="380">
                    <c:v>69</c:v>
                  </c:pt>
                  <c:pt idx="381">
                    <c:v>50</c:v>
                  </c:pt>
                  <c:pt idx="382">
                    <c:v>71,25</c:v>
                  </c:pt>
                  <c:pt idx="383">
                    <c:v>50</c:v>
                  </c:pt>
                  <c:pt idx="384">
                    <c:v>1250</c:v>
                  </c:pt>
                  <c:pt idx="385">
                    <c:v>65</c:v>
                  </c:pt>
                  <c:pt idx="386">
                    <c:v>150</c:v>
                  </c:pt>
                  <c:pt idx="387">
                    <c:v>98</c:v>
                  </c:pt>
                  <c:pt idx="388">
                    <c:v>266,81</c:v>
                  </c:pt>
                  <c:pt idx="389">
                    <c:v>80</c:v>
                  </c:pt>
                  <c:pt idx="390">
                    <c:v>345</c:v>
                  </c:pt>
                  <c:pt idx="391">
                    <c:v>438,35</c:v>
                  </c:pt>
                  <c:pt idx="392">
                    <c:v>81</c:v>
                  </c:pt>
                  <c:pt idx="393">
                    <c:v>109</c:v>
                  </c:pt>
                  <c:pt idx="394">
                    <c:v>73,2</c:v>
                  </c:pt>
                  <c:pt idx="395">
                    <c:v>65</c:v>
                  </c:pt>
                  <c:pt idx="396">
                    <c:v>47,01</c:v>
                  </c:pt>
                  <c:pt idx="397">
                    <c:v>122</c:v>
                  </c:pt>
                  <c:pt idx="398">
                    <c:v>55</c:v>
                  </c:pt>
                  <c:pt idx="399">
                    <c:v>179</c:v>
                  </c:pt>
                  <c:pt idx="400">
                    <c:v>43,07</c:v>
                  </c:pt>
                  <c:pt idx="401">
                    <c:v>98</c:v>
                  </c:pt>
                  <c:pt idx="402">
                    <c:v>25</c:v>
                  </c:pt>
                  <c:pt idx="403">
                    <c:v>177,87</c:v>
                  </c:pt>
                  <c:pt idx="404">
                    <c:v>91,22</c:v>
                  </c:pt>
                  <c:pt idx="405">
                    <c:v>47,92</c:v>
                  </c:pt>
                  <c:pt idx="406">
                    <c:v>67,366</c:v>
                  </c:pt>
                  <c:pt idx="407">
                    <c:v>150</c:v>
                  </c:pt>
                  <c:pt idx="408">
                    <c:v>35,16</c:v>
                  </c:pt>
                  <c:pt idx="409">
                    <c:v>143</c:v>
                  </c:pt>
                  <c:pt idx="410">
                    <c:v>3,47</c:v>
                  </c:pt>
                  <c:pt idx="411">
                    <c:v>45</c:v>
                  </c:pt>
                  <c:pt idx="412">
                    <c:v>200</c:v>
                  </c:pt>
                  <c:pt idx="413">
                    <c:v>320</c:v>
                  </c:pt>
                  <c:pt idx="414">
                    <c:v>49,92</c:v>
                  </c:pt>
                  <c:pt idx="415">
                    <c:v>78,01</c:v>
                  </c:pt>
                  <c:pt idx="416">
                    <c:v>176</c:v>
                  </c:pt>
                  <c:pt idx="417">
                    <c:v>92</c:v>
                  </c:pt>
                  <c:pt idx="418">
                    <c:v>19,9</c:v>
                  </c:pt>
                  <c:pt idx="419">
                    <c:v>9,9</c:v>
                  </c:pt>
                  <c:pt idx="420">
                    <c:v>17,9</c:v>
                  </c:pt>
                  <c:pt idx="421">
                    <c:v>8,9</c:v>
                  </c:pt>
                  <c:pt idx="422">
                    <c:v>164</c:v>
                  </c:pt>
                  <c:pt idx="423">
                    <c:v>99</c:v>
                  </c:pt>
                  <c:pt idx="424">
                    <c:v>1500</c:v>
                  </c:pt>
                  <c:pt idx="425">
                    <c:v>3200</c:v>
                  </c:pt>
                  <c:pt idx="426">
                    <c:v>3000</c:v>
                  </c:pt>
                  <c:pt idx="427">
                    <c:v>2500</c:v>
                  </c:pt>
                  <c:pt idx="428">
                    <c:v>92</c:v>
                  </c:pt>
                  <c:pt idx="429">
                    <c:v>91</c:v>
                  </c:pt>
                  <c:pt idx="430">
                    <c:v>147</c:v>
                  </c:pt>
                  <c:pt idx="431">
                    <c:v>158</c:v>
                  </c:pt>
                  <c:pt idx="432">
                    <c:v>73</c:v>
                  </c:pt>
                  <c:pt idx="433">
                    <c:v>324</c:v>
                  </c:pt>
                  <c:pt idx="434">
                    <c:v>183</c:v>
                  </c:pt>
                  <c:pt idx="435">
                    <c:v>176</c:v>
                  </c:pt>
                  <c:pt idx="436">
                    <c:v>220</c:v>
                  </c:pt>
                  <c:pt idx="437">
                    <c:v>305</c:v>
                  </c:pt>
                  <c:pt idx="438">
                    <c:v>254</c:v>
                  </c:pt>
                  <c:pt idx="439">
                    <c:v>47,5</c:v>
                  </c:pt>
                  <c:pt idx="440">
                    <c:v>217</c:v>
                  </c:pt>
                  <c:pt idx="441">
                    <c:v>243</c:v>
                  </c:pt>
                  <c:pt idx="442">
                    <c:v>139,5</c:v>
                  </c:pt>
                  <c:pt idx="443">
                    <c:v>46</c:v>
                  </c:pt>
                  <c:pt idx="444">
                    <c:v>155</c:v>
                  </c:pt>
                  <c:pt idx="445">
                    <c:v>331</c:v>
                  </c:pt>
                  <c:pt idx="446">
                    <c:v>224</c:v>
                  </c:pt>
                  <c:pt idx="447">
                    <c:v>163</c:v>
                  </c:pt>
                  <c:pt idx="448">
                    <c:v>295</c:v>
                  </c:pt>
                  <c:pt idx="449">
                    <c:v>209</c:v>
                  </c:pt>
                  <c:pt idx="450">
                    <c:v>49</c:v>
                  </c:pt>
                  <c:pt idx="451">
                    <c:v>169</c:v>
                  </c:pt>
                  <c:pt idx="452">
                    <c:v>84,31</c:v>
                  </c:pt>
                  <c:pt idx="453">
                    <c:v>172,13</c:v>
                  </c:pt>
                  <c:pt idx="454">
                    <c:v>240</c:v>
                  </c:pt>
                  <c:pt idx="455">
                    <c:v>517</c:v>
                  </c:pt>
                  <c:pt idx="456">
                    <c:v>285</c:v>
                  </c:pt>
                  <c:pt idx="457">
                    <c:v>158</c:v>
                  </c:pt>
                  <c:pt idx="458">
                    <c:v>63,21</c:v>
                  </c:pt>
                  <c:pt idx="459">
                    <c:v>435</c:v>
                  </c:pt>
                  <c:pt idx="460">
                    <c:v>100,56</c:v>
                  </c:pt>
                  <c:pt idx="461">
                    <c:v>0</c:v>
                  </c:pt>
                  <c:pt idx="462">
                    <c:v>165</c:v>
                  </c:pt>
                  <c:pt idx="463">
                    <c:v>108,13</c:v>
                  </c:pt>
                  <c:pt idx="464">
                    <c:v>128,78</c:v>
                  </c:pt>
                  <c:pt idx="465">
                    <c:v>121,87</c:v>
                  </c:pt>
                  <c:pt idx="466">
                    <c:v>205,01</c:v>
                  </c:pt>
                  <c:pt idx="467">
                    <c:v>1572</c:v>
                  </c:pt>
                  <c:pt idx="468">
                    <c:v>896</c:v>
                  </c:pt>
                  <c:pt idx="469">
                    <c:v>650</c:v>
                  </c:pt>
                  <c:pt idx="470">
                    <c:v>444</c:v>
                  </c:pt>
                  <c:pt idx="471">
                    <c:v>896</c:v>
                  </c:pt>
                  <c:pt idx="472">
                    <c:v>734</c:v>
                  </c:pt>
                  <c:pt idx="473">
                    <c:v>885</c:v>
                  </c:pt>
                  <c:pt idx="474">
                    <c:v>377</c:v>
                  </c:pt>
                  <c:pt idx="475">
                    <c:v>203,38</c:v>
                  </c:pt>
                  <c:pt idx="476">
                    <c:v>105</c:v>
                  </c:pt>
                  <c:pt idx="477">
                    <c:v>1350</c:v>
                  </c:pt>
                  <c:pt idx="478">
                    <c:v>65,01</c:v>
                  </c:pt>
                  <c:pt idx="479">
                    <c:v>56</c:v>
                  </c:pt>
                  <c:pt idx="480">
                    <c:v>29,9</c:v>
                  </c:pt>
                  <c:pt idx="481">
                    <c:v>240</c:v>
                  </c:pt>
                  <c:pt idx="482">
                    <c:v>1107</c:v>
                  </c:pt>
                  <c:pt idx="483">
                    <c:v>73,5</c:v>
                  </c:pt>
                  <c:pt idx="484">
                    <c:v>370</c:v>
                  </c:pt>
                  <c:pt idx="485">
                    <c:v>150</c:v>
                  </c:pt>
                  <c:pt idx="486">
                    <c:v>59</c:v>
                  </c:pt>
                  <c:pt idx="487">
                    <c:v>59</c:v>
                  </c:pt>
                  <c:pt idx="488">
                    <c:v>102</c:v>
                  </c:pt>
                  <c:pt idx="489">
                    <c:v>157</c:v>
                  </c:pt>
                  <c:pt idx="490">
                    <c:v>730</c:v>
                  </c:pt>
                  <c:pt idx="491">
                    <c:v>102</c:v>
                  </c:pt>
                  <c:pt idx="492">
                    <c:v>310</c:v>
                  </c:pt>
                  <c:pt idx="493">
                    <c:v>233,89</c:v>
                  </c:pt>
                  <c:pt idx="495">
                    <c:v>143,82</c:v>
                  </c:pt>
                  <c:pt idx="496">
                    <c:v>141,75</c:v>
                  </c:pt>
                  <c:pt idx="497">
                    <c:v>194</c:v>
                  </c:pt>
                  <c:pt idx="498">
                    <c:v>120,27</c:v>
                  </c:pt>
                  <c:pt idx="499">
                    <c:v>133</c:v>
                  </c:pt>
                  <c:pt idx="500">
                    <c:v>138,65</c:v>
                  </c:pt>
                  <c:pt idx="501">
                    <c:v>135</c:v>
                  </c:pt>
                  <c:pt idx="502">
                    <c:v>92</c:v>
                  </c:pt>
                  <c:pt idx="503">
                    <c:v>12</c:v>
                  </c:pt>
                  <c:pt idx="504">
                    <c:v>23,88</c:v>
                  </c:pt>
                  <c:pt idx="505">
                    <c:v>125</c:v>
                  </c:pt>
                  <c:pt idx="506">
                    <c:v>179,9</c:v>
                  </c:pt>
                  <c:pt idx="507">
                    <c:v>179,9</c:v>
                  </c:pt>
                  <c:pt idx="508">
                    <c:v>79,9</c:v>
                  </c:pt>
                  <c:pt idx="509">
                    <c:v>94</c:v>
                  </c:pt>
                  <c:pt idx="510">
                    <c:v>265</c:v>
                  </c:pt>
                  <c:pt idx="511">
                    <c:v>235,27</c:v>
                  </c:pt>
                  <c:pt idx="512">
                    <c:v>124</c:v>
                  </c:pt>
                  <c:pt idx="513">
                    <c:v>50</c:v>
                  </c:pt>
                  <c:pt idx="514">
                    <c:v>472</c:v>
                  </c:pt>
                  <c:pt idx="515">
                    <c:v>472</c:v>
                  </c:pt>
                  <c:pt idx="516">
                    <c:v>137,86</c:v>
                  </c:pt>
                  <c:pt idx="517">
                    <c:v>102,92</c:v>
                  </c:pt>
                  <c:pt idx="518">
                    <c:v>202,5</c:v>
                  </c:pt>
                  <c:pt idx="519">
                    <c:v>165</c:v>
                  </c:pt>
                  <c:pt idx="520">
                    <c:v>112,49</c:v>
                  </c:pt>
                  <c:pt idx="521">
                    <c:v>0</c:v>
                  </c:pt>
                  <c:pt idx="522">
                    <c:v>138</c:v>
                  </c:pt>
                  <c:pt idx="524">
                    <c:v>220</c:v>
                  </c:pt>
                  <c:pt idx="525">
                    <c:v>0</c:v>
                  </c:pt>
                  <c:pt idx="526">
                    <c:v>258</c:v>
                  </c:pt>
                  <c:pt idx="527">
                    <c:v>327</c:v>
                  </c:pt>
                  <c:pt idx="528">
                    <c:v>455</c:v>
                  </c:pt>
                  <c:pt idx="529">
                    <c:v>496</c:v>
                  </c:pt>
                  <c:pt idx="530">
                    <c:v>96</c:v>
                  </c:pt>
                  <c:pt idx="531">
                    <c:v>79</c:v>
                  </c:pt>
                  <c:pt idx="532">
                    <c:v>110</c:v>
                  </c:pt>
                  <c:pt idx="534">
                    <c:v>0</c:v>
                  </c:pt>
                  <c:pt idx="535">
                    <c:v>1333,5</c:v>
                  </c:pt>
                  <c:pt idx="536">
                    <c:v>234</c:v>
                  </c:pt>
                  <c:pt idx="537">
                    <c:v>101,45</c:v>
                  </c:pt>
                  <c:pt idx="538">
                    <c:v>208,41</c:v>
                  </c:pt>
                  <c:pt idx="539">
                    <c:v>680,71</c:v>
                  </c:pt>
                  <c:pt idx="540">
                    <c:v>5,95</c:v>
                  </c:pt>
                  <c:pt idx="541">
                    <c:v>88,9</c:v>
                  </c:pt>
                  <c:pt idx="542">
                    <c:v>451</c:v>
                  </c:pt>
                  <c:pt idx="543">
                    <c:v>451</c:v>
                  </c:pt>
                  <c:pt idx="544">
                    <c:v>104</c:v>
                  </c:pt>
                  <c:pt idx="545">
                    <c:v>230</c:v>
                  </c:pt>
                  <c:pt idx="546">
                    <c:v>18,03</c:v>
                  </c:pt>
                  <c:pt idx="547">
                    <c:v>216,36</c:v>
                  </c:pt>
                  <c:pt idx="548">
                    <c:v>65</c:v>
                  </c:pt>
                  <c:pt idx="549">
                    <c:v>220</c:v>
                  </c:pt>
                  <c:pt idx="550">
                    <c:v>89</c:v>
                  </c:pt>
                  <c:pt idx="551">
                    <c:v>122</c:v>
                  </c:pt>
                  <c:pt idx="552">
                    <c:v>89</c:v>
                  </c:pt>
                  <c:pt idx="553">
                    <c:v>34</c:v>
                  </c:pt>
                  <c:pt idx="554">
                    <c:v>5,58</c:v>
                  </c:pt>
                  <c:pt idx="555">
                    <c:v>241,73</c:v>
                  </c:pt>
                  <c:pt idx="556">
                    <c:v>24,18</c:v>
                  </c:pt>
                  <c:pt idx="557">
                    <c:v>200</c:v>
                  </c:pt>
                  <c:pt idx="558">
                    <c:v>88,81</c:v>
                  </c:pt>
                  <c:pt idx="559">
                    <c:v>348</c:v>
                  </c:pt>
                  <c:pt idx="560">
                    <c:v>121</c:v>
                  </c:pt>
                  <c:pt idx="561">
                    <c:v>45</c:v>
                  </c:pt>
                  <c:pt idx="562">
                    <c:v>20</c:v>
                  </c:pt>
                  <c:pt idx="563">
                    <c:v>182,9</c:v>
                  </c:pt>
                  <c:pt idx="564">
                    <c:v>217</c:v>
                  </c:pt>
                  <c:pt idx="565">
                    <c:v>167</c:v>
                  </c:pt>
                  <c:pt idx="566">
                    <c:v>210</c:v>
                  </c:pt>
                  <c:pt idx="567">
                    <c:v>130</c:v>
                  </c:pt>
                  <c:pt idx="568">
                    <c:v>124</c:v>
                  </c:pt>
                  <c:pt idx="569">
                    <c:v>119</c:v>
                  </c:pt>
                  <c:pt idx="570">
                    <c:v>123</c:v>
                  </c:pt>
                  <c:pt idx="571">
                    <c:v>149,9</c:v>
                  </c:pt>
                  <c:pt idx="572">
                    <c:v>0</c:v>
                  </c:pt>
                  <c:pt idx="573">
                    <c:v>590</c:v>
                  </c:pt>
                  <c:pt idx="575">
                    <c:v>227</c:v>
                  </c:pt>
                  <c:pt idx="576">
                    <c:v>153</c:v>
                  </c:pt>
                  <c:pt idx="577">
                    <c:v>199</c:v>
                  </c:pt>
                  <c:pt idx="579">
                    <c:v>400,21</c:v>
                  </c:pt>
                  <c:pt idx="580">
                    <c:v>227,19</c:v>
                  </c:pt>
                  <c:pt idx="582">
                    <c:v>53</c:v>
                  </c:pt>
                  <c:pt idx="583">
                    <c:v>336</c:v>
                  </c:pt>
                  <c:pt idx="584">
                    <c:v>694</c:v>
                  </c:pt>
                  <c:pt idx="585">
                    <c:v>18</c:v>
                  </c:pt>
                  <c:pt idx="586">
                    <c:v>3,9</c:v>
                  </c:pt>
                  <c:pt idx="587">
                    <c:v>78</c:v>
                  </c:pt>
                  <c:pt idx="588">
                    <c:v>78,68</c:v>
                  </c:pt>
                  <c:pt idx="589">
                    <c:v>118</c:v>
                  </c:pt>
                  <c:pt idx="591">
                    <c:v>140</c:v>
                  </c:pt>
                  <c:pt idx="592">
                    <c:v>740</c:v>
                  </c:pt>
                  <c:pt idx="593">
                    <c:v>83,31</c:v>
                  </c:pt>
                  <c:pt idx="594">
                    <c:v>41,4</c:v>
                  </c:pt>
                  <c:pt idx="595">
                    <c:v>31</c:v>
                  </c:pt>
                  <c:pt idx="597">
                    <c:v>16</c:v>
                  </c:pt>
                  <c:pt idx="599">
                    <c:v>69</c:v>
                  </c:pt>
                  <c:pt idx="600">
                    <c:v>1856</c:v>
                  </c:pt>
                  <c:pt idx="601">
                    <c:v>96</c:v>
                  </c:pt>
                  <c:pt idx="602">
                    <c:v>2400</c:v>
                  </c:pt>
                  <c:pt idx="603">
                    <c:v>172</c:v>
                  </c:pt>
                  <c:pt idx="604">
                    <c:v>20</c:v>
                  </c:pt>
                  <c:pt idx="605">
                    <c:v>68</c:v>
                  </c:pt>
                  <c:pt idx="606">
                    <c:v>73</c:v>
                  </c:pt>
                  <c:pt idx="607">
                    <c:v>86</c:v>
                  </c:pt>
                  <c:pt idx="608">
                    <c:v>62</c:v>
                  </c:pt>
                  <c:pt idx="609">
                    <c:v>77</c:v>
                  </c:pt>
                  <c:pt idx="610">
                    <c:v>97</c:v>
                  </c:pt>
                  <c:pt idx="611">
                    <c:v>69</c:v>
                  </c:pt>
                  <c:pt idx="612">
                    <c:v>68</c:v>
                  </c:pt>
                  <c:pt idx="613">
                    <c:v>95</c:v>
                  </c:pt>
                  <c:pt idx="614">
                    <c:v>473</c:v>
                  </c:pt>
                  <c:pt idx="615">
                    <c:v>111</c:v>
                  </c:pt>
                  <c:pt idx="616">
                    <c:v>48</c:v>
                  </c:pt>
                  <c:pt idx="617">
                    <c:v>128</c:v>
                  </c:pt>
                  <c:pt idx="618">
                    <c:v>150</c:v>
                  </c:pt>
                  <c:pt idx="619">
                    <c:v>765</c:v>
                  </c:pt>
                  <c:pt idx="620">
                    <c:v>294</c:v>
                  </c:pt>
                  <c:pt idx="621">
                    <c:v>220,86</c:v>
                  </c:pt>
                  <c:pt idx="622">
                    <c:v>191,6</c:v>
                  </c:pt>
                  <c:pt idx="623">
                    <c:v>231</c:v>
                  </c:pt>
                  <c:pt idx="624">
                    <c:v>477,09</c:v>
                  </c:pt>
                  <c:pt idx="625">
                    <c:v>418</c:v>
                  </c:pt>
                  <c:pt idx="626">
                    <c:v>312</c:v>
                  </c:pt>
                  <c:pt idx="627">
                    <c:v>331,5</c:v>
                  </c:pt>
                  <c:pt idx="628">
                    <c:v>379,76</c:v>
                  </c:pt>
                  <c:pt idx="629">
                    <c:v>351,48</c:v>
                  </c:pt>
                  <c:pt idx="630">
                    <c:v>307,04</c:v>
                  </c:pt>
                  <c:pt idx="631">
                    <c:v>765</c:v>
                  </c:pt>
                  <c:pt idx="632">
                    <c:v>411,12</c:v>
                  </c:pt>
                  <c:pt idx="633">
                    <c:v>159,6</c:v>
                  </c:pt>
                  <c:pt idx="634">
                    <c:v>1045</c:v>
                  </c:pt>
                  <c:pt idx="635">
                    <c:v>92</c:v>
                  </c:pt>
                  <c:pt idx="636">
                    <c:v>56</c:v>
                  </c:pt>
                  <c:pt idx="637">
                    <c:v>19,8</c:v>
                  </c:pt>
                  <c:pt idx="638">
                    <c:v>39,9</c:v>
                  </c:pt>
                  <c:pt idx="639">
                    <c:v>9,08</c:v>
                  </c:pt>
                  <c:pt idx="640">
                    <c:v>30</c:v>
                  </c:pt>
                  <c:pt idx="641">
                    <c:v>89,9</c:v>
                  </c:pt>
                  <c:pt idx="642">
                    <c:v>139,9</c:v>
                  </c:pt>
                  <c:pt idx="643">
                    <c:v>29,9</c:v>
                  </c:pt>
                  <c:pt idx="644">
                    <c:v>99,9</c:v>
                  </c:pt>
                  <c:pt idx="645">
                    <c:v>43</c:v>
                  </c:pt>
                  <c:pt idx="646">
                    <c:v>189</c:v>
                  </c:pt>
                  <c:pt idx="647">
                    <c:v>99,9</c:v>
                  </c:pt>
                  <c:pt idx="648">
                    <c:v>69</c:v>
                  </c:pt>
                  <c:pt idx="649">
                    <c:v>99</c:v>
                  </c:pt>
                  <c:pt idx="650">
                    <c:v>79</c:v>
                  </c:pt>
                  <c:pt idx="651">
                    <c:v>152</c:v>
                  </c:pt>
                  <c:pt idx="652">
                    <c:v>119,9</c:v>
                  </c:pt>
                  <c:pt idx="653">
                    <c:v>189,9</c:v>
                  </c:pt>
                  <c:pt idx="654">
                    <c:v>79,9</c:v>
                  </c:pt>
                  <c:pt idx="655">
                    <c:v>75</c:v>
                  </c:pt>
                  <c:pt idx="656">
                    <c:v>164</c:v>
                  </c:pt>
                  <c:pt idx="657">
                    <c:v>260</c:v>
                  </c:pt>
                  <c:pt idx="658">
                    <c:v>160</c:v>
                  </c:pt>
                  <c:pt idx="659">
                    <c:v>16</c:v>
                  </c:pt>
                  <c:pt idx="660">
                    <c:v>135</c:v>
                  </c:pt>
                  <c:pt idx="661">
                    <c:v>120</c:v>
                  </c:pt>
                  <c:pt idx="662">
                    <c:v>135</c:v>
                  </c:pt>
                  <c:pt idx="663">
                    <c:v>249</c:v>
                  </c:pt>
                  <c:pt idx="664">
                    <c:v>159</c:v>
                  </c:pt>
                  <c:pt idx="665">
                    <c:v>110</c:v>
                  </c:pt>
                  <c:pt idx="666">
                    <c:v>14,9</c:v>
                  </c:pt>
                  <c:pt idx="667">
                    <c:v>9</c:v>
                  </c:pt>
                  <c:pt idx="668">
                    <c:v>9,8</c:v>
                  </c:pt>
                  <c:pt idx="670">
                    <c:v>429,9</c:v>
                  </c:pt>
                  <c:pt idx="671">
                    <c:v>179,9</c:v>
                  </c:pt>
                  <c:pt idx="672">
                    <c:v>316,8</c:v>
                  </c:pt>
                  <c:pt idx="673">
                    <c:v>1592</c:v>
                  </c:pt>
                  <c:pt idx="674">
                    <c:v>254</c:v>
                  </c:pt>
                  <c:pt idx="675">
                    <c:v>2150</c:v>
                  </c:pt>
                  <c:pt idx="676">
                    <c:v>215</c:v>
                  </c:pt>
                  <c:pt idx="677">
                    <c:v>158</c:v>
                  </c:pt>
                  <c:pt idx="678">
                    <c:v>23</c:v>
                  </c:pt>
                  <c:pt idx="679">
                    <c:v>1639,21</c:v>
                  </c:pt>
                  <c:pt idx="680">
                    <c:v>350</c:v>
                  </c:pt>
                  <c:pt idx="681">
                    <c:v>1445</c:v>
                  </c:pt>
                  <c:pt idx="682">
                    <c:v>96</c:v>
                  </c:pt>
                  <c:pt idx="683">
                    <c:v>2422,82</c:v>
                  </c:pt>
                  <c:pt idx="684">
                    <c:v>48,46</c:v>
                  </c:pt>
                  <c:pt idx="685">
                    <c:v>833</c:v>
                  </c:pt>
                  <c:pt idx="686">
                    <c:v>59,57</c:v>
                  </c:pt>
                  <c:pt idx="687">
                    <c:v>46,64</c:v>
                  </c:pt>
                  <c:pt idx="688">
                    <c:v>60</c:v>
                  </c:pt>
                  <c:pt idx="689">
                    <c:v>81</c:v>
                  </c:pt>
                  <c:pt idx="690">
                    <c:v>76,38</c:v>
                  </c:pt>
                  <c:pt idx="691">
                    <c:v>1960</c:v>
                  </c:pt>
                  <c:pt idx="692">
                    <c:v>2291,44</c:v>
                  </c:pt>
                  <c:pt idx="693">
                    <c:v>96,6</c:v>
                  </c:pt>
                  <c:pt idx="694">
                    <c:v>97,54</c:v>
                  </c:pt>
                  <c:pt idx="695">
                    <c:v>157,37</c:v>
                  </c:pt>
                  <c:pt idx="696">
                    <c:v>1043,44</c:v>
                  </c:pt>
                  <c:pt idx="697">
                    <c:v>516,39</c:v>
                  </c:pt>
                  <c:pt idx="698">
                    <c:v>92,62</c:v>
                  </c:pt>
                  <c:pt idx="699">
                    <c:v>96,33</c:v>
                  </c:pt>
                  <c:pt idx="700">
                    <c:v>1445,08</c:v>
                  </c:pt>
                  <c:pt idx="701">
                    <c:v>1853,51</c:v>
                  </c:pt>
                  <c:pt idx="702">
                    <c:v>61,78</c:v>
                  </c:pt>
                  <c:pt idx="703">
                    <c:v>85,24</c:v>
                  </c:pt>
                  <c:pt idx="704">
                    <c:v>532,79</c:v>
                  </c:pt>
                  <c:pt idx="705">
                    <c:v>38,06</c:v>
                  </c:pt>
                  <c:pt idx="706">
                    <c:v>0</c:v>
                  </c:pt>
                  <c:pt idx="707">
                    <c:v>3575</c:v>
                  </c:pt>
                  <c:pt idx="708">
                    <c:v>84</c:v>
                  </c:pt>
                  <c:pt idx="709">
                    <c:v>2617,5</c:v>
                  </c:pt>
                  <c:pt idx="710">
                    <c:v>87</c:v>
                  </c:pt>
                  <c:pt idx="711">
                    <c:v>1886,25</c:v>
                  </c:pt>
                  <c:pt idx="712">
                    <c:v>94</c:v>
                  </c:pt>
                  <c:pt idx="713">
                    <c:v>541</c:v>
                  </c:pt>
                  <c:pt idx="714">
                    <c:v>1229</c:v>
                  </c:pt>
                  <c:pt idx="715">
                    <c:v>1572,3</c:v>
                  </c:pt>
                  <c:pt idx="716">
                    <c:v>78,61</c:v>
                  </c:pt>
                  <c:pt idx="717">
                    <c:v>32,92</c:v>
                  </c:pt>
                  <c:pt idx="718">
                    <c:v>73,26</c:v>
                  </c:pt>
                  <c:pt idx="719">
                    <c:v>81,96</c:v>
                  </c:pt>
                  <c:pt idx="720">
                    <c:v>1639,21</c:v>
                  </c:pt>
                  <c:pt idx="721">
                    <c:v>1465,26</c:v>
                  </c:pt>
                  <c:pt idx="722">
                    <c:v>497</c:v>
                  </c:pt>
                  <c:pt idx="723">
                    <c:v>246,82</c:v>
                  </c:pt>
                  <c:pt idx="724">
                    <c:v>2500</c:v>
                  </c:pt>
                  <c:pt idx="725">
                    <c:v>100</c:v>
                  </c:pt>
                  <c:pt idx="726">
                    <c:v>1400</c:v>
                  </c:pt>
                  <c:pt idx="727">
                    <c:v>70</c:v>
                  </c:pt>
                  <c:pt idx="728">
                    <c:v>0</c:v>
                  </c:pt>
                  <c:pt idx="730">
                    <c:v>2640</c:v>
                  </c:pt>
                  <c:pt idx="731">
                    <c:v>132</c:v>
                  </c:pt>
                  <c:pt idx="732">
                    <c:v>50</c:v>
                  </c:pt>
                  <c:pt idx="733">
                    <c:v>214</c:v>
                  </c:pt>
                  <c:pt idx="734">
                    <c:v>251,57</c:v>
                  </c:pt>
                  <c:pt idx="735">
                    <c:v>630</c:v>
                  </c:pt>
                  <c:pt idx="736">
                    <c:v>56</c:v>
                  </c:pt>
                  <c:pt idx="737">
                    <c:v>29,9</c:v>
                  </c:pt>
                  <c:pt idx="738">
                    <c:v>79,9</c:v>
                  </c:pt>
                  <c:pt idx="739">
                    <c:v>109</c:v>
                  </c:pt>
                  <c:pt idx="740">
                    <c:v>99</c:v>
                  </c:pt>
                  <c:pt idx="741">
                    <c:v>148</c:v>
                  </c:pt>
                  <c:pt idx="742">
                    <c:v>33</c:v>
                  </c:pt>
                  <c:pt idx="743">
                    <c:v>90</c:v>
                  </c:pt>
                  <c:pt idx="744">
                    <c:v>99,9</c:v>
                  </c:pt>
                  <c:pt idx="747">
                    <c:v>269,9</c:v>
                  </c:pt>
                  <c:pt idx="748">
                    <c:v>269,9</c:v>
                  </c:pt>
                  <c:pt idx="749">
                    <c:v>265</c:v>
                  </c:pt>
                  <c:pt idx="750">
                    <c:v>170</c:v>
                  </c:pt>
                  <c:pt idx="751">
                    <c:v>0</c:v>
                  </c:pt>
                  <c:pt idx="754">
                    <c:v>0</c:v>
                  </c:pt>
                  <c:pt idx="755">
                    <c:v>229,28</c:v>
                  </c:pt>
                  <c:pt idx="756">
                    <c:v>122,55</c:v>
                  </c:pt>
                  <c:pt idx="757">
                    <c:v>2451</c:v>
                  </c:pt>
                  <c:pt idx="758">
                    <c:v>89,9</c:v>
                  </c:pt>
                  <c:pt idx="759">
                    <c:v>79,9</c:v>
                  </c:pt>
                  <c:pt idx="760">
                    <c:v>25</c:v>
                  </c:pt>
                  <c:pt idx="761">
                    <c:v>0</c:v>
                  </c:pt>
                  <c:pt idx="762">
                    <c:v>0</c:v>
                  </c:pt>
                  <c:pt idx="763">
                    <c:v>15</c:v>
                  </c:pt>
                  <c:pt idx="764">
                    <c:v>79</c:v>
                  </c:pt>
                  <c:pt idx="765">
                    <c:v>2,1</c:v>
                  </c:pt>
                  <c:pt idx="766">
                    <c:v>2,3</c:v>
                  </c:pt>
                  <c:pt idx="767">
                    <c:v>0</c:v>
                  </c:pt>
                  <c:pt idx="768">
                    <c:v>1</c:v>
                  </c:pt>
                  <c:pt idx="769">
                    <c:v>0</c:v>
                  </c:pt>
                  <c:pt idx="770">
                    <c:v>164,8</c:v>
                  </c:pt>
                  <c:pt idx="771">
                    <c:v>98,12</c:v>
                  </c:pt>
                  <c:pt idx="772">
                    <c:v>184,95</c:v>
                  </c:pt>
                  <c:pt idx="773">
                    <c:v>0</c:v>
                  </c:pt>
                  <c:pt idx="774">
                    <c:v>105,49</c:v>
                  </c:pt>
                  <c:pt idx="775">
                    <c:v>39</c:v>
                  </c:pt>
                  <c:pt idx="776">
                    <c:v>122,67</c:v>
                  </c:pt>
                  <c:pt idx="777">
                    <c:v>26,72</c:v>
                  </c:pt>
                  <c:pt idx="778">
                    <c:v>26,15</c:v>
                  </c:pt>
                  <c:pt idx="779">
                    <c:v>1600</c:v>
                  </c:pt>
                  <c:pt idx="780">
                    <c:v>130</c:v>
                  </c:pt>
                  <c:pt idx="781">
                    <c:v>35</c:v>
                  </c:pt>
                  <c:pt idx="782">
                    <c:v>104</c:v>
                  </c:pt>
                  <c:pt idx="783">
                    <c:v>125</c:v>
                  </c:pt>
                  <c:pt idx="784">
                    <c:v>98</c:v>
                  </c:pt>
                  <c:pt idx="785">
                    <c:v>210</c:v>
                  </c:pt>
                  <c:pt idx="786">
                    <c:v>112,48</c:v>
                  </c:pt>
                  <c:pt idx="787">
                    <c:v>78,68</c:v>
                  </c:pt>
                  <c:pt idx="788">
                    <c:v>51</c:v>
                  </c:pt>
                  <c:pt idx="789">
                    <c:v>699</c:v>
                  </c:pt>
                  <c:pt idx="790">
                    <c:v>819</c:v>
                  </c:pt>
                  <c:pt idx="791">
                    <c:v>779</c:v>
                  </c:pt>
                  <c:pt idx="792">
                    <c:v>175</c:v>
                  </c:pt>
                  <c:pt idx="793">
                    <c:v>167</c:v>
                  </c:pt>
                  <c:pt idx="794">
                    <c:v>6,96</c:v>
                  </c:pt>
                  <c:pt idx="796">
                    <c:v>897</c:v>
                  </c:pt>
                  <c:pt idx="797">
                    <c:v>175</c:v>
                  </c:pt>
                  <c:pt idx="798">
                    <c:v>80,5</c:v>
                  </c:pt>
                  <c:pt idx="799">
                    <c:v>162</c:v>
                  </c:pt>
                  <c:pt idx="800">
                    <c:v>123,68</c:v>
                  </c:pt>
                  <c:pt idx="801">
                    <c:v>84</c:v>
                  </c:pt>
                  <c:pt idx="802">
                    <c:v>310</c:v>
                  </c:pt>
                  <c:pt idx="803">
                    <c:v>560</c:v>
                  </c:pt>
                  <c:pt idx="804">
                    <c:v>3700</c:v>
                  </c:pt>
                  <c:pt idx="805">
                    <c:v>265</c:v>
                  </c:pt>
                  <c:pt idx="806">
                    <c:v>91</c:v>
                  </c:pt>
                  <c:pt idx="807">
                    <c:v>115</c:v>
                  </c:pt>
                  <c:pt idx="808">
                    <c:v>155</c:v>
                  </c:pt>
                  <c:pt idx="809">
                    <c:v>220</c:v>
                  </c:pt>
                  <c:pt idx="810">
                    <c:v>250</c:v>
                  </c:pt>
                  <c:pt idx="811">
                    <c:v>128,14</c:v>
                  </c:pt>
                  <c:pt idx="812">
                    <c:v>662,18</c:v>
                  </c:pt>
                  <c:pt idx="813">
                    <c:v>149</c:v>
                  </c:pt>
                  <c:pt idx="814">
                    <c:v>74</c:v>
                  </c:pt>
                  <c:pt idx="815">
                    <c:v>133</c:v>
                  </c:pt>
                  <c:pt idx="816">
                    <c:v>164</c:v>
                  </c:pt>
                  <c:pt idx="817">
                    <c:v>194</c:v>
                  </c:pt>
                  <c:pt idx="818">
                    <c:v>431</c:v>
                  </c:pt>
                  <c:pt idx="819">
                    <c:v>121,14</c:v>
                  </c:pt>
                  <c:pt idx="820">
                    <c:v>50,66</c:v>
                  </c:pt>
                  <c:pt idx="821">
                    <c:v>60</c:v>
                  </c:pt>
                  <c:pt idx="822">
                    <c:v>113</c:v>
                  </c:pt>
                  <c:pt idx="823">
                    <c:v>75</c:v>
                  </c:pt>
                  <c:pt idx="824">
                    <c:v>85</c:v>
                  </c:pt>
                  <c:pt idx="825">
                    <c:v>95</c:v>
                  </c:pt>
                  <c:pt idx="826">
                    <c:v>120</c:v>
                  </c:pt>
                  <c:pt idx="827">
                    <c:v>300</c:v>
                  </c:pt>
                  <c:pt idx="828">
                    <c:v>1653</c:v>
                  </c:pt>
                  <c:pt idx="829">
                    <c:v>94</c:v>
                  </c:pt>
                  <c:pt idx="830">
                    <c:v>175</c:v>
                  </c:pt>
                  <c:pt idx="831">
                    <c:v>184</c:v>
                  </c:pt>
                  <c:pt idx="832">
                    <c:v>1600</c:v>
                  </c:pt>
                  <c:pt idx="833">
                    <c:v>147</c:v>
                  </c:pt>
                  <c:pt idx="834">
                    <c:v>218</c:v>
                  </c:pt>
                  <c:pt idx="835">
                    <c:v>328</c:v>
                  </c:pt>
                  <c:pt idx="836">
                    <c:v>670</c:v>
                  </c:pt>
                  <c:pt idx="837">
                    <c:v>320</c:v>
                  </c:pt>
                  <c:pt idx="838">
                    <c:v>93</c:v>
                  </c:pt>
                  <c:pt idx="839">
                    <c:v>150</c:v>
                  </c:pt>
                  <c:pt idx="840">
                    <c:v>91</c:v>
                  </c:pt>
                  <c:pt idx="841">
                    <c:v>123</c:v>
                  </c:pt>
                  <c:pt idx="842">
                    <c:v>662,94</c:v>
                  </c:pt>
                  <c:pt idx="843">
                    <c:v>1636</c:v>
                  </c:pt>
                  <c:pt idx="844">
                    <c:v>2454</c:v>
                  </c:pt>
                  <c:pt idx="845">
                    <c:v>1104</c:v>
                  </c:pt>
                  <c:pt idx="846">
                    <c:v>1075,31</c:v>
                  </c:pt>
                  <c:pt idx="847">
                    <c:v>418,43</c:v>
                  </c:pt>
                  <c:pt idx="848">
                    <c:v>731,97</c:v>
                  </c:pt>
                  <c:pt idx="849">
                    <c:v>290</c:v>
                  </c:pt>
                  <c:pt idx="850">
                    <c:v>680</c:v>
                  </c:pt>
                  <c:pt idx="851">
                    <c:v>1900</c:v>
                  </c:pt>
                  <c:pt idx="852">
                    <c:v>1300</c:v>
                  </c:pt>
                  <c:pt idx="853">
                    <c:v>430</c:v>
                  </c:pt>
                  <c:pt idx="854">
                    <c:v>1774,33</c:v>
                  </c:pt>
                  <c:pt idx="855">
                    <c:v>1774,33</c:v>
                  </c:pt>
                  <c:pt idx="856">
                    <c:v>2788,35</c:v>
                  </c:pt>
                  <c:pt idx="857">
                    <c:v>428,06</c:v>
                  </c:pt>
                  <c:pt idx="858">
                    <c:v>400</c:v>
                  </c:pt>
                  <c:pt idx="859">
                    <c:v>1245,97</c:v>
                  </c:pt>
                  <c:pt idx="860">
                    <c:v>430</c:v>
                  </c:pt>
                  <c:pt idx="861">
                    <c:v>430</c:v>
                  </c:pt>
                  <c:pt idx="862">
                    <c:v>1700</c:v>
                  </c:pt>
                  <c:pt idx="863">
                    <c:v>205,7</c:v>
                  </c:pt>
                  <c:pt idx="864">
                    <c:v>178,42</c:v>
                  </c:pt>
                  <c:pt idx="865">
                    <c:v>198</c:v>
                  </c:pt>
                  <c:pt idx="866">
                    <c:v>288</c:v>
                  </c:pt>
                  <c:pt idx="867">
                    <c:v>146,68</c:v>
                  </c:pt>
                  <c:pt idx="868">
                    <c:v>139</c:v>
                  </c:pt>
                  <c:pt idx="869">
                    <c:v>528,05</c:v>
                  </c:pt>
                  <c:pt idx="870">
                    <c:v>119</c:v>
                  </c:pt>
                  <c:pt idx="871">
                    <c:v>128,52</c:v>
                  </c:pt>
                  <c:pt idx="872">
                    <c:v>117</c:v>
                  </c:pt>
                  <c:pt idx="873">
                    <c:v>1452</c:v>
                  </c:pt>
                  <c:pt idx="874">
                    <c:v>1980</c:v>
                  </c:pt>
                  <c:pt idx="875">
                    <c:v>1650</c:v>
                  </c:pt>
                  <c:pt idx="876">
                    <c:v>132,7</c:v>
                  </c:pt>
                  <c:pt idx="877">
                    <c:v>141</c:v>
                  </c:pt>
                  <c:pt idx="878">
                    <c:v>87</c:v>
                  </c:pt>
                  <c:pt idx="879">
                    <c:v>132,67</c:v>
                  </c:pt>
                  <c:pt idx="880">
                    <c:v>75</c:v>
                  </c:pt>
                  <c:pt idx="881">
                    <c:v>119</c:v>
                  </c:pt>
                  <c:pt idx="882">
                    <c:v>10,19</c:v>
                  </c:pt>
                  <c:pt idx="883">
                    <c:v>10,19</c:v>
                  </c:pt>
                  <c:pt idx="884">
                    <c:v>114</c:v>
                  </c:pt>
                  <c:pt idx="885">
                    <c:v>227</c:v>
                  </c:pt>
                  <c:pt idx="886">
                    <c:v>129</c:v>
                  </c:pt>
                  <c:pt idx="887">
                    <c:v>102</c:v>
                  </c:pt>
                  <c:pt idx="888">
                    <c:v>88</c:v>
                  </c:pt>
                  <c:pt idx="889">
                    <c:v>140</c:v>
                  </c:pt>
                  <c:pt idx="890">
                    <c:v>59</c:v>
                  </c:pt>
                  <c:pt idx="891">
                    <c:v>81</c:v>
                  </c:pt>
                  <c:pt idx="892">
                    <c:v>58</c:v>
                  </c:pt>
                  <c:pt idx="893">
                    <c:v>90</c:v>
                  </c:pt>
                  <c:pt idx="894">
                    <c:v>99,9</c:v>
                  </c:pt>
                  <c:pt idx="895">
                    <c:v>124</c:v>
                  </c:pt>
                  <c:pt idx="896">
                    <c:v>48</c:v>
                  </c:pt>
                  <c:pt idx="897">
                    <c:v>97</c:v>
                  </c:pt>
                  <c:pt idx="898">
                    <c:v>50</c:v>
                  </c:pt>
                  <c:pt idx="899">
                    <c:v>46</c:v>
                  </c:pt>
                  <c:pt idx="900">
                    <c:v>94</c:v>
                  </c:pt>
                  <c:pt idx="901">
                    <c:v>67</c:v>
                  </c:pt>
                  <c:pt idx="902">
                    <c:v>69,09</c:v>
                  </c:pt>
                  <c:pt idx="903">
                    <c:v>99</c:v>
                  </c:pt>
                  <c:pt idx="904">
                    <c:v>48</c:v>
                  </c:pt>
                  <c:pt idx="905">
                    <c:v>178,5</c:v>
                  </c:pt>
                  <c:pt idx="906">
                    <c:v>278</c:v>
                  </c:pt>
                  <c:pt idx="907">
                    <c:v>140</c:v>
                  </c:pt>
                  <c:pt idx="908">
                    <c:v>100</c:v>
                  </c:pt>
                  <c:pt idx="909">
                    <c:v>17</c:v>
                  </c:pt>
                  <c:pt idx="910">
                    <c:v>1046,81</c:v>
                  </c:pt>
                  <c:pt idx="911">
                    <c:v>67,78</c:v>
                  </c:pt>
                  <c:pt idx="912">
                    <c:v>10</c:v>
                  </c:pt>
                  <c:pt idx="913">
                    <c:v>492</c:v>
                  </c:pt>
                  <c:pt idx="914">
                    <c:v>620,45</c:v>
                  </c:pt>
                  <c:pt idx="915">
                    <c:v>574</c:v>
                  </c:pt>
                  <c:pt idx="916">
                    <c:v>397</c:v>
                  </c:pt>
                  <c:pt idx="917">
                    <c:v>456</c:v>
                  </c:pt>
                  <c:pt idx="918">
                    <c:v>110</c:v>
                  </c:pt>
                  <c:pt idx="919">
                    <c:v>95</c:v>
                  </c:pt>
                  <c:pt idx="920">
                    <c:v>29,9</c:v>
                  </c:pt>
                  <c:pt idx="922">
                    <c:v>39,8</c:v>
                  </c:pt>
                  <c:pt idx="923">
                    <c:v>49,9</c:v>
                  </c:pt>
                  <c:pt idx="924">
                    <c:v>69,9</c:v>
                  </c:pt>
                  <c:pt idx="925">
                    <c:v>29,9</c:v>
                  </c:pt>
                  <c:pt idx="926">
                    <c:v>41</c:v>
                  </c:pt>
                  <c:pt idx="927">
                    <c:v>129</c:v>
                  </c:pt>
                  <c:pt idx="928">
                    <c:v>288</c:v>
                  </c:pt>
                  <c:pt idx="929">
                    <c:v>654</c:v>
                  </c:pt>
                  <c:pt idx="930">
                    <c:v>1118</c:v>
                  </c:pt>
                  <c:pt idx="931">
                    <c:v>25</c:v>
                  </c:pt>
                  <c:pt idx="932">
                    <c:v>40</c:v>
                  </c:pt>
                  <c:pt idx="933">
                    <c:v>43</c:v>
                  </c:pt>
                  <c:pt idx="934">
                    <c:v>110</c:v>
                  </c:pt>
                  <c:pt idx="935">
                    <c:v>62</c:v>
                  </c:pt>
                  <c:pt idx="936">
                    <c:v>92</c:v>
                  </c:pt>
                  <c:pt idx="937">
                    <c:v>173</c:v>
                  </c:pt>
                  <c:pt idx="938">
                    <c:v>55</c:v>
                  </c:pt>
                  <c:pt idx="939">
                    <c:v>236</c:v>
                  </c:pt>
                  <c:pt idx="940">
                    <c:v>147</c:v>
                  </c:pt>
                  <c:pt idx="941">
                    <c:v>436</c:v>
                  </c:pt>
                  <c:pt idx="942">
                    <c:v>274</c:v>
                  </c:pt>
                  <c:pt idx="943">
                    <c:v>164</c:v>
                  </c:pt>
                  <c:pt idx="944">
                    <c:v>57</c:v>
                  </c:pt>
                  <c:pt idx="945">
                    <c:v>63</c:v>
                  </c:pt>
                  <c:pt idx="946">
                    <c:v>79</c:v>
                  </c:pt>
                  <c:pt idx="947">
                    <c:v>99</c:v>
                  </c:pt>
                  <c:pt idx="948">
                    <c:v>137</c:v>
                  </c:pt>
                  <c:pt idx="949">
                    <c:v>168</c:v>
                  </c:pt>
                  <c:pt idx="950">
                    <c:v>270</c:v>
                  </c:pt>
                  <c:pt idx="951">
                    <c:v>424</c:v>
                  </c:pt>
                  <c:pt idx="952">
                    <c:v>576</c:v>
                  </c:pt>
                  <c:pt idx="953">
                    <c:v>34</c:v>
                  </c:pt>
                  <c:pt idx="954">
                    <c:v>54</c:v>
                  </c:pt>
                  <c:pt idx="955">
                    <c:v>114</c:v>
                  </c:pt>
                  <c:pt idx="956">
                    <c:v>253</c:v>
                  </c:pt>
                  <c:pt idx="957">
                    <c:v>471</c:v>
                  </c:pt>
                  <c:pt idx="958">
                    <c:v>790</c:v>
                  </c:pt>
                  <c:pt idx="960">
                    <c:v>556</c:v>
                  </c:pt>
                  <c:pt idx="962">
                    <c:v>486</c:v>
                  </c:pt>
                  <c:pt idx="963">
                    <c:v>98</c:v>
                  </c:pt>
                  <c:pt idx="964">
                    <c:v>128</c:v>
                  </c:pt>
                  <c:pt idx="965">
                    <c:v>190</c:v>
                  </c:pt>
                  <c:pt idx="966">
                    <c:v>68</c:v>
                  </c:pt>
                  <c:pt idx="967">
                    <c:v>224</c:v>
                  </c:pt>
                  <c:pt idx="968">
                    <c:v>63</c:v>
                  </c:pt>
                  <c:pt idx="969">
                    <c:v>99</c:v>
                  </c:pt>
                  <c:pt idx="971">
                    <c:v>1185</c:v>
                  </c:pt>
                  <c:pt idx="972">
                    <c:v>1809</c:v>
                  </c:pt>
                  <c:pt idx="973">
                    <c:v>2835</c:v>
                  </c:pt>
                  <c:pt idx="974">
                    <c:v>256</c:v>
                  </c:pt>
                  <c:pt idx="975">
                    <c:v>256</c:v>
                  </c:pt>
                  <c:pt idx="976">
                    <c:v>295</c:v>
                  </c:pt>
                  <c:pt idx="977">
                    <c:v>150</c:v>
                  </c:pt>
                  <c:pt idx="978">
                    <c:v>1015</c:v>
                  </c:pt>
                  <c:pt idx="979">
                    <c:v>2300</c:v>
                  </c:pt>
                  <c:pt idx="980">
                    <c:v>537</c:v>
                  </c:pt>
                  <c:pt idx="981">
                    <c:v>897</c:v>
                  </c:pt>
                  <c:pt idx="983">
                    <c:v>110</c:v>
                  </c:pt>
                  <c:pt idx="984">
                    <c:v>13,56</c:v>
                  </c:pt>
                  <c:pt idx="985">
                    <c:v>3,32</c:v>
                  </c:pt>
                  <c:pt idx="986">
                    <c:v>814</c:v>
                  </c:pt>
                  <c:pt idx="987">
                    <c:v>624</c:v>
                  </c:pt>
                  <c:pt idx="988">
                    <c:v>1,73</c:v>
                  </c:pt>
                  <c:pt idx="989">
                    <c:v>1</c:v>
                  </c:pt>
                  <c:pt idx="990">
                    <c:v>506</c:v>
                  </c:pt>
                  <c:pt idx="991">
                    <c:v>519</c:v>
                  </c:pt>
                  <c:pt idx="992">
                    <c:v>64,6</c:v>
                  </c:pt>
                  <c:pt idx="993">
                    <c:v>79</c:v>
                  </c:pt>
                  <c:pt idx="994">
                    <c:v>67,15</c:v>
                  </c:pt>
                  <c:pt idx="995">
                    <c:v>89,26</c:v>
                  </c:pt>
                  <c:pt idx="996">
                    <c:v>76</c:v>
                  </c:pt>
                  <c:pt idx="997">
                    <c:v>52</c:v>
                  </c:pt>
                  <c:pt idx="998">
                    <c:v>75</c:v>
                  </c:pt>
                  <c:pt idx="999">
                    <c:v>130</c:v>
                  </c:pt>
                  <c:pt idx="1000">
                    <c:v>65</c:v>
                  </c:pt>
                  <c:pt idx="1001">
                    <c:v>130</c:v>
                  </c:pt>
                  <c:pt idx="1002">
                    <c:v>23</c:v>
                  </c:pt>
                  <c:pt idx="1003">
                    <c:v>487</c:v>
                  </c:pt>
                  <c:pt idx="1004">
                    <c:v>87</c:v>
                  </c:pt>
                  <c:pt idx="1005">
                    <c:v>114</c:v>
                  </c:pt>
                  <c:pt idx="1006">
                    <c:v>163</c:v>
                  </c:pt>
                  <c:pt idx="1007">
                    <c:v>245</c:v>
                  </c:pt>
                  <c:pt idx="1008">
                    <c:v>356</c:v>
                  </c:pt>
                  <c:pt idx="1009">
                    <c:v>487</c:v>
                  </c:pt>
                  <c:pt idx="1010">
                    <c:v>612</c:v>
                  </c:pt>
                  <c:pt idx="1011">
                    <c:v>375</c:v>
                  </c:pt>
                  <c:pt idx="1012">
                    <c:v>22,09</c:v>
                  </c:pt>
                  <c:pt idx="1013">
                    <c:v>824</c:v>
                  </c:pt>
                  <c:pt idx="1014">
                    <c:v>597</c:v>
                  </c:pt>
                  <c:pt idx="1015">
                    <c:v>546</c:v>
                  </c:pt>
                  <c:pt idx="1016">
                    <c:v>378</c:v>
                  </c:pt>
                  <c:pt idx="1017">
                    <c:v>726</c:v>
                  </c:pt>
                  <c:pt idx="1018">
                    <c:v>86</c:v>
                  </c:pt>
                  <c:pt idx="1019">
                    <c:v>198</c:v>
                  </c:pt>
                  <c:pt idx="1020">
                    <c:v>358</c:v>
                  </c:pt>
                  <c:pt idx="1021">
                    <c:v>555</c:v>
                  </c:pt>
                  <c:pt idx="1022">
                    <c:v>75</c:v>
                  </c:pt>
                  <c:pt idx="1023">
                    <c:v>145</c:v>
                  </c:pt>
                  <c:pt idx="1024">
                    <c:v>120</c:v>
                  </c:pt>
                  <c:pt idx="1025">
                    <c:v>140</c:v>
                  </c:pt>
                  <c:pt idx="1026">
                    <c:v>90</c:v>
                  </c:pt>
                  <c:pt idx="1027">
                    <c:v>102</c:v>
                  </c:pt>
                  <c:pt idx="1028">
                    <c:v>170</c:v>
                  </c:pt>
                  <c:pt idx="1029">
                    <c:v>234</c:v>
                  </c:pt>
                  <c:pt idx="1030">
                    <c:v>149</c:v>
                  </c:pt>
                  <c:pt idx="1031">
                    <c:v>195</c:v>
                  </c:pt>
                  <c:pt idx="1032">
                    <c:v>270</c:v>
                  </c:pt>
                  <c:pt idx="1033">
                    <c:v>62</c:v>
                  </c:pt>
                  <c:pt idx="1034">
                    <c:v>24,23</c:v>
                  </c:pt>
                  <c:pt idx="1035">
                    <c:v>45</c:v>
                  </c:pt>
                  <c:pt idx="1036">
                    <c:v>63</c:v>
                  </c:pt>
                  <c:pt idx="1037">
                    <c:v>75</c:v>
                  </c:pt>
                  <c:pt idx="1038">
                    <c:v>99</c:v>
                  </c:pt>
                  <c:pt idx="1039">
                    <c:v>137</c:v>
                  </c:pt>
                  <c:pt idx="1040">
                    <c:v>168</c:v>
                  </c:pt>
                  <c:pt idx="1041">
                    <c:v>270</c:v>
                  </c:pt>
                  <c:pt idx="1042">
                    <c:v>342</c:v>
                  </c:pt>
                  <c:pt idx="1043">
                    <c:v>424</c:v>
                  </c:pt>
                  <c:pt idx="1044">
                    <c:v>576</c:v>
                  </c:pt>
                  <c:pt idx="1045">
                    <c:v>755</c:v>
                  </c:pt>
                  <c:pt idx="1046">
                    <c:v>1185</c:v>
                  </c:pt>
                  <c:pt idx="1047">
                    <c:v>59</c:v>
                  </c:pt>
                  <c:pt idx="1048">
                    <c:v>117</c:v>
                  </c:pt>
                  <c:pt idx="1049">
                    <c:v>376</c:v>
                  </c:pt>
                  <c:pt idx="1050">
                    <c:v>10,57</c:v>
                  </c:pt>
                  <c:pt idx="1051">
                    <c:v>19,82</c:v>
                  </c:pt>
                  <c:pt idx="1052">
                    <c:v>549,9</c:v>
                  </c:pt>
                  <c:pt idx="1053">
                    <c:v>59,9</c:v>
                  </c:pt>
                  <c:pt idx="1054">
                    <c:v>19</c:v>
                  </c:pt>
                  <c:pt idx="1055">
                    <c:v>24</c:v>
                  </c:pt>
                  <c:pt idx="1056">
                    <c:v>30</c:v>
                  </c:pt>
                  <c:pt idx="1057">
                    <c:v>137</c:v>
                  </c:pt>
                  <c:pt idx="1058">
                    <c:v>83</c:v>
                  </c:pt>
                  <c:pt idx="1059">
                    <c:v>169</c:v>
                  </c:pt>
                  <c:pt idx="1060">
                    <c:v>174</c:v>
                  </c:pt>
                  <c:pt idx="1061">
                    <c:v>129</c:v>
                  </c:pt>
                  <c:pt idx="1062">
                    <c:v>94</c:v>
                  </c:pt>
                  <c:pt idx="1063">
                    <c:v>128</c:v>
                  </c:pt>
                  <c:pt idx="1064">
                    <c:v>142</c:v>
                  </c:pt>
                  <c:pt idx="1065">
                    <c:v>269</c:v>
                  </c:pt>
                  <c:pt idx="1066">
                    <c:v>173</c:v>
                  </c:pt>
                  <c:pt idx="1067">
                    <c:v>199,8</c:v>
                  </c:pt>
                  <c:pt idx="1068">
                    <c:v>257</c:v>
                  </c:pt>
                  <c:pt idx="1069">
                    <c:v>207</c:v>
                  </c:pt>
                  <c:pt idx="1070">
                    <c:v>153</c:v>
                  </c:pt>
                  <c:pt idx="1071">
                    <c:v>74</c:v>
                  </c:pt>
                  <c:pt idx="1072">
                    <c:v>130</c:v>
                  </c:pt>
                  <c:pt idx="1073">
                    <c:v>158</c:v>
                  </c:pt>
                  <c:pt idx="1074">
                    <c:v>202</c:v>
                  </c:pt>
                  <c:pt idx="1075">
                    <c:v>252</c:v>
                  </c:pt>
                  <c:pt idx="1076">
                    <c:v>278</c:v>
                  </c:pt>
                  <c:pt idx="1078">
                    <c:v>103</c:v>
                  </c:pt>
                  <c:pt idx="1079">
                    <c:v>84</c:v>
                  </c:pt>
                  <c:pt idx="1080">
                    <c:v>49</c:v>
                  </c:pt>
                  <c:pt idx="1081">
                    <c:v>104</c:v>
                  </c:pt>
                  <c:pt idx="1082">
                    <c:v>199</c:v>
                  </c:pt>
                  <c:pt idx="1083">
                    <c:v>265</c:v>
                  </c:pt>
                  <c:pt idx="1085">
                    <c:v>84</c:v>
                  </c:pt>
                  <c:pt idx="1086">
                    <c:v>86</c:v>
                  </c:pt>
                  <c:pt idx="1091">
                    <c:v>45,94</c:v>
                  </c:pt>
                  <c:pt idx="1092">
                    <c:v>230</c:v>
                  </c:pt>
                  <c:pt idx="1093">
                    <c:v>588</c:v>
                  </c:pt>
                  <c:pt idx="1094">
                    <c:v>291</c:v>
                  </c:pt>
                  <c:pt idx="1096">
                    <c:v>24,8</c:v>
                  </c:pt>
                  <c:pt idx="1097">
                    <c:v>10,88</c:v>
                  </c:pt>
                  <c:pt idx="1098">
                    <c:v>172</c:v>
                  </c:pt>
                  <c:pt idx="1099">
                    <c:v>153</c:v>
                  </c:pt>
                  <c:pt idx="1100">
                    <c:v>121</c:v>
                  </c:pt>
                  <c:pt idx="1101">
                    <c:v>154</c:v>
                  </c:pt>
                  <c:pt idx="1102">
                    <c:v>119</c:v>
                  </c:pt>
                  <c:pt idx="1103">
                    <c:v>126</c:v>
                  </c:pt>
                  <c:pt idx="1104">
                    <c:v>102</c:v>
                  </c:pt>
                  <c:pt idx="1105">
                    <c:v>216</c:v>
                  </c:pt>
                  <c:pt idx="1106">
                    <c:v>23</c:v>
                  </c:pt>
                  <c:pt idx="1107">
                    <c:v>97</c:v>
                  </c:pt>
                  <c:pt idx="1108">
                    <c:v>79</c:v>
                  </c:pt>
                  <c:pt idx="1109">
                    <c:v>4,8</c:v>
                  </c:pt>
                  <c:pt idx="1110">
                    <c:v>155</c:v>
                  </c:pt>
                  <c:pt idx="1111">
                    <c:v>95</c:v>
                  </c:pt>
                  <c:pt idx="1112">
                    <c:v>37</c:v>
                  </c:pt>
                  <c:pt idx="1113">
                    <c:v>27</c:v>
                  </c:pt>
                  <c:pt idx="1114">
                    <c:v>27</c:v>
                  </c:pt>
                  <c:pt idx="1115">
                    <c:v>4,8</c:v>
                  </c:pt>
                  <c:pt idx="1116">
                    <c:v>4,8</c:v>
                  </c:pt>
                  <c:pt idx="1117">
                    <c:v>2,8</c:v>
                  </c:pt>
                  <c:pt idx="1118">
                    <c:v>137</c:v>
                  </c:pt>
                  <c:pt idx="1119">
                    <c:v>60</c:v>
                  </c:pt>
                  <c:pt idx="1120">
                    <c:v>95</c:v>
                  </c:pt>
                  <c:pt idx="1121">
                    <c:v>184</c:v>
                  </c:pt>
                  <c:pt idx="1122">
                    <c:v>60</c:v>
                  </c:pt>
                  <c:pt idx="1123">
                    <c:v>95</c:v>
                  </c:pt>
                  <c:pt idx="1124">
                    <c:v>131</c:v>
                  </c:pt>
                  <c:pt idx="1125">
                    <c:v>211</c:v>
                  </c:pt>
                  <c:pt idx="1126">
                    <c:v>436</c:v>
                  </c:pt>
                  <c:pt idx="1127">
                    <c:v>160</c:v>
                  </c:pt>
                  <c:pt idx="1128">
                    <c:v>36</c:v>
                  </c:pt>
                  <c:pt idx="1129">
                    <c:v>38</c:v>
                  </c:pt>
                  <c:pt idx="1130">
                    <c:v>42</c:v>
                  </c:pt>
                  <c:pt idx="1131">
                    <c:v>47</c:v>
                  </c:pt>
                  <c:pt idx="1132">
                    <c:v>59</c:v>
                  </c:pt>
                  <c:pt idx="1133">
                    <c:v>78</c:v>
                  </c:pt>
                  <c:pt idx="1134">
                    <c:v>113</c:v>
                  </c:pt>
                  <c:pt idx="1135">
                    <c:v>133</c:v>
                  </c:pt>
                  <c:pt idx="1136">
                    <c:v>105</c:v>
                  </c:pt>
                  <c:pt idx="1137">
                    <c:v>131</c:v>
                  </c:pt>
                  <c:pt idx="1138">
                    <c:v>182</c:v>
                  </c:pt>
                  <c:pt idx="1139">
                    <c:v>249</c:v>
                  </c:pt>
                  <c:pt idx="1140">
                    <c:v>254</c:v>
                  </c:pt>
                  <c:pt idx="1141">
                    <c:v>432</c:v>
                  </c:pt>
                  <c:pt idx="1142">
                    <c:v>110</c:v>
                  </c:pt>
                  <c:pt idx="1143">
                    <c:v>177</c:v>
                  </c:pt>
                  <c:pt idx="1144">
                    <c:v>17,22</c:v>
                  </c:pt>
                  <c:pt idx="1145">
                    <c:v>160</c:v>
                  </c:pt>
                  <c:pt idx="1146">
                    <c:v>10,57</c:v>
                  </c:pt>
                  <c:pt idx="1147">
                    <c:v>194</c:v>
                  </c:pt>
                  <c:pt idx="1148">
                    <c:v>226</c:v>
                  </c:pt>
                  <c:pt idx="1149">
                    <c:v>79</c:v>
                  </c:pt>
                  <c:pt idx="1150">
                    <c:v>91</c:v>
                  </c:pt>
                  <c:pt idx="1151">
                    <c:v>73</c:v>
                  </c:pt>
                  <c:pt idx="1152">
                    <c:v>194</c:v>
                  </c:pt>
                  <c:pt idx="1153">
                    <c:v>249</c:v>
                  </c:pt>
                  <c:pt idx="1154">
                    <c:v>142</c:v>
                  </c:pt>
                  <c:pt idx="1155">
                    <c:v>256</c:v>
                  </c:pt>
                  <c:pt idx="1156">
                    <c:v>102</c:v>
                  </c:pt>
                  <c:pt idx="1157">
                    <c:v>84</c:v>
                  </c:pt>
                  <c:pt idx="1158">
                    <c:v>44</c:v>
                  </c:pt>
                  <c:pt idx="1159">
                    <c:v>54</c:v>
                  </c:pt>
                  <c:pt idx="1160">
                    <c:v>279</c:v>
                  </c:pt>
                  <c:pt idx="1161">
                    <c:v>51</c:v>
                  </c:pt>
                  <c:pt idx="1162">
                    <c:v>142</c:v>
                  </c:pt>
                  <c:pt idx="1163">
                    <c:v>68</c:v>
                  </c:pt>
                  <c:pt idx="1164">
                    <c:v>90</c:v>
                  </c:pt>
                  <c:pt idx="1165">
                    <c:v>130</c:v>
                  </c:pt>
                  <c:pt idx="1166">
                    <c:v>58</c:v>
                  </c:pt>
                  <c:pt idx="1167">
                    <c:v>38</c:v>
                  </c:pt>
                  <c:pt idx="1168">
                    <c:v>64</c:v>
                  </c:pt>
                  <c:pt idx="1169">
                    <c:v>64</c:v>
                  </c:pt>
                  <c:pt idx="1170">
                    <c:v>31</c:v>
                  </c:pt>
                  <c:pt idx="1171">
                    <c:v>11</c:v>
                  </c:pt>
                  <c:pt idx="1172">
                    <c:v>17</c:v>
                  </c:pt>
                  <c:pt idx="1173">
                    <c:v>35</c:v>
                  </c:pt>
                  <c:pt idx="1174">
                    <c:v>39</c:v>
                  </c:pt>
                  <c:pt idx="1175">
                    <c:v>41</c:v>
                  </c:pt>
                  <c:pt idx="1176">
                    <c:v>49</c:v>
                  </c:pt>
                  <c:pt idx="1177">
                    <c:v>145</c:v>
                  </c:pt>
                  <c:pt idx="1178">
                    <c:v>19</c:v>
                  </c:pt>
                  <c:pt idx="1179">
                    <c:v>21</c:v>
                  </c:pt>
                  <c:pt idx="1180">
                    <c:v>25</c:v>
                  </c:pt>
                  <c:pt idx="1181">
                    <c:v>15</c:v>
                  </c:pt>
                  <c:pt idx="1182">
                    <c:v>698</c:v>
                  </c:pt>
                  <c:pt idx="1183">
                    <c:v>524</c:v>
                  </c:pt>
                  <c:pt idx="1184">
                    <c:v>85</c:v>
                  </c:pt>
                  <c:pt idx="1185">
                    <c:v>145</c:v>
                  </c:pt>
                  <c:pt idx="1186">
                    <c:v>234</c:v>
                  </c:pt>
                  <c:pt idx="1187">
                    <c:v>214</c:v>
                  </c:pt>
                  <c:pt idx="1188">
                    <c:v>339</c:v>
                  </c:pt>
                  <c:pt idx="1189">
                    <c:v>177</c:v>
                  </c:pt>
                  <c:pt idx="1190">
                    <c:v>91</c:v>
                  </c:pt>
                  <c:pt idx="1191">
                    <c:v>123</c:v>
                  </c:pt>
                  <c:pt idx="1192">
                    <c:v>388</c:v>
                  </c:pt>
                  <c:pt idx="1193">
                    <c:v>186</c:v>
                  </c:pt>
                  <c:pt idx="1194">
                    <c:v>257</c:v>
                  </c:pt>
                  <c:pt idx="1195">
                    <c:v>257</c:v>
                  </c:pt>
                  <c:pt idx="1196">
                    <c:v>144</c:v>
                  </c:pt>
                  <c:pt idx="1197">
                    <c:v>324</c:v>
                  </c:pt>
                  <c:pt idx="1198">
                    <c:v>107,92</c:v>
                  </c:pt>
                  <c:pt idx="1199">
                    <c:v>38</c:v>
                  </c:pt>
                  <c:pt idx="1200">
                    <c:v>47</c:v>
                  </c:pt>
                  <c:pt idx="1201">
                    <c:v>184</c:v>
                  </c:pt>
                  <c:pt idx="1202">
                    <c:v>319</c:v>
                  </c:pt>
                  <c:pt idx="1203">
                    <c:v>40</c:v>
                  </c:pt>
                  <c:pt idx="1204">
                    <c:v>38</c:v>
                  </c:pt>
                  <c:pt idx="1205">
                    <c:v>47</c:v>
                  </c:pt>
                  <c:pt idx="1206">
                    <c:v>120</c:v>
                  </c:pt>
                  <c:pt idx="1207">
                    <c:v>129</c:v>
                  </c:pt>
                  <c:pt idx="1208">
                    <c:v>296</c:v>
                  </c:pt>
                  <c:pt idx="1209">
                    <c:v>169</c:v>
                  </c:pt>
                  <c:pt idx="1210">
                    <c:v>99</c:v>
                  </c:pt>
                  <c:pt idx="1211">
                    <c:v>55</c:v>
                  </c:pt>
                  <c:pt idx="1212">
                    <c:v>77</c:v>
                  </c:pt>
                  <c:pt idx="1213">
                    <c:v>62</c:v>
                  </c:pt>
                  <c:pt idx="1214">
                    <c:v>94</c:v>
                  </c:pt>
                  <c:pt idx="1215">
                    <c:v>105</c:v>
                  </c:pt>
                  <c:pt idx="1216">
                    <c:v>190</c:v>
                  </c:pt>
                  <c:pt idx="1217">
                    <c:v>326</c:v>
                  </c:pt>
                  <c:pt idx="1218">
                    <c:v>5,12</c:v>
                  </c:pt>
                  <c:pt idx="1219">
                    <c:v>3,13</c:v>
                  </c:pt>
                  <c:pt idx="1220">
                    <c:v>1,5</c:v>
                  </c:pt>
                  <c:pt idx="1221">
                    <c:v>1,81</c:v>
                  </c:pt>
                  <c:pt idx="1222">
                    <c:v>7,21</c:v>
                  </c:pt>
                  <c:pt idx="1223">
                    <c:v>2078,7</c:v>
                  </c:pt>
                  <c:pt idx="1224">
                    <c:v>163</c:v>
                  </c:pt>
                  <c:pt idx="1225">
                    <c:v>133</c:v>
                  </c:pt>
                  <c:pt idx="1226">
                    <c:v>101</c:v>
                  </c:pt>
                  <c:pt idx="1227">
                    <c:v>93</c:v>
                  </c:pt>
                  <c:pt idx="1228">
                    <c:v>59</c:v>
                  </c:pt>
                  <c:pt idx="1229">
                    <c:v>39</c:v>
                  </c:pt>
                  <c:pt idx="1230">
                    <c:v>99</c:v>
                  </c:pt>
                  <c:pt idx="1231">
                    <c:v>76</c:v>
                  </c:pt>
                  <c:pt idx="1232">
                    <c:v>57</c:v>
                  </c:pt>
                  <c:pt idx="1233">
                    <c:v>56</c:v>
                  </c:pt>
                  <c:pt idx="1234">
                    <c:v>125</c:v>
                  </c:pt>
                  <c:pt idx="1235">
                    <c:v>190</c:v>
                  </c:pt>
                  <c:pt idx="1236">
                    <c:v>295</c:v>
                  </c:pt>
                  <c:pt idx="1237">
                    <c:v>44</c:v>
                  </c:pt>
                  <c:pt idx="1238">
                    <c:v>51</c:v>
                  </c:pt>
                  <c:pt idx="1239">
                    <c:v>66</c:v>
                  </c:pt>
                  <c:pt idx="1240">
                    <c:v>160</c:v>
                  </c:pt>
                  <c:pt idx="1241">
                    <c:v>32</c:v>
                  </c:pt>
                  <c:pt idx="1242">
                    <c:v>36</c:v>
                  </c:pt>
                  <c:pt idx="1243">
                    <c:v>45</c:v>
                  </c:pt>
                  <c:pt idx="1244">
                    <c:v>124</c:v>
                  </c:pt>
                  <c:pt idx="1245">
                    <c:v>69,9</c:v>
                  </c:pt>
                  <c:pt idx="1246">
                    <c:v>38</c:v>
                  </c:pt>
                  <c:pt idx="1247">
                    <c:v>39,9</c:v>
                  </c:pt>
                  <c:pt idx="1248">
                    <c:v>99,9</c:v>
                  </c:pt>
                  <c:pt idx="1249">
                    <c:v>28,9</c:v>
                  </c:pt>
                  <c:pt idx="1250">
                    <c:v>22,09</c:v>
                  </c:pt>
                  <c:pt idx="1251">
                    <c:v>89,9</c:v>
                  </c:pt>
                  <c:pt idx="1252">
                    <c:v>39,1</c:v>
                  </c:pt>
                  <c:pt idx="1253">
                    <c:v>74</c:v>
                  </c:pt>
                  <c:pt idx="1254">
                    <c:v>49,9</c:v>
                  </c:pt>
                  <c:pt idx="1255">
                    <c:v>240</c:v>
                  </c:pt>
                  <c:pt idx="1256">
                    <c:v>250</c:v>
                  </c:pt>
                  <c:pt idx="1257">
                    <c:v>78</c:v>
                  </c:pt>
                  <c:pt idx="1258">
                    <c:v>80</c:v>
                  </c:pt>
                  <c:pt idx="1259">
                    <c:v>72</c:v>
                  </c:pt>
                  <c:pt idx="1260">
                    <c:v>51</c:v>
                  </c:pt>
                  <c:pt idx="1261">
                    <c:v>636</c:v>
                  </c:pt>
                  <c:pt idx="1262">
                    <c:v>199</c:v>
                  </c:pt>
                  <c:pt idx="1263">
                    <c:v>119</c:v>
                  </c:pt>
                  <c:pt idx="1264">
                    <c:v>6</c:v>
                  </c:pt>
                  <c:pt idx="1265">
                    <c:v>4</c:v>
                  </c:pt>
                  <c:pt idx="1266">
                    <c:v>150</c:v>
                  </c:pt>
                  <c:pt idx="1267">
                    <c:v>52</c:v>
                  </c:pt>
                  <c:pt idx="1268">
                    <c:v>78</c:v>
                  </c:pt>
                  <c:pt idx="1269">
                    <c:v>105</c:v>
                  </c:pt>
                  <c:pt idx="1270">
                    <c:v>157</c:v>
                  </c:pt>
                  <c:pt idx="1271">
                    <c:v>249</c:v>
                  </c:pt>
                  <c:pt idx="1272">
                    <c:v>326</c:v>
                  </c:pt>
                  <c:pt idx="1273">
                    <c:v>80</c:v>
                  </c:pt>
                  <c:pt idx="1274">
                    <c:v>66</c:v>
                  </c:pt>
                  <c:pt idx="1275">
                    <c:v>94</c:v>
                  </c:pt>
                  <c:pt idx="1276">
                    <c:v>140</c:v>
                  </c:pt>
                  <c:pt idx="1277">
                    <c:v>184</c:v>
                  </c:pt>
                  <c:pt idx="1278">
                    <c:v>68</c:v>
                  </c:pt>
                  <c:pt idx="1279">
                    <c:v>339</c:v>
                  </c:pt>
                  <c:pt idx="1280">
                    <c:v>252</c:v>
                  </c:pt>
                  <c:pt idx="1281">
                    <c:v>217</c:v>
                  </c:pt>
                  <c:pt idx="1282">
                    <c:v>79</c:v>
                  </c:pt>
                  <c:pt idx="1283">
                    <c:v>458</c:v>
                  </c:pt>
                  <c:pt idx="1284">
                    <c:v>297</c:v>
                  </c:pt>
                  <c:pt idx="1285">
                    <c:v>87</c:v>
                  </c:pt>
                  <c:pt idx="1286">
                    <c:v>115</c:v>
                  </c:pt>
                  <c:pt idx="1287">
                    <c:v>209</c:v>
                  </c:pt>
                  <c:pt idx="1288">
                    <c:v>290</c:v>
                  </c:pt>
                  <c:pt idx="1289">
                    <c:v>22</c:v>
                  </c:pt>
                  <c:pt idx="1290">
                    <c:v>450,8</c:v>
                  </c:pt>
                  <c:pt idx="1291">
                    <c:v>614,75</c:v>
                  </c:pt>
                  <c:pt idx="1292">
                    <c:v>112</c:v>
                  </c:pt>
                  <c:pt idx="1293">
                    <c:v>16</c:v>
                  </c:pt>
                  <c:pt idx="1294">
                    <c:v>27</c:v>
                  </c:pt>
                  <c:pt idx="1295">
                    <c:v>42</c:v>
                  </c:pt>
                  <c:pt idx="1296">
                    <c:v>56</c:v>
                  </c:pt>
                  <c:pt idx="1297">
                    <c:v>8</c:v>
                  </c:pt>
                  <c:pt idx="1298">
                    <c:v>11</c:v>
                  </c:pt>
                  <c:pt idx="1299">
                    <c:v>14</c:v>
                  </c:pt>
                  <c:pt idx="1300">
                    <c:v>16</c:v>
                  </c:pt>
                  <c:pt idx="1302">
                    <c:v>7,26</c:v>
                  </c:pt>
                  <c:pt idx="1303">
                    <c:v>11</c:v>
                  </c:pt>
                  <c:pt idx="1304">
                    <c:v>14,85</c:v>
                  </c:pt>
                  <c:pt idx="1305">
                    <c:v>18,7</c:v>
                  </c:pt>
                  <c:pt idx="1306">
                    <c:v>12,1</c:v>
                  </c:pt>
                  <c:pt idx="1307">
                    <c:v>16,5</c:v>
                  </c:pt>
                  <c:pt idx="1308">
                    <c:v>17,05</c:v>
                  </c:pt>
                  <c:pt idx="1309">
                    <c:v>21,67</c:v>
                  </c:pt>
                  <c:pt idx="1310">
                    <c:v>37,95</c:v>
                  </c:pt>
                  <c:pt idx="1311">
                    <c:v>10,45</c:v>
                  </c:pt>
                  <c:pt idx="1312">
                    <c:v>39,6</c:v>
                  </c:pt>
                  <c:pt idx="1313">
                    <c:v>52,8</c:v>
                  </c:pt>
                  <c:pt idx="1314">
                    <c:v>1,21</c:v>
                  </c:pt>
                  <c:pt idx="1319">
                    <c:v>1218</c:v>
                  </c:pt>
                  <c:pt idx="1320">
                    <c:v>600</c:v>
                  </c:pt>
                  <c:pt idx="1321">
                    <c:v>495</c:v>
                  </c:pt>
                  <c:pt idx="1322">
                    <c:v>800</c:v>
                  </c:pt>
                  <c:pt idx="1323">
                    <c:v>574</c:v>
                  </c:pt>
                  <c:pt idx="1324">
                    <c:v>920</c:v>
                  </c:pt>
                  <c:pt idx="1325">
                    <c:v>1008</c:v>
                  </c:pt>
                  <c:pt idx="1328">
                    <c:v>0</c:v>
                  </c:pt>
                  <c:pt idx="1329">
                    <c:v>1035</c:v>
                  </c:pt>
                  <c:pt idx="1330">
                    <c:v>1012</c:v>
                  </c:pt>
                  <c:pt idx="1331">
                    <c:v>1653</c:v>
                  </c:pt>
                  <c:pt idx="1332">
                    <c:v>2280</c:v>
                  </c:pt>
                  <c:pt idx="1335">
                    <c:v>960</c:v>
                  </c:pt>
                  <c:pt idx="1339">
                    <c:v>720</c:v>
                  </c:pt>
                  <c:pt idx="1340">
                    <c:v>1520</c:v>
                  </c:pt>
                  <c:pt idx="1341">
                    <c:v>3760</c:v>
                  </c:pt>
                  <c:pt idx="1348">
                    <c:v>1273</c:v>
                  </c:pt>
                  <c:pt idx="1349">
                    <c:v>1247</c:v>
                  </c:pt>
                  <c:pt idx="1353">
                    <c:v>22</c:v>
                  </c:pt>
                  <c:pt idx="1355">
                    <c:v>836</c:v>
                  </c:pt>
                  <c:pt idx="1356">
                    <c:v>1232</c:v>
                  </c:pt>
                  <c:pt idx="1357">
                    <c:v>1934</c:v>
                  </c:pt>
                  <c:pt idx="1358">
                    <c:v>800</c:v>
                  </c:pt>
                  <c:pt idx="1359">
                    <c:v>153</c:v>
                  </c:pt>
                  <c:pt idx="1360">
                    <c:v>1281</c:v>
                  </c:pt>
                  <c:pt idx="1361">
                    <c:v>125</c:v>
                  </c:pt>
                  <c:pt idx="1362">
                    <c:v>100</c:v>
                  </c:pt>
                  <c:pt idx="1363">
                    <c:v>69</c:v>
                  </c:pt>
                  <c:pt idx="1364">
                    <c:v>115</c:v>
                  </c:pt>
                  <c:pt idx="1365">
                    <c:v>24</c:v>
                  </c:pt>
                  <c:pt idx="1366">
                    <c:v>31</c:v>
                  </c:pt>
                  <c:pt idx="1367">
                    <c:v>44</c:v>
                  </c:pt>
                  <c:pt idx="1368">
                    <c:v>56</c:v>
                  </c:pt>
                  <c:pt idx="1369">
                    <c:v>81</c:v>
                  </c:pt>
                  <c:pt idx="1370">
                    <c:v>20</c:v>
                  </c:pt>
                  <c:pt idx="1371">
                    <c:v>26</c:v>
                  </c:pt>
                  <c:pt idx="1372">
                    <c:v>30</c:v>
                  </c:pt>
                  <c:pt idx="1373">
                    <c:v>45</c:v>
                  </c:pt>
                  <c:pt idx="1374">
                    <c:v>647,54</c:v>
                  </c:pt>
                  <c:pt idx="1375">
                    <c:v>209</c:v>
                  </c:pt>
                  <c:pt idx="1376">
                    <c:v>7</c:v>
                  </c:pt>
                  <c:pt idx="1377">
                    <c:v>18,37</c:v>
                  </c:pt>
                  <c:pt idx="1378">
                    <c:v>31,89</c:v>
                  </c:pt>
                  <c:pt idx="1379">
                    <c:v>42</c:v>
                  </c:pt>
                  <c:pt idx="1380">
                    <c:v>38</c:v>
                  </c:pt>
                  <c:pt idx="1381">
                    <c:v>47</c:v>
                  </c:pt>
                  <c:pt idx="1382">
                    <c:v>8</c:v>
                  </c:pt>
                  <c:pt idx="1383">
                    <c:v>12</c:v>
                  </c:pt>
                  <c:pt idx="1384">
                    <c:v>9</c:v>
                  </c:pt>
                  <c:pt idx="1385">
                    <c:v>9</c:v>
                  </c:pt>
                  <c:pt idx="1386">
                    <c:v>48,46</c:v>
                  </c:pt>
                  <c:pt idx="1388">
                    <c:v>80</c:v>
                  </c:pt>
                  <c:pt idx="1389">
                    <c:v>138</c:v>
                  </c:pt>
                  <c:pt idx="1390">
                    <c:v>192</c:v>
                  </c:pt>
                  <c:pt idx="1391">
                    <c:v>259</c:v>
                  </c:pt>
                  <c:pt idx="1392">
                    <c:v>59</c:v>
                  </c:pt>
                  <c:pt idx="1393">
                    <c:v>138</c:v>
                  </c:pt>
                  <c:pt idx="1394">
                    <c:v>285</c:v>
                  </c:pt>
                  <c:pt idx="1395">
                    <c:v>739</c:v>
                  </c:pt>
                  <c:pt idx="1398">
                    <c:v>254</c:v>
                  </c:pt>
                  <c:pt idx="1399">
                    <c:v>3,93</c:v>
                  </c:pt>
                  <c:pt idx="1400">
                    <c:v>162</c:v>
                  </c:pt>
                  <c:pt idx="1401">
                    <c:v>235</c:v>
                  </c:pt>
                  <c:pt idx="1402">
                    <c:v>127,1</c:v>
                  </c:pt>
                  <c:pt idx="1403">
                    <c:v>137</c:v>
                  </c:pt>
                  <c:pt idx="1404">
                    <c:v>94</c:v>
                  </c:pt>
                  <c:pt idx="1405">
                    <c:v>662</c:v>
                  </c:pt>
                  <c:pt idx="1406">
                    <c:v>270</c:v>
                  </c:pt>
                  <c:pt idx="1407">
                    <c:v>80</c:v>
                  </c:pt>
                  <c:pt idx="1408">
                    <c:v>25</c:v>
                  </c:pt>
                  <c:pt idx="1409">
                    <c:v>31</c:v>
                  </c:pt>
                  <c:pt idx="1410">
                    <c:v>46</c:v>
                  </c:pt>
                  <c:pt idx="1411">
                    <c:v>59</c:v>
                  </c:pt>
                  <c:pt idx="1412">
                    <c:v>67</c:v>
                  </c:pt>
                  <c:pt idx="1413">
                    <c:v>89</c:v>
                  </c:pt>
                  <c:pt idx="1414">
                    <c:v>140</c:v>
                  </c:pt>
                  <c:pt idx="1415">
                    <c:v>185</c:v>
                  </c:pt>
                  <c:pt idx="1416">
                    <c:v>340</c:v>
                  </c:pt>
                  <c:pt idx="1417">
                    <c:v>446</c:v>
                  </c:pt>
                  <c:pt idx="1418">
                    <c:v>990</c:v>
                  </c:pt>
                  <c:pt idx="1419">
                    <c:v>28</c:v>
                  </c:pt>
                  <c:pt idx="1420">
                    <c:v>36</c:v>
                  </c:pt>
                  <c:pt idx="1421">
                    <c:v>40</c:v>
                  </c:pt>
                  <c:pt idx="1422">
                    <c:v>52</c:v>
                  </c:pt>
                  <c:pt idx="1423">
                    <c:v>55</c:v>
                  </c:pt>
                  <c:pt idx="1424">
                    <c:v>57,4</c:v>
                  </c:pt>
                  <c:pt idx="1425">
                    <c:v>71</c:v>
                  </c:pt>
                  <c:pt idx="1426">
                    <c:v>84</c:v>
                  </c:pt>
                  <c:pt idx="1427">
                    <c:v>180,6</c:v>
                  </c:pt>
                  <c:pt idx="1428">
                    <c:v>212</c:v>
                  </c:pt>
                  <c:pt idx="1429">
                    <c:v>317</c:v>
                  </c:pt>
                  <c:pt idx="1430">
                    <c:v>199</c:v>
                  </c:pt>
                  <c:pt idx="1431">
                    <c:v>299</c:v>
                  </c:pt>
                  <c:pt idx="1432">
                    <c:v>259</c:v>
                  </c:pt>
                  <c:pt idx="1433">
                    <c:v>69</c:v>
                  </c:pt>
                  <c:pt idx="1434">
                    <c:v>106</c:v>
                  </c:pt>
                  <c:pt idx="1435">
                    <c:v>269,9</c:v>
                  </c:pt>
                  <c:pt idx="1436">
                    <c:v>11,4</c:v>
                  </c:pt>
                  <c:pt idx="1437">
                    <c:v>285</c:v>
                  </c:pt>
                  <c:pt idx="1438">
                    <c:v>288,6</c:v>
                  </c:pt>
                  <c:pt idx="1439">
                    <c:v>11,7</c:v>
                  </c:pt>
                  <c:pt idx="1440">
                    <c:v>68,03</c:v>
                  </c:pt>
                  <c:pt idx="1441">
                    <c:v>57,6</c:v>
                  </c:pt>
                  <c:pt idx="1442">
                    <c:v>62,32</c:v>
                  </c:pt>
                  <c:pt idx="1443">
                    <c:v>38,124</c:v>
                  </c:pt>
                  <c:pt idx="1446">
                    <c:v>0</c:v>
                  </c:pt>
                  <c:pt idx="1449">
                    <c:v>166</c:v>
                  </c:pt>
                  <c:pt idx="1450">
                    <c:v>189</c:v>
                  </c:pt>
                  <c:pt idx="1451">
                    <c:v>180</c:v>
                  </c:pt>
                  <c:pt idx="1452">
                    <c:v>199,9</c:v>
                  </c:pt>
                  <c:pt idx="1453">
                    <c:v>499,9</c:v>
                  </c:pt>
                  <c:pt idx="1454">
                    <c:v>199,9</c:v>
                  </c:pt>
                  <c:pt idx="1455">
                    <c:v>249,9</c:v>
                  </c:pt>
                  <c:pt idx="1456">
                    <c:v>269,9</c:v>
                  </c:pt>
                  <c:pt idx="1457">
                    <c:v>269,9</c:v>
                  </c:pt>
                  <c:pt idx="1458">
                    <c:v>199,9</c:v>
                  </c:pt>
                  <c:pt idx="1459">
                    <c:v>650</c:v>
                  </c:pt>
                  <c:pt idx="1460">
                    <c:v>70</c:v>
                  </c:pt>
                  <c:pt idx="1461">
                    <c:v>65</c:v>
                  </c:pt>
                  <c:pt idx="1462">
                    <c:v>14,9</c:v>
                  </c:pt>
                  <c:pt idx="1463">
                    <c:v>632</c:v>
                  </c:pt>
                  <c:pt idx="1464">
                    <c:v>5,3</c:v>
                  </c:pt>
                  <c:pt idx="1465">
                    <c:v>79,9</c:v>
                  </c:pt>
                  <c:pt idx="1466">
                    <c:v>71</c:v>
                  </c:pt>
                  <c:pt idx="1467">
                    <c:v>80</c:v>
                  </c:pt>
                  <c:pt idx="1468">
                    <c:v>138,71</c:v>
                  </c:pt>
                  <c:pt idx="1469">
                    <c:v>41</c:v>
                  </c:pt>
                  <c:pt idx="1470">
                    <c:v>179,9</c:v>
                  </c:pt>
                  <c:pt idx="1474">
                    <c:v>380</c:v>
                  </c:pt>
                  <c:pt idx="1475">
                    <c:v>130</c:v>
                  </c:pt>
                  <c:pt idx="1476">
                    <c:v>760</c:v>
                  </c:pt>
                  <c:pt idx="1477">
                    <c:v>0</c:v>
                  </c:pt>
                  <c:pt idx="1478">
                    <c:v>29</c:v>
                  </c:pt>
                  <c:pt idx="1479">
                    <c:v>240</c:v>
                  </c:pt>
                  <c:pt idx="1480">
                    <c:v>79</c:v>
                  </c:pt>
                  <c:pt idx="1481">
                    <c:v>20</c:v>
                  </c:pt>
                  <c:pt idx="1482">
                    <c:v>890</c:v>
                  </c:pt>
                  <c:pt idx="1483">
                    <c:v>1225</c:v>
                  </c:pt>
                  <c:pt idx="1484">
                    <c:v>399,9</c:v>
                  </c:pt>
                  <c:pt idx="1485">
                    <c:v>1200</c:v>
                  </c:pt>
                  <c:pt idx="1486">
                    <c:v>2320</c:v>
                  </c:pt>
                  <c:pt idx="1487">
                    <c:v>58</c:v>
                  </c:pt>
                  <c:pt idx="1488">
                    <c:v>83</c:v>
                  </c:pt>
                  <c:pt idx="1489">
                    <c:v>48</c:v>
                  </c:pt>
                  <c:pt idx="1490">
                    <c:v>130</c:v>
                  </c:pt>
                  <c:pt idx="1491">
                    <c:v>59,9</c:v>
                  </c:pt>
                  <c:pt idx="1492">
                    <c:v>59,9</c:v>
                  </c:pt>
                  <c:pt idx="1493">
                    <c:v>59,9</c:v>
                  </c:pt>
                  <c:pt idx="1494">
                    <c:v>49,9</c:v>
                  </c:pt>
                  <c:pt idx="1495">
                    <c:v>129,9</c:v>
                  </c:pt>
                  <c:pt idx="1496">
                    <c:v>49,9</c:v>
                  </c:pt>
                  <c:pt idx="1497">
                    <c:v>149,09</c:v>
                  </c:pt>
                  <c:pt idx="1498">
                    <c:v>188</c:v>
                  </c:pt>
                  <c:pt idx="1499">
                    <c:v>17,68</c:v>
                  </c:pt>
                  <c:pt idx="1500">
                    <c:v>39,1</c:v>
                  </c:pt>
                  <c:pt idx="1501">
                    <c:v>57,8</c:v>
                  </c:pt>
                  <c:pt idx="1502">
                    <c:v>77,35</c:v>
                  </c:pt>
                  <c:pt idx="1503">
                    <c:v>320</c:v>
                  </c:pt>
                  <c:pt idx="1504">
                    <c:v>551</c:v>
                  </c:pt>
                  <c:pt idx="1505">
                    <c:v>369</c:v>
                  </c:pt>
                  <c:pt idx="1506">
                    <c:v>380</c:v>
                  </c:pt>
                  <c:pt idx="1507">
                    <c:v>16,4</c:v>
                  </c:pt>
                  <c:pt idx="1508">
                    <c:v>2509,92</c:v>
                  </c:pt>
                  <c:pt idx="1509">
                    <c:v>209</c:v>
                  </c:pt>
                  <c:pt idx="1510">
                    <c:v>242</c:v>
                  </c:pt>
                  <c:pt idx="1511">
                    <c:v>245,4</c:v>
                  </c:pt>
                  <c:pt idx="1512">
                    <c:v>217</c:v>
                  </c:pt>
                  <c:pt idx="1513">
                    <c:v>155</c:v>
                  </c:pt>
                  <c:pt idx="1514">
                    <c:v>245,4</c:v>
                  </c:pt>
                  <c:pt idx="1515">
                    <c:v>150</c:v>
                  </c:pt>
                  <c:pt idx="1516">
                    <c:v>140</c:v>
                  </c:pt>
                  <c:pt idx="1517">
                    <c:v>139</c:v>
                  </c:pt>
                  <c:pt idx="1518">
                    <c:v>170</c:v>
                  </c:pt>
                  <c:pt idx="1519">
                    <c:v>1933,8</c:v>
                  </c:pt>
                  <c:pt idx="1520">
                    <c:v>194</c:v>
                  </c:pt>
                  <c:pt idx="1521">
                    <c:v>345</c:v>
                  </c:pt>
                  <c:pt idx="1522">
                    <c:v>261,12</c:v>
                  </c:pt>
                  <c:pt idx="1523">
                    <c:v>150</c:v>
                  </c:pt>
                  <c:pt idx="1524">
                    <c:v>1544</c:v>
                  </c:pt>
                  <c:pt idx="1525">
                    <c:v>59</c:v>
                  </c:pt>
                  <c:pt idx="1526">
                    <c:v>47</c:v>
                  </c:pt>
                  <c:pt idx="1527">
                    <c:v>42</c:v>
                  </c:pt>
                  <c:pt idx="1528">
                    <c:v>47,11</c:v>
                  </c:pt>
                  <c:pt idx="1529">
                    <c:v>0</c:v>
                  </c:pt>
                  <c:pt idx="1530">
                    <c:v>0</c:v>
                  </c:pt>
                  <c:pt idx="1531">
                    <c:v>0</c:v>
                  </c:pt>
                  <c:pt idx="1532">
                    <c:v>62</c:v>
                  </c:pt>
                  <c:pt idx="1533">
                    <c:v>123</c:v>
                  </c:pt>
                  <c:pt idx="1534">
                    <c:v>219</c:v>
                  </c:pt>
                  <c:pt idx="1535">
                    <c:v>80</c:v>
                  </c:pt>
                  <c:pt idx="1536">
                    <c:v>32</c:v>
                  </c:pt>
                  <c:pt idx="1537">
                    <c:v>35,15</c:v>
                  </c:pt>
                  <c:pt idx="1538">
                    <c:v>31,15</c:v>
                  </c:pt>
                  <c:pt idx="1539">
                    <c:v>3,23</c:v>
                  </c:pt>
                  <c:pt idx="1540">
                    <c:v>91</c:v>
                  </c:pt>
                  <c:pt idx="1541">
                    <c:v>62</c:v>
                  </c:pt>
                  <c:pt idx="1542">
                    <c:v>29</c:v>
                  </c:pt>
                  <c:pt idx="1543">
                    <c:v>79</c:v>
                  </c:pt>
                  <c:pt idx="1544">
                    <c:v>209</c:v>
                  </c:pt>
                  <c:pt idx="1545">
                    <c:v>149</c:v>
                  </c:pt>
                  <c:pt idx="1546">
                    <c:v>19,9</c:v>
                  </c:pt>
                  <c:pt idx="1547">
                    <c:v>25,9</c:v>
                  </c:pt>
                  <c:pt idx="1548">
                    <c:v>100</c:v>
                  </c:pt>
                  <c:pt idx="1549">
                    <c:v>184,05</c:v>
                  </c:pt>
                  <c:pt idx="1550">
                    <c:v>409</c:v>
                  </c:pt>
                  <c:pt idx="1551">
                    <c:v>216,77</c:v>
                  </c:pt>
                  <c:pt idx="1552">
                    <c:v>1</c:v>
                  </c:pt>
                  <c:pt idx="1553">
                    <c:v>116,74</c:v>
                  </c:pt>
                  <c:pt idx="1554">
                    <c:v>68,67</c:v>
                  </c:pt>
                  <c:pt idx="1555">
                    <c:v>45</c:v>
                  </c:pt>
                  <c:pt idx="1556">
                    <c:v>330,87</c:v>
                  </c:pt>
                  <c:pt idx="1557">
                    <c:v>410,1</c:v>
                  </c:pt>
                  <c:pt idx="1558">
                    <c:v>243,44</c:v>
                  </c:pt>
                  <c:pt idx="1559">
                    <c:v>212,02</c:v>
                  </c:pt>
                  <c:pt idx="1560">
                    <c:v>86,45</c:v>
                  </c:pt>
                  <c:pt idx="1561">
                    <c:v>1870</c:v>
                  </c:pt>
                  <c:pt idx="1562">
                    <c:v>1220</c:v>
                  </c:pt>
                  <c:pt idx="1563">
                    <c:v>1</c:v>
                  </c:pt>
                  <c:pt idx="1564">
                    <c:v>1</c:v>
                  </c:pt>
                  <c:pt idx="1565">
                    <c:v>1</c:v>
                  </c:pt>
                  <c:pt idx="1566">
                    <c:v>0</c:v>
                  </c:pt>
                  <c:pt idx="1567">
                    <c:v>2940</c:v>
                  </c:pt>
                  <c:pt idx="1568">
                    <c:v>1553</c:v>
                  </c:pt>
                  <c:pt idx="1569">
                    <c:v>153</c:v>
                  </c:pt>
                  <c:pt idx="1570">
                    <c:v>1030,36</c:v>
                  </c:pt>
                  <c:pt idx="1571">
                    <c:v>1935,81</c:v>
                  </c:pt>
                  <c:pt idx="1572">
                    <c:v>24,9</c:v>
                  </c:pt>
                  <c:pt idx="1573">
                    <c:v>145</c:v>
                  </c:pt>
                  <c:pt idx="1574">
                    <c:v>54</c:v>
                  </c:pt>
                  <c:pt idx="1575">
                    <c:v>66</c:v>
                  </c:pt>
                  <c:pt idx="1576">
                    <c:v>108</c:v>
                  </c:pt>
                  <c:pt idx="1577">
                    <c:v>97</c:v>
                  </c:pt>
                  <c:pt idx="1578">
                    <c:v>42,77</c:v>
                  </c:pt>
                  <c:pt idx="1579">
                    <c:v>764,15</c:v>
                  </c:pt>
                  <c:pt idx="1580">
                    <c:v>1319,2</c:v>
                  </c:pt>
                  <c:pt idx="1581">
                    <c:v>578</c:v>
                  </c:pt>
                  <c:pt idx="1582">
                    <c:v>444,56</c:v>
                  </c:pt>
                  <c:pt idx="1583">
                    <c:v>9</c:v>
                  </c:pt>
                  <c:pt idx="1584">
                    <c:v>1805</c:v>
                  </c:pt>
                  <c:pt idx="1585">
                    <c:v>555</c:v>
                  </c:pt>
                  <c:pt idx="1586">
                    <c:v>60</c:v>
                  </c:pt>
                  <c:pt idx="1587">
                    <c:v>461</c:v>
                  </c:pt>
                  <c:pt idx="1588">
                    <c:v>250</c:v>
                  </c:pt>
                  <c:pt idx="1589">
                    <c:v>515</c:v>
                  </c:pt>
                  <c:pt idx="1590">
                    <c:v>265</c:v>
                  </c:pt>
                  <c:pt idx="1591">
                    <c:v>1442,93</c:v>
                  </c:pt>
                  <c:pt idx="1592">
                    <c:v>57</c:v>
                  </c:pt>
                  <c:pt idx="1593">
                    <c:v>1360,81</c:v>
                  </c:pt>
                  <c:pt idx="1594">
                    <c:v>108</c:v>
                  </c:pt>
                  <c:pt idx="1595">
                    <c:v>756,51</c:v>
                  </c:pt>
                  <c:pt idx="1596">
                    <c:v>139,93</c:v>
                  </c:pt>
                  <c:pt idx="1597">
                    <c:v>927,31</c:v>
                  </c:pt>
                  <c:pt idx="1598">
                    <c:v>828</c:v>
                  </c:pt>
                  <c:pt idx="1599">
                    <c:v>882,75</c:v>
                  </c:pt>
                  <c:pt idx="1600">
                    <c:v>49,06</c:v>
                  </c:pt>
                  <c:pt idx="1601">
                    <c:v>362,3</c:v>
                  </c:pt>
                  <c:pt idx="1602">
                    <c:v>980,12</c:v>
                  </c:pt>
                  <c:pt idx="1603">
                    <c:v>54,45</c:v>
                  </c:pt>
                  <c:pt idx="1604">
                    <c:v>457,1</c:v>
                  </c:pt>
                  <c:pt idx="1605">
                    <c:v>1406,17</c:v>
                  </c:pt>
                  <c:pt idx="1606">
                    <c:v>63,92</c:v>
                  </c:pt>
                  <c:pt idx="1607">
                    <c:v>719,67</c:v>
                  </c:pt>
                  <c:pt idx="1608">
                    <c:v>541,66</c:v>
                  </c:pt>
                  <c:pt idx="1609">
                    <c:v>353,28</c:v>
                  </c:pt>
                  <c:pt idx="1610">
                    <c:v>928,24</c:v>
                  </c:pt>
                  <c:pt idx="1611">
                    <c:v>2302,31</c:v>
                  </c:pt>
                  <c:pt idx="1612">
                    <c:v>95,93</c:v>
                  </c:pt>
                  <c:pt idx="1613">
                    <c:v>1970,98</c:v>
                  </c:pt>
                  <c:pt idx="1614">
                    <c:v>82,08</c:v>
                  </c:pt>
                  <c:pt idx="1615">
                    <c:v>1299,18</c:v>
                  </c:pt>
                  <c:pt idx="1616">
                    <c:v>173,224</c:v>
                  </c:pt>
                  <c:pt idx="1617">
                    <c:v>0</c:v>
                  </c:pt>
                  <c:pt idx="1618">
                    <c:v>229</c:v>
                  </c:pt>
                  <c:pt idx="1619">
                    <c:v>767</c:v>
                  </c:pt>
                  <c:pt idx="1621">
                    <c:v>1395</c:v>
                  </c:pt>
                  <c:pt idx="1622">
                    <c:v>715,5</c:v>
                  </c:pt>
                  <c:pt idx="1623">
                    <c:v>63</c:v>
                  </c:pt>
                  <c:pt idx="1624">
                    <c:v>1602</c:v>
                  </c:pt>
                  <c:pt idx="1625">
                    <c:v>285</c:v>
                  </c:pt>
                  <c:pt idx="1626">
                    <c:v>817</c:v>
                  </c:pt>
                  <c:pt idx="1627">
                    <c:v>1097,33</c:v>
                  </c:pt>
                  <c:pt idx="1628">
                    <c:v>2013</c:v>
                  </c:pt>
                  <c:pt idx="1629">
                    <c:v>2142,86</c:v>
                  </c:pt>
                  <c:pt idx="1630">
                    <c:v>1035,07</c:v>
                  </c:pt>
                  <c:pt idx="1631">
                    <c:v>101,8</c:v>
                  </c:pt>
                  <c:pt idx="1632">
                    <c:v>2137,14</c:v>
                  </c:pt>
                  <c:pt idx="1633">
                    <c:v>121</c:v>
                  </c:pt>
                  <c:pt idx="1634">
                    <c:v>142,5</c:v>
                  </c:pt>
                  <c:pt idx="1635">
                    <c:v>742,5</c:v>
                  </c:pt>
                  <c:pt idx="1636">
                    <c:v>1945</c:v>
                  </c:pt>
                  <c:pt idx="1637">
                    <c:v>97</c:v>
                  </c:pt>
                  <c:pt idx="1638">
                    <c:v>145</c:v>
                  </c:pt>
                  <c:pt idx="1639">
                    <c:v>2908,75</c:v>
                  </c:pt>
                  <c:pt idx="1640">
                    <c:v>2232</c:v>
                  </c:pt>
                  <c:pt idx="1641">
                    <c:v>307,38</c:v>
                  </c:pt>
                  <c:pt idx="1642">
                    <c:v>725</c:v>
                  </c:pt>
                  <c:pt idx="1643">
                    <c:v>1165</c:v>
                  </c:pt>
                  <c:pt idx="1644">
                    <c:v>329</c:v>
                  </c:pt>
                  <c:pt idx="1645">
                    <c:v>859</c:v>
                  </c:pt>
                  <c:pt idx="1646">
                    <c:v>639</c:v>
                  </c:pt>
                  <c:pt idx="1647">
                    <c:v>289</c:v>
                  </c:pt>
                  <c:pt idx="1648">
                    <c:v>490</c:v>
                  </c:pt>
                  <c:pt idx="1649">
                    <c:v>158</c:v>
                  </c:pt>
                  <c:pt idx="1650">
                    <c:v>151</c:v>
                  </c:pt>
                  <c:pt idx="1651">
                    <c:v>131,6</c:v>
                  </c:pt>
                  <c:pt idx="1652">
                    <c:v>35</c:v>
                  </c:pt>
                  <c:pt idx="1653">
                    <c:v>1200</c:v>
                  </c:pt>
                  <c:pt idx="1654">
                    <c:v>70</c:v>
                  </c:pt>
                  <c:pt idx="1655">
                    <c:v>138,25</c:v>
                  </c:pt>
                  <c:pt idx="1656">
                    <c:v>18</c:v>
                  </c:pt>
                  <c:pt idx="1657">
                    <c:v>28</c:v>
                  </c:pt>
                  <c:pt idx="1658">
                    <c:v>84</c:v>
                  </c:pt>
                  <c:pt idx="1659">
                    <c:v>46</c:v>
                  </c:pt>
                  <c:pt idx="1660">
                    <c:v>56</c:v>
                  </c:pt>
                  <c:pt idx="1661">
                    <c:v>16,13</c:v>
                  </c:pt>
                  <c:pt idx="1662">
                    <c:v>62,3</c:v>
                  </c:pt>
                  <c:pt idx="1663">
                    <c:v>114,75</c:v>
                  </c:pt>
                  <c:pt idx="1664">
                    <c:v>85</c:v>
                  </c:pt>
                  <c:pt idx="1665">
                    <c:v>260</c:v>
                  </c:pt>
                  <c:pt idx="1666">
                    <c:v>620</c:v>
                  </c:pt>
                  <c:pt idx="1667">
                    <c:v>62</c:v>
                  </c:pt>
                  <c:pt idx="1668">
                    <c:v>44,9</c:v>
                  </c:pt>
                  <c:pt idx="1669">
                    <c:v>28</c:v>
                  </c:pt>
                  <c:pt idx="1670">
                    <c:v>234</c:v>
                  </c:pt>
                  <c:pt idx="1671">
                    <c:v>216</c:v>
                  </c:pt>
                  <c:pt idx="1672">
                    <c:v>155</c:v>
                  </c:pt>
                  <c:pt idx="1673">
                    <c:v>220</c:v>
                  </c:pt>
                  <c:pt idx="1674">
                    <c:v>134,42</c:v>
                  </c:pt>
                  <c:pt idx="1675">
                    <c:v>119,67</c:v>
                  </c:pt>
                  <c:pt idx="1676">
                    <c:v>105,73</c:v>
                  </c:pt>
                  <c:pt idx="1677">
                    <c:v>122,95</c:v>
                  </c:pt>
                  <c:pt idx="1678">
                    <c:v>155,98</c:v>
                  </c:pt>
                  <c:pt idx="1679">
                    <c:v>171,96</c:v>
                  </c:pt>
                  <c:pt idx="1680">
                    <c:v>140,16</c:v>
                  </c:pt>
                  <c:pt idx="1681">
                    <c:v>118,03</c:v>
                  </c:pt>
                  <c:pt idx="1682">
                    <c:v>169,67</c:v>
                  </c:pt>
                  <c:pt idx="1683">
                    <c:v>209,84</c:v>
                  </c:pt>
                  <c:pt idx="1684">
                    <c:v>130</c:v>
                  </c:pt>
                  <c:pt idx="1685">
                    <c:v>102,28</c:v>
                  </c:pt>
                  <c:pt idx="1686">
                    <c:v>93,44</c:v>
                  </c:pt>
                  <c:pt idx="1687">
                    <c:v>111,47</c:v>
                  </c:pt>
                  <c:pt idx="1688">
                    <c:v>156,55</c:v>
                  </c:pt>
                  <c:pt idx="1689">
                    <c:v>98,36</c:v>
                  </c:pt>
                  <c:pt idx="1690">
                    <c:v>285</c:v>
                  </c:pt>
                  <c:pt idx="1691">
                    <c:v>25</c:v>
                  </c:pt>
                  <c:pt idx="1692">
                    <c:v>649,9</c:v>
                  </c:pt>
                  <c:pt idx="1693">
                    <c:v>141</c:v>
                  </c:pt>
                  <c:pt idx="1694">
                    <c:v>86</c:v>
                  </c:pt>
                  <c:pt idx="1695">
                    <c:v>75</c:v>
                  </c:pt>
                  <c:pt idx="1696">
                    <c:v>121,5</c:v>
                  </c:pt>
                  <c:pt idx="1697">
                    <c:v>121,5</c:v>
                  </c:pt>
                  <c:pt idx="1698">
                    <c:v>121,5</c:v>
                  </c:pt>
                  <c:pt idx="1699">
                    <c:v>499,9</c:v>
                  </c:pt>
                  <c:pt idx="1700">
                    <c:v>87,62</c:v>
                  </c:pt>
                  <c:pt idx="1701">
                    <c:v>163,27</c:v>
                  </c:pt>
                  <c:pt idx="1702">
                    <c:v>60,64</c:v>
                  </c:pt>
                  <c:pt idx="1703">
                    <c:v>38,67</c:v>
                  </c:pt>
                  <c:pt idx="1704">
                    <c:v>79,9</c:v>
                  </c:pt>
                  <c:pt idx="1705">
                    <c:v>69,9</c:v>
                  </c:pt>
                  <c:pt idx="1706">
                    <c:v>645</c:v>
                  </c:pt>
                  <c:pt idx="1707">
                    <c:v>195</c:v>
                  </c:pt>
                  <c:pt idx="1708">
                    <c:v>139</c:v>
                  </c:pt>
                  <c:pt idx="1709">
                    <c:v>145,8</c:v>
                  </c:pt>
                  <c:pt idx="1710">
                    <c:v>59</c:v>
                  </c:pt>
                  <c:pt idx="1711">
                    <c:v>64</c:v>
                  </c:pt>
                  <c:pt idx="1712">
                    <c:v>81</c:v>
                  </c:pt>
                  <c:pt idx="1713">
                    <c:v>29</c:v>
                  </c:pt>
                  <c:pt idx="1714">
                    <c:v>238</c:v>
                  </c:pt>
                  <c:pt idx="1715">
                    <c:v>212</c:v>
                  </c:pt>
                  <c:pt idx="1716">
                    <c:v>185</c:v>
                  </c:pt>
                  <c:pt idx="1717">
                    <c:v>46,72</c:v>
                  </c:pt>
                  <c:pt idx="1718">
                    <c:v>68,85</c:v>
                  </c:pt>
                  <c:pt idx="1719">
                    <c:v>100</c:v>
                  </c:pt>
                  <c:pt idx="1720">
                    <c:v>25</c:v>
                  </c:pt>
                  <c:pt idx="1721">
                    <c:v>35</c:v>
                  </c:pt>
                  <c:pt idx="1722">
                    <c:v>90</c:v>
                  </c:pt>
                  <c:pt idx="1723">
                    <c:v>222</c:v>
                  </c:pt>
                  <c:pt idx="1724">
                    <c:v>318</c:v>
                  </c:pt>
                </c:lvl>
                <c:lvl>
                  <c:pt idx="0">
                    <c:v>1,2</c:v>
                  </c:pt>
                  <c:pt idx="1">
                    <c:v>1</c:v>
                  </c:pt>
                  <c:pt idx="2">
                    <c:v>1</c:v>
                  </c:pt>
                  <c:pt idx="3">
                    <c:v>1,22</c:v>
                  </c:pt>
                  <c:pt idx="4">
                    <c:v>1,22</c:v>
                  </c:pt>
                  <c:pt idx="5">
                    <c:v>1</c:v>
                  </c:pt>
                  <c:pt idx="6">
                    <c:v>1</c:v>
                  </c:pt>
                  <c:pt idx="7">
                    <c:v>1</c:v>
                  </c:pt>
                  <c:pt idx="8">
                    <c:v>1,22</c:v>
                  </c:pt>
                  <c:pt idx="9">
                    <c:v>1</c:v>
                  </c:pt>
                  <c:pt idx="10">
                    <c:v>1,22</c:v>
                  </c:pt>
                  <c:pt idx="11">
                    <c:v>1,22</c:v>
                  </c:pt>
                  <c:pt idx="12">
                    <c:v>1,22</c:v>
                  </c:pt>
                  <c:pt idx="13">
                    <c:v>1,22</c:v>
                  </c:pt>
                  <c:pt idx="14">
                    <c:v>1,22</c:v>
                  </c:pt>
                  <c:pt idx="15">
                    <c:v>1,22</c:v>
                  </c:pt>
                  <c:pt idx="16">
                    <c:v>1,22</c:v>
                  </c:pt>
                  <c:pt idx="17">
                    <c:v>1,22</c:v>
                  </c:pt>
                  <c:pt idx="18">
                    <c:v>1,22</c:v>
                  </c:pt>
                  <c:pt idx="19">
                    <c:v>1,22</c:v>
                  </c:pt>
                  <c:pt idx="20">
                    <c:v>1,22</c:v>
                  </c:pt>
                  <c:pt idx="21">
                    <c:v>1,22</c:v>
                  </c:pt>
                  <c:pt idx="22">
                    <c:v>1,22</c:v>
                  </c:pt>
                  <c:pt idx="23">
                    <c:v>1,22</c:v>
                  </c:pt>
                  <c:pt idx="24">
                    <c:v>1</c:v>
                  </c:pt>
                  <c:pt idx="25">
                    <c:v>1</c:v>
                  </c:pt>
                  <c:pt idx="26">
                    <c:v>1,22</c:v>
                  </c:pt>
                  <c:pt idx="27">
                    <c:v>1,22</c:v>
                  </c:pt>
                  <c:pt idx="28">
                    <c:v>1,22</c:v>
                  </c:pt>
                  <c:pt idx="29">
                    <c:v>1,22</c:v>
                  </c:pt>
                  <c:pt idx="30">
                    <c:v>1,22</c:v>
                  </c:pt>
                  <c:pt idx="31">
                    <c:v>1,22</c:v>
                  </c:pt>
                  <c:pt idx="32">
                    <c:v>1,22</c:v>
                  </c:pt>
                  <c:pt idx="33">
                    <c:v>1,22</c:v>
                  </c:pt>
                  <c:pt idx="34">
                    <c:v>1</c:v>
                  </c:pt>
                  <c:pt idx="35">
                    <c:v>1,22</c:v>
                  </c:pt>
                  <c:pt idx="36">
                    <c:v>1,22</c:v>
                  </c:pt>
                  <c:pt idx="37">
                    <c:v>1,22</c:v>
                  </c:pt>
                  <c:pt idx="38">
                    <c:v>1,22</c:v>
                  </c:pt>
                  <c:pt idx="39">
                    <c:v>1,22</c:v>
                  </c:pt>
                  <c:pt idx="40">
                    <c:v>1</c:v>
                  </c:pt>
                  <c:pt idx="41">
                    <c:v>1</c:v>
                  </c:pt>
                  <c:pt idx="42">
                    <c:v>1,22</c:v>
                  </c:pt>
                  <c:pt idx="43">
                    <c:v>1,22</c:v>
                  </c:pt>
                  <c:pt idx="44">
                    <c:v>1</c:v>
                  </c:pt>
                  <c:pt idx="45">
                    <c:v>1</c:v>
                  </c:pt>
                  <c:pt idx="46">
                    <c:v>1,22</c:v>
                  </c:pt>
                  <c:pt idx="47">
                    <c:v>1,22</c:v>
                  </c:pt>
                  <c:pt idx="48">
                    <c:v>1,22</c:v>
                  </c:pt>
                  <c:pt idx="49">
                    <c:v>1,22</c:v>
                  </c:pt>
                  <c:pt idx="50">
                    <c:v>1,22</c:v>
                  </c:pt>
                  <c:pt idx="51">
                    <c:v>1</c:v>
                  </c:pt>
                  <c:pt idx="52">
                    <c:v>1</c:v>
                  </c:pt>
                  <c:pt idx="53">
                    <c:v>1,22</c:v>
                  </c:pt>
                  <c:pt idx="54">
                    <c:v>1,22</c:v>
                  </c:pt>
                  <c:pt idx="55">
                    <c:v>1,22</c:v>
                  </c:pt>
                  <c:pt idx="56">
                    <c:v>1,22</c:v>
                  </c:pt>
                  <c:pt idx="57">
                    <c:v>1,22</c:v>
                  </c:pt>
                  <c:pt idx="58">
                    <c:v>1,22</c:v>
                  </c:pt>
                  <c:pt idx="59">
                    <c:v>1,22</c:v>
                  </c:pt>
                  <c:pt idx="60">
                    <c:v>1</c:v>
                  </c:pt>
                  <c:pt idx="61">
                    <c:v>1,22</c:v>
                  </c:pt>
                  <c:pt idx="62">
                    <c:v>1,22</c:v>
                  </c:pt>
                  <c:pt idx="63">
                    <c:v>1,22</c:v>
                  </c:pt>
                  <c:pt idx="64">
                    <c:v>1,22</c:v>
                  </c:pt>
                  <c:pt idx="65">
                    <c:v>1,22</c:v>
                  </c:pt>
                  <c:pt idx="66">
                    <c:v>1,22</c:v>
                  </c:pt>
                  <c:pt idx="67">
                    <c:v>1,22</c:v>
                  </c:pt>
                  <c:pt idx="68">
                    <c:v>1,22</c:v>
                  </c:pt>
                  <c:pt idx="69">
                    <c:v>1,22</c:v>
                  </c:pt>
                  <c:pt idx="70">
                    <c:v>1,22</c:v>
                  </c:pt>
                  <c:pt idx="71">
                    <c:v>1,22</c:v>
                  </c:pt>
                  <c:pt idx="72">
                    <c:v>1</c:v>
                  </c:pt>
                  <c:pt idx="73">
                    <c:v>1</c:v>
                  </c:pt>
                  <c:pt idx="74">
                    <c:v>1</c:v>
                  </c:pt>
                  <c:pt idx="75">
                    <c:v>1</c:v>
                  </c:pt>
                  <c:pt idx="76">
                    <c:v>1,22</c:v>
                  </c:pt>
                  <c:pt idx="77">
                    <c:v>1,22</c:v>
                  </c:pt>
                  <c:pt idx="78">
                    <c:v>1,22</c:v>
                  </c:pt>
                  <c:pt idx="79">
                    <c:v>1,22</c:v>
                  </c:pt>
                  <c:pt idx="80">
                    <c:v>1,22</c:v>
                  </c:pt>
                  <c:pt idx="81">
                    <c:v>1,22</c:v>
                  </c:pt>
                  <c:pt idx="82">
                    <c:v>1,22</c:v>
                  </c:pt>
                  <c:pt idx="83">
                    <c:v>1,22</c:v>
                  </c:pt>
                  <c:pt idx="84">
                    <c:v>1,22</c:v>
                  </c:pt>
                  <c:pt idx="85">
                    <c:v>1,22</c:v>
                  </c:pt>
                  <c:pt idx="86">
                    <c:v>1,22</c:v>
                  </c:pt>
                  <c:pt idx="87">
                    <c:v>1,22</c:v>
                  </c:pt>
                  <c:pt idx="88">
                    <c:v>1</c:v>
                  </c:pt>
                  <c:pt idx="89">
                    <c:v>1</c:v>
                  </c:pt>
                  <c:pt idx="90">
                    <c:v>1,22</c:v>
                  </c:pt>
                  <c:pt idx="91">
                    <c:v>1,22</c:v>
                  </c:pt>
                  <c:pt idx="92">
                    <c:v>1,22</c:v>
                  </c:pt>
                  <c:pt idx="93">
                    <c:v>1,22</c:v>
                  </c:pt>
                  <c:pt idx="94">
                    <c:v>1,22</c:v>
                  </c:pt>
                  <c:pt idx="95">
                    <c:v>1,22</c:v>
                  </c:pt>
                  <c:pt idx="96">
                    <c:v>1,22</c:v>
                  </c:pt>
                  <c:pt idx="97">
                    <c:v>1</c:v>
                  </c:pt>
                  <c:pt idx="98">
                    <c:v>1,22</c:v>
                  </c:pt>
                  <c:pt idx="99">
                    <c:v>1,22</c:v>
                  </c:pt>
                  <c:pt idx="100">
                    <c:v>1</c:v>
                  </c:pt>
                  <c:pt idx="101">
                    <c:v>1,22</c:v>
                  </c:pt>
                  <c:pt idx="102">
                    <c:v>1,22</c:v>
                  </c:pt>
                  <c:pt idx="103">
                    <c:v>1,22</c:v>
                  </c:pt>
                  <c:pt idx="104">
                    <c:v>1,22</c:v>
                  </c:pt>
                  <c:pt idx="105">
                    <c:v>1,22</c:v>
                  </c:pt>
                  <c:pt idx="106">
                    <c:v>1,22</c:v>
                  </c:pt>
                  <c:pt idx="107">
                    <c:v>1,22</c:v>
                  </c:pt>
                  <c:pt idx="108">
                    <c:v>1,22</c:v>
                  </c:pt>
                  <c:pt idx="109">
                    <c:v>1,22</c:v>
                  </c:pt>
                  <c:pt idx="110">
                    <c:v>1,22</c:v>
                  </c:pt>
                  <c:pt idx="111">
                    <c:v>1,22</c:v>
                  </c:pt>
                  <c:pt idx="112">
                    <c:v>1,22</c:v>
                  </c:pt>
                  <c:pt idx="113">
                    <c:v>1,2</c:v>
                  </c:pt>
                  <c:pt idx="114">
                    <c:v>1,22</c:v>
                  </c:pt>
                  <c:pt idx="115">
                    <c:v>1,22</c:v>
                  </c:pt>
                  <c:pt idx="116">
                    <c:v>1,22</c:v>
                  </c:pt>
                  <c:pt idx="117">
                    <c:v>1,22</c:v>
                  </c:pt>
                  <c:pt idx="118">
                    <c:v>1,22</c:v>
                  </c:pt>
                  <c:pt idx="119">
                    <c:v>1,22</c:v>
                  </c:pt>
                  <c:pt idx="120">
                    <c:v>1,22</c:v>
                  </c:pt>
                  <c:pt idx="121">
                    <c:v>1,22</c:v>
                  </c:pt>
                  <c:pt idx="122">
                    <c:v>1</c:v>
                  </c:pt>
                  <c:pt idx="123">
                    <c:v>1</c:v>
                  </c:pt>
                  <c:pt idx="124">
                    <c:v>1,22</c:v>
                  </c:pt>
                  <c:pt idx="125">
                    <c:v>1,22</c:v>
                  </c:pt>
                  <c:pt idx="126">
                    <c:v>1,22</c:v>
                  </c:pt>
                  <c:pt idx="127">
                    <c:v>1,22</c:v>
                  </c:pt>
                  <c:pt idx="128">
                    <c:v>1,22</c:v>
                  </c:pt>
                  <c:pt idx="129">
                    <c:v>1,22</c:v>
                  </c:pt>
                  <c:pt idx="130">
                    <c:v>1,22</c:v>
                  </c:pt>
                  <c:pt idx="131">
                    <c:v>1,22</c:v>
                  </c:pt>
                  <c:pt idx="132">
                    <c:v>1,22</c:v>
                  </c:pt>
                  <c:pt idx="133">
                    <c:v>1,22</c:v>
                  </c:pt>
                  <c:pt idx="134">
                    <c:v>1,22</c:v>
                  </c:pt>
                  <c:pt idx="135">
                    <c:v>1,22</c:v>
                  </c:pt>
                  <c:pt idx="136">
                    <c:v>1,22</c:v>
                  </c:pt>
                  <c:pt idx="137">
                    <c:v>1,22</c:v>
                  </c:pt>
                  <c:pt idx="138">
                    <c:v>1,22</c:v>
                  </c:pt>
                  <c:pt idx="139">
                    <c:v>1,22</c:v>
                  </c:pt>
                  <c:pt idx="140">
                    <c:v>1,22</c:v>
                  </c:pt>
                  <c:pt idx="141">
                    <c:v>1,22</c:v>
                  </c:pt>
                  <c:pt idx="142">
                    <c:v>1,22</c:v>
                  </c:pt>
                  <c:pt idx="143">
                    <c:v>1,22</c:v>
                  </c:pt>
                  <c:pt idx="144">
                    <c:v>1,22</c:v>
                  </c:pt>
                  <c:pt idx="145">
                    <c:v>1,22</c:v>
                  </c:pt>
                  <c:pt idx="146">
                    <c:v>1,22</c:v>
                  </c:pt>
                  <c:pt idx="147">
                    <c:v>1,22</c:v>
                  </c:pt>
                  <c:pt idx="148">
                    <c:v>1,22</c:v>
                  </c:pt>
                  <c:pt idx="149">
                    <c:v>1,22</c:v>
                  </c:pt>
                  <c:pt idx="150">
                    <c:v>1,22</c:v>
                  </c:pt>
                  <c:pt idx="151">
                    <c:v>1,22</c:v>
                  </c:pt>
                  <c:pt idx="152">
                    <c:v>1,22</c:v>
                  </c:pt>
                  <c:pt idx="153">
                    <c:v>1,22</c:v>
                  </c:pt>
                  <c:pt idx="154">
                    <c:v>1,22</c:v>
                  </c:pt>
                  <c:pt idx="155">
                    <c:v>1,22</c:v>
                  </c:pt>
                  <c:pt idx="156">
                    <c:v>1,22</c:v>
                  </c:pt>
                  <c:pt idx="157">
                    <c:v>1,22</c:v>
                  </c:pt>
                  <c:pt idx="158">
                    <c:v>1,22</c:v>
                  </c:pt>
                  <c:pt idx="159">
                    <c:v>1,22</c:v>
                  </c:pt>
                  <c:pt idx="160">
                    <c:v>1,22</c:v>
                  </c:pt>
                  <c:pt idx="161">
                    <c:v>1</c:v>
                  </c:pt>
                  <c:pt idx="162">
                    <c:v>1,22</c:v>
                  </c:pt>
                  <c:pt idx="163">
                    <c:v>1,22</c:v>
                  </c:pt>
                  <c:pt idx="164">
                    <c:v>1,22</c:v>
                  </c:pt>
                  <c:pt idx="165">
                    <c:v>1</c:v>
                  </c:pt>
                  <c:pt idx="166">
                    <c:v>1,22</c:v>
                  </c:pt>
                  <c:pt idx="167">
                    <c:v>1,22</c:v>
                  </c:pt>
                  <c:pt idx="168">
                    <c:v>1,22</c:v>
                  </c:pt>
                  <c:pt idx="169">
                    <c:v>1,22</c:v>
                  </c:pt>
                  <c:pt idx="170">
                    <c:v>1</c:v>
                  </c:pt>
                  <c:pt idx="171">
                    <c:v>1,22</c:v>
                  </c:pt>
                  <c:pt idx="172">
                    <c:v>1,22</c:v>
                  </c:pt>
                  <c:pt idx="173">
                    <c:v>1</c:v>
                  </c:pt>
                  <c:pt idx="174">
                    <c:v>1,22</c:v>
                  </c:pt>
                  <c:pt idx="175">
                    <c:v>1,22</c:v>
                  </c:pt>
                  <c:pt idx="176">
                    <c:v>1,22</c:v>
                  </c:pt>
                  <c:pt idx="177">
                    <c:v>1,22</c:v>
                  </c:pt>
                  <c:pt idx="178">
                    <c:v>1,22</c:v>
                  </c:pt>
                  <c:pt idx="179">
                    <c:v>1,22</c:v>
                  </c:pt>
                  <c:pt idx="180">
                    <c:v>1,22</c:v>
                  </c:pt>
                  <c:pt idx="181">
                    <c:v>1,22</c:v>
                  </c:pt>
                  <c:pt idx="182">
                    <c:v>1,22</c:v>
                  </c:pt>
                  <c:pt idx="183">
                    <c:v>1,22</c:v>
                  </c:pt>
                  <c:pt idx="184">
                    <c:v>1,22</c:v>
                  </c:pt>
                  <c:pt idx="185">
                    <c:v>1,22</c:v>
                  </c:pt>
                  <c:pt idx="186">
                    <c:v>1,22</c:v>
                  </c:pt>
                  <c:pt idx="187">
                    <c:v>1,22</c:v>
                  </c:pt>
                  <c:pt idx="188">
                    <c:v>1,22</c:v>
                  </c:pt>
                  <c:pt idx="189">
                    <c:v>1,22</c:v>
                  </c:pt>
                  <c:pt idx="190">
                    <c:v>1,22</c:v>
                  </c:pt>
                  <c:pt idx="191">
                    <c:v>1,22</c:v>
                  </c:pt>
                  <c:pt idx="192">
                    <c:v>1,22</c:v>
                  </c:pt>
                  <c:pt idx="193">
                    <c:v>1,22</c:v>
                  </c:pt>
                  <c:pt idx="194">
                    <c:v>1,22</c:v>
                  </c:pt>
                  <c:pt idx="195">
                    <c:v>1,22</c:v>
                  </c:pt>
                  <c:pt idx="196">
                    <c:v>1,22</c:v>
                  </c:pt>
                  <c:pt idx="197">
                    <c:v>1,22</c:v>
                  </c:pt>
                  <c:pt idx="198">
                    <c:v>1,22</c:v>
                  </c:pt>
                  <c:pt idx="199">
                    <c:v>1,22</c:v>
                  </c:pt>
                  <c:pt idx="200">
                    <c:v>1,22</c:v>
                  </c:pt>
                  <c:pt idx="201">
                    <c:v>1,22</c:v>
                  </c:pt>
                  <c:pt idx="202">
                    <c:v>1,22</c:v>
                  </c:pt>
                  <c:pt idx="203">
                    <c:v>1,22</c:v>
                  </c:pt>
                  <c:pt idx="204">
                    <c:v>1,22</c:v>
                  </c:pt>
                  <c:pt idx="205">
                    <c:v>1,22</c:v>
                  </c:pt>
                  <c:pt idx="206">
                    <c:v>1,22</c:v>
                  </c:pt>
                  <c:pt idx="207">
                    <c:v>1,22</c:v>
                  </c:pt>
                  <c:pt idx="208">
                    <c:v>1,22</c:v>
                  </c:pt>
                  <c:pt idx="209">
                    <c:v>1,22</c:v>
                  </c:pt>
                  <c:pt idx="210">
                    <c:v>1,22</c:v>
                  </c:pt>
                  <c:pt idx="211">
                    <c:v>1,22</c:v>
                  </c:pt>
                  <c:pt idx="212">
                    <c:v>1,22</c:v>
                  </c:pt>
                  <c:pt idx="213">
                    <c:v>1,22</c:v>
                  </c:pt>
                  <c:pt idx="214">
                    <c:v>1,22</c:v>
                  </c:pt>
                  <c:pt idx="215">
                    <c:v>1,22</c:v>
                  </c:pt>
                  <c:pt idx="216">
                    <c:v>1</c:v>
                  </c:pt>
                  <c:pt idx="217">
                    <c:v>1</c:v>
                  </c:pt>
                  <c:pt idx="218">
                    <c:v>1,22</c:v>
                  </c:pt>
                  <c:pt idx="219">
                    <c:v>1,22</c:v>
                  </c:pt>
                  <c:pt idx="220">
                    <c:v>1,22</c:v>
                  </c:pt>
                  <c:pt idx="221">
                    <c:v>1,22</c:v>
                  </c:pt>
                  <c:pt idx="222">
                    <c:v>1,22</c:v>
                  </c:pt>
                  <c:pt idx="223">
                    <c:v>1,22</c:v>
                  </c:pt>
                  <c:pt idx="224">
                    <c:v>1,22</c:v>
                  </c:pt>
                  <c:pt idx="225">
                    <c:v>1,22</c:v>
                  </c:pt>
                  <c:pt idx="226">
                    <c:v>1,22</c:v>
                  </c:pt>
                  <c:pt idx="227">
                    <c:v>1,22</c:v>
                  </c:pt>
                  <c:pt idx="228">
                    <c:v>1</c:v>
                  </c:pt>
                  <c:pt idx="229">
                    <c:v>1,22</c:v>
                  </c:pt>
                  <c:pt idx="230">
                    <c:v>1,22</c:v>
                  </c:pt>
                  <c:pt idx="231">
                    <c:v>1,22</c:v>
                  </c:pt>
                  <c:pt idx="232">
                    <c:v>1,22</c:v>
                  </c:pt>
                  <c:pt idx="233">
                    <c:v>1,22</c:v>
                  </c:pt>
                  <c:pt idx="234">
                    <c:v>1,22</c:v>
                  </c:pt>
                  <c:pt idx="235">
                    <c:v>1,22</c:v>
                  </c:pt>
                  <c:pt idx="236">
                    <c:v>1,22</c:v>
                  </c:pt>
                  <c:pt idx="237">
                    <c:v>1,22</c:v>
                  </c:pt>
                  <c:pt idx="238">
                    <c:v>1,22</c:v>
                  </c:pt>
                  <c:pt idx="239">
                    <c:v>1,22</c:v>
                  </c:pt>
                  <c:pt idx="240">
                    <c:v>1,22</c:v>
                  </c:pt>
                  <c:pt idx="241">
                    <c:v>1,22</c:v>
                  </c:pt>
                  <c:pt idx="242">
                    <c:v>1,22</c:v>
                  </c:pt>
                  <c:pt idx="243">
                    <c:v>1,22</c:v>
                  </c:pt>
                  <c:pt idx="244">
                    <c:v>1,22</c:v>
                  </c:pt>
                  <c:pt idx="245">
                    <c:v>1,22</c:v>
                  </c:pt>
                  <c:pt idx="246">
                    <c:v>1,22</c:v>
                  </c:pt>
                  <c:pt idx="247">
                    <c:v>1</c:v>
                  </c:pt>
                  <c:pt idx="248">
                    <c:v>1,22</c:v>
                  </c:pt>
                  <c:pt idx="249">
                    <c:v>1,22</c:v>
                  </c:pt>
                  <c:pt idx="250">
                    <c:v>1,22</c:v>
                  </c:pt>
                  <c:pt idx="251">
                    <c:v>1</c:v>
                  </c:pt>
                  <c:pt idx="252">
                    <c:v>1,22</c:v>
                  </c:pt>
                  <c:pt idx="253">
                    <c:v>1,22</c:v>
                  </c:pt>
                  <c:pt idx="254">
                    <c:v>1,22</c:v>
                  </c:pt>
                  <c:pt idx="255">
                    <c:v>1,22</c:v>
                  </c:pt>
                  <c:pt idx="256">
                    <c:v>1,22</c:v>
                  </c:pt>
                  <c:pt idx="257">
                    <c:v>1,22</c:v>
                  </c:pt>
                  <c:pt idx="258">
                    <c:v>1,22</c:v>
                  </c:pt>
                  <c:pt idx="259">
                    <c:v>1,22</c:v>
                  </c:pt>
                  <c:pt idx="260">
                    <c:v>1,22</c:v>
                  </c:pt>
                  <c:pt idx="261">
                    <c:v>1,22</c:v>
                  </c:pt>
                  <c:pt idx="262">
                    <c:v>1,22</c:v>
                  </c:pt>
                  <c:pt idx="263">
                    <c:v>1</c:v>
                  </c:pt>
                  <c:pt idx="264">
                    <c:v>1</c:v>
                  </c:pt>
                  <c:pt idx="265">
                    <c:v>1</c:v>
                  </c:pt>
                  <c:pt idx="266">
                    <c:v>1</c:v>
                  </c:pt>
                  <c:pt idx="267">
                    <c:v>1</c:v>
                  </c:pt>
                  <c:pt idx="268">
                    <c:v>1,22</c:v>
                  </c:pt>
                  <c:pt idx="269">
                    <c:v>1,22</c:v>
                  </c:pt>
                  <c:pt idx="270">
                    <c:v>1,22</c:v>
                  </c:pt>
                  <c:pt idx="271">
                    <c:v>1,22</c:v>
                  </c:pt>
                  <c:pt idx="272">
                    <c:v>1,22</c:v>
                  </c:pt>
                  <c:pt idx="273">
                    <c:v>1</c:v>
                  </c:pt>
                  <c:pt idx="274">
                    <c:v>1,22</c:v>
                  </c:pt>
                  <c:pt idx="275">
                    <c:v>1,22</c:v>
                  </c:pt>
                  <c:pt idx="276">
                    <c:v>1,22</c:v>
                  </c:pt>
                  <c:pt idx="277">
                    <c:v>1,22</c:v>
                  </c:pt>
                  <c:pt idx="278">
                    <c:v>1,22</c:v>
                  </c:pt>
                  <c:pt idx="279">
                    <c:v>1,22</c:v>
                  </c:pt>
                  <c:pt idx="280">
                    <c:v>1,22</c:v>
                  </c:pt>
                  <c:pt idx="281">
                    <c:v>1,22</c:v>
                  </c:pt>
                  <c:pt idx="282">
                    <c:v>1,22</c:v>
                  </c:pt>
                  <c:pt idx="283">
                    <c:v>1,22</c:v>
                  </c:pt>
                  <c:pt idx="284">
                    <c:v>1,22</c:v>
                  </c:pt>
                  <c:pt idx="285">
                    <c:v>1,22</c:v>
                  </c:pt>
                  <c:pt idx="286">
                    <c:v>1,22</c:v>
                  </c:pt>
                  <c:pt idx="287">
                    <c:v>1,22</c:v>
                  </c:pt>
                  <c:pt idx="288">
                    <c:v>1,22</c:v>
                  </c:pt>
                  <c:pt idx="289">
                    <c:v>1,22</c:v>
                  </c:pt>
                  <c:pt idx="290">
                    <c:v>1,22</c:v>
                  </c:pt>
                  <c:pt idx="291">
                    <c:v>1,22</c:v>
                  </c:pt>
                  <c:pt idx="292">
                    <c:v>1,22</c:v>
                  </c:pt>
                  <c:pt idx="293">
                    <c:v>1,22</c:v>
                  </c:pt>
                  <c:pt idx="294">
                    <c:v>1,22</c:v>
                  </c:pt>
                  <c:pt idx="295">
                    <c:v>1,22</c:v>
                  </c:pt>
                  <c:pt idx="296">
                    <c:v>1,22</c:v>
                  </c:pt>
                  <c:pt idx="297">
                    <c:v>1,22</c:v>
                  </c:pt>
                  <c:pt idx="298">
                    <c:v>1,22</c:v>
                  </c:pt>
                  <c:pt idx="299">
                    <c:v>1</c:v>
                  </c:pt>
                  <c:pt idx="300">
                    <c:v>1</c:v>
                  </c:pt>
                  <c:pt idx="301">
                    <c:v>1</c:v>
                  </c:pt>
                  <c:pt idx="302">
                    <c:v>1</c:v>
                  </c:pt>
                  <c:pt idx="303">
                    <c:v>1</c:v>
                  </c:pt>
                  <c:pt idx="304">
                    <c:v>1</c:v>
                  </c:pt>
                  <c:pt idx="305">
                    <c:v>1</c:v>
                  </c:pt>
                  <c:pt idx="306">
                    <c:v>1</c:v>
                  </c:pt>
                  <c:pt idx="307">
                    <c:v>1</c:v>
                  </c:pt>
                  <c:pt idx="308">
                    <c:v>1</c:v>
                  </c:pt>
                  <c:pt idx="309">
                    <c:v>1,22</c:v>
                  </c:pt>
                  <c:pt idx="310">
                    <c:v>1,22</c:v>
                  </c:pt>
                  <c:pt idx="311">
                    <c:v>1,22</c:v>
                  </c:pt>
                  <c:pt idx="312">
                    <c:v>1,22</c:v>
                  </c:pt>
                  <c:pt idx="313">
                    <c:v>1,22</c:v>
                  </c:pt>
                  <c:pt idx="314">
                    <c:v>1,22</c:v>
                  </c:pt>
                  <c:pt idx="315">
                    <c:v>1,22</c:v>
                  </c:pt>
                  <c:pt idx="316">
                    <c:v>1</c:v>
                  </c:pt>
                  <c:pt idx="317">
                    <c:v>1,22</c:v>
                  </c:pt>
                  <c:pt idx="318">
                    <c:v>1</c:v>
                  </c:pt>
                  <c:pt idx="319">
                    <c:v>1</c:v>
                  </c:pt>
                  <c:pt idx="320">
                    <c:v>1,22</c:v>
                  </c:pt>
                  <c:pt idx="321">
                    <c:v>1,22</c:v>
                  </c:pt>
                  <c:pt idx="322">
                    <c:v>1,22</c:v>
                  </c:pt>
                  <c:pt idx="323">
                    <c:v>1,22</c:v>
                  </c:pt>
                  <c:pt idx="324">
                    <c:v>1,22</c:v>
                  </c:pt>
                  <c:pt idx="325">
                    <c:v>1,22</c:v>
                  </c:pt>
                  <c:pt idx="326">
                    <c:v>1,22</c:v>
                  </c:pt>
                  <c:pt idx="327">
                    <c:v>1</c:v>
                  </c:pt>
                  <c:pt idx="328">
                    <c:v>1,22</c:v>
                  </c:pt>
                  <c:pt idx="329">
                    <c:v>1,22</c:v>
                  </c:pt>
                  <c:pt idx="330">
                    <c:v>1,22</c:v>
                  </c:pt>
                  <c:pt idx="331">
                    <c:v>1,22</c:v>
                  </c:pt>
                  <c:pt idx="332">
                    <c:v>1,22</c:v>
                  </c:pt>
                  <c:pt idx="333">
                    <c:v>1,22</c:v>
                  </c:pt>
                  <c:pt idx="334">
                    <c:v>1,22</c:v>
                  </c:pt>
                  <c:pt idx="335">
                    <c:v>1,22</c:v>
                  </c:pt>
                  <c:pt idx="336">
                    <c:v>1,22</c:v>
                  </c:pt>
                  <c:pt idx="337">
                    <c:v>1,22</c:v>
                  </c:pt>
                  <c:pt idx="338">
                    <c:v>1,22</c:v>
                  </c:pt>
                  <c:pt idx="339">
                    <c:v>1,22</c:v>
                  </c:pt>
                  <c:pt idx="340">
                    <c:v>1,22</c:v>
                  </c:pt>
                  <c:pt idx="341">
                    <c:v>1,22</c:v>
                  </c:pt>
                  <c:pt idx="342">
                    <c:v>1,22</c:v>
                  </c:pt>
                  <c:pt idx="343">
                    <c:v>1,22</c:v>
                  </c:pt>
                  <c:pt idx="344">
                    <c:v>1,22</c:v>
                  </c:pt>
                  <c:pt idx="345">
                    <c:v>1,22</c:v>
                  </c:pt>
                  <c:pt idx="346">
                    <c:v>1,22</c:v>
                  </c:pt>
                  <c:pt idx="347">
                    <c:v>1,22</c:v>
                  </c:pt>
                  <c:pt idx="348">
                    <c:v>1,22</c:v>
                  </c:pt>
                  <c:pt idx="349">
                    <c:v>1,22</c:v>
                  </c:pt>
                  <c:pt idx="350">
                    <c:v>1,22</c:v>
                  </c:pt>
                  <c:pt idx="351">
                    <c:v>1,22</c:v>
                  </c:pt>
                  <c:pt idx="352">
                    <c:v>1,22</c:v>
                  </c:pt>
                  <c:pt idx="353">
                    <c:v>1,22</c:v>
                  </c:pt>
                  <c:pt idx="354">
                    <c:v>1,22</c:v>
                  </c:pt>
                  <c:pt idx="355">
                    <c:v>1,22</c:v>
                  </c:pt>
                  <c:pt idx="356">
                    <c:v>1</c:v>
                  </c:pt>
                  <c:pt idx="357">
                    <c:v>1,22</c:v>
                  </c:pt>
                  <c:pt idx="358">
                    <c:v>1,22</c:v>
                  </c:pt>
                  <c:pt idx="359">
                    <c:v>1,22</c:v>
                  </c:pt>
                  <c:pt idx="360">
                    <c:v>1,22</c:v>
                  </c:pt>
                  <c:pt idx="361">
                    <c:v>1,22</c:v>
                  </c:pt>
                  <c:pt idx="362">
                    <c:v>1,22</c:v>
                  </c:pt>
                  <c:pt idx="363">
                    <c:v>1,22</c:v>
                  </c:pt>
                  <c:pt idx="364">
                    <c:v>1,22</c:v>
                  </c:pt>
                  <c:pt idx="365">
                    <c:v>1,22</c:v>
                  </c:pt>
                  <c:pt idx="366">
                    <c:v>1,22</c:v>
                  </c:pt>
                  <c:pt idx="367">
                    <c:v>1,22</c:v>
                  </c:pt>
                  <c:pt idx="368">
                    <c:v>1,22</c:v>
                  </c:pt>
                  <c:pt idx="369">
                    <c:v>1,22</c:v>
                  </c:pt>
                  <c:pt idx="370">
                    <c:v>1,22</c:v>
                  </c:pt>
                  <c:pt idx="371">
                    <c:v>1,22</c:v>
                  </c:pt>
                  <c:pt idx="372">
                    <c:v>1,22</c:v>
                  </c:pt>
                  <c:pt idx="373">
                    <c:v>1,22</c:v>
                  </c:pt>
                  <c:pt idx="374">
                    <c:v>1,22</c:v>
                  </c:pt>
                  <c:pt idx="375">
                    <c:v>1,22</c:v>
                  </c:pt>
                  <c:pt idx="376">
                    <c:v>1,22</c:v>
                  </c:pt>
                  <c:pt idx="377">
                    <c:v>1,22</c:v>
                  </c:pt>
                  <c:pt idx="378">
                    <c:v>1,22</c:v>
                  </c:pt>
                  <c:pt idx="379">
                    <c:v>1,22</c:v>
                  </c:pt>
                  <c:pt idx="380">
                    <c:v>1,22</c:v>
                  </c:pt>
                  <c:pt idx="381">
                    <c:v>1,22</c:v>
                  </c:pt>
                  <c:pt idx="382">
                    <c:v>1,22</c:v>
                  </c:pt>
                  <c:pt idx="383">
                    <c:v>1</c:v>
                  </c:pt>
                  <c:pt idx="384">
                    <c:v>1</c:v>
                  </c:pt>
                  <c:pt idx="385">
                    <c:v>1,22</c:v>
                  </c:pt>
                  <c:pt idx="386">
                    <c:v>1,22</c:v>
                  </c:pt>
                  <c:pt idx="387">
                    <c:v>1,22</c:v>
                  </c:pt>
                  <c:pt idx="388">
                    <c:v>1,22</c:v>
                  </c:pt>
                  <c:pt idx="389">
                    <c:v>1,22</c:v>
                  </c:pt>
                  <c:pt idx="390">
                    <c:v>1,22</c:v>
                  </c:pt>
                  <c:pt idx="391">
                    <c:v>1,22</c:v>
                  </c:pt>
                  <c:pt idx="392">
                    <c:v>1,22</c:v>
                  </c:pt>
                  <c:pt idx="393">
                    <c:v>1,22</c:v>
                  </c:pt>
                  <c:pt idx="394">
                    <c:v>1,22</c:v>
                  </c:pt>
                  <c:pt idx="395">
                    <c:v>1,22</c:v>
                  </c:pt>
                  <c:pt idx="396">
                    <c:v>1,22</c:v>
                  </c:pt>
                  <c:pt idx="397">
                    <c:v>1,22</c:v>
                  </c:pt>
                  <c:pt idx="398">
                    <c:v>1,22</c:v>
                  </c:pt>
                  <c:pt idx="399">
                    <c:v>1,22</c:v>
                  </c:pt>
                  <c:pt idx="400">
                    <c:v>1,22</c:v>
                  </c:pt>
                  <c:pt idx="401">
                    <c:v>1,22</c:v>
                  </c:pt>
                  <c:pt idx="402">
                    <c:v>1,22</c:v>
                  </c:pt>
                  <c:pt idx="403">
                    <c:v>1,22</c:v>
                  </c:pt>
                  <c:pt idx="404">
                    <c:v>1,22</c:v>
                  </c:pt>
                  <c:pt idx="405">
                    <c:v>1,22</c:v>
                  </c:pt>
                  <c:pt idx="406">
                    <c:v>1,22</c:v>
                  </c:pt>
                  <c:pt idx="407">
                    <c:v>1,22</c:v>
                  </c:pt>
                  <c:pt idx="408">
                    <c:v>1,22</c:v>
                  </c:pt>
                  <c:pt idx="409">
                    <c:v>1,22</c:v>
                  </c:pt>
                  <c:pt idx="410">
                    <c:v>1,22</c:v>
                  </c:pt>
                  <c:pt idx="411">
                    <c:v>1,22</c:v>
                  </c:pt>
                  <c:pt idx="412">
                    <c:v>1,22</c:v>
                  </c:pt>
                  <c:pt idx="413">
                    <c:v>1,22</c:v>
                  </c:pt>
                  <c:pt idx="414">
                    <c:v>1,22</c:v>
                  </c:pt>
                  <c:pt idx="415">
                    <c:v>1,22</c:v>
                  </c:pt>
                  <c:pt idx="416">
                    <c:v>1</c:v>
                  </c:pt>
                  <c:pt idx="417">
                    <c:v>1</c:v>
                  </c:pt>
                  <c:pt idx="418">
                    <c:v>1,22</c:v>
                  </c:pt>
                  <c:pt idx="419">
                    <c:v>1</c:v>
                  </c:pt>
                  <c:pt idx="420">
                    <c:v>1</c:v>
                  </c:pt>
                  <c:pt idx="421">
                    <c:v>1,22</c:v>
                  </c:pt>
                  <c:pt idx="422">
                    <c:v>1,22</c:v>
                  </c:pt>
                  <c:pt idx="423">
                    <c:v>1,22</c:v>
                  </c:pt>
                  <c:pt idx="424">
                    <c:v>1,2</c:v>
                  </c:pt>
                  <c:pt idx="425">
                    <c:v>1,2</c:v>
                  </c:pt>
                  <c:pt idx="426">
                    <c:v>1,2</c:v>
                  </c:pt>
                  <c:pt idx="427">
                    <c:v>1,2</c:v>
                  </c:pt>
                  <c:pt idx="428">
                    <c:v>1,22</c:v>
                  </c:pt>
                  <c:pt idx="429">
                    <c:v>1,22</c:v>
                  </c:pt>
                  <c:pt idx="430">
                    <c:v>1,22</c:v>
                  </c:pt>
                  <c:pt idx="431">
                    <c:v>1,22</c:v>
                  </c:pt>
                  <c:pt idx="432">
                    <c:v>1,22</c:v>
                  </c:pt>
                  <c:pt idx="433">
                    <c:v>1,22</c:v>
                  </c:pt>
                  <c:pt idx="434">
                    <c:v>1,22</c:v>
                  </c:pt>
                  <c:pt idx="435">
                    <c:v>1,22</c:v>
                  </c:pt>
                  <c:pt idx="436">
                    <c:v>1,22</c:v>
                  </c:pt>
                  <c:pt idx="437">
                    <c:v>1,22</c:v>
                  </c:pt>
                  <c:pt idx="438">
                    <c:v>1,22</c:v>
                  </c:pt>
                  <c:pt idx="439">
                    <c:v>1,22</c:v>
                  </c:pt>
                  <c:pt idx="440">
                    <c:v>1,22</c:v>
                  </c:pt>
                  <c:pt idx="441">
                    <c:v>1,22</c:v>
                  </c:pt>
                  <c:pt idx="442">
                    <c:v>1,22</c:v>
                  </c:pt>
                  <c:pt idx="443">
                    <c:v>1,22</c:v>
                  </c:pt>
                  <c:pt idx="444">
                    <c:v>1,22</c:v>
                  </c:pt>
                  <c:pt idx="445">
                    <c:v>1,22</c:v>
                  </c:pt>
                  <c:pt idx="446">
                    <c:v>1,22</c:v>
                  </c:pt>
                  <c:pt idx="447">
                    <c:v>1,22</c:v>
                  </c:pt>
                  <c:pt idx="448">
                    <c:v>1,22</c:v>
                  </c:pt>
                  <c:pt idx="449">
                    <c:v>1,22</c:v>
                  </c:pt>
                  <c:pt idx="450">
                    <c:v>1,22</c:v>
                  </c:pt>
                  <c:pt idx="451">
                    <c:v>1,22</c:v>
                  </c:pt>
                  <c:pt idx="452">
                    <c:v>1,22</c:v>
                  </c:pt>
                  <c:pt idx="453">
                    <c:v>1,22</c:v>
                  </c:pt>
                  <c:pt idx="454">
                    <c:v>1,22</c:v>
                  </c:pt>
                  <c:pt idx="455">
                    <c:v>1,22</c:v>
                  </c:pt>
                  <c:pt idx="456">
                    <c:v>1,22</c:v>
                  </c:pt>
                  <c:pt idx="457">
                    <c:v>1,22</c:v>
                  </c:pt>
                  <c:pt idx="458">
                    <c:v>1,22</c:v>
                  </c:pt>
                  <c:pt idx="459">
                    <c:v>1,22</c:v>
                  </c:pt>
                  <c:pt idx="460">
                    <c:v>1,22</c:v>
                  </c:pt>
                  <c:pt idx="461">
                    <c:v>1,22</c:v>
                  </c:pt>
                  <c:pt idx="462">
                    <c:v>1</c:v>
                  </c:pt>
                  <c:pt idx="463">
                    <c:v>1,22</c:v>
                  </c:pt>
                  <c:pt idx="464">
                    <c:v>1,22</c:v>
                  </c:pt>
                  <c:pt idx="465">
                    <c:v>1,22</c:v>
                  </c:pt>
                  <c:pt idx="466">
                    <c:v>1,22</c:v>
                  </c:pt>
                  <c:pt idx="467">
                    <c:v>1,22</c:v>
                  </c:pt>
                  <c:pt idx="468">
                    <c:v>1,22</c:v>
                  </c:pt>
                  <c:pt idx="469">
                    <c:v>1,22</c:v>
                  </c:pt>
                  <c:pt idx="470">
                    <c:v>1,22</c:v>
                  </c:pt>
                  <c:pt idx="471">
                    <c:v>1,22</c:v>
                  </c:pt>
                  <c:pt idx="472">
                    <c:v>1,22</c:v>
                  </c:pt>
                  <c:pt idx="473">
                    <c:v>1,22</c:v>
                  </c:pt>
                  <c:pt idx="474">
                    <c:v>1</c:v>
                  </c:pt>
                  <c:pt idx="475">
                    <c:v>1</c:v>
                  </c:pt>
                  <c:pt idx="476">
                    <c:v>1,22</c:v>
                  </c:pt>
                  <c:pt idx="477">
                    <c:v>1,22</c:v>
                  </c:pt>
                  <c:pt idx="478">
                    <c:v>1,22</c:v>
                  </c:pt>
                  <c:pt idx="479">
                    <c:v>1,22</c:v>
                  </c:pt>
                  <c:pt idx="480">
                    <c:v>1,22</c:v>
                  </c:pt>
                  <c:pt idx="481">
                    <c:v>1,22</c:v>
                  </c:pt>
                  <c:pt idx="482">
                    <c:v>1,22</c:v>
                  </c:pt>
                  <c:pt idx="483">
                    <c:v>1,22</c:v>
                  </c:pt>
                  <c:pt idx="484">
                    <c:v>1,22</c:v>
                  </c:pt>
                  <c:pt idx="486">
                    <c:v>1,22</c:v>
                  </c:pt>
                  <c:pt idx="487">
                    <c:v>1,22</c:v>
                  </c:pt>
                  <c:pt idx="488">
                    <c:v>1,22</c:v>
                  </c:pt>
                  <c:pt idx="489">
                    <c:v>1,22</c:v>
                  </c:pt>
                  <c:pt idx="490">
                    <c:v>1,22</c:v>
                  </c:pt>
                  <c:pt idx="491">
                    <c:v>1,22</c:v>
                  </c:pt>
                  <c:pt idx="492">
                    <c:v>1,22</c:v>
                  </c:pt>
                  <c:pt idx="493">
                    <c:v>1,22</c:v>
                  </c:pt>
                  <c:pt idx="495">
                    <c:v>1</c:v>
                  </c:pt>
                  <c:pt idx="496">
                    <c:v>1,22</c:v>
                  </c:pt>
                  <c:pt idx="497">
                    <c:v>1,22</c:v>
                  </c:pt>
                  <c:pt idx="498">
                    <c:v>1,22</c:v>
                  </c:pt>
                  <c:pt idx="499">
                    <c:v>1,22</c:v>
                  </c:pt>
                  <c:pt idx="500">
                    <c:v>1,22</c:v>
                  </c:pt>
                  <c:pt idx="501">
                    <c:v>1,22</c:v>
                  </c:pt>
                  <c:pt idx="502">
                    <c:v>1,22</c:v>
                  </c:pt>
                  <c:pt idx="503">
                    <c:v>1,22</c:v>
                  </c:pt>
                  <c:pt idx="504">
                    <c:v>1,22</c:v>
                  </c:pt>
                  <c:pt idx="505">
                    <c:v>1,22</c:v>
                  </c:pt>
                  <c:pt idx="506">
                    <c:v>1,22</c:v>
                  </c:pt>
                  <c:pt idx="507">
                    <c:v>1,22</c:v>
                  </c:pt>
                  <c:pt idx="508">
                    <c:v>1,22</c:v>
                  </c:pt>
                  <c:pt idx="509">
                    <c:v>1,22</c:v>
                  </c:pt>
                  <c:pt idx="510">
                    <c:v>1,22</c:v>
                  </c:pt>
                  <c:pt idx="511">
                    <c:v>1,22</c:v>
                  </c:pt>
                  <c:pt idx="512">
                    <c:v>1,22</c:v>
                  </c:pt>
                  <c:pt idx="513">
                    <c:v>1,22</c:v>
                  </c:pt>
                  <c:pt idx="514">
                    <c:v>1,22</c:v>
                  </c:pt>
                  <c:pt idx="515">
                    <c:v>1,22</c:v>
                  </c:pt>
                  <c:pt idx="516">
                    <c:v>1,22</c:v>
                  </c:pt>
                  <c:pt idx="517">
                    <c:v>1,22</c:v>
                  </c:pt>
                  <c:pt idx="518">
                    <c:v>1,22</c:v>
                  </c:pt>
                  <c:pt idx="519">
                    <c:v>1,22</c:v>
                  </c:pt>
                  <c:pt idx="520">
                    <c:v>1,22</c:v>
                  </c:pt>
                  <c:pt idx="521">
                    <c:v>1</c:v>
                  </c:pt>
                  <c:pt idx="522">
                    <c:v>1,22</c:v>
                  </c:pt>
                  <c:pt idx="524">
                    <c:v>1,22</c:v>
                  </c:pt>
                  <c:pt idx="525">
                    <c:v>1</c:v>
                  </c:pt>
                  <c:pt idx="526">
                    <c:v>1,22</c:v>
                  </c:pt>
                  <c:pt idx="527">
                    <c:v>1,22</c:v>
                  </c:pt>
                  <c:pt idx="528">
                    <c:v>1,22</c:v>
                  </c:pt>
                  <c:pt idx="529">
                    <c:v>1,22</c:v>
                  </c:pt>
                  <c:pt idx="530">
                    <c:v>1,22</c:v>
                  </c:pt>
                  <c:pt idx="531">
                    <c:v>1,22</c:v>
                  </c:pt>
                  <c:pt idx="532">
                    <c:v>1,22</c:v>
                  </c:pt>
                  <c:pt idx="534">
                    <c:v>1,22</c:v>
                  </c:pt>
                  <c:pt idx="535">
                    <c:v>1,22</c:v>
                  </c:pt>
                  <c:pt idx="536">
                    <c:v>1,22</c:v>
                  </c:pt>
                  <c:pt idx="537">
                    <c:v>1,22</c:v>
                  </c:pt>
                  <c:pt idx="538">
                    <c:v>1,22</c:v>
                  </c:pt>
                  <c:pt idx="539">
                    <c:v>1,22</c:v>
                  </c:pt>
                  <c:pt idx="540">
                    <c:v>1,22</c:v>
                  </c:pt>
                  <c:pt idx="541">
                    <c:v>1,22</c:v>
                  </c:pt>
                  <c:pt idx="542">
                    <c:v>1,22</c:v>
                  </c:pt>
                  <c:pt idx="543">
                    <c:v>1,22</c:v>
                  </c:pt>
                  <c:pt idx="544">
                    <c:v>1,22</c:v>
                  </c:pt>
                  <c:pt idx="545">
                    <c:v>1,22</c:v>
                  </c:pt>
                  <c:pt idx="546">
                    <c:v>1,22</c:v>
                  </c:pt>
                  <c:pt idx="547">
                    <c:v>1,22</c:v>
                  </c:pt>
                  <c:pt idx="548">
                    <c:v>1,22</c:v>
                  </c:pt>
                  <c:pt idx="549">
                    <c:v>1</c:v>
                  </c:pt>
                  <c:pt idx="552">
                    <c:v>1,22</c:v>
                  </c:pt>
                  <c:pt idx="553">
                    <c:v>1,22</c:v>
                  </c:pt>
                  <c:pt idx="554">
                    <c:v>1</c:v>
                  </c:pt>
                  <c:pt idx="555">
                    <c:v>1,22</c:v>
                  </c:pt>
                  <c:pt idx="556">
                    <c:v>1,22</c:v>
                  </c:pt>
                  <c:pt idx="557">
                    <c:v>1,22</c:v>
                  </c:pt>
                  <c:pt idx="558">
                    <c:v>1</c:v>
                  </c:pt>
                  <c:pt idx="559">
                    <c:v>1,22</c:v>
                  </c:pt>
                  <c:pt idx="560">
                    <c:v>1,22</c:v>
                  </c:pt>
                  <c:pt idx="561">
                    <c:v>1,22</c:v>
                  </c:pt>
                  <c:pt idx="562">
                    <c:v>1,22</c:v>
                  </c:pt>
                  <c:pt idx="563">
                    <c:v>1,22</c:v>
                  </c:pt>
                  <c:pt idx="564">
                    <c:v>1,22</c:v>
                  </c:pt>
                  <c:pt idx="565">
                    <c:v>1,22</c:v>
                  </c:pt>
                  <c:pt idx="566">
                    <c:v>1</c:v>
                  </c:pt>
                  <c:pt idx="567">
                    <c:v>1,22</c:v>
                  </c:pt>
                  <c:pt idx="568">
                    <c:v>1,22</c:v>
                  </c:pt>
                  <c:pt idx="569">
                    <c:v>1,22</c:v>
                  </c:pt>
                  <c:pt idx="570">
                    <c:v>1,22</c:v>
                  </c:pt>
                  <c:pt idx="571">
                    <c:v>1,22</c:v>
                  </c:pt>
                  <c:pt idx="572">
                    <c:v>1,22</c:v>
                  </c:pt>
                  <c:pt idx="573">
                    <c:v>1,22</c:v>
                  </c:pt>
                  <c:pt idx="574">
                    <c:v>1,22</c:v>
                  </c:pt>
                  <c:pt idx="575">
                    <c:v>1,22</c:v>
                  </c:pt>
                  <c:pt idx="576">
                    <c:v>1,22</c:v>
                  </c:pt>
                  <c:pt idx="577">
                    <c:v>1,22</c:v>
                  </c:pt>
                  <c:pt idx="579">
                    <c:v>1,22</c:v>
                  </c:pt>
                  <c:pt idx="580">
                    <c:v>1,22</c:v>
                  </c:pt>
                  <c:pt idx="582">
                    <c:v>1,22</c:v>
                  </c:pt>
                  <c:pt idx="583">
                    <c:v>1,22</c:v>
                  </c:pt>
                  <c:pt idx="584">
                    <c:v>1</c:v>
                  </c:pt>
                  <c:pt idx="585">
                    <c:v>1,22</c:v>
                  </c:pt>
                  <c:pt idx="586">
                    <c:v>1,22</c:v>
                  </c:pt>
                  <c:pt idx="587">
                    <c:v>1,22</c:v>
                  </c:pt>
                  <c:pt idx="588">
                    <c:v>1,22</c:v>
                  </c:pt>
                  <c:pt idx="589">
                    <c:v>1</c:v>
                  </c:pt>
                  <c:pt idx="590">
                    <c:v>1</c:v>
                  </c:pt>
                  <c:pt idx="591">
                    <c:v>1</c:v>
                  </c:pt>
                  <c:pt idx="592">
                    <c:v>1</c:v>
                  </c:pt>
                  <c:pt idx="593">
                    <c:v>1,22</c:v>
                  </c:pt>
                  <c:pt idx="594">
                    <c:v>1</c:v>
                  </c:pt>
                  <c:pt idx="595">
                    <c:v>1</c:v>
                  </c:pt>
                  <c:pt idx="596">
                    <c:v>1</c:v>
                  </c:pt>
                  <c:pt idx="597">
                    <c:v>1</c:v>
                  </c:pt>
                  <c:pt idx="598">
                    <c:v>1</c:v>
                  </c:pt>
                  <c:pt idx="599">
                    <c:v>1</c:v>
                  </c:pt>
                  <c:pt idx="600">
                    <c:v>1</c:v>
                  </c:pt>
                  <c:pt idx="601">
                    <c:v>1</c:v>
                  </c:pt>
                  <c:pt idx="602">
                    <c:v>1,12</c:v>
                  </c:pt>
                  <c:pt idx="603">
                    <c:v>1,12</c:v>
                  </c:pt>
                  <c:pt idx="604">
                    <c:v>1,22</c:v>
                  </c:pt>
                  <c:pt idx="605">
                    <c:v>1,22</c:v>
                  </c:pt>
                  <c:pt idx="606">
                    <c:v>1,22</c:v>
                  </c:pt>
                  <c:pt idx="607">
                    <c:v>1,22</c:v>
                  </c:pt>
                  <c:pt idx="608">
                    <c:v>1,22</c:v>
                  </c:pt>
                  <c:pt idx="609">
                    <c:v>1,22</c:v>
                  </c:pt>
                  <c:pt idx="610">
                    <c:v>1,22</c:v>
                  </c:pt>
                  <c:pt idx="611">
                    <c:v>1,22</c:v>
                  </c:pt>
                  <c:pt idx="612">
                    <c:v>1,22</c:v>
                  </c:pt>
                  <c:pt idx="613">
                    <c:v>1,22</c:v>
                  </c:pt>
                  <c:pt idx="614">
                    <c:v>1,22</c:v>
                  </c:pt>
                  <c:pt idx="615">
                    <c:v>1,22</c:v>
                  </c:pt>
                  <c:pt idx="616">
                    <c:v>1,22</c:v>
                  </c:pt>
                  <c:pt idx="617">
                    <c:v>1,22</c:v>
                  </c:pt>
                  <c:pt idx="618">
                    <c:v>1,22</c:v>
                  </c:pt>
                  <c:pt idx="619">
                    <c:v>1,22</c:v>
                  </c:pt>
                  <c:pt idx="620">
                    <c:v>1,22</c:v>
                  </c:pt>
                  <c:pt idx="621">
                    <c:v>1,22</c:v>
                  </c:pt>
                  <c:pt idx="622">
                    <c:v>1,22</c:v>
                  </c:pt>
                  <c:pt idx="623">
                    <c:v>1,22</c:v>
                  </c:pt>
                  <c:pt idx="624">
                    <c:v>1,22</c:v>
                  </c:pt>
                  <c:pt idx="625">
                    <c:v>1,22</c:v>
                  </c:pt>
                  <c:pt idx="626">
                    <c:v>1,22</c:v>
                  </c:pt>
                  <c:pt idx="627">
                    <c:v>1,22</c:v>
                  </c:pt>
                  <c:pt idx="628">
                    <c:v>1,22</c:v>
                  </c:pt>
                  <c:pt idx="629">
                    <c:v>1,22</c:v>
                  </c:pt>
                  <c:pt idx="630">
                    <c:v>1,22</c:v>
                  </c:pt>
                  <c:pt idx="631">
                    <c:v>1,22</c:v>
                  </c:pt>
                  <c:pt idx="632">
                    <c:v>1,22</c:v>
                  </c:pt>
                  <c:pt idx="633">
                    <c:v>1,22</c:v>
                  </c:pt>
                  <c:pt idx="634">
                    <c:v>1,22</c:v>
                  </c:pt>
                  <c:pt idx="635">
                    <c:v>1,22</c:v>
                  </c:pt>
                  <c:pt idx="636">
                    <c:v>1,22</c:v>
                  </c:pt>
                  <c:pt idx="637">
                    <c:v>1,22</c:v>
                  </c:pt>
                  <c:pt idx="638">
                    <c:v>1,22</c:v>
                  </c:pt>
                  <c:pt idx="639">
                    <c:v>1,22</c:v>
                  </c:pt>
                  <c:pt idx="640">
                    <c:v>1,22</c:v>
                  </c:pt>
                  <c:pt idx="641">
                    <c:v>1</c:v>
                  </c:pt>
                  <c:pt idx="642">
                    <c:v>1,22</c:v>
                  </c:pt>
                  <c:pt idx="643">
                    <c:v>1,22</c:v>
                  </c:pt>
                  <c:pt idx="644">
                    <c:v>1,22</c:v>
                  </c:pt>
                  <c:pt idx="645">
                    <c:v>1,22</c:v>
                  </c:pt>
                  <c:pt idx="646">
                    <c:v>1,22</c:v>
                  </c:pt>
                  <c:pt idx="647">
                    <c:v>1,22</c:v>
                  </c:pt>
                  <c:pt idx="648">
                    <c:v>1,22</c:v>
                  </c:pt>
                  <c:pt idx="649">
                    <c:v>1,22</c:v>
                  </c:pt>
                  <c:pt idx="650">
                    <c:v>1,22</c:v>
                  </c:pt>
                  <c:pt idx="651">
                    <c:v>1,22</c:v>
                  </c:pt>
                  <c:pt idx="652">
                    <c:v>1,22</c:v>
                  </c:pt>
                  <c:pt idx="653">
                    <c:v>1,22</c:v>
                  </c:pt>
                  <c:pt idx="654">
                    <c:v>1,22</c:v>
                  </c:pt>
                  <c:pt idx="655">
                    <c:v>1,22</c:v>
                  </c:pt>
                  <c:pt idx="656">
                    <c:v>1,22</c:v>
                  </c:pt>
                  <c:pt idx="657">
                    <c:v>1,22</c:v>
                  </c:pt>
                  <c:pt idx="658">
                    <c:v>1,22</c:v>
                  </c:pt>
                  <c:pt idx="659">
                    <c:v>1,22</c:v>
                  </c:pt>
                  <c:pt idx="660">
                    <c:v>1,22</c:v>
                  </c:pt>
                  <c:pt idx="661">
                    <c:v>1,22</c:v>
                  </c:pt>
                  <c:pt idx="662">
                    <c:v>1,22</c:v>
                  </c:pt>
                  <c:pt idx="663">
                    <c:v>1,22</c:v>
                  </c:pt>
                  <c:pt idx="664">
                    <c:v>1,22</c:v>
                  </c:pt>
                  <c:pt idx="665">
                    <c:v>1,22</c:v>
                  </c:pt>
                  <c:pt idx="666">
                    <c:v>1,22</c:v>
                  </c:pt>
                  <c:pt idx="667">
                    <c:v>1,22</c:v>
                  </c:pt>
                  <c:pt idx="668">
                    <c:v>1,22</c:v>
                  </c:pt>
                  <c:pt idx="670">
                    <c:v>1,22</c:v>
                  </c:pt>
                  <c:pt idx="671">
                    <c:v>1,22</c:v>
                  </c:pt>
                  <c:pt idx="672">
                    <c:v>1,22</c:v>
                  </c:pt>
                  <c:pt idx="673">
                    <c:v>1,22</c:v>
                  </c:pt>
                  <c:pt idx="674">
                    <c:v>1,22</c:v>
                  </c:pt>
                  <c:pt idx="675">
                    <c:v>1</c:v>
                  </c:pt>
                  <c:pt idx="676">
                    <c:v>1</c:v>
                  </c:pt>
                  <c:pt idx="677">
                    <c:v>1,22</c:v>
                  </c:pt>
                  <c:pt idx="678">
                    <c:v>1,22</c:v>
                  </c:pt>
                  <c:pt idx="679">
                    <c:v>1,22</c:v>
                  </c:pt>
                  <c:pt idx="680">
                    <c:v>1</c:v>
                  </c:pt>
                  <c:pt idx="681">
                    <c:v>1,22</c:v>
                  </c:pt>
                  <c:pt idx="682">
                    <c:v>1,22</c:v>
                  </c:pt>
                  <c:pt idx="683">
                    <c:v>1,22</c:v>
                  </c:pt>
                  <c:pt idx="684">
                    <c:v>1,22</c:v>
                  </c:pt>
                  <c:pt idx="685">
                    <c:v>1,22</c:v>
                  </c:pt>
                  <c:pt idx="687">
                    <c:v>1</c:v>
                  </c:pt>
                  <c:pt idx="688">
                    <c:v>1,22</c:v>
                  </c:pt>
                  <c:pt idx="689">
                    <c:v>1,22</c:v>
                  </c:pt>
                  <c:pt idx="690">
                    <c:v>1,22</c:v>
                  </c:pt>
                  <c:pt idx="691">
                    <c:v>1,22</c:v>
                  </c:pt>
                  <c:pt idx="692">
                    <c:v>1,22</c:v>
                  </c:pt>
                  <c:pt idx="693">
                    <c:v>1,22</c:v>
                  </c:pt>
                  <c:pt idx="694">
                    <c:v>1,22</c:v>
                  </c:pt>
                  <c:pt idx="695">
                    <c:v>1,22</c:v>
                  </c:pt>
                  <c:pt idx="696">
                    <c:v>1,22</c:v>
                  </c:pt>
                  <c:pt idx="697">
                    <c:v>1,22</c:v>
                  </c:pt>
                  <c:pt idx="698">
                    <c:v>1,22</c:v>
                  </c:pt>
                  <c:pt idx="699">
                    <c:v>1,22</c:v>
                  </c:pt>
                  <c:pt idx="700">
                    <c:v>1,22</c:v>
                  </c:pt>
                  <c:pt idx="701">
                    <c:v>1,22</c:v>
                  </c:pt>
                  <c:pt idx="702">
                    <c:v>1,22</c:v>
                  </c:pt>
                  <c:pt idx="703">
                    <c:v>1,22</c:v>
                  </c:pt>
                  <c:pt idx="704">
                    <c:v>1,22</c:v>
                  </c:pt>
                  <c:pt idx="705">
                    <c:v>1,22</c:v>
                  </c:pt>
                  <c:pt idx="706">
                    <c:v>1,22</c:v>
                  </c:pt>
                  <c:pt idx="707">
                    <c:v>1,22</c:v>
                  </c:pt>
                  <c:pt idx="708">
                    <c:v>1,22</c:v>
                  </c:pt>
                  <c:pt idx="709">
                    <c:v>1,22</c:v>
                  </c:pt>
                  <c:pt idx="710">
                    <c:v>1,22</c:v>
                  </c:pt>
                  <c:pt idx="711">
                    <c:v>1,22</c:v>
                  </c:pt>
                  <c:pt idx="712">
                    <c:v>1,22</c:v>
                  </c:pt>
                  <c:pt idx="713">
                    <c:v>1</c:v>
                  </c:pt>
                  <c:pt idx="714">
                    <c:v>1</c:v>
                  </c:pt>
                  <c:pt idx="715">
                    <c:v>1,22</c:v>
                  </c:pt>
                  <c:pt idx="716">
                    <c:v>1,22</c:v>
                  </c:pt>
                  <c:pt idx="717">
                    <c:v>1,22</c:v>
                  </c:pt>
                  <c:pt idx="718">
                    <c:v>1,22</c:v>
                  </c:pt>
                  <c:pt idx="719">
                    <c:v>1,22</c:v>
                  </c:pt>
                  <c:pt idx="720">
                    <c:v>1,22</c:v>
                  </c:pt>
                  <c:pt idx="721">
                    <c:v>1,22</c:v>
                  </c:pt>
                  <c:pt idx="722">
                    <c:v>1</c:v>
                  </c:pt>
                  <c:pt idx="723">
                    <c:v>1,22</c:v>
                  </c:pt>
                  <c:pt idx="724">
                    <c:v>1</c:v>
                  </c:pt>
                  <c:pt idx="725">
                    <c:v>1</c:v>
                  </c:pt>
                  <c:pt idx="726">
                    <c:v>1</c:v>
                  </c:pt>
                  <c:pt idx="727">
                    <c:v>1</c:v>
                  </c:pt>
                  <c:pt idx="728">
                    <c:v>1</c:v>
                  </c:pt>
                  <c:pt idx="729">
                    <c:v>1</c:v>
                  </c:pt>
                  <c:pt idx="730">
                    <c:v>1</c:v>
                  </c:pt>
                  <c:pt idx="731">
                    <c:v>1</c:v>
                  </c:pt>
                  <c:pt idx="732">
                    <c:v>1</c:v>
                  </c:pt>
                  <c:pt idx="733">
                    <c:v>1,22</c:v>
                  </c:pt>
                  <c:pt idx="734">
                    <c:v>1,22</c:v>
                  </c:pt>
                  <c:pt idx="735">
                    <c:v>1,22</c:v>
                  </c:pt>
                  <c:pt idx="736">
                    <c:v>1,22</c:v>
                  </c:pt>
                  <c:pt idx="737">
                    <c:v>1,22</c:v>
                  </c:pt>
                  <c:pt idx="738">
                    <c:v>1,22</c:v>
                  </c:pt>
                  <c:pt idx="739">
                    <c:v>1,22</c:v>
                  </c:pt>
                  <c:pt idx="740">
                    <c:v>1,22</c:v>
                  </c:pt>
                  <c:pt idx="741">
                    <c:v>1,22</c:v>
                  </c:pt>
                  <c:pt idx="742">
                    <c:v>1,22</c:v>
                  </c:pt>
                  <c:pt idx="743">
                    <c:v>1,22</c:v>
                  </c:pt>
                  <c:pt idx="744">
                    <c:v>1,22</c:v>
                  </c:pt>
                  <c:pt idx="747">
                    <c:v>1,22</c:v>
                  </c:pt>
                  <c:pt idx="748">
                    <c:v>1,22</c:v>
                  </c:pt>
                  <c:pt idx="749">
                    <c:v>1,22</c:v>
                  </c:pt>
                  <c:pt idx="750">
                    <c:v>1,22</c:v>
                  </c:pt>
                  <c:pt idx="751">
                    <c:v>1</c:v>
                  </c:pt>
                  <c:pt idx="752">
                    <c:v>1</c:v>
                  </c:pt>
                  <c:pt idx="753">
                    <c:v>1</c:v>
                  </c:pt>
                  <c:pt idx="754">
                    <c:v>1</c:v>
                  </c:pt>
                  <c:pt idx="755">
                    <c:v>1</c:v>
                  </c:pt>
                  <c:pt idx="756">
                    <c:v>1</c:v>
                  </c:pt>
                  <c:pt idx="757">
                    <c:v>1</c:v>
                  </c:pt>
                  <c:pt idx="758">
                    <c:v>1,22</c:v>
                  </c:pt>
                  <c:pt idx="759">
                    <c:v>1,22</c:v>
                  </c:pt>
                  <c:pt idx="760">
                    <c:v>1,22</c:v>
                  </c:pt>
                  <c:pt idx="761">
                    <c:v>1,22</c:v>
                  </c:pt>
                  <c:pt idx="762">
                    <c:v>1,22</c:v>
                  </c:pt>
                  <c:pt idx="763">
                    <c:v>1,22</c:v>
                  </c:pt>
                  <c:pt idx="764">
                    <c:v>1,22</c:v>
                  </c:pt>
                  <c:pt idx="765">
                    <c:v>1</c:v>
                  </c:pt>
                  <c:pt idx="766">
                    <c:v>1</c:v>
                  </c:pt>
                  <c:pt idx="768">
                    <c:v>1</c:v>
                  </c:pt>
                  <c:pt idx="769">
                    <c:v>1</c:v>
                  </c:pt>
                  <c:pt idx="770">
                    <c:v>1</c:v>
                  </c:pt>
                  <c:pt idx="771">
                    <c:v>1,22</c:v>
                  </c:pt>
                  <c:pt idx="772">
                    <c:v>1</c:v>
                  </c:pt>
                  <c:pt idx="773">
                    <c:v>1</c:v>
                  </c:pt>
                  <c:pt idx="774">
                    <c:v>1,22</c:v>
                  </c:pt>
                  <c:pt idx="775">
                    <c:v>1,22</c:v>
                  </c:pt>
                  <c:pt idx="776">
                    <c:v>1,22</c:v>
                  </c:pt>
                  <c:pt idx="777">
                    <c:v>1,22</c:v>
                  </c:pt>
                  <c:pt idx="778">
                    <c:v>1,22</c:v>
                  </c:pt>
                  <c:pt idx="779">
                    <c:v>1,22</c:v>
                  </c:pt>
                  <c:pt idx="780">
                    <c:v>1</c:v>
                  </c:pt>
                  <c:pt idx="781">
                    <c:v>1,22</c:v>
                  </c:pt>
                  <c:pt idx="782">
                    <c:v>1</c:v>
                  </c:pt>
                  <c:pt idx="783">
                    <c:v>1,22</c:v>
                  </c:pt>
                  <c:pt idx="784">
                    <c:v>1,22</c:v>
                  </c:pt>
                  <c:pt idx="785">
                    <c:v>1,22</c:v>
                  </c:pt>
                  <c:pt idx="786">
                    <c:v>1</c:v>
                  </c:pt>
                  <c:pt idx="787">
                    <c:v>1,22</c:v>
                  </c:pt>
                  <c:pt idx="788">
                    <c:v>1,22</c:v>
                  </c:pt>
                  <c:pt idx="789">
                    <c:v>1,22</c:v>
                  </c:pt>
                  <c:pt idx="790">
                    <c:v>1,22</c:v>
                  </c:pt>
                  <c:pt idx="791">
                    <c:v>1,22</c:v>
                  </c:pt>
                  <c:pt idx="792">
                    <c:v>1,22</c:v>
                  </c:pt>
                  <c:pt idx="793">
                    <c:v>1,22</c:v>
                  </c:pt>
                  <c:pt idx="794">
                    <c:v>1,22</c:v>
                  </c:pt>
                  <c:pt idx="796">
                    <c:v>1,22</c:v>
                  </c:pt>
                  <c:pt idx="797">
                    <c:v>1,22</c:v>
                  </c:pt>
                  <c:pt idx="798">
                    <c:v>1,22</c:v>
                  </c:pt>
                  <c:pt idx="799">
                    <c:v>1,22</c:v>
                  </c:pt>
                  <c:pt idx="800">
                    <c:v>1,22</c:v>
                  </c:pt>
                  <c:pt idx="801">
                    <c:v>1</c:v>
                  </c:pt>
                  <c:pt idx="802">
                    <c:v>1</c:v>
                  </c:pt>
                  <c:pt idx="803">
                    <c:v>1</c:v>
                  </c:pt>
                  <c:pt idx="804">
                    <c:v>1</c:v>
                  </c:pt>
                  <c:pt idx="805">
                    <c:v>1,22</c:v>
                  </c:pt>
                  <c:pt idx="806">
                    <c:v>1,22</c:v>
                  </c:pt>
                  <c:pt idx="807">
                    <c:v>1,22</c:v>
                  </c:pt>
                  <c:pt idx="808">
                    <c:v>1,22</c:v>
                  </c:pt>
                  <c:pt idx="809">
                    <c:v>1,22</c:v>
                  </c:pt>
                  <c:pt idx="810">
                    <c:v>1,22</c:v>
                  </c:pt>
                  <c:pt idx="811">
                    <c:v>1,22</c:v>
                  </c:pt>
                  <c:pt idx="812">
                    <c:v>1,22</c:v>
                  </c:pt>
                  <c:pt idx="813">
                    <c:v>1,22</c:v>
                  </c:pt>
                  <c:pt idx="814">
                    <c:v>1,22</c:v>
                  </c:pt>
                  <c:pt idx="815">
                    <c:v>1,22</c:v>
                  </c:pt>
                  <c:pt idx="816">
                    <c:v>1,22</c:v>
                  </c:pt>
                  <c:pt idx="817">
                    <c:v>1,22</c:v>
                  </c:pt>
                  <c:pt idx="818">
                    <c:v>1,22</c:v>
                  </c:pt>
                  <c:pt idx="819">
                    <c:v>1,22</c:v>
                  </c:pt>
                  <c:pt idx="820">
                    <c:v>1,22</c:v>
                  </c:pt>
                  <c:pt idx="821">
                    <c:v>1,22</c:v>
                  </c:pt>
                  <c:pt idx="822">
                    <c:v>1,22</c:v>
                  </c:pt>
                  <c:pt idx="823">
                    <c:v>1,22</c:v>
                  </c:pt>
                  <c:pt idx="824">
                    <c:v>1,22</c:v>
                  </c:pt>
                  <c:pt idx="825">
                    <c:v>1,22</c:v>
                  </c:pt>
                  <c:pt idx="826">
                    <c:v>1,22</c:v>
                  </c:pt>
                  <c:pt idx="827">
                    <c:v>1,22</c:v>
                  </c:pt>
                  <c:pt idx="828">
                    <c:v>1,22</c:v>
                  </c:pt>
                  <c:pt idx="829">
                    <c:v>1,22</c:v>
                  </c:pt>
                  <c:pt idx="830">
                    <c:v>1,22</c:v>
                  </c:pt>
                  <c:pt idx="831">
                    <c:v>1,22</c:v>
                  </c:pt>
                  <c:pt idx="832">
                    <c:v>1,22</c:v>
                  </c:pt>
                  <c:pt idx="833">
                    <c:v>1,22</c:v>
                  </c:pt>
                  <c:pt idx="834">
                    <c:v>1,22</c:v>
                  </c:pt>
                  <c:pt idx="835">
                    <c:v>1,22</c:v>
                  </c:pt>
                  <c:pt idx="836">
                    <c:v>1,22</c:v>
                  </c:pt>
                  <c:pt idx="837">
                    <c:v>1,22</c:v>
                  </c:pt>
                  <c:pt idx="838">
                    <c:v>1,22</c:v>
                  </c:pt>
                  <c:pt idx="839">
                    <c:v>1,22</c:v>
                  </c:pt>
                  <c:pt idx="840">
                    <c:v>1,22</c:v>
                  </c:pt>
                  <c:pt idx="841">
                    <c:v>1,22</c:v>
                  </c:pt>
                  <c:pt idx="842">
                    <c:v>1,22</c:v>
                  </c:pt>
                  <c:pt idx="843">
                    <c:v>1,22</c:v>
                  </c:pt>
                  <c:pt idx="844">
                    <c:v>1,22</c:v>
                  </c:pt>
                  <c:pt idx="845">
                    <c:v>1,22</c:v>
                  </c:pt>
                  <c:pt idx="846">
                    <c:v>1,22</c:v>
                  </c:pt>
                  <c:pt idx="847">
                    <c:v>1,22</c:v>
                  </c:pt>
                  <c:pt idx="848">
                    <c:v>1,22</c:v>
                  </c:pt>
                  <c:pt idx="849">
                    <c:v>1,22</c:v>
                  </c:pt>
                  <c:pt idx="850">
                    <c:v>1,22</c:v>
                  </c:pt>
                  <c:pt idx="851">
                    <c:v>1,22</c:v>
                  </c:pt>
                  <c:pt idx="852">
                    <c:v>1,22</c:v>
                  </c:pt>
                  <c:pt idx="853">
                    <c:v>1,22</c:v>
                  </c:pt>
                  <c:pt idx="854">
                    <c:v>1,22</c:v>
                  </c:pt>
                  <c:pt idx="855">
                    <c:v>1,22</c:v>
                  </c:pt>
                  <c:pt idx="856">
                    <c:v>1,22</c:v>
                  </c:pt>
                  <c:pt idx="857">
                    <c:v>1,22</c:v>
                  </c:pt>
                  <c:pt idx="858">
                    <c:v>1,22</c:v>
                  </c:pt>
                  <c:pt idx="859">
                    <c:v>1,22</c:v>
                  </c:pt>
                  <c:pt idx="860">
                    <c:v>1,22</c:v>
                  </c:pt>
                  <c:pt idx="861">
                    <c:v>1,22</c:v>
                  </c:pt>
                  <c:pt idx="862">
                    <c:v>1,22</c:v>
                  </c:pt>
                  <c:pt idx="863">
                    <c:v>1,22</c:v>
                  </c:pt>
                  <c:pt idx="864">
                    <c:v>1,22</c:v>
                  </c:pt>
                  <c:pt idx="865">
                    <c:v>1,22</c:v>
                  </c:pt>
                  <c:pt idx="866">
                    <c:v>1</c:v>
                  </c:pt>
                  <c:pt idx="867">
                    <c:v>1,22</c:v>
                  </c:pt>
                  <c:pt idx="868">
                    <c:v>1,22</c:v>
                  </c:pt>
                  <c:pt idx="869">
                    <c:v>1,22</c:v>
                  </c:pt>
                  <c:pt idx="870">
                    <c:v>1,22</c:v>
                  </c:pt>
                  <c:pt idx="871">
                    <c:v>1,22</c:v>
                  </c:pt>
                  <c:pt idx="872">
                    <c:v>1,22</c:v>
                  </c:pt>
                  <c:pt idx="873">
                    <c:v>1,22</c:v>
                  </c:pt>
                  <c:pt idx="874">
                    <c:v>1,22</c:v>
                  </c:pt>
                  <c:pt idx="875">
                    <c:v>1,22</c:v>
                  </c:pt>
                  <c:pt idx="876">
                    <c:v>1,22</c:v>
                  </c:pt>
                  <c:pt idx="877">
                    <c:v>1,22</c:v>
                  </c:pt>
                  <c:pt idx="878">
                    <c:v>1,22</c:v>
                  </c:pt>
                  <c:pt idx="879">
                    <c:v>1,22</c:v>
                  </c:pt>
                  <c:pt idx="880">
                    <c:v>1,22</c:v>
                  </c:pt>
                  <c:pt idx="881">
                    <c:v>1,22</c:v>
                  </c:pt>
                  <c:pt idx="882">
                    <c:v>1,22</c:v>
                  </c:pt>
                  <c:pt idx="883">
                    <c:v>1,22</c:v>
                  </c:pt>
                  <c:pt idx="884">
                    <c:v>1,22</c:v>
                  </c:pt>
                  <c:pt idx="885">
                    <c:v>1,22</c:v>
                  </c:pt>
                  <c:pt idx="886">
                    <c:v>1,22</c:v>
                  </c:pt>
                  <c:pt idx="887">
                    <c:v>1,22</c:v>
                  </c:pt>
                  <c:pt idx="888">
                    <c:v>1,22</c:v>
                  </c:pt>
                  <c:pt idx="889">
                    <c:v>1,22</c:v>
                  </c:pt>
                  <c:pt idx="890">
                    <c:v>1,22</c:v>
                  </c:pt>
                  <c:pt idx="891">
                    <c:v>1,22</c:v>
                  </c:pt>
                  <c:pt idx="892">
                    <c:v>1,22</c:v>
                  </c:pt>
                  <c:pt idx="893">
                    <c:v>1,22</c:v>
                  </c:pt>
                  <c:pt idx="894">
                    <c:v>1,22</c:v>
                  </c:pt>
                  <c:pt idx="895">
                    <c:v>1,22</c:v>
                  </c:pt>
                  <c:pt idx="896">
                    <c:v>1,22</c:v>
                  </c:pt>
                  <c:pt idx="897">
                    <c:v>1,22</c:v>
                  </c:pt>
                  <c:pt idx="898">
                    <c:v>1,22</c:v>
                  </c:pt>
                  <c:pt idx="899">
                    <c:v>1,22</c:v>
                  </c:pt>
                  <c:pt idx="900">
                    <c:v>1,22</c:v>
                  </c:pt>
                  <c:pt idx="901">
                    <c:v>1,22</c:v>
                  </c:pt>
                  <c:pt idx="902">
                    <c:v>1,22</c:v>
                  </c:pt>
                  <c:pt idx="903">
                    <c:v>1,22</c:v>
                  </c:pt>
                  <c:pt idx="904">
                    <c:v>1,22</c:v>
                  </c:pt>
                  <c:pt idx="905">
                    <c:v>1,22</c:v>
                  </c:pt>
                  <c:pt idx="906">
                    <c:v>1,22</c:v>
                  </c:pt>
                  <c:pt idx="907">
                    <c:v>1,22</c:v>
                  </c:pt>
                  <c:pt idx="908">
                    <c:v>1,22</c:v>
                  </c:pt>
                  <c:pt idx="909">
                    <c:v>1,22</c:v>
                  </c:pt>
                  <c:pt idx="910">
                    <c:v>1,22</c:v>
                  </c:pt>
                  <c:pt idx="911">
                    <c:v>1,22</c:v>
                  </c:pt>
                  <c:pt idx="912">
                    <c:v>1,22</c:v>
                  </c:pt>
                  <c:pt idx="913">
                    <c:v>1,22</c:v>
                  </c:pt>
                  <c:pt idx="914">
                    <c:v>1,22</c:v>
                  </c:pt>
                  <c:pt idx="915">
                    <c:v>1,22</c:v>
                  </c:pt>
                  <c:pt idx="916">
                    <c:v>1,22</c:v>
                  </c:pt>
                  <c:pt idx="917">
                    <c:v>1,22</c:v>
                  </c:pt>
                  <c:pt idx="918">
                    <c:v>1,22</c:v>
                  </c:pt>
                  <c:pt idx="919">
                    <c:v>1,22</c:v>
                  </c:pt>
                  <c:pt idx="920">
                    <c:v>1,22</c:v>
                  </c:pt>
                  <c:pt idx="921">
                    <c:v>1,22</c:v>
                  </c:pt>
                  <c:pt idx="922">
                    <c:v>1,22</c:v>
                  </c:pt>
                  <c:pt idx="924">
                    <c:v>1,22</c:v>
                  </c:pt>
                  <c:pt idx="925">
                    <c:v>1,22</c:v>
                  </c:pt>
                  <c:pt idx="926">
                    <c:v>1,22</c:v>
                  </c:pt>
                  <c:pt idx="927">
                    <c:v>1,22</c:v>
                  </c:pt>
                  <c:pt idx="928">
                    <c:v>1,22</c:v>
                  </c:pt>
                  <c:pt idx="929">
                    <c:v>1,22</c:v>
                  </c:pt>
                  <c:pt idx="930">
                    <c:v>1,22</c:v>
                  </c:pt>
                  <c:pt idx="931">
                    <c:v>1,22</c:v>
                  </c:pt>
                  <c:pt idx="932">
                    <c:v>1,22</c:v>
                  </c:pt>
                  <c:pt idx="933">
                    <c:v>1,22</c:v>
                  </c:pt>
                  <c:pt idx="934">
                    <c:v>1,22</c:v>
                  </c:pt>
                  <c:pt idx="935">
                    <c:v>1,22</c:v>
                  </c:pt>
                  <c:pt idx="936">
                    <c:v>1,22</c:v>
                  </c:pt>
                  <c:pt idx="937">
                    <c:v>1,22</c:v>
                  </c:pt>
                  <c:pt idx="938">
                    <c:v>1,22</c:v>
                  </c:pt>
                  <c:pt idx="939">
                    <c:v>1,22</c:v>
                  </c:pt>
                  <c:pt idx="940">
                    <c:v>1,22</c:v>
                  </c:pt>
                  <c:pt idx="941">
                    <c:v>1,22</c:v>
                  </c:pt>
                  <c:pt idx="942">
                    <c:v>1,22</c:v>
                  </c:pt>
                  <c:pt idx="943">
                    <c:v>1,22</c:v>
                  </c:pt>
                  <c:pt idx="944">
                    <c:v>1,22</c:v>
                  </c:pt>
                  <c:pt idx="945">
                    <c:v>1,22</c:v>
                  </c:pt>
                  <c:pt idx="946">
                    <c:v>1,22</c:v>
                  </c:pt>
                  <c:pt idx="947">
                    <c:v>1,22</c:v>
                  </c:pt>
                  <c:pt idx="948">
                    <c:v>1,22</c:v>
                  </c:pt>
                  <c:pt idx="949">
                    <c:v>1,22</c:v>
                  </c:pt>
                  <c:pt idx="950">
                    <c:v>1,22</c:v>
                  </c:pt>
                  <c:pt idx="951">
                    <c:v>1,22</c:v>
                  </c:pt>
                  <c:pt idx="952">
                    <c:v>1,22</c:v>
                  </c:pt>
                  <c:pt idx="953">
                    <c:v>1,22</c:v>
                  </c:pt>
                  <c:pt idx="954">
                    <c:v>1,22</c:v>
                  </c:pt>
                  <c:pt idx="955">
                    <c:v>1,22</c:v>
                  </c:pt>
                  <c:pt idx="956">
                    <c:v>1,22</c:v>
                  </c:pt>
                  <c:pt idx="957">
                    <c:v>1,22</c:v>
                  </c:pt>
                  <c:pt idx="958">
                    <c:v>1,22</c:v>
                  </c:pt>
                  <c:pt idx="959">
                    <c:v>1,22</c:v>
                  </c:pt>
                  <c:pt idx="960">
                    <c:v>1,22</c:v>
                  </c:pt>
                  <c:pt idx="961">
                    <c:v>1,22</c:v>
                  </c:pt>
                  <c:pt idx="962">
                    <c:v>1,22</c:v>
                  </c:pt>
                  <c:pt idx="963">
                    <c:v>1,22</c:v>
                  </c:pt>
                  <c:pt idx="964">
                    <c:v>1,22</c:v>
                  </c:pt>
                  <c:pt idx="965">
                    <c:v>1,22</c:v>
                  </c:pt>
                  <c:pt idx="966">
                    <c:v>1,22</c:v>
                  </c:pt>
                  <c:pt idx="967">
                    <c:v>1,22</c:v>
                  </c:pt>
                  <c:pt idx="968">
                    <c:v>1,22</c:v>
                  </c:pt>
                  <c:pt idx="969">
                    <c:v>1,22</c:v>
                  </c:pt>
                  <c:pt idx="970">
                    <c:v>1,22</c:v>
                  </c:pt>
                  <c:pt idx="971">
                    <c:v>1,22</c:v>
                  </c:pt>
                  <c:pt idx="972">
                    <c:v>1,22</c:v>
                  </c:pt>
                  <c:pt idx="973">
                    <c:v>1,22</c:v>
                  </c:pt>
                  <c:pt idx="974">
                    <c:v>1,22</c:v>
                  </c:pt>
                  <c:pt idx="975">
                    <c:v>1,22</c:v>
                  </c:pt>
                  <c:pt idx="976">
                    <c:v>1,22</c:v>
                  </c:pt>
                  <c:pt idx="977">
                    <c:v>1,22</c:v>
                  </c:pt>
                  <c:pt idx="978">
                    <c:v>1,22</c:v>
                  </c:pt>
                  <c:pt idx="979">
                    <c:v>1,22</c:v>
                  </c:pt>
                  <c:pt idx="980">
                    <c:v>1,22</c:v>
                  </c:pt>
                  <c:pt idx="981">
                    <c:v>1,22</c:v>
                  </c:pt>
                  <c:pt idx="982">
                    <c:v>1,22</c:v>
                  </c:pt>
                  <c:pt idx="983">
                    <c:v>1,22</c:v>
                  </c:pt>
                  <c:pt idx="984">
                    <c:v>1</c:v>
                  </c:pt>
                  <c:pt idx="985">
                    <c:v>1</c:v>
                  </c:pt>
                  <c:pt idx="986">
                    <c:v>1</c:v>
                  </c:pt>
                  <c:pt idx="987">
                    <c:v>1</c:v>
                  </c:pt>
                  <c:pt idx="988">
                    <c:v>1</c:v>
                  </c:pt>
                  <c:pt idx="989">
                    <c:v>1</c:v>
                  </c:pt>
                  <c:pt idx="990">
                    <c:v>1</c:v>
                  </c:pt>
                  <c:pt idx="991">
                    <c:v>1</c:v>
                  </c:pt>
                  <c:pt idx="992">
                    <c:v>1,22</c:v>
                  </c:pt>
                  <c:pt idx="993">
                    <c:v>1,22</c:v>
                  </c:pt>
                  <c:pt idx="994">
                    <c:v>1,22</c:v>
                  </c:pt>
                  <c:pt idx="995">
                    <c:v>1,22</c:v>
                  </c:pt>
                  <c:pt idx="996">
                    <c:v>1,22</c:v>
                  </c:pt>
                  <c:pt idx="997">
                    <c:v>1,22</c:v>
                  </c:pt>
                  <c:pt idx="998">
                    <c:v>1,22</c:v>
                  </c:pt>
                  <c:pt idx="999">
                    <c:v>1,22</c:v>
                  </c:pt>
                  <c:pt idx="1000">
                    <c:v>1,22</c:v>
                  </c:pt>
                  <c:pt idx="1001">
                    <c:v>1,22</c:v>
                  </c:pt>
                  <c:pt idx="1002">
                    <c:v>1,22</c:v>
                  </c:pt>
                  <c:pt idx="1003">
                    <c:v>1,22</c:v>
                  </c:pt>
                  <c:pt idx="1004">
                    <c:v>1,22</c:v>
                  </c:pt>
                  <c:pt idx="1005">
                    <c:v>1,22</c:v>
                  </c:pt>
                  <c:pt idx="1006">
                    <c:v>1,22</c:v>
                  </c:pt>
                  <c:pt idx="1007">
                    <c:v>1,22</c:v>
                  </c:pt>
                  <c:pt idx="1008">
                    <c:v>1,22</c:v>
                  </c:pt>
                  <c:pt idx="1009">
                    <c:v>1,22</c:v>
                  </c:pt>
                  <c:pt idx="1010">
                    <c:v>1,22</c:v>
                  </c:pt>
                  <c:pt idx="1011">
                    <c:v>1,22</c:v>
                  </c:pt>
                  <c:pt idx="1012">
                    <c:v>1,22</c:v>
                  </c:pt>
                  <c:pt idx="1013">
                    <c:v>1</c:v>
                  </c:pt>
                  <c:pt idx="1014">
                    <c:v>1</c:v>
                  </c:pt>
                  <c:pt idx="1015">
                    <c:v>1</c:v>
                  </c:pt>
                  <c:pt idx="1016">
                    <c:v>1</c:v>
                  </c:pt>
                  <c:pt idx="1017">
                    <c:v>1</c:v>
                  </c:pt>
                  <c:pt idx="1018">
                    <c:v>1,22</c:v>
                  </c:pt>
                  <c:pt idx="1019">
                    <c:v>1,22</c:v>
                  </c:pt>
                  <c:pt idx="1020">
                    <c:v>1,22</c:v>
                  </c:pt>
                  <c:pt idx="1021">
                    <c:v>1,22</c:v>
                  </c:pt>
                  <c:pt idx="1022">
                    <c:v>1,22</c:v>
                  </c:pt>
                  <c:pt idx="1023">
                    <c:v>1,22</c:v>
                  </c:pt>
                  <c:pt idx="1024">
                    <c:v>1,22</c:v>
                  </c:pt>
                  <c:pt idx="1025">
                    <c:v>1,22</c:v>
                  </c:pt>
                  <c:pt idx="1026">
                    <c:v>1,22</c:v>
                  </c:pt>
                  <c:pt idx="1027">
                    <c:v>1,22</c:v>
                  </c:pt>
                  <c:pt idx="1028">
                    <c:v>1,22</c:v>
                  </c:pt>
                  <c:pt idx="1029">
                    <c:v>1,22</c:v>
                  </c:pt>
                  <c:pt idx="1030">
                    <c:v>1,22</c:v>
                  </c:pt>
                  <c:pt idx="1031">
                    <c:v>1,22</c:v>
                  </c:pt>
                  <c:pt idx="1032">
                    <c:v>1,22</c:v>
                  </c:pt>
                  <c:pt idx="1033">
                    <c:v>1,22</c:v>
                  </c:pt>
                  <c:pt idx="1034">
                    <c:v>1,22</c:v>
                  </c:pt>
                  <c:pt idx="1035">
                    <c:v>1,22</c:v>
                  </c:pt>
                  <c:pt idx="1036">
                    <c:v>1,22</c:v>
                  </c:pt>
                  <c:pt idx="1037">
                    <c:v>1,22</c:v>
                  </c:pt>
                  <c:pt idx="1038">
                    <c:v>1,22</c:v>
                  </c:pt>
                  <c:pt idx="1039">
                    <c:v>1,22</c:v>
                  </c:pt>
                  <c:pt idx="1040">
                    <c:v>1,22</c:v>
                  </c:pt>
                  <c:pt idx="1041">
                    <c:v>1,22</c:v>
                  </c:pt>
                  <c:pt idx="1042">
                    <c:v>1,22</c:v>
                  </c:pt>
                  <c:pt idx="1043">
                    <c:v>1,22</c:v>
                  </c:pt>
                  <c:pt idx="1044">
                    <c:v>1,22</c:v>
                  </c:pt>
                  <c:pt idx="1045">
                    <c:v>1,22</c:v>
                  </c:pt>
                  <c:pt idx="1046">
                    <c:v>1,22</c:v>
                  </c:pt>
                  <c:pt idx="1047">
                    <c:v>1,22</c:v>
                  </c:pt>
                  <c:pt idx="1048">
                    <c:v>1,22</c:v>
                  </c:pt>
                  <c:pt idx="1049">
                    <c:v>1,22</c:v>
                  </c:pt>
                  <c:pt idx="1050">
                    <c:v>1,22</c:v>
                  </c:pt>
                  <c:pt idx="1051">
                    <c:v>1,22</c:v>
                  </c:pt>
                  <c:pt idx="1052">
                    <c:v>1,22</c:v>
                  </c:pt>
                  <c:pt idx="1053">
                    <c:v>1,22</c:v>
                  </c:pt>
                  <c:pt idx="1054">
                    <c:v>1,22</c:v>
                  </c:pt>
                  <c:pt idx="1055">
                    <c:v>1,22</c:v>
                  </c:pt>
                  <c:pt idx="1056">
                    <c:v>1,22</c:v>
                  </c:pt>
                  <c:pt idx="1057">
                    <c:v>1,22</c:v>
                  </c:pt>
                  <c:pt idx="1058">
                    <c:v>1,22</c:v>
                  </c:pt>
                  <c:pt idx="1059">
                    <c:v>1,22</c:v>
                  </c:pt>
                  <c:pt idx="1060">
                    <c:v>1,22</c:v>
                  </c:pt>
                  <c:pt idx="1061">
                    <c:v>1,22</c:v>
                  </c:pt>
                  <c:pt idx="1062">
                    <c:v>1,22</c:v>
                  </c:pt>
                  <c:pt idx="1063">
                    <c:v>1,22</c:v>
                  </c:pt>
                  <c:pt idx="1064">
                    <c:v>1,22</c:v>
                  </c:pt>
                  <c:pt idx="1065">
                    <c:v>1,22</c:v>
                  </c:pt>
                  <c:pt idx="1066">
                    <c:v>1,22</c:v>
                  </c:pt>
                  <c:pt idx="1067">
                    <c:v>1,22</c:v>
                  </c:pt>
                  <c:pt idx="1068">
                    <c:v>1,22</c:v>
                  </c:pt>
                  <c:pt idx="1069">
                    <c:v>1,22</c:v>
                  </c:pt>
                  <c:pt idx="1070">
                    <c:v>1,22</c:v>
                  </c:pt>
                  <c:pt idx="1071">
                    <c:v>1,22</c:v>
                  </c:pt>
                  <c:pt idx="1072">
                    <c:v>1,22</c:v>
                  </c:pt>
                  <c:pt idx="1073">
                    <c:v>1,22</c:v>
                  </c:pt>
                  <c:pt idx="1074">
                    <c:v>1,22</c:v>
                  </c:pt>
                  <c:pt idx="1075">
                    <c:v>1,22</c:v>
                  </c:pt>
                  <c:pt idx="1076">
                    <c:v>1,22</c:v>
                  </c:pt>
                  <c:pt idx="1078">
                    <c:v>1,22</c:v>
                  </c:pt>
                  <c:pt idx="1079">
                    <c:v>1,22</c:v>
                  </c:pt>
                  <c:pt idx="1080">
                    <c:v>1,22</c:v>
                  </c:pt>
                  <c:pt idx="1081">
                    <c:v>1,22</c:v>
                  </c:pt>
                  <c:pt idx="1082">
                    <c:v>1,22</c:v>
                  </c:pt>
                  <c:pt idx="1083">
                    <c:v>1,22</c:v>
                  </c:pt>
                  <c:pt idx="1084">
                    <c:v>1,22</c:v>
                  </c:pt>
                  <c:pt idx="1085">
                    <c:v>1,22</c:v>
                  </c:pt>
                  <c:pt idx="1086">
                    <c:v>1,22</c:v>
                  </c:pt>
                  <c:pt idx="1087">
                    <c:v>1,22</c:v>
                  </c:pt>
                  <c:pt idx="1088">
                    <c:v>1,22</c:v>
                  </c:pt>
                  <c:pt idx="1089">
                    <c:v>1,22</c:v>
                  </c:pt>
                  <c:pt idx="1090">
                    <c:v>1,22</c:v>
                  </c:pt>
                  <c:pt idx="1091">
                    <c:v>1,22</c:v>
                  </c:pt>
                  <c:pt idx="1092">
                    <c:v>1,22</c:v>
                  </c:pt>
                  <c:pt idx="1093">
                    <c:v>1,22</c:v>
                  </c:pt>
                  <c:pt idx="1094">
                    <c:v>1,22</c:v>
                  </c:pt>
                  <c:pt idx="1095">
                    <c:v>1,22</c:v>
                  </c:pt>
                  <c:pt idx="1096">
                    <c:v>1,22</c:v>
                  </c:pt>
                  <c:pt idx="1097">
                    <c:v>1,22</c:v>
                  </c:pt>
                  <c:pt idx="1098">
                    <c:v>1,22</c:v>
                  </c:pt>
                  <c:pt idx="1099">
                    <c:v>1,22</c:v>
                  </c:pt>
                  <c:pt idx="1100">
                    <c:v>1,22</c:v>
                  </c:pt>
                  <c:pt idx="1101">
                    <c:v>1,22</c:v>
                  </c:pt>
                  <c:pt idx="1102">
                    <c:v>1,22</c:v>
                  </c:pt>
                  <c:pt idx="1103">
                    <c:v>1,22</c:v>
                  </c:pt>
                  <c:pt idx="1104">
                    <c:v>1,22</c:v>
                  </c:pt>
                  <c:pt idx="1105">
                    <c:v>1,22</c:v>
                  </c:pt>
                  <c:pt idx="1106">
                    <c:v>1,22</c:v>
                  </c:pt>
                  <c:pt idx="1107">
                    <c:v>1,22</c:v>
                  </c:pt>
                  <c:pt idx="1108">
                    <c:v>1,22</c:v>
                  </c:pt>
                  <c:pt idx="1109">
                    <c:v>1,22</c:v>
                  </c:pt>
                  <c:pt idx="1110">
                    <c:v>1,22</c:v>
                  </c:pt>
                  <c:pt idx="1111">
                    <c:v>1,22</c:v>
                  </c:pt>
                  <c:pt idx="1112">
                    <c:v>1,22</c:v>
                  </c:pt>
                  <c:pt idx="1113">
                    <c:v>1,22</c:v>
                  </c:pt>
                  <c:pt idx="1114">
                    <c:v>1,22</c:v>
                  </c:pt>
                  <c:pt idx="1115">
                    <c:v>1,22</c:v>
                  </c:pt>
                  <c:pt idx="1116">
                    <c:v>1</c:v>
                  </c:pt>
                  <c:pt idx="1117">
                    <c:v>1</c:v>
                  </c:pt>
                  <c:pt idx="1118">
                    <c:v>1,22</c:v>
                  </c:pt>
                  <c:pt idx="1119">
                    <c:v>1</c:v>
                  </c:pt>
                  <c:pt idx="1120">
                    <c:v>1</c:v>
                  </c:pt>
                  <c:pt idx="1121">
                    <c:v>1,22</c:v>
                  </c:pt>
                  <c:pt idx="1122">
                    <c:v>1,22</c:v>
                  </c:pt>
                  <c:pt idx="1123">
                    <c:v>1,22</c:v>
                  </c:pt>
                  <c:pt idx="1124">
                    <c:v>1,22</c:v>
                  </c:pt>
                  <c:pt idx="1125">
                    <c:v>1,22</c:v>
                  </c:pt>
                  <c:pt idx="1126">
                    <c:v>1,22</c:v>
                  </c:pt>
                  <c:pt idx="1127">
                    <c:v>1,22</c:v>
                  </c:pt>
                  <c:pt idx="1128">
                    <c:v>1,22</c:v>
                  </c:pt>
                  <c:pt idx="1129">
                    <c:v>1,22</c:v>
                  </c:pt>
                  <c:pt idx="1130">
                    <c:v>1,22</c:v>
                  </c:pt>
                  <c:pt idx="1131">
                    <c:v>1,22</c:v>
                  </c:pt>
                  <c:pt idx="1132">
                    <c:v>1,22</c:v>
                  </c:pt>
                  <c:pt idx="1133">
                    <c:v>1,22</c:v>
                  </c:pt>
                  <c:pt idx="1134">
                    <c:v>1,22</c:v>
                  </c:pt>
                  <c:pt idx="1135">
                    <c:v>1,22</c:v>
                  </c:pt>
                  <c:pt idx="1136">
                    <c:v>1,22</c:v>
                  </c:pt>
                  <c:pt idx="1137">
                    <c:v>1,22</c:v>
                  </c:pt>
                  <c:pt idx="1138">
                    <c:v>1,22</c:v>
                  </c:pt>
                  <c:pt idx="1139">
                    <c:v>1,22</c:v>
                  </c:pt>
                  <c:pt idx="1140">
                    <c:v>1,22</c:v>
                  </c:pt>
                  <c:pt idx="1141">
                    <c:v>1,22</c:v>
                  </c:pt>
                  <c:pt idx="1142">
                    <c:v>1,22</c:v>
                  </c:pt>
                  <c:pt idx="1143">
                    <c:v>1,22</c:v>
                  </c:pt>
                  <c:pt idx="1144">
                    <c:v>1,22</c:v>
                  </c:pt>
                  <c:pt idx="1145">
                    <c:v>1,22</c:v>
                  </c:pt>
                  <c:pt idx="1146">
                    <c:v>1,22</c:v>
                  </c:pt>
                  <c:pt idx="1147">
                    <c:v>1,22</c:v>
                  </c:pt>
                  <c:pt idx="1148">
                    <c:v>1,22</c:v>
                  </c:pt>
                  <c:pt idx="1149">
                    <c:v>1,22</c:v>
                  </c:pt>
                  <c:pt idx="1150">
                    <c:v>1,22</c:v>
                  </c:pt>
                  <c:pt idx="1151">
                    <c:v>1,22</c:v>
                  </c:pt>
                  <c:pt idx="1152">
                    <c:v>1,22</c:v>
                  </c:pt>
                  <c:pt idx="1153">
                    <c:v>1,22</c:v>
                  </c:pt>
                  <c:pt idx="1154">
                    <c:v>1,22</c:v>
                  </c:pt>
                  <c:pt idx="1155">
                    <c:v>1,22</c:v>
                  </c:pt>
                  <c:pt idx="1156">
                    <c:v>1,22</c:v>
                  </c:pt>
                  <c:pt idx="1157">
                    <c:v>1,22</c:v>
                  </c:pt>
                  <c:pt idx="1158">
                    <c:v>1,22</c:v>
                  </c:pt>
                  <c:pt idx="1159">
                    <c:v>1,22</c:v>
                  </c:pt>
                  <c:pt idx="1160">
                    <c:v>1,22</c:v>
                  </c:pt>
                  <c:pt idx="1161">
                    <c:v>1,22</c:v>
                  </c:pt>
                  <c:pt idx="1162">
                    <c:v>1,22</c:v>
                  </c:pt>
                  <c:pt idx="1163">
                    <c:v>1,22</c:v>
                  </c:pt>
                  <c:pt idx="1164">
                    <c:v>1,22</c:v>
                  </c:pt>
                  <c:pt idx="1165">
                    <c:v>1,22</c:v>
                  </c:pt>
                  <c:pt idx="1166">
                    <c:v>1,22</c:v>
                  </c:pt>
                  <c:pt idx="1167">
                    <c:v>1,22</c:v>
                  </c:pt>
                  <c:pt idx="1168">
                    <c:v>1,22</c:v>
                  </c:pt>
                  <c:pt idx="1169">
                    <c:v>1,22</c:v>
                  </c:pt>
                  <c:pt idx="1170">
                    <c:v>1,22</c:v>
                  </c:pt>
                  <c:pt idx="1171">
                    <c:v>1,22</c:v>
                  </c:pt>
                  <c:pt idx="1172">
                    <c:v>1,22</c:v>
                  </c:pt>
                  <c:pt idx="1173">
                    <c:v>1,22</c:v>
                  </c:pt>
                  <c:pt idx="1174">
                    <c:v>1,22</c:v>
                  </c:pt>
                  <c:pt idx="1175">
                    <c:v>1,22</c:v>
                  </c:pt>
                  <c:pt idx="1176">
                    <c:v>1,22</c:v>
                  </c:pt>
                  <c:pt idx="1177">
                    <c:v>1,22</c:v>
                  </c:pt>
                  <c:pt idx="1178">
                    <c:v>1,22</c:v>
                  </c:pt>
                  <c:pt idx="1179">
                    <c:v>1,22</c:v>
                  </c:pt>
                  <c:pt idx="1180">
                    <c:v>1,22</c:v>
                  </c:pt>
                  <c:pt idx="1181">
                    <c:v>1,22</c:v>
                  </c:pt>
                  <c:pt idx="1182">
                    <c:v>1</c:v>
                  </c:pt>
                  <c:pt idx="1183">
                    <c:v>1</c:v>
                  </c:pt>
                  <c:pt idx="1184">
                    <c:v>1,22</c:v>
                  </c:pt>
                  <c:pt idx="1185">
                    <c:v>1,22</c:v>
                  </c:pt>
                  <c:pt idx="1186">
                    <c:v>1,22</c:v>
                  </c:pt>
                  <c:pt idx="1187">
                    <c:v>1,22</c:v>
                  </c:pt>
                  <c:pt idx="1188">
                    <c:v>1,22</c:v>
                  </c:pt>
                  <c:pt idx="1189">
                    <c:v>1,22</c:v>
                  </c:pt>
                  <c:pt idx="1190">
                    <c:v>1,22</c:v>
                  </c:pt>
                  <c:pt idx="1191">
                    <c:v>1,22</c:v>
                  </c:pt>
                  <c:pt idx="1192">
                    <c:v>1,22</c:v>
                  </c:pt>
                  <c:pt idx="1193">
                    <c:v>1,22</c:v>
                  </c:pt>
                  <c:pt idx="1194">
                    <c:v>1,22</c:v>
                  </c:pt>
                  <c:pt idx="1195">
                    <c:v>1,22</c:v>
                  </c:pt>
                  <c:pt idx="1196">
                    <c:v>1,22</c:v>
                  </c:pt>
                  <c:pt idx="1197">
                    <c:v>1</c:v>
                  </c:pt>
                  <c:pt idx="1198">
                    <c:v>1,22</c:v>
                  </c:pt>
                  <c:pt idx="1199">
                    <c:v>1,22</c:v>
                  </c:pt>
                  <c:pt idx="1200">
                    <c:v>1,22</c:v>
                  </c:pt>
                  <c:pt idx="1201">
                    <c:v>1,22</c:v>
                  </c:pt>
                  <c:pt idx="1202">
                    <c:v>1</c:v>
                  </c:pt>
                  <c:pt idx="1203">
                    <c:v>1,22</c:v>
                  </c:pt>
                  <c:pt idx="1204">
                    <c:v>1,22</c:v>
                  </c:pt>
                  <c:pt idx="1205">
                    <c:v>1,22</c:v>
                  </c:pt>
                  <c:pt idx="1206">
                    <c:v>1,22</c:v>
                  </c:pt>
                  <c:pt idx="1207">
                    <c:v>1,22</c:v>
                  </c:pt>
                  <c:pt idx="1208">
                    <c:v>1,22</c:v>
                  </c:pt>
                  <c:pt idx="1209">
                    <c:v>1,22</c:v>
                  </c:pt>
                  <c:pt idx="1210">
                    <c:v>1,22</c:v>
                  </c:pt>
                  <c:pt idx="1211">
                    <c:v>1,22</c:v>
                  </c:pt>
                  <c:pt idx="1212">
                    <c:v>1,22</c:v>
                  </c:pt>
                  <c:pt idx="1213">
                    <c:v>1,21</c:v>
                  </c:pt>
                  <c:pt idx="1214">
                    <c:v>1,22</c:v>
                  </c:pt>
                  <c:pt idx="1215">
                    <c:v>1,22</c:v>
                  </c:pt>
                  <c:pt idx="1216">
                    <c:v>1,22</c:v>
                  </c:pt>
                  <c:pt idx="1217">
                    <c:v>1,22</c:v>
                  </c:pt>
                  <c:pt idx="1218">
                    <c:v>1,22</c:v>
                  </c:pt>
                  <c:pt idx="1219">
                    <c:v>1,22</c:v>
                  </c:pt>
                  <c:pt idx="1220">
                    <c:v>1,22</c:v>
                  </c:pt>
                  <c:pt idx="1221">
                    <c:v>1,22</c:v>
                  </c:pt>
                  <c:pt idx="1222">
                    <c:v>1,22</c:v>
                  </c:pt>
                  <c:pt idx="1223">
                    <c:v>1,22</c:v>
                  </c:pt>
                  <c:pt idx="1224">
                    <c:v>1,22</c:v>
                  </c:pt>
                  <c:pt idx="1225">
                    <c:v>1,22</c:v>
                  </c:pt>
                  <c:pt idx="1226">
                    <c:v>1,22</c:v>
                  </c:pt>
                  <c:pt idx="1227">
                    <c:v>1,22</c:v>
                  </c:pt>
                  <c:pt idx="1228">
                    <c:v>1,22</c:v>
                  </c:pt>
                  <c:pt idx="1229">
                    <c:v>1,22</c:v>
                  </c:pt>
                  <c:pt idx="1230">
                    <c:v>1,22</c:v>
                  </c:pt>
                  <c:pt idx="1231">
                    <c:v>1,22</c:v>
                  </c:pt>
                  <c:pt idx="1232">
                    <c:v>1,22</c:v>
                  </c:pt>
                  <c:pt idx="1233">
                    <c:v>1,22</c:v>
                  </c:pt>
                  <c:pt idx="1234">
                    <c:v>1,22</c:v>
                  </c:pt>
                  <c:pt idx="1235">
                    <c:v>1,22</c:v>
                  </c:pt>
                  <c:pt idx="1236">
                    <c:v>1,22</c:v>
                  </c:pt>
                  <c:pt idx="1237">
                    <c:v>1,22</c:v>
                  </c:pt>
                  <c:pt idx="1238">
                    <c:v>1,22</c:v>
                  </c:pt>
                  <c:pt idx="1239">
                    <c:v>1,22</c:v>
                  </c:pt>
                  <c:pt idx="1240">
                    <c:v>1,22</c:v>
                  </c:pt>
                  <c:pt idx="1241">
                    <c:v>1,22</c:v>
                  </c:pt>
                  <c:pt idx="1242">
                    <c:v>1,22</c:v>
                  </c:pt>
                  <c:pt idx="1243">
                    <c:v>1,22</c:v>
                  </c:pt>
                  <c:pt idx="1244">
                    <c:v>1,22</c:v>
                  </c:pt>
                  <c:pt idx="1245">
                    <c:v>1,22</c:v>
                  </c:pt>
                  <c:pt idx="1246">
                    <c:v>1,22</c:v>
                  </c:pt>
                  <c:pt idx="1247">
                    <c:v>1,22</c:v>
                  </c:pt>
                  <c:pt idx="1248">
                    <c:v>1,22</c:v>
                  </c:pt>
                  <c:pt idx="1249">
                    <c:v>1,22</c:v>
                  </c:pt>
                  <c:pt idx="1250">
                    <c:v>1,22</c:v>
                  </c:pt>
                  <c:pt idx="1251">
                    <c:v>1,22</c:v>
                  </c:pt>
                  <c:pt idx="1252">
                    <c:v>1,22</c:v>
                  </c:pt>
                  <c:pt idx="1253">
                    <c:v>1,22</c:v>
                  </c:pt>
                  <c:pt idx="1254">
                    <c:v>1,22</c:v>
                  </c:pt>
                  <c:pt idx="1255">
                    <c:v>1,22</c:v>
                  </c:pt>
                  <c:pt idx="1256">
                    <c:v>1,22</c:v>
                  </c:pt>
                  <c:pt idx="1257">
                    <c:v>1,22</c:v>
                  </c:pt>
                  <c:pt idx="1258">
                    <c:v>1,22</c:v>
                  </c:pt>
                  <c:pt idx="1259">
                    <c:v>1,22</c:v>
                  </c:pt>
                  <c:pt idx="1260">
                    <c:v>1,22</c:v>
                  </c:pt>
                  <c:pt idx="1261">
                    <c:v>1,22</c:v>
                  </c:pt>
                  <c:pt idx="1262">
                    <c:v>1,22</c:v>
                  </c:pt>
                  <c:pt idx="1263">
                    <c:v>1,22</c:v>
                  </c:pt>
                  <c:pt idx="1264">
                    <c:v>1,22</c:v>
                  </c:pt>
                  <c:pt idx="1265">
                    <c:v>1,22</c:v>
                  </c:pt>
                  <c:pt idx="1266">
                    <c:v>1,22</c:v>
                  </c:pt>
                  <c:pt idx="1267">
                    <c:v>1,22</c:v>
                  </c:pt>
                  <c:pt idx="1268">
                    <c:v>1,22</c:v>
                  </c:pt>
                  <c:pt idx="1269">
                    <c:v>1,22</c:v>
                  </c:pt>
                  <c:pt idx="1270">
                    <c:v>1,22</c:v>
                  </c:pt>
                  <c:pt idx="1271">
                    <c:v>1,22</c:v>
                  </c:pt>
                  <c:pt idx="1272">
                    <c:v>1,22</c:v>
                  </c:pt>
                  <c:pt idx="1273">
                    <c:v>1,22</c:v>
                  </c:pt>
                  <c:pt idx="1274">
                    <c:v>1,22</c:v>
                  </c:pt>
                  <c:pt idx="1275">
                    <c:v>1,22</c:v>
                  </c:pt>
                  <c:pt idx="1276">
                    <c:v>1,22</c:v>
                  </c:pt>
                  <c:pt idx="1277">
                    <c:v>1,22</c:v>
                  </c:pt>
                  <c:pt idx="1278">
                    <c:v>1,22</c:v>
                  </c:pt>
                  <c:pt idx="1279">
                    <c:v>1,22</c:v>
                  </c:pt>
                  <c:pt idx="1280">
                    <c:v>1,22</c:v>
                  </c:pt>
                  <c:pt idx="1281">
                    <c:v>1,22</c:v>
                  </c:pt>
                  <c:pt idx="1282">
                    <c:v>1,22</c:v>
                  </c:pt>
                  <c:pt idx="1283">
                    <c:v>1,22</c:v>
                  </c:pt>
                  <c:pt idx="1284">
                    <c:v>1,22</c:v>
                  </c:pt>
                  <c:pt idx="1285">
                    <c:v>1,22</c:v>
                  </c:pt>
                  <c:pt idx="1286">
                    <c:v>1,22</c:v>
                  </c:pt>
                  <c:pt idx="1287">
                    <c:v>1,22</c:v>
                  </c:pt>
                  <c:pt idx="1288">
                    <c:v>1,22</c:v>
                  </c:pt>
                  <c:pt idx="1289">
                    <c:v>1,22</c:v>
                  </c:pt>
                  <c:pt idx="1290">
                    <c:v>1,22</c:v>
                  </c:pt>
                  <c:pt idx="1291">
                    <c:v>1,22</c:v>
                  </c:pt>
                  <c:pt idx="1292">
                    <c:v>1,22</c:v>
                  </c:pt>
                  <c:pt idx="1293">
                    <c:v>1,22</c:v>
                  </c:pt>
                  <c:pt idx="1294">
                    <c:v>1,22</c:v>
                  </c:pt>
                  <c:pt idx="1295">
                    <c:v>1,22</c:v>
                  </c:pt>
                  <c:pt idx="1296">
                    <c:v>1,22</c:v>
                  </c:pt>
                  <c:pt idx="1297">
                    <c:v>1,22</c:v>
                  </c:pt>
                  <c:pt idx="1298">
                    <c:v>1,22</c:v>
                  </c:pt>
                  <c:pt idx="1299">
                    <c:v>1,22</c:v>
                  </c:pt>
                  <c:pt idx="1300">
                    <c:v>1,22</c:v>
                  </c:pt>
                  <c:pt idx="1301">
                    <c:v>1,22</c:v>
                  </c:pt>
                  <c:pt idx="1302">
                    <c:v>1,22</c:v>
                  </c:pt>
                  <c:pt idx="1303">
                    <c:v>1,22</c:v>
                  </c:pt>
                  <c:pt idx="1304">
                    <c:v>1,22</c:v>
                  </c:pt>
                  <c:pt idx="1305">
                    <c:v>1,22</c:v>
                  </c:pt>
                  <c:pt idx="1306">
                    <c:v>1,22</c:v>
                  </c:pt>
                  <c:pt idx="1307">
                    <c:v>1,22</c:v>
                  </c:pt>
                  <c:pt idx="1308">
                    <c:v>1,22</c:v>
                  </c:pt>
                  <c:pt idx="1309">
                    <c:v>1,22</c:v>
                  </c:pt>
                  <c:pt idx="1310">
                    <c:v>1,22</c:v>
                  </c:pt>
                  <c:pt idx="1311">
                    <c:v>1,22</c:v>
                  </c:pt>
                  <c:pt idx="1312">
                    <c:v>1,22</c:v>
                  </c:pt>
                  <c:pt idx="1313">
                    <c:v>1,22</c:v>
                  </c:pt>
                  <c:pt idx="1314">
                    <c:v>1,22</c:v>
                  </c:pt>
                  <c:pt idx="1315">
                    <c:v>1,22</c:v>
                  </c:pt>
                  <c:pt idx="1316">
                    <c:v>1,22</c:v>
                  </c:pt>
                  <c:pt idx="1317">
                    <c:v>1,22</c:v>
                  </c:pt>
                  <c:pt idx="1318">
                    <c:v>1,22</c:v>
                  </c:pt>
                  <c:pt idx="1319">
                    <c:v>1,22</c:v>
                  </c:pt>
                  <c:pt idx="1320">
                    <c:v>1,22</c:v>
                  </c:pt>
                  <c:pt idx="1321">
                    <c:v>1,22</c:v>
                  </c:pt>
                  <c:pt idx="1322">
                    <c:v>1,22</c:v>
                  </c:pt>
                  <c:pt idx="1323">
                    <c:v>1,22</c:v>
                  </c:pt>
                  <c:pt idx="1324">
                    <c:v>1,22</c:v>
                  </c:pt>
                  <c:pt idx="1325">
                    <c:v>1,22</c:v>
                  </c:pt>
                  <c:pt idx="1326">
                    <c:v>1,22</c:v>
                  </c:pt>
                  <c:pt idx="1327">
                    <c:v>1,22</c:v>
                  </c:pt>
                  <c:pt idx="1328">
                    <c:v>1,22</c:v>
                  </c:pt>
                  <c:pt idx="1329">
                    <c:v>1,22</c:v>
                  </c:pt>
                  <c:pt idx="1330">
                    <c:v>1,22</c:v>
                  </c:pt>
                  <c:pt idx="1331">
                    <c:v>1,22</c:v>
                  </c:pt>
                  <c:pt idx="1332">
                    <c:v>1,22</c:v>
                  </c:pt>
                  <c:pt idx="1333">
                    <c:v>1,22</c:v>
                  </c:pt>
                  <c:pt idx="1334">
                    <c:v>1,22</c:v>
                  </c:pt>
                  <c:pt idx="1335">
                    <c:v>1,22</c:v>
                  </c:pt>
                  <c:pt idx="1336">
                    <c:v>1,22</c:v>
                  </c:pt>
                  <c:pt idx="1337">
                    <c:v>1,22</c:v>
                  </c:pt>
                  <c:pt idx="1338">
                    <c:v>1,22</c:v>
                  </c:pt>
                  <c:pt idx="1339">
                    <c:v>1,22</c:v>
                  </c:pt>
                  <c:pt idx="1340">
                    <c:v>1,22</c:v>
                  </c:pt>
                  <c:pt idx="1341">
                    <c:v>1,22</c:v>
                  </c:pt>
                  <c:pt idx="1342">
                    <c:v>1,22</c:v>
                  </c:pt>
                  <c:pt idx="1343">
                    <c:v>1,22</c:v>
                  </c:pt>
                  <c:pt idx="1344">
                    <c:v>1,22</c:v>
                  </c:pt>
                  <c:pt idx="1345">
                    <c:v>1,22</c:v>
                  </c:pt>
                  <c:pt idx="1346">
                    <c:v>1,22</c:v>
                  </c:pt>
                  <c:pt idx="1347">
                    <c:v>1,22</c:v>
                  </c:pt>
                  <c:pt idx="1348">
                    <c:v>1,22</c:v>
                  </c:pt>
                  <c:pt idx="1349">
                    <c:v>1,22</c:v>
                  </c:pt>
                  <c:pt idx="1350">
                    <c:v>1,22</c:v>
                  </c:pt>
                  <c:pt idx="1351">
                    <c:v>1,22</c:v>
                  </c:pt>
                  <c:pt idx="1352">
                    <c:v>1,22</c:v>
                  </c:pt>
                  <c:pt idx="1353">
                    <c:v>1,22</c:v>
                  </c:pt>
                  <c:pt idx="1354">
                    <c:v>1,22</c:v>
                  </c:pt>
                  <c:pt idx="1355">
                    <c:v>1,22</c:v>
                  </c:pt>
                  <c:pt idx="1356">
                    <c:v>1,22</c:v>
                  </c:pt>
                  <c:pt idx="1357">
                    <c:v>1,22</c:v>
                  </c:pt>
                  <c:pt idx="1358">
                    <c:v>1,22</c:v>
                  </c:pt>
                  <c:pt idx="1359">
                    <c:v>1,22</c:v>
                  </c:pt>
                  <c:pt idx="1360">
                    <c:v>1,22</c:v>
                  </c:pt>
                  <c:pt idx="1361">
                    <c:v>1,22</c:v>
                  </c:pt>
                  <c:pt idx="1362">
                    <c:v>1,22</c:v>
                  </c:pt>
                  <c:pt idx="1363">
                    <c:v>1,22</c:v>
                  </c:pt>
                  <c:pt idx="1364">
                    <c:v>1,22</c:v>
                  </c:pt>
                  <c:pt idx="1365">
                    <c:v>1,22</c:v>
                  </c:pt>
                  <c:pt idx="1366">
                    <c:v>1,22</c:v>
                  </c:pt>
                  <c:pt idx="1367">
                    <c:v>1,22</c:v>
                  </c:pt>
                  <c:pt idx="1368">
                    <c:v>1,22</c:v>
                  </c:pt>
                  <c:pt idx="1369">
                    <c:v>1,22</c:v>
                  </c:pt>
                  <c:pt idx="1370">
                    <c:v>1,22</c:v>
                  </c:pt>
                  <c:pt idx="1371">
                    <c:v>1,22</c:v>
                  </c:pt>
                  <c:pt idx="1372">
                    <c:v>1,22</c:v>
                  </c:pt>
                  <c:pt idx="1373">
                    <c:v>1,22</c:v>
                  </c:pt>
                  <c:pt idx="1374">
                    <c:v>1,22</c:v>
                  </c:pt>
                  <c:pt idx="1375">
                    <c:v>1,22</c:v>
                  </c:pt>
                  <c:pt idx="1376">
                    <c:v>1,22</c:v>
                  </c:pt>
                  <c:pt idx="1377">
                    <c:v>1,22</c:v>
                  </c:pt>
                  <c:pt idx="1378">
                    <c:v>1,22</c:v>
                  </c:pt>
                  <c:pt idx="1379">
                    <c:v>1,22</c:v>
                  </c:pt>
                  <c:pt idx="1380">
                    <c:v>1,22</c:v>
                  </c:pt>
                  <c:pt idx="1381">
                    <c:v>1,22</c:v>
                  </c:pt>
                  <c:pt idx="1382">
                    <c:v>1,22</c:v>
                  </c:pt>
                  <c:pt idx="1383">
                    <c:v>1,22</c:v>
                  </c:pt>
                  <c:pt idx="1384">
                    <c:v>1,22</c:v>
                  </c:pt>
                  <c:pt idx="1385">
                    <c:v>1,22</c:v>
                  </c:pt>
                  <c:pt idx="1386">
                    <c:v>1,22</c:v>
                  </c:pt>
                  <c:pt idx="1388">
                    <c:v>1,22</c:v>
                  </c:pt>
                  <c:pt idx="1389">
                    <c:v>1,22</c:v>
                  </c:pt>
                  <c:pt idx="1390">
                    <c:v>1,22</c:v>
                  </c:pt>
                  <c:pt idx="1391">
                    <c:v>1,22</c:v>
                  </c:pt>
                  <c:pt idx="1392">
                    <c:v>1,22</c:v>
                  </c:pt>
                  <c:pt idx="1393">
                    <c:v>1,22</c:v>
                  </c:pt>
                  <c:pt idx="1394">
                    <c:v>1</c:v>
                  </c:pt>
                  <c:pt idx="1395">
                    <c:v>1</c:v>
                  </c:pt>
                  <c:pt idx="1396">
                    <c:v>1</c:v>
                  </c:pt>
                  <c:pt idx="1397">
                    <c:v>1</c:v>
                  </c:pt>
                  <c:pt idx="1398">
                    <c:v>1,22</c:v>
                  </c:pt>
                  <c:pt idx="1399">
                    <c:v>1,22</c:v>
                  </c:pt>
                  <c:pt idx="1400">
                    <c:v>1,22</c:v>
                  </c:pt>
                  <c:pt idx="1401">
                    <c:v>1</c:v>
                  </c:pt>
                  <c:pt idx="1402">
                    <c:v>1,22</c:v>
                  </c:pt>
                  <c:pt idx="1403">
                    <c:v>1,22</c:v>
                  </c:pt>
                  <c:pt idx="1404">
                    <c:v>1,22</c:v>
                  </c:pt>
                  <c:pt idx="1405">
                    <c:v>1,22</c:v>
                  </c:pt>
                  <c:pt idx="1406">
                    <c:v>1,22</c:v>
                  </c:pt>
                  <c:pt idx="1407">
                    <c:v>1,22</c:v>
                  </c:pt>
                  <c:pt idx="1408">
                    <c:v>1,22</c:v>
                  </c:pt>
                  <c:pt idx="1409">
                    <c:v>1,22</c:v>
                  </c:pt>
                  <c:pt idx="1410">
                    <c:v>1,22</c:v>
                  </c:pt>
                  <c:pt idx="1411">
                    <c:v>1,22</c:v>
                  </c:pt>
                  <c:pt idx="1412">
                    <c:v>1,22</c:v>
                  </c:pt>
                  <c:pt idx="1413">
                    <c:v>1,22</c:v>
                  </c:pt>
                  <c:pt idx="1414">
                    <c:v>1,22</c:v>
                  </c:pt>
                  <c:pt idx="1415">
                    <c:v>1,22</c:v>
                  </c:pt>
                  <c:pt idx="1416">
                    <c:v>1,22</c:v>
                  </c:pt>
                  <c:pt idx="1417">
                    <c:v>1,22</c:v>
                  </c:pt>
                  <c:pt idx="1418">
                    <c:v>1,22</c:v>
                  </c:pt>
                  <c:pt idx="1419">
                    <c:v>1,22</c:v>
                  </c:pt>
                  <c:pt idx="1420">
                    <c:v>1,22</c:v>
                  </c:pt>
                  <c:pt idx="1421">
                    <c:v>1,22</c:v>
                  </c:pt>
                  <c:pt idx="1422">
                    <c:v>1,22</c:v>
                  </c:pt>
                  <c:pt idx="1423">
                    <c:v>1,22</c:v>
                  </c:pt>
                  <c:pt idx="1424">
                    <c:v>1,22</c:v>
                  </c:pt>
                  <c:pt idx="1425">
                    <c:v>1,22</c:v>
                  </c:pt>
                  <c:pt idx="1426">
                    <c:v>1,22</c:v>
                  </c:pt>
                  <c:pt idx="1427">
                    <c:v>1,22</c:v>
                  </c:pt>
                  <c:pt idx="1428">
                    <c:v>1,22</c:v>
                  </c:pt>
                  <c:pt idx="1429">
                    <c:v>1,22</c:v>
                  </c:pt>
                  <c:pt idx="1430">
                    <c:v>1,22</c:v>
                  </c:pt>
                  <c:pt idx="1431">
                    <c:v>1,22</c:v>
                  </c:pt>
                  <c:pt idx="1432">
                    <c:v>1,22</c:v>
                  </c:pt>
                  <c:pt idx="1433">
                    <c:v>1,22</c:v>
                  </c:pt>
                  <c:pt idx="1434">
                    <c:v>1,22</c:v>
                  </c:pt>
                  <c:pt idx="1435">
                    <c:v>1,22</c:v>
                  </c:pt>
                  <c:pt idx="1436">
                    <c:v>1</c:v>
                  </c:pt>
                  <c:pt idx="1437">
                    <c:v>1</c:v>
                  </c:pt>
                  <c:pt idx="1438">
                    <c:v>1</c:v>
                  </c:pt>
                  <c:pt idx="1439">
                    <c:v>1</c:v>
                  </c:pt>
                  <c:pt idx="1440">
                    <c:v>1,22</c:v>
                  </c:pt>
                  <c:pt idx="1441">
                    <c:v>1,22</c:v>
                  </c:pt>
                  <c:pt idx="1442">
                    <c:v>1,22</c:v>
                  </c:pt>
                  <c:pt idx="1443">
                    <c:v>1</c:v>
                  </c:pt>
                  <c:pt idx="1444">
                    <c:v>1,22</c:v>
                  </c:pt>
                  <c:pt idx="1446">
                    <c:v>1,22</c:v>
                  </c:pt>
                  <c:pt idx="1447">
                    <c:v>1,22</c:v>
                  </c:pt>
                  <c:pt idx="1448">
                    <c:v>1,22</c:v>
                  </c:pt>
                  <c:pt idx="1449">
                    <c:v>1</c:v>
                  </c:pt>
                  <c:pt idx="1450">
                    <c:v>1,22</c:v>
                  </c:pt>
                  <c:pt idx="1451">
                    <c:v>1,22</c:v>
                  </c:pt>
                  <c:pt idx="1452">
                    <c:v>1,22</c:v>
                  </c:pt>
                  <c:pt idx="1453">
                    <c:v>1,22</c:v>
                  </c:pt>
                  <c:pt idx="1454">
                    <c:v>1,22</c:v>
                  </c:pt>
                  <c:pt idx="1455">
                    <c:v>1,22</c:v>
                  </c:pt>
                  <c:pt idx="1456">
                    <c:v>1,22</c:v>
                  </c:pt>
                  <c:pt idx="1458">
                    <c:v>1,22</c:v>
                  </c:pt>
                  <c:pt idx="1459">
                    <c:v>1,22</c:v>
                  </c:pt>
                  <c:pt idx="1460">
                    <c:v>1,22</c:v>
                  </c:pt>
                  <c:pt idx="1461">
                    <c:v>1,22</c:v>
                  </c:pt>
                  <c:pt idx="1462">
                    <c:v>1,22</c:v>
                  </c:pt>
                  <c:pt idx="1463">
                    <c:v>1,22</c:v>
                  </c:pt>
                  <c:pt idx="1464">
                    <c:v>1,22</c:v>
                  </c:pt>
                  <c:pt idx="1465">
                    <c:v>1,22</c:v>
                  </c:pt>
                  <c:pt idx="1466">
                    <c:v>1,22</c:v>
                  </c:pt>
                  <c:pt idx="1467">
                    <c:v>1,22</c:v>
                  </c:pt>
                  <c:pt idx="1468">
                    <c:v>1,22</c:v>
                  </c:pt>
                  <c:pt idx="1469">
                    <c:v>1,22</c:v>
                  </c:pt>
                  <c:pt idx="1470">
                    <c:v>1,22</c:v>
                  </c:pt>
                  <c:pt idx="1471">
                    <c:v>1,22</c:v>
                  </c:pt>
                  <c:pt idx="1472">
                    <c:v>1,22</c:v>
                  </c:pt>
                  <c:pt idx="1473">
                    <c:v>1,22</c:v>
                  </c:pt>
                  <c:pt idx="1474">
                    <c:v>1,22</c:v>
                  </c:pt>
                  <c:pt idx="1475">
                    <c:v>1,22</c:v>
                  </c:pt>
                  <c:pt idx="1476">
                    <c:v>1,22</c:v>
                  </c:pt>
                  <c:pt idx="1477">
                    <c:v>1</c:v>
                  </c:pt>
                  <c:pt idx="1478">
                    <c:v>1,22</c:v>
                  </c:pt>
                  <c:pt idx="1479">
                    <c:v>1,22</c:v>
                  </c:pt>
                  <c:pt idx="1480">
                    <c:v>1</c:v>
                  </c:pt>
                  <c:pt idx="1481">
                    <c:v>1</c:v>
                  </c:pt>
                  <c:pt idx="1482">
                    <c:v>1,22</c:v>
                  </c:pt>
                  <c:pt idx="1483">
                    <c:v>1,22</c:v>
                  </c:pt>
                  <c:pt idx="1484">
                    <c:v>1,22</c:v>
                  </c:pt>
                  <c:pt idx="1485">
                    <c:v>1</c:v>
                  </c:pt>
                  <c:pt idx="1486">
                    <c:v>1</c:v>
                  </c:pt>
                  <c:pt idx="1487">
                    <c:v>1</c:v>
                  </c:pt>
                  <c:pt idx="1488">
                    <c:v>1,22</c:v>
                  </c:pt>
                  <c:pt idx="1489">
                    <c:v>1</c:v>
                  </c:pt>
                  <c:pt idx="1490">
                    <c:v>1,22</c:v>
                  </c:pt>
                  <c:pt idx="1491">
                    <c:v>1,22</c:v>
                  </c:pt>
                  <c:pt idx="1492">
                    <c:v>1,22</c:v>
                  </c:pt>
                  <c:pt idx="1493">
                    <c:v>1,22</c:v>
                  </c:pt>
                  <c:pt idx="1494">
                    <c:v>1,22</c:v>
                  </c:pt>
                  <c:pt idx="1495">
                    <c:v>1,22</c:v>
                  </c:pt>
                  <c:pt idx="1496">
                    <c:v>1,22</c:v>
                  </c:pt>
                  <c:pt idx="1497">
                    <c:v>1,22</c:v>
                  </c:pt>
                  <c:pt idx="1498">
                    <c:v>1,22</c:v>
                  </c:pt>
                  <c:pt idx="1499">
                    <c:v>1,22</c:v>
                  </c:pt>
                  <c:pt idx="1500">
                    <c:v>1,22</c:v>
                  </c:pt>
                  <c:pt idx="1501">
                    <c:v>1,22</c:v>
                  </c:pt>
                  <c:pt idx="1502">
                    <c:v>1,22</c:v>
                  </c:pt>
                  <c:pt idx="1503">
                    <c:v>1,22</c:v>
                  </c:pt>
                  <c:pt idx="1504">
                    <c:v>1,22</c:v>
                  </c:pt>
                  <c:pt idx="1505">
                    <c:v>1,22</c:v>
                  </c:pt>
                  <c:pt idx="1506">
                    <c:v>1,22</c:v>
                  </c:pt>
                  <c:pt idx="1507">
                    <c:v>1,22</c:v>
                  </c:pt>
                  <c:pt idx="1508">
                    <c:v>1,22</c:v>
                  </c:pt>
                  <c:pt idx="1509">
                    <c:v>1,22</c:v>
                  </c:pt>
                  <c:pt idx="1510">
                    <c:v>1,22</c:v>
                  </c:pt>
                  <c:pt idx="1511">
                    <c:v>1,22</c:v>
                  </c:pt>
                  <c:pt idx="1512">
                    <c:v>1,22</c:v>
                  </c:pt>
                  <c:pt idx="1513">
                    <c:v>1,22</c:v>
                  </c:pt>
                  <c:pt idx="1514">
                    <c:v>1,22</c:v>
                  </c:pt>
                  <c:pt idx="1515">
                    <c:v>1,22</c:v>
                  </c:pt>
                  <c:pt idx="1516">
                    <c:v>1,22</c:v>
                  </c:pt>
                  <c:pt idx="1517">
                    <c:v>1,22</c:v>
                  </c:pt>
                  <c:pt idx="1518">
                    <c:v>1,22</c:v>
                  </c:pt>
                  <c:pt idx="1519">
                    <c:v>1</c:v>
                  </c:pt>
                  <c:pt idx="1520">
                    <c:v>1</c:v>
                  </c:pt>
                  <c:pt idx="1521">
                    <c:v>1</c:v>
                  </c:pt>
                  <c:pt idx="1522">
                    <c:v>1,22</c:v>
                  </c:pt>
                  <c:pt idx="1523">
                    <c:v>1,22</c:v>
                  </c:pt>
                  <c:pt idx="1524">
                    <c:v>1,22</c:v>
                  </c:pt>
                  <c:pt idx="1525">
                    <c:v>1,22</c:v>
                  </c:pt>
                  <c:pt idx="1526">
                    <c:v>1,22</c:v>
                  </c:pt>
                  <c:pt idx="1527">
                    <c:v>1,22</c:v>
                  </c:pt>
                  <c:pt idx="1528">
                    <c:v>1,22</c:v>
                  </c:pt>
                  <c:pt idx="1529">
                    <c:v>1,22</c:v>
                  </c:pt>
                  <c:pt idx="1530">
                    <c:v>1</c:v>
                  </c:pt>
                  <c:pt idx="1531">
                    <c:v>1</c:v>
                  </c:pt>
                  <c:pt idx="1532">
                    <c:v>1,22</c:v>
                  </c:pt>
                  <c:pt idx="1533">
                    <c:v>1,22</c:v>
                  </c:pt>
                  <c:pt idx="1534">
                    <c:v>1,22</c:v>
                  </c:pt>
                  <c:pt idx="1535">
                    <c:v>1,22</c:v>
                  </c:pt>
                  <c:pt idx="1536">
                    <c:v>1,22</c:v>
                  </c:pt>
                  <c:pt idx="1537">
                    <c:v>1,22</c:v>
                  </c:pt>
                  <c:pt idx="1538">
                    <c:v>1,22</c:v>
                  </c:pt>
                  <c:pt idx="1539">
                    <c:v>1,22</c:v>
                  </c:pt>
                  <c:pt idx="1540">
                    <c:v>1,22</c:v>
                  </c:pt>
                  <c:pt idx="1541">
                    <c:v>1,22</c:v>
                  </c:pt>
                  <c:pt idx="1542">
                    <c:v>1,22</c:v>
                  </c:pt>
                  <c:pt idx="1543">
                    <c:v>1,22</c:v>
                  </c:pt>
                  <c:pt idx="1544">
                    <c:v>1,22</c:v>
                  </c:pt>
                  <c:pt idx="1545">
                    <c:v>1,22</c:v>
                  </c:pt>
                  <c:pt idx="1546">
                    <c:v>1,22</c:v>
                  </c:pt>
                  <c:pt idx="1547">
                    <c:v>1,22</c:v>
                  </c:pt>
                  <c:pt idx="1548">
                    <c:v>1,22</c:v>
                  </c:pt>
                  <c:pt idx="1549">
                    <c:v>1,22</c:v>
                  </c:pt>
                  <c:pt idx="1550">
                    <c:v>1,22</c:v>
                  </c:pt>
                  <c:pt idx="1551">
                    <c:v>1,22</c:v>
                  </c:pt>
                  <c:pt idx="1552">
                    <c:v>1</c:v>
                  </c:pt>
                  <c:pt idx="1553">
                    <c:v>1,22</c:v>
                  </c:pt>
                  <c:pt idx="1554">
                    <c:v>1,22</c:v>
                  </c:pt>
                  <c:pt idx="1555">
                    <c:v>1</c:v>
                  </c:pt>
                  <c:pt idx="1556">
                    <c:v>1,22</c:v>
                  </c:pt>
                  <c:pt idx="1557">
                    <c:v>1,22</c:v>
                  </c:pt>
                  <c:pt idx="1558">
                    <c:v>1,22</c:v>
                  </c:pt>
                  <c:pt idx="1559">
                    <c:v>1,22</c:v>
                  </c:pt>
                  <c:pt idx="1560">
                    <c:v>1,22</c:v>
                  </c:pt>
                  <c:pt idx="1561">
                    <c:v>1,22</c:v>
                  </c:pt>
                  <c:pt idx="1562">
                    <c:v>1,22</c:v>
                  </c:pt>
                  <c:pt idx="1563">
                    <c:v>1,22</c:v>
                  </c:pt>
                  <c:pt idx="1564">
                    <c:v>1,22</c:v>
                  </c:pt>
                  <c:pt idx="1565">
                    <c:v>1,22</c:v>
                  </c:pt>
                  <c:pt idx="1566">
                    <c:v>1,22</c:v>
                  </c:pt>
                  <c:pt idx="1567">
                    <c:v>1,22</c:v>
                  </c:pt>
                  <c:pt idx="1568">
                    <c:v>1,22</c:v>
                  </c:pt>
                  <c:pt idx="1569">
                    <c:v>1,22</c:v>
                  </c:pt>
                  <c:pt idx="1570">
                    <c:v>1,22</c:v>
                  </c:pt>
                  <c:pt idx="1571">
                    <c:v>1,22</c:v>
                  </c:pt>
                  <c:pt idx="1572">
                    <c:v>1,22</c:v>
                  </c:pt>
                  <c:pt idx="1573">
                    <c:v>1</c:v>
                  </c:pt>
                  <c:pt idx="1574">
                    <c:v>1,22</c:v>
                  </c:pt>
                  <c:pt idx="1575">
                    <c:v>1,22</c:v>
                  </c:pt>
                  <c:pt idx="1576">
                    <c:v>1,22</c:v>
                  </c:pt>
                  <c:pt idx="1577">
                    <c:v>1,22</c:v>
                  </c:pt>
                  <c:pt idx="1578">
                    <c:v>1,22</c:v>
                  </c:pt>
                  <c:pt idx="1579">
                    <c:v>1,22</c:v>
                  </c:pt>
                  <c:pt idx="1580">
                    <c:v>1,22</c:v>
                  </c:pt>
                  <c:pt idx="1581">
                    <c:v>1,22</c:v>
                  </c:pt>
                  <c:pt idx="1582">
                    <c:v>1,22</c:v>
                  </c:pt>
                  <c:pt idx="1583">
                    <c:v>1,22</c:v>
                  </c:pt>
                  <c:pt idx="1584">
                    <c:v>1,22</c:v>
                  </c:pt>
                  <c:pt idx="1585">
                    <c:v>1,22</c:v>
                  </c:pt>
                  <c:pt idx="1586">
                    <c:v>1,22</c:v>
                  </c:pt>
                  <c:pt idx="1587">
                    <c:v>1</c:v>
                  </c:pt>
                  <c:pt idx="1588">
                    <c:v>1</c:v>
                  </c:pt>
                  <c:pt idx="1589">
                    <c:v>1</c:v>
                  </c:pt>
                  <c:pt idx="1590">
                    <c:v>1,22</c:v>
                  </c:pt>
                  <c:pt idx="1591">
                    <c:v>1,22</c:v>
                  </c:pt>
                  <c:pt idx="1592">
                    <c:v>1,22</c:v>
                  </c:pt>
                  <c:pt idx="1593">
                    <c:v>1,22</c:v>
                  </c:pt>
                  <c:pt idx="1594">
                    <c:v>1,22</c:v>
                  </c:pt>
                  <c:pt idx="1595">
                    <c:v>1,22</c:v>
                  </c:pt>
                  <c:pt idx="1596">
                    <c:v>1,22</c:v>
                  </c:pt>
                  <c:pt idx="1597">
                    <c:v>1,22</c:v>
                  </c:pt>
                  <c:pt idx="1598">
                    <c:v>1</c:v>
                  </c:pt>
                  <c:pt idx="1599">
                    <c:v>1,22</c:v>
                  </c:pt>
                  <c:pt idx="1600">
                    <c:v>1,22</c:v>
                  </c:pt>
                  <c:pt idx="1601">
                    <c:v>1,22</c:v>
                  </c:pt>
                  <c:pt idx="1602">
                    <c:v>1,22</c:v>
                  </c:pt>
                  <c:pt idx="1603">
                    <c:v>1,22</c:v>
                  </c:pt>
                  <c:pt idx="1604">
                    <c:v>1,22</c:v>
                  </c:pt>
                  <c:pt idx="1605">
                    <c:v>1,22</c:v>
                  </c:pt>
                  <c:pt idx="1606">
                    <c:v>1,22</c:v>
                  </c:pt>
                  <c:pt idx="1607">
                    <c:v>1,22</c:v>
                  </c:pt>
                  <c:pt idx="1608">
                    <c:v>1,22</c:v>
                  </c:pt>
                  <c:pt idx="1609">
                    <c:v>1,22</c:v>
                  </c:pt>
                  <c:pt idx="1610">
                    <c:v>1,22</c:v>
                  </c:pt>
                  <c:pt idx="1611">
                    <c:v>1,22</c:v>
                  </c:pt>
                  <c:pt idx="1612">
                    <c:v>1,22</c:v>
                  </c:pt>
                  <c:pt idx="1613">
                    <c:v>1,22</c:v>
                  </c:pt>
                  <c:pt idx="1614">
                    <c:v>1,22</c:v>
                  </c:pt>
                  <c:pt idx="1615">
                    <c:v>1,22</c:v>
                  </c:pt>
                  <c:pt idx="1616">
                    <c:v>1,22</c:v>
                  </c:pt>
                  <c:pt idx="1617">
                    <c:v>1,22</c:v>
                  </c:pt>
                  <c:pt idx="1618">
                    <c:v>1</c:v>
                  </c:pt>
                  <c:pt idx="1619">
                    <c:v>1</c:v>
                  </c:pt>
                  <c:pt idx="1620">
                    <c:v>1,22</c:v>
                  </c:pt>
                  <c:pt idx="1621">
                    <c:v>1,22</c:v>
                  </c:pt>
                  <c:pt idx="1622">
                    <c:v>1,22</c:v>
                  </c:pt>
                  <c:pt idx="1623">
                    <c:v>1,22</c:v>
                  </c:pt>
                  <c:pt idx="1624">
                    <c:v>1,22</c:v>
                  </c:pt>
                  <c:pt idx="1625">
                    <c:v>1</c:v>
                  </c:pt>
                  <c:pt idx="1626">
                    <c:v>1</c:v>
                  </c:pt>
                  <c:pt idx="1627">
                    <c:v>1,22</c:v>
                  </c:pt>
                  <c:pt idx="1628">
                    <c:v>1,22</c:v>
                  </c:pt>
                  <c:pt idx="1629">
                    <c:v>1,22</c:v>
                  </c:pt>
                  <c:pt idx="1630">
                    <c:v>1,22</c:v>
                  </c:pt>
                  <c:pt idx="1631">
                    <c:v>1,22</c:v>
                  </c:pt>
                  <c:pt idx="1632">
                    <c:v>1,22</c:v>
                  </c:pt>
                  <c:pt idx="1633">
                    <c:v>1,22</c:v>
                  </c:pt>
                  <c:pt idx="1634">
                    <c:v>1,22</c:v>
                  </c:pt>
                  <c:pt idx="1635">
                    <c:v>1</c:v>
                  </c:pt>
                  <c:pt idx="1636">
                    <c:v>1</c:v>
                  </c:pt>
                  <c:pt idx="1637">
                    <c:v>1</c:v>
                  </c:pt>
                  <c:pt idx="1638">
                    <c:v>1</c:v>
                  </c:pt>
                  <c:pt idx="1639">
                    <c:v>1</c:v>
                  </c:pt>
                  <c:pt idx="1640">
                    <c:v>1,22</c:v>
                  </c:pt>
                  <c:pt idx="1641">
                    <c:v>1,22</c:v>
                  </c:pt>
                  <c:pt idx="1642">
                    <c:v>1</c:v>
                  </c:pt>
                  <c:pt idx="1643">
                    <c:v>1</c:v>
                  </c:pt>
                  <c:pt idx="1644">
                    <c:v>1</c:v>
                  </c:pt>
                  <c:pt idx="1645">
                    <c:v>1</c:v>
                  </c:pt>
                  <c:pt idx="1646">
                    <c:v>1,22</c:v>
                  </c:pt>
                  <c:pt idx="1647">
                    <c:v>1,22</c:v>
                  </c:pt>
                  <c:pt idx="1648">
                    <c:v>1,22</c:v>
                  </c:pt>
                  <c:pt idx="1649">
                    <c:v>1,22</c:v>
                  </c:pt>
                  <c:pt idx="1650">
                    <c:v>1,22</c:v>
                  </c:pt>
                  <c:pt idx="1651">
                    <c:v>1,22</c:v>
                  </c:pt>
                  <c:pt idx="1652">
                    <c:v>1,22</c:v>
                  </c:pt>
                  <c:pt idx="1653">
                    <c:v>1,2</c:v>
                  </c:pt>
                  <c:pt idx="1654">
                    <c:v>1,22</c:v>
                  </c:pt>
                  <c:pt idx="1655">
                    <c:v>1,22</c:v>
                  </c:pt>
                  <c:pt idx="1656">
                    <c:v>1,22</c:v>
                  </c:pt>
                  <c:pt idx="1657">
                    <c:v>1,22</c:v>
                  </c:pt>
                  <c:pt idx="1658">
                    <c:v>1,22</c:v>
                  </c:pt>
                  <c:pt idx="1659">
                    <c:v>1,22</c:v>
                  </c:pt>
                  <c:pt idx="1660">
                    <c:v>1,22</c:v>
                  </c:pt>
                  <c:pt idx="1661">
                    <c:v>1,22</c:v>
                  </c:pt>
                  <c:pt idx="1662">
                    <c:v>1,22</c:v>
                  </c:pt>
                  <c:pt idx="1663">
                    <c:v>1,22</c:v>
                  </c:pt>
                  <c:pt idx="1664">
                    <c:v>1,22</c:v>
                  </c:pt>
                  <c:pt idx="1665">
                    <c:v>1,22</c:v>
                  </c:pt>
                  <c:pt idx="1666">
                    <c:v>1,22</c:v>
                  </c:pt>
                  <c:pt idx="1667">
                    <c:v>1,22</c:v>
                  </c:pt>
                  <c:pt idx="1668">
                    <c:v>1,22</c:v>
                  </c:pt>
                  <c:pt idx="1669">
                    <c:v>1,22</c:v>
                  </c:pt>
                  <c:pt idx="1670">
                    <c:v>1,22</c:v>
                  </c:pt>
                  <c:pt idx="1671">
                    <c:v>1,22</c:v>
                  </c:pt>
                  <c:pt idx="1672">
                    <c:v>1</c:v>
                  </c:pt>
                  <c:pt idx="1673">
                    <c:v>1</c:v>
                  </c:pt>
                  <c:pt idx="1674">
                    <c:v>1,22</c:v>
                  </c:pt>
                  <c:pt idx="1675">
                    <c:v>1,22</c:v>
                  </c:pt>
                  <c:pt idx="1676">
                    <c:v>1,22</c:v>
                  </c:pt>
                  <c:pt idx="1677">
                    <c:v>1,22</c:v>
                  </c:pt>
                  <c:pt idx="1678">
                    <c:v>1,22</c:v>
                  </c:pt>
                  <c:pt idx="1679">
                    <c:v>1,22</c:v>
                  </c:pt>
                  <c:pt idx="1680">
                    <c:v>1,55</c:v>
                  </c:pt>
                  <c:pt idx="1681">
                    <c:v>1,22</c:v>
                  </c:pt>
                  <c:pt idx="1682">
                    <c:v>1,22</c:v>
                  </c:pt>
                  <c:pt idx="1683">
                    <c:v>1,22</c:v>
                  </c:pt>
                  <c:pt idx="1684">
                    <c:v>1,22</c:v>
                  </c:pt>
                  <c:pt idx="1685">
                    <c:v>1,22</c:v>
                  </c:pt>
                  <c:pt idx="1686">
                    <c:v>1,22</c:v>
                  </c:pt>
                  <c:pt idx="1687">
                    <c:v>1</c:v>
                  </c:pt>
                  <c:pt idx="1688">
                    <c:v>1</c:v>
                  </c:pt>
                  <c:pt idx="1689">
                    <c:v>1,22</c:v>
                  </c:pt>
                  <c:pt idx="1690">
                    <c:v>1,22</c:v>
                  </c:pt>
                  <c:pt idx="1691">
                    <c:v>1,22</c:v>
                  </c:pt>
                  <c:pt idx="1692">
                    <c:v>1,22</c:v>
                  </c:pt>
                  <c:pt idx="1693">
                    <c:v>1,22</c:v>
                  </c:pt>
                  <c:pt idx="1694">
                    <c:v>1,22</c:v>
                  </c:pt>
                  <c:pt idx="1695">
                    <c:v>1,22</c:v>
                  </c:pt>
                  <c:pt idx="1696">
                    <c:v>1,22</c:v>
                  </c:pt>
                  <c:pt idx="1697">
                    <c:v>1,22</c:v>
                  </c:pt>
                  <c:pt idx="1698">
                    <c:v>1,22</c:v>
                  </c:pt>
                  <c:pt idx="1699">
                    <c:v>1,22</c:v>
                  </c:pt>
                  <c:pt idx="1700">
                    <c:v>1,22</c:v>
                  </c:pt>
                  <c:pt idx="1701">
                    <c:v>1,22</c:v>
                  </c:pt>
                  <c:pt idx="1702">
                    <c:v>1,22</c:v>
                  </c:pt>
                  <c:pt idx="1703">
                    <c:v>1,22</c:v>
                  </c:pt>
                  <c:pt idx="1704">
                    <c:v>1,22</c:v>
                  </c:pt>
                  <c:pt idx="1705">
                    <c:v>1,22</c:v>
                  </c:pt>
                  <c:pt idx="1706">
                    <c:v>1,22</c:v>
                  </c:pt>
                  <c:pt idx="1707">
                    <c:v>1,22</c:v>
                  </c:pt>
                  <c:pt idx="1708">
                    <c:v>1</c:v>
                  </c:pt>
                  <c:pt idx="1709">
                    <c:v>1,22</c:v>
                  </c:pt>
                  <c:pt idx="1710">
                    <c:v>1,22</c:v>
                  </c:pt>
                  <c:pt idx="1711">
                    <c:v>1,22</c:v>
                  </c:pt>
                  <c:pt idx="1712">
                    <c:v>1,22</c:v>
                  </c:pt>
                  <c:pt idx="1713">
                    <c:v>1,22</c:v>
                  </c:pt>
                  <c:pt idx="1714">
                    <c:v>1,22</c:v>
                  </c:pt>
                  <c:pt idx="1715">
                    <c:v>1</c:v>
                  </c:pt>
                  <c:pt idx="1716">
                    <c:v>1</c:v>
                  </c:pt>
                  <c:pt idx="1717">
                    <c:v>1,22</c:v>
                  </c:pt>
                  <c:pt idx="1718">
                    <c:v>1,22</c:v>
                  </c:pt>
                  <c:pt idx="1719">
                    <c:v>1,22</c:v>
                  </c:pt>
                  <c:pt idx="1720">
                    <c:v>1,22</c:v>
                  </c:pt>
                  <c:pt idx="1721">
                    <c:v>1,22</c:v>
                  </c:pt>
                  <c:pt idx="1722">
                    <c:v>1,22</c:v>
                  </c:pt>
                  <c:pt idx="1723">
                    <c:v>1,22</c:v>
                  </c:pt>
                  <c:pt idx="1724">
                    <c:v>1,22</c:v>
                  </c:pt>
                </c:lvl>
                <c:lvl>
                  <c:pt idx="0">
                    <c:v>corona</c:v>
                  </c:pt>
                  <c:pt idx="1">
                    <c:v>agraciada</c:v>
                  </c:pt>
                  <c:pt idx="2">
                    <c:v>magric</c:v>
                  </c:pt>
                  <c:pt idx="3">
                    <c:v>merlin</c:v>
                  </c:pt>
                  <c:pt idx="4">
                    <c:v>merlin</c:v>
                  </c:pt>
                  <c:pt idx="5">
                    <c:v>copagran</c:v>
                  </c:pt>
                  <c:pt idx="6">
                    <c:v>copagran</c:v>
                  </c:pt>
                  <c:pt idx="7">
                    <c:v>copagran</c:v>
                  </c:pt>
                  <c:pt idx="8">
                    <c:v>merlin</c:v>
                  </c:pt>
                  <c:pt idx="9">
                    <c:v>magric</c:v>
                  </c:pt>
                  <c:pt idx="10">
                    <c:v>grispix</c:v>
                  </c:pt>
                  <c:pt idx="11">
                    <c:v>grispix</c:v>
                  </c:pt>
                  <c:pt idx="12">
                    <c:v>GRISPIX</c:v>
                  </c:pt>
                  <c:pt idx="13">
                    <c:v>bioterra</c:v>
                  </c:pt>
                  <c:pt idx="14">
                    <c:v>denucio</c:v>
                  </c:pt>
                  <c:pt idx="15">
                    <c:v>diego</c:v>
                  </c:pt>
                  <c:pt idx="16">
                    <c:v>diego</c:v>
                  </c:pt>
                  <c:pt idx="17">
                    <c:v>diego</c:v>
                  </c:pt>
                  <c:pt idx="18">
                    <c:v>diego</c:v>
                  </c:pt>
                  <c:pt idx="19">
                    <c:v>diego</c:v>
                  </c:pt>
                  <c:pt idx="20">
                    <c:v>diego</c:v>
                  </c:pt>
                  <c:pt idx="21">
                    <c:v>diego</c:v>
                  </c:pt>
                  <c:pt idx="22">
                    <c:v>diego</c:v>
                  </c:pt>
                  <c:pt idx="24">
                    <c:v>cousa</c:v>
                  </c:pt>
                  <c:pt idx="25">
                    <c:v>cousa</c:v>
                  </c:pt>
                  <c:pt idx="26">
                    <c:v>deribal</c:v>
                  </c:pt>
                  <c:pt idx="27">
                    <c:v>valagu</c:v>
                  </c:pt>
                  <c:pt idx="28">
                    <c:v>valagu</c:v>
                  </c:pt>
                  <c:pt idx="29">
                    <c:v>valagu</c:v>
                  </c:pt>
                  <c:pt idx="30">
                    <c:v>valagu</c:v>
                  </c:pt>
                  <c:pt idx="31">
                    <c:v>valagu</c:v>
                  </c:pt>
                  <c:pt idx="32">
                    <c:v>valagu</c:v>
                  </c:pt>
                  <c:pt idx="33">
                    <c:v>valagu</c:v>
                  </c:pt>
                  <c:pt idx="34">
                    <c:v>agraciada</c:v>
                  </c:pt>
                  <c:pt idx="35">
                    <c:v>grispix</c:v>
                  </c:pt>
                  <c:pt idx="36">
                    <c:v>denucio</c:v>
                  </c:pt>
                  <c:pt idx="37">
                    <c:v>valagu</c:v>
                  </c:pt>
                  <c:pt idx="38">
                    <c:v>valagu</c:v>
                  </c:pt>
                  <c:pt idx="39">
                    <c:v>valagu</c:v>
                  </c:pt>
                  <c:pt idx="40">
                    <c:v>valagu</c:v>
                  </c:pt>
                  <c:pt idx="41">
                    <c:v>valagu</c:v>
                  </c:pt>
                  <c:pt idx="42">
                    <c:v>valagu</c:v>
                  </c:pt>
                  <c:pt idx="43">
                    <c:v>valagu</c:v>
                  </c:pt>
                  <c:pt idx="44">
                    <c:v>valagu</c:v>
                  </c:pt>
                  <c:pt idx="45">
                    <c:v>valagu</c:v>
                  </c:pt>
                  <c:pt idx="46">
                    <c:v>valagu</c:v>
                  </c:pt>
                  <c:pt idx="47">
                    <c:v>valagu</c:v>
                  </c:pt>
                  <c:pt idx="48">
                    <c:v>valagu</c:v>
                  </c:pt>
                  <c:pt idx="49">
                    <c:v>valagu </c:v>
                  </c:pt>
                  <c:pt idx="50">
                    <c:v>valagu</c:v>
                  </c:pt>
                  <c:pt idx="51">
                    <c:v>valagu</c:v>
                  </c:pt>
                  <c:pt idx="52">
                    <c:v>valagu</c:v>
                  </c:pt>
                  <c:pt idx="53">
                    <c:v>valagu</c:v>
                  </c:pt>
                  <c:pt idx="54">
                    <c:v>valagu</c:v>
                  </c:pt>
                  <c:pt idx="55">
                    <c:v>valagu</c:v>
                  </c:pt>
                  <c:pt idx="56">
                    <c:v>valagu</c:v>
                  </c:pt>
                  <c:pt idx="57">
                    <c:v>valagu</c:v>
                  </c:pt>
                  <c:pt idx="58">
                    <c:v>valagu</c:v>
                  </c:pt>
                  <c:pt idx="59">
                    <c:v>denucio</c:v>
                  </c:pt>
                  <c:pt idx="60">
                    <c:v>beltrame</c:v>
                  </c:pt>
                  <c:pt idx="61">
                    <c:v>alvarez</c:v>
                  </c:pt>
                  <c:pt idx="62">
                    <c:v>alvarez</c:v>
                  </c:pt>
                  <c:pt idx="63">
                    <c:v>agraciada</c:v>
                  </c:pt>
                  <c:pt idx="64">
                    <c:v>damian macetas</c:v>
                  </c:pt>
                  <c:pt idx="65">
                    <c:v>damian macetas</c:v>
                  </c:pt>
                  <c:pt idx="66">
                    <c:v>diego</c:v>
                  </c:pt>
                  <c:pt idx="67">
                    <c:v>diego</c:v>
                  </c:pt>
                  <c:pt idx="68">
                    <c:v>diego</c:v>
                  </c:pt>
                  <c:pt idx="69">
                    <c:v>diego</c:v>
                  </c:pt>
                  <c:pt idx="70">
                    <c:v>diego</c:v>
                  </c:pt>
                  <c:pt idx="71">
                    <c:v>maestro</c:v>
                  </c:pt>
                  <c:pt idx="72">
                    <c:v>rimart</c:v>
                  </c:pt>
                  <c:pt idx="73">
                    <c:v>rimart</c:v>
                  </c:pt>
                  <c:pt idx="74">
                    <c:v>lima</c:v>
                  </c:pt>
                  <c:pt idx="75">
                    <c:v>lima</c:v>
                  </c:pt>
                  <c:pt idx="76">
                    <c:v>maestro</c:v>
                  </c:pt>
                  <c:pt idx="77">
                    <c:v>maestro</c:v>
                  </c:pt>
                  <c:pt idx="78">
                    <c:v>diego</c:v>
                  </c:pt>
                  <c:pt idx="79">
                    <c:v>diego</c:v>
                  </c:pt>
                  <c:pt idx="80">
                    <c:v>fermara</c:v>
                  </c:pt>
                  <c:pt idx="81">
                    <c:v>fermara</c:v>
                  </c:pt>
                  <c:pt idx="82">
                    <c:v>fermara</c:v>
                  </c:pt>
                  <c:pt idx="83">
                    <c:v>casa cristina</c:v>
                  </c:pt>
                  <c:pt idx="84">
                    <c:v>casa cristina</c:v>
                  </c:pt>
                  <c:pt idx="85">
                    <c:v>aros y coronas</c:v>
                  </c:pt>
                  <c:pt idx="86">
                    <c:v>aros y coronas</c:v>
                  </c:pt>
                  <c:pt idx="87">
                    <c:v>aros y coronas</c:v>
                  </c:pt>
                  <c:pt idx="88">
                    <c:v>rimart</c:v>
                  </c:pt>
                  <c:pt idx="89">
                    <c:v>rimart</c:v>
                  </c:pt>
                  <c:pt idx="90">
                    <c:v>diego</c:v>
                  </c:pt>
                  <c:pt idx="91">
                    <c:v>DIEGO</c:v>
                  </c:pt>
                  <c:pt idx="93">
                    <c:v>casa cristina</c:v>
                  </c:pt>
                  <c:pt idx="96">
                    <c:v>yaques</c:v>
                  </c:pt>
                  <c:pt idx="97">
                    <c:v>bioterra</c:v>
                  </c:pt>
                  <c:pt idx="98">
                    <c:v>droqueria paysandu</c:v>
                  </c:pt>
                  <c:pt idx="99">
                    <c:v>droqueria paysandu</c:v>
                  </c:pt>
                  <c:pt idx="100">
                    <c:v>drogueria paysandu</c:v>
                  </c:pt>
                  <c:pt idx="101">
                    <c:v>agropecuaria agraciada</c:v>
                  </c:pt>
                  <c:pt idx="102">
                    <c:v>drogueria paysandu</c:v>
                  </c:pt>
                  <c:pt idx="103">
                    <c:v>beltrame</c:v>
                  </c:pt>
                  <c:pt idx="104">
                    <c:v>beltrame</c:v>
                  </c:pt>
                  <c:pt idx="105">
                    <c:v>parque trebol</c:v>
                  </c:pt>
                  <c:pt idx="106">
                    <c:v>parque trebol</c:v>
                  </c:pt>
                  <c:pt idx="107">
                    <c:v>parque trebol</c:v>
                  </c:pt>
                  <c:pt idx="108">
                    <c:v>parque trebol</c:v>
                  </c:pt>
                  <c:pt idx="110">
                    <c:v>empack</c:v>
                  </c:pt>
                  <c:pt idx="111">
                    <c:v>valagu</c:v>
                  </c:pt>
                  <c:pt idx="112">
                    <c:v>MAYORPET</c:v>
                  </c:pt>
                  <c:pt idx="113">
                    <c:v>MAYORPET</c:v>
                  </c:pt>
                  <c:pt idx="114">
                    <c:v>valagu</c:v>
                  </c:pt>
                  <c:pt idx="115">
                    <c:v>valagu</c:v>
                  </c:pt>
                  <c:pt idx="116">
                    <c:v>valagu</c:v>
                  </c:pt>
                  <c:pt idx="117">
                    <c:v>MAYORPET</c:v>
                  </c:pt>
                  <c:pt idx="118">
                    <c:v>MAYORPET</c:v>
                  </c:pt>
                  <c:pt idx="119">
                    <c:v>valagu</c:v>
                  </c:pt>
                  <c:pt idx="120">
                    <c:v>valagu</c:v>
                  </c:pt>
                  <c:pt idx="121">
                    <c:v>beltrame</c:v>
                  </c:pt>
                  <c:pt idx="122">
                    <c:v>volpe</c:v>
                  </c:pt>
                  <c:pt idx="123">
                    <c:v>volpe</c:v>
                  </c:pt>
                  <c:pt idx="124">
                    <c:v>parque trebol</c:v>
                  </c:pt>
                  <c:pt idx="125">
                    <c:v>agroinsumos</c:v>
                  </c:pt>
                  <c:pt idx="126">
                    <c:v>agroinsumos</c:v>
                  </c:pt>
                  <c:pt idx="127">
                    <c:v>agroinsumos</c:v>
                  </c:pt>
                  <c:pt idx="128">
                    <c:v>agroinsumos</c:v>
                  </c:pt>
                  <c:pt idx="129">
                    <c:v>valagu</c:v>
                  </c:pt>
                  <c:pt idx="130">
                    <c:v>beltrame</c:v>
                  </c:pt>
                  <c:pt idx="131">
                    <c:v>beltrame</c:v>
                  </c:pt>
                  <c:pt idx="132">
                    <c:v>beltrame</c:v>
                  </c:pt>
                  <c:pt idx="133">
                    <c:v>beltrame</c:v>
                  </c:pt>
                  <c:pt idx="134">
                    <c:v>MAYORPET</c:v>
                  </c:pt>
                  <c:pt idx="135">
                    <c:v>MAYORPET</c:v>
                  </c:pt>
                  <c:pt idx="136">
                    <c:v>valagu</c:v>
                  </c:pt>
                  <c:pt idx="137">
                    <c:v>beltrame</c:v>
                  </c:pt>
                  <c:pt idx="138">
                    <c:v>MAYORPET</c:v>
                  </c:pt>
                  <c:pt idx="139">
                    <c:v>MAYORPET</c:v>
                  </c:pt>
                  <c:pt idx="140">
                    <c:v>MAYORPET</c:v>
                  </c:pt>
                  <c:pt idx="141">
                    <c:v>MAYORPET</c:v>
                  </c:pt>
                  <c:pt idx="142">
                    <c:v>MAYORPET</c:v>
                  </c:pt>
                  <c:pt idx="143">
                    <c:v>MAYORPET</c:v>
                  </c:pt>
                  <c:pt idx="144">
                    <c:v>valagu</c:v>
                  </c:pt>
                  <c:pt idx="145">
                    <c:v>valagu</c:v>
                  </c:pt>
                  <c:pt idx="146">
                    <c:v>valagu</c:v>
                  </c:pt>
                  <c:pt idx="147">
                    <c:v>damian macetas</c:v>
                  </c:pt>
                  <c:pt idx="148">
                    <c:v>valagu</c:v>
                  </c:pt>
                  <c:pt idx="149">
                    <c:v>valagu</c:v>
                  </c:pt>
                  <c:pt idx="150">
                    <c:v>valagu</c:v>
                  </c:pt>
                  <c:pt idx="151">
                    <c:v>MAYORPET</c:v>
                  </c:pt>
                  <c:pt idx="152">
                    <c:v>damian macetas</c:v>
                  </c:pt>
                  <c:pt idx="153">
                    <c:v>valagu</c:v>
                  </c:pt>
                  <c:pt idx="154">
                    <c:v>valagu</c:v>
                  </c:pt>
                  <c:pt idx="155">
                    <c:v>valagu</c:v>
                  </c:pt>
                  <c:pt idx="156">
                    <c:v>valagu</c:v>
                  </c:pt>
                  <c:pt idx="157">
                    <c:v>valagu</c:v>
                  </c:pt>
                  <c:pt idx="158">
                    <c:v>valagu</c:v>
                  </c:pt>
                  <c:pt idx="159">
                    <c:v>es</c:v>
                  </c:pt>
                  <c:pt idx="160">
                    <c:v>valagu</c:v>
                  </c:pt>
                  <c:pt idx="161">
                    <c:v>drogueria paysandu</c:v>
                  </c:pt>
                  <c:pt idx="165">
                    <c:v>yaques</c:v>
                  </c:pt>
                  <c:pt idx="166">
                    <c:v>agroinsumos</c:v>
                  </c:pt>
                  <c:pt idx="167">
                    <c:v>bioterra</c:v>
                  </c:pt>
                  <c:pt idx="168">
                    <c:v>bioterra</c:v>
                  </c:pt>
                  <c:pt idx="169">
                    <c:v>bioterra</c:v>
                  </c:pt>
                  <c:pt idx="170">
                    <c:v>bioterra</c:v>
                  </c:pt>
                  <c:pt idx="171">
                    <c:v>bioterra</c:v>
                  </c:pt>
                  <c:pt idx="172">
                    <c:v>bioterra</c:v>
                  </c:pt>
                  <c:pt idx="173">
                    <c:v>bioterra</c:v>
                  </c:pt>
                  <c:pt idx="174">
                    <c:v>bioterra</c:v>
                  </c:pt>
                  <c:pt idx="175">
                    <c:v>bioterra</c:v>
                  </c:pt>
                  <c:pt idx="176">
                    <c:v>bioterra</c:v>
                  </c:pt>
                  <c:pt idx="177">
                    <c:v>belsir</c:v>
                  </c:pt>
                  <c:pt idx="178">
                    <c:v>belsir</c:v>
                  </c:pt>
                  <c:pt idx="179">
                    <c:v>GRISPIX</c:v>
                  </c:pt>
                  <c:pt idx="180">
                    <c:v>GRISPIX</c:v>
                  </c:pt>
                  <c:pt idx="181">
                    <c:v>damian macetas</c:v>
                  </c:pt>
                  <c:pt idx="182">
                    <c:v>damian macetas</c:v>
                  </c:pt>
                  <c:pt idx="183">
                    <c:v>damian macetas</c:v>
                  </c:pt>
                  <c:pt idx="184">
                    <c:v>damian macetas</c:v>
                  </c:pt>
                  <c:pt idx="185">
                    <c:v>damian macetas</c:v>
                  </c:pt>
                  <c:pt idx="186">
                    <c:v>damian macetas</c:v>
                  </c:pt>
                  <c:pt idx="187">
                    <c:v>damian macetas</c:v>
                  </c:pt>
                  <c:pt idx="188">
                    <c:v>damian macetas</c:v>
                  </c:pt>
                  <c:pt idx="189">
                    <c:v>damian macetas</c:v>
                  </c:pt>
                  <c:pt idx="190">
                    <c:v>damian macetas</c:v>
                  </c:pt>
                  <c:pt idx="191">
                    <c:v>damian macetas</c:v>
                  </c:pt>
                  <c:pt idx="192">
                    <c:v>damian macetas</c:v>
                  </c:pt>
                  <c:pt idx="193">
                    <c:v>damian macetas</c:v>
                  </c:pt>
                  <c:pt idx="194">
                    <c:v>damian macetas</c:v>
                  </c:pt>
                  <c:pt idx="195">
                    <c:v>damian macetas</c:v>
                  </c:pt>
                  <c:pt idx="196">
                    <c:v>damian macetas</c:v>
                  </c:pt>
                  <c:pt idx="197">
                    <c:v>damian macetas</c:v>
                  </c:pt>
                  <c:pt idx="198">
                    <c:v>damian macetas</c:v>
                  </c:pt>
                  <c:pt idx="199">
                    <c:v>damian macetas</c:v>
                  </c:pt>
                  <c:pt idx="200">
                    <c:v>damian macetas</c:v>
                  </c:pt>
                  <c:pt idx="201">
                    <c:v>damian macetas</c:v>
                  </c:pt>
                  <c:pt idx="202">
                    <c:v>damian macetas</c:v>
                  </c:pt>
                  <c:pt idx="203">
                    <c:v>empack</c:v>
                  </c:pt>
                  <c:pt idx="204">
                    <c:v>empack</c:v>
                  </c:pt>
                  <c:pt idx="205">
                    <c:v>empack</c:v>
                  </c:pt>
                  <c:pt idx="206">
                    <c:v>empack</c:v>
                  </c:pt>
                  <c:pt idx="207">
                    <c:v>empack</c:v>
                  </c:pt>
                  <c:pt idx="208">
                    <c:v>empack</c:v>
                  </c:pt>
                  <c:pt idx="209">
                    <c:v>empack</c:v>
                  </c:pt>
                  <c:pt idx="210">
                    <c:v>diego</c:v>
                  </c:pt>
                  <c:pt idx="211">
                    <c:v>empack</c:v>
                  </c:pt>
                  <c:pt idx="212">
                    <c:v>empack</c:v>
                  </c:pt>
                  <c:pt idx="213">
                    <c:v>baldivia</c:v>
                  </c:pt>
                  <c:pt idx="214">
                    <c:v>baldivia</c:v>
                  </c:pt>
                  <c:pt idx="215">
                    <c:v>baldivia</c:v>
                  </c:pt>
                  <c:pt idx="216">
                    <c:v>baldivia</c:v>
                  </c:pt>
                  <c:pt idx="217">
                    <c:v>baldivia</c:v>
                  </c:pt>
                  <c:pt idx="218">
                    <c:v>maestro</c:v>
                  </c:pt>
                  <c:pt idx="219">
                    <c:v>mazzoni</c:v>
                  </c:pt>
                  <c:pt idx="220">
                    <c:v>mazzoni</c:v>
                  </c:pt>
                  <c:pt idx="221">
                    <c:v>valagu</c:v>
                  </c:pt>
                  <c:pt idx="222">
                    <c:v>valagu</c:v>
                  </c:pt>
                  <c:pt idx="223">
                    <c:v>valagu</c:v>
                  </c:pt>
                  <c:pt idx="224">
                    <c:v>valagu</c:v>
                  </c:pt>
                  <c:pt idx="225">
                    <c:v>valagu</c:v>
                  </c:pt>
                  <c:pt idx="226">
                    <c:v>valagu</c:v>
                  </c:pt>
                  <c:pt idx="227">
                    <c:v>diego</c:v>
                  </c:pt>
                  <c:pt idx="229">
                    <c:v>MAYORPET</c:v>
                  </c:pt>
                  <c:pt idx="230">
                    <c:v>MAYORPET</c:v>
                  </c:pt>
                  <c:pt idx="231">
                    <c:v>MAYORPET</c:v>
                  </c:pt>
                  <c:pt idx="232">
                    <c:v>MAYORPET</c:v>
                  </c:pt>
                  <c:pt idx="233">
                    <c:v>MAYORPET</c:v>
                  </c:pt>
                  <c:pt idx="234">
                    <c:v>denucio</c:v>
                  </c:pt>
                  <c:pt idx="235">
                    <c:v>aros y coronas</c:v>
                  </c:pt>
                  <c:pt idx="236">
                    <c:v>agroinsumos</c:v>
                  </c:pt>
                  <c:pt idx="237">
                    <c:v>grispix</c:v>
                  </c:pt>
                  <c:pt idx="238">
                    <c:v>denucio</c:v>
                  </c:pt>
                  <c:pt idx="239">
                    <c:v>bioterra</c:v>
                  </c:pt>
                  <c:pt idx="240">
                    <c:v>MAYORPET</c:v>
                  </c:pt>
                  <c:pt idx="241">
                    <c:v>MAYORPET</c:v>
                  </c:pt>
                  <c:pt idx="242">
                    <c:v>MAYORPET</c:v>
                  </c:pt>
                  <c:pt idx="243">
                    <c:v>MAYORPET</c:v>
                  </c:pt>
                  <c:pt idx="244">
                    <c:v>MAYORPET</c:v>
                  </c:pt>
                  <c:pt idx="245">
                    <c:v>MAYORPET</c:v>
                  </c:pt>
                  <c:pt idx="246">
                    <c:v>MAYORPET</c:v>
                  </c:pt>
                  <c:pt idx="248">
                    <c:v>ATMA</c:v>
                  </c:pt>
                  <c:pt idx="249">
                    <c:v>valagu</c:v>
                  </c:pt>
                  <c:pt idx="250">
                    <c:v>valagu</c:v>
                  </c:pt>
                  <c:pt idx="251">
                    <c:v>beltrame</c:v>
                  </c:pt>
                  <c:pt idx="252">
                    <c:v>valagu</c:v>
                  </c:pt>
                  <c:pt idx="253">
                    <c:v>valagu</c:v>
                  </c:pt>
                  <c:pt idx="254">
                    <c:v>MAYORPET</c:v>
                  </c:pt>
                  <c:pt idx="255">
                    <c:v>valagu</c:v>
                  </c:pt>
                  <c:pt idx="256">
                    <c:v>valagu</c:v>
                  </c:pt>
                  <c:pt idx="257">
                    <c:v>valagu</c:v>
                  </c:pt>
                  <c:pt idx="258">
                    <c:v>ATMA</c:v>
                  </c:pt>
                  <c:pt idx="259">
                    <c:v>damian macetas</c:v>
                  </c:pt>
                  <c:pt idx="260">
                    <c:v>valagu</c:v>
                  </c:pt>
                  <c:pt idx="261">
                    <c:v>uruquim</c:v>
                  </c:pt>
                  <c:pt idx="262">
                    <c:v>uruquim</c:v>
                  </c:pt>
                  <c:pt idx="263">
                    <c:v>agropecuaria agraciada</c:v>
                  </c:pt>
                  <c:pt idx="264">
                    <c:v>beltrame</c:v>
                  </c:pt>
                  <c:pt idx="265">
                    <c:v>magric</c:v>
                  </c:pt>
                  <c:pt idx="266">
                    <c:v>agritec</c:v>
                  </c:pt>
                  <c:pt idx="267">
                    <c:v>agritec</c:v>
                  </c:pt>
                  <c:pt idx="269">
                    <c:v>BOTICA</c:v>
                  </c:pt>
                  <c:pt idx="270">
                    <c:v>valagu</c:v>
                  </c:pt>
                  <c:pt idx="271">
                    <c:v>valagu</c:v>
                  </c:pt>
                  <c:pt idx="272">
                    <c:v>MAYORPET</c:v>
                  </c:pt>
                  <c:pt idx="273">
                    <c:v>damian macetas</c:v>
                  </c:pt>
                  <c:pt idx="274">
                    <c:v>damian macetas</c:v>
                  </c:pt>
                  <c:pt idx="275">
                    <c:v>lima</c:v>
                  </c:pt>
                  <c:pt idx="276">
                    <c:v>valagu</c:v>
                  </c:pt>
                  <c:pt idx="277">
                    <c:v>valagu</c:v>
                  </c:pt>
                  <c:pt idx="278">
                    <c:v>diego</c:v>
                  </c:pt>
                  <c:pt idx="279">
                    <c:v>damian macetas</c:v>
                  </c:pt>
                  <c:pt idx="280">
                    <c:v>damian macetas</c:v>
                  </c:pt>
                  <c:pt idx="281">
                    <c:v>damian macetas</c:v>
                  </c:pt>
                  <c:pt idx="283">
                    <c:v>grispix</c:v>
                  </c:pt>
                  <c:pt idx="284">
                    <c:v>grispix</c:v>
                  </c:pt>
                  <c:pt idx="285">
                    <c:v>denucio</c:v>
                  </c:pt>
                  <c:pt idx="286">
                    <c:v>denucio</c:v>
                  </c:pt>
                  <c:pt idx="287">
                    <c:v>denucio</c:v>
                  </c:pt>
                  <c:pt idx="288">
                    <c:v>denucio</c:v>
                  </c:pt>
                  <c:pt idx="289">
                    <c:v>denucio</c:v>
                  </c:pt>
                  <c:pt idx="290">
                    <c:v>denucio</c:v>
                  </c:pt>
                  <c:pt idx="291">
                    <c:v>denucio</c:v>
                  </c:pt>
                  <c:pt idx="292">
                    <c:v>denucio</c:v>
                  </c:pt>
                  <c:pt idx="293">
                    <c:v>denucio</c:v>
                  </c:pt>
                  <c:pt idx="294">
                    <c:v>denucio</c:v>
                  </c:pt>
                  <c:pt idx="295">
                    <c:v>denucio</c:v>
                  </c:pt>
                  <c:pt idx="296">
                    <c:v>denucio</c:v>
                  </c:pt>
                  <c:pt idx="297">
                    <c:v>denucio</c:v>
                  </c:pt>
                  <c:pt idx="298">
                    <c:v>denucio</c:v>
                  </c:pt>
                  <c:pt idx="299">
                    <c:v>beltrame</c:v>
                  </c:pt>
                  <c:pt idx="300">
                    <c:v>beltrame</c:v>
                  </c:pt>
                  <c:pt idx="301">
                    <c:v>agropecuaria santa rosa</c:v>
                  </c:pt>
                  <c:pt idx="302">
                    <c:v>agropecuaria santa rosa</c:v>
                  </c:pt>
                  <c:pt idx="303">
                    <c:v>beltrame</c:v>
                  </c:pt>
                  <c:pt idx="304">
                    <c:v>beltrame</c:v>
                  </c:pt>
                  <c:pt idx="305">
                    <c:v>beltrame</c:v>
                  </c:pt>
                  <c:pt idx="306">
                    <c:v>beltrame</c:v>
                  </c:pt>
                  <c:pt idx="307">
                    <c:v>beltrame</c:v>
                  </c:pt>
                  <c:pt idx="308">
                    <c:v>baldivia</c:v>
                  </c:pt>
                  <c:pt idx="309">
                    <c:v>damian macetas</c:v>
                  </c:pt>
                  <c:pt idx="310">
                    <c:v>damian macetas</c:v>
                  </c:pt>
                  <c:pt idx="311">
                    <c:v>maestro</c:v>
                  </c:pt>
                  <c:pt idx="312">
                    <c:v>grispix</c:v>
                  </c:pt>
                  <c:pt idx="313">
                    <c:v>alvarez</c:v>
                  </c:pt>
                  <c:pt idx="314">
                    <c:v>parque trebol</c:v>
                  </c:pt>
                  <c:pt idx="315">
                    <c:v>diego</c:v>
                  </c:pt>
                  <c:pt idx="316">
                    <c:v>magric</c:v>
                  </c:pt>
                  <c:pt idx="317">
                    <c:v>magric</c:v>
                  </c:pt>
                  <c:pt idx="318">
                    <c:v>volpe</c:v>
                  </c:pt>
                  <c:pt idx="319">
                    <c:v>volpe</c:v>
                  </c:pt>
                  <c:pt idx="320">
                    <c:v>denucio</c:v>
                  </c:pt>
                  <c:pt idx="321">
                    <c:v>yaques</c:v>
                  </c:pt>
                  <c:pt idx="322">
                    <c:v>valagu</c:v>
                  </c:pt>
                  <c:pt idx="323">
                    <c:v>damian macetas</c:v>
                  </c:pt>
                  <c:pt idx="324">
                    <c:v>damian macetas</c:v>
                  </c:pt>
                  <c:pt idx="325">
                    <c:v>damian macetas</c:v>
                  </c:pt>
                  <c:pt idx="326">
                    <c:v>damian macetas</c:v>
                  </c:pt>
                  <c:pt idx="327">
                    <c:v>alvarez</c:v>
                  </c:pt>
                  <c:pt idx="328">
                    <c:v>insumos cultivador</c:v>
                  </c:pt>
                  <c:pt idx="329">
                    <c:v>insumos cultivador</c:v>
                  </c:pt>
                  <c:pt idx="330">
                    <c:v>insumos cultivador</c:v>
                  </c:pt>
                  <c:pt idx="331">
                    <c:v>MAYORPET</c:v>
                  </c:pt>
                  <c:pt idx="332">
                    <c:v>damian macetas</c:v>
                  </c:pt>
                  <c:pt idx="333">
                    <c:v>damian macetas</c:v>
                  </c:pt>
                  <c:pt idx="334">
                    <c:v>damian macetas</c:v>
                  </c:pt>
                  <c:pt idx="335">
                    <c:v>MAYORPET</c:v>
                  </c:pt>
                  <c:pt idx="336">
                    <c:v>MAYORPET</c:v>
                  </c:pt>
                  <c:pt idx="337">
                    <c:v>MAYORPET</c:v>
                  </c:pt>
                  <c:pt idx="338">
                    <c:v>MAYORPET</c:v>
                  </c:pt>
                  <c:pt idx="339">
                    <c:v>MAYORPET</c:v>
                  </c:pt>
                  <c:pt idx="340">
                    <c:v>MAYORPET</c:v>
                  </c:pt>
                  <c:pt idx="341">
                    <c:v>MAYORPET</c:v>
                  </c:pt>
                  <c:pt idx="342">
                    <c:v>MAYORPET</c:v>
                  </c:pt>
                  <c:pt idx="343">
                    <c:v>MAYORPET</c:v>
                  </c:pt>
                  <c:pt idx="344">
                    <c:v>MAYORPET</c:v>
                  </c:pt>
                  <c:pt idx="345">
                    <c:v>MAYORPET</c:v>
                  </c:pt>
                  <c:pt idx="346">
                    <c:v>MAYORPET</c:v>
                  </c:pt>
                  <c:pt idx="347">
                    <c:v>MAYORPET</c:v>
                  </c:pt>
                  <c:pt idx="348">
                    <c:v>MAYORPET</c:v>
                  </c:pt>
                  <c:pt idx="349">
                    <c:v>MAYORPET</c:v>
                  </c:pt>
                  <c:pt idx="350">
                    <c:v>MAYORPET</c:v>
                  </c:pt>
                  <c:pt idx="351">
                    <c:v>MAYORPET</c:v>
                  </c:pt>
                  <c:pt idx="352">
                    <c:v>MAYORPET</c:v>
                  </c:pt>
                  <c:pt idx="353">
                    <c:v>MAYORPET</c:v>
                  </c:pt>
                  <c:pt idx="354">
                    <c:v>grispix</c:v>
                  </c:pt>
                  <c:pt idx="355">
                    <c:v>grispix</c:v>
                  </c:pt>
                  <c:pt idx="356">
                    <c:v>grispix</c:v>
                  </c:pt>
                  <c:pt idx="357">
                    <c:v>MAYORPET</c:v>
                  </c:pt>
                  <c:pt idx="358">
                    <c:v>MAYORPET</c:v>
                  </c:pt>
                  <c:pt idx="359">
                    <c:v>MAYORPET</c:v>
                  </c:pt>
                  <c:pt idx="360">
                    <c:v>MAYORPET</c:v>
                  </c:pt>
                  <c:pt idx="361">
                    <c:v>deribal</c:v>
                  </c:pt>
                  <c:pt idx="362">
                    <c:v>deribal</c:v>
                  </c:pt>
                  <c:pt idx="363">
                    <c:v>fermara</c:v>
                  </c:pt>
                  <c:pt idx="364">
                    <c:v>deribal</c:v>
                  </c:pt>
                  <c:pt idx="365">
                    <c:v>volpe</c:v>
                  </c:pt>
                  <c:pt idx="366">
                    <c:v>deribal</c:v>
                  </c:pt>
                  <c:pt idx="367">
                    <c:v>deribal</c:v>
                  </c:pt>
                  <c:pt idx="368">
                    <c:v>volpe</c:v>
                  </c:pt>
                  <c:pt idx="369">
                    <c:v>MAYORPET</c:v>
                  </c:pt>
                  <c:pt idx="370">
                    <c:v>MAYORPET</c:v>
                  </c:pt>
                  <c:pt idx="371">
                    <c:v>grispix</c:v>
                  </c:pt>
                  <c:pt idx="372">
                    <c:v>grispix</c:v>
                  </c:pt>
                  <c:pt idx="373">
                    <c:v>MAYORPET</c:v>
                  </c:pt>
                  <c:pt idx="374">
                    <c:v>MAYORPET</c:v>
                  </c:pt>
                  <c:pt idx="375">
                    <c:v>MAYORPET</c:v>
                  </c:pt>
                  <c:pt idx="376">
                    <c:v>grispix</c:v>
                  </c:pt>
                  <c:pt idx="377">
                    <c:v>MAYORPET</c:v>
                  </c:pt>
                  <c:pt idx="378">
                    <c:v>MAYORPET</c:v>
                  </c:pt>
                  <c:pt idx="379">
                    <c:v>MAYORPET</c:v>
                  </c:pt>
                  <c:pt idx="380">
                    <c:v>MAYORPET</c:v>
                  </c:pt>
                  <c:pt idx="381">
                    <c:v>MAYORPET</c:v>
                  </c:pt>
                  <c:pt idx="382">
                    <c:v>MAYORPET</c:v>
                  </c:pt>
                  <c:pt idx="383">
                    <c:v>rimart</c:v>
                  </c:pt>
                  <c:pt idx="384">
                    <c:v>rimart</c:v>
                  </c:pt>
                  <c:pt idx="385">
                    <c:v>MAYORPET</c:v>
                  </c:pt>
                  <c:pt idx="386">
                    <c:v>damian macetas</c:v>
                  </c:pt>
                  <c:pt idx="387">
                    <c:v>MAYORPET</c:v>
                  </c:pt>
                  <c:pt idx="388">
                    <c:v>MAYORPET</c:v>
                  </c:pt>
                  <c:pt idx="389">
                    <c:v>MAYORPET</c:v>
                  </c:pt>
                  <c:pt idx="390">
                    <c:v>valagu</c:v>
                  </c:pt>
                  <c:pt idx="391">
                    <c:v>MAYORPET</c:v>
                  </c:pt>
                  <c:pt idx="392">
                    <c:v>MAYORPET</c:v>
                  </c:pt>
                  <c:pt idx="393">
                    <c:v>MAYORPET</c:v>
                  </c:pt>
                  <c:pt idx="394">
                    <c:v>MAYORPET</c:v>
                  </c:pt>
                  <c:pt idx="395">
                    <c:v>MAYORPET</c:v>
                  </c:pt>
                  <c:pt idx="396">
                    <c:v>MAYORPET</c:v>
                  </c:pt>
                  <c:pt idx="397">
                    <c:v>MAYORPET</c:v>
                  </c:pt>
                  <c:pt idx="398">
                    <c:v>MAYORPET</c:v>
                  </c:pt>
                  <c:pt idx="399">
                    <c:v>MAYORPET</c:v>
                  </c:pt>
                  <c:pt idx="400">
                    <c:v>MAYORPET</c:v>
                  </c:pt>
                  <c:pt idx="401">
                    <c:v>MAYORPET</c:v>
                  </c:pt>
                  <c:pt idx="402">
                    <c:v>MAYORPET</c:v>
                  </c:pt>
                  <c:pt idx="403">
                    <c:v>MAYORPET</c:v>
                  </c:pt>
                  <c:pt idx="404">
                    <c:v>MAYORPET</c:v>
                  </c:pt>
                  <c:pt idx="405">
                    <c:v>valagu</c:v>
                  </c:pt>
                  <c:pt idx="406">
                    <c:v>valagu</c:v>
                  </c:pt>
                  <c:pt idx="407">
                    <c:v>damian macetas</c:v>
                  </c:pt>
                  <c:pt idx="408">
                    <c:v>valagu</c:v>
                  </c:pt>
                  <c:pt idx="409">
                    <c:v>beltrame</c:v>
                  </c:pt>
                  <c:pt idx="410">
                    <c:v>valagu</c:v>
                  </c:pt>
                  <c:pt idx="411">
                    <c:v>valagu</c:v>
                  </c:pt>
                  <c:pt idx="412">
                    <c:v>damian macetas</c:v>
                  </c:pt>
                  <c:pt idx="413">
                    <c:v>MAYORPET</c:v>
                  </c:pt>
                  <c:pt idx="414">
                    <c:v>damian macetas</c:v>
                  </c:pt>
                  <c:pt idx="415">
                    <c:v>MAYORPET</c:v>
                  </c:pt>
                  <c:pt idx="416">
                    <c:v>bioterra</c:v>
                  </c:pt>
                  <c:pt idx="417">
                    <c:v>bioterra</c:v>
                  </c:pt>
                  <c:pt idx="418">
                    <c:v>diego</c:v>
                  </c:pt>
                  <c:pt idx="419">
                    <c:v>damian macetas</c:v>
                  </c:pt>
                  <c:pt idx="420">
                    <c:v>damian macetas</c:v>
                  </c:pt>
                  <c:pt idx="422">
                    <c:v>valagu</c:v>
                  </c:pt>
                  <c:pt idx="423">
                    <c:v>yaques</c:v>
                  </c:pt>
                  <c:pt idx="424">
                    <c:v>corona</c:v>
                  </c:pt>
                  <c:pt idx="425">
                    <c:v>corona</c:v>
                  </c:pt>
                  <c:pt idx="426">
                    <c:v>corona</c:v>
                  </c:pt>
                  <c:pt idx="427">
                    <c:v>corona</c:v>
                  </c:pt>
                  <c:pt idx="428">
                    <c:v>MAYORPET</c:v>
                  </c:pt>
                  <c:pt idx="429">
                    <c:v>MAYORPET</c:v>
                  </c:pt>
                  <c:pt idx="430">
                    <c:v>MAYORPET</c:v>
                  </c:pt>
                  <c:pt idx="431">
                    <c:v>MAYORPET</c:v>
                  </c:pt>
                  <c:pt idx="432">
                    <c:v>grispix</c:v>
                  </c:pt>
                  <c:pt idx="433">
                    <c:v>MAYORPET</c:v>
                  </c:pt>
                  <c:pt idx="434">
                    <c:v>mayorpet</c:v>
                  </c:pt>
                  <c:pt idx="435">
                    <c:v>MAYORPET</c:v>
                  </c:pt>
                  <c:pt idx="436">
                    <c:v>MAYORPET</c:v>
                  </c:pt>
                  <c:pt idx="437">
                    <c:v>alvarez</c:v>
                  </c:pt>
                  <c:pt idx="438">
                    <c:v>denucio</c:v>
                  </c:pt>
                  <c:pt idx="439">
                    <c:v>denucio</c:v>
                  </c:pt>
                  <c:pt idx="440">
                    <c:v>denucio</c:v>
                  </c:pt>
                  <c:pt idx="441">
                    <c:v>denucio</c:v>
                  </c:pt>
                  <c:pt idx="442">
                    <c:v>denucio</c:v>
                  </c:pt>
                  <c:pt idx="443">
                    <c:v>denucio</c:v>
                  </c:pt>
                  <c:pt idx="444">
                    <c:v>denucio</c:v>
                  </c:pt>
                  <c:pt idx="445">
                    <c:v>denucio</c:v>
                  </c:pt>
                  <c:pt idx="446">
                    <c:v>denucio</c:v>
                  </c:pt>
                  <c:pt idx="447">
                    <c:v>denucio</c:v>
                  </c:pt>
                  <c:pt idx="448">
                    <c:v>denucio</c:v>
                  </c:pt>
                  <c:pt idx="449">
                    <c:v>denucio</c:v>
                  </c:pt>
                  <c:pt idx="450">
                    <c:v>denucio</c:v>
                  </c:pt>
                  <c:pt idx="451">
                    <c:v>deribal</c:v>
                  </c:pt>
                  <c:pt idx="452">
                    <c:v>lima</c:v>
                  </c:pt>
                  <c:pt idx="453">
                    <c:v>vet volpe</c:v>
                  </c:pt>
                  <c:pt idx="454">
                    <c:v>vet volpe</c:v>
                  </c:pt>
                  <c:pt idx="455">
                    <c:v>parque trebol</c:v>
                  </c:pt>
                  <c:pt idx="456">
                    <c:v>parque trebol</c:v>
                  </c:pt>
                  <c:pt idx="457">
                    <c:v>parque trebol</c:v>
                  </c:pt>
                  <c:pt idx="458">
                    <c:v>lima</c:v>
                  </c:pt>
                  <c:pt idx="459">
                    <c:v>yaques</c:v>
                  </c:pt>
                  <c:pt idx="460">
                    <c:v>uruquim</c:v>
                  </c:pt>
                  <c:pt idx="461">
                    <c:v>uruquim</c:v>
                  </c:pt>
                  <c:pt idx="462">
                    <c:v>deribal</c:v>
                  </c:pt>
                  <c:pt idx="463">
                    <c:v>uruquim</c:v>
                  </c:pt>
                  <c:pt idx="464">
                    <c:v>damian macetas</c:v>
                  </c:pt>
                  <c:pt idx="465">
                    <c:v>damian macetas</c:v>
                  </c:pt>
                  <c:pt idx="466">
                    <c:v>damian macetas</c:v>
                  </c:pt>
                  <c:pt idx="467">
                    <c:v>damian macetas</c:v>
                  </c:pt>
                  <c:pt idx="468">
                    <c:v>damian macetas</c:v>
                  </c:pt>
                  <c:pt idx="469">
                    <c:v>damian macetas</c:v>
                  </c:pt>
                  <c:pt idx="470">
                    <c:v>damian macetas</c:v>
                  </c:pt>
                  <c:pt idx="471">
                    <c:v>damian macetas</c:v>
                  </c:pt>
                  <c:pt idx="472">
                    <c:v>MAYORPET</c:v>
                  </c:pt>
                  <c:pt idx="473">
                    <c:v>MAYORPET</c:v>
                  </c:pt>
                  <c:pt idx="474">
                    <c:v>volpe</c:v>
                  </c:pt>
                  <c:pt idx="475">
                    <c:v>deribal</c:v>
                  </c:pt>
                  <c:pt idx="476">
                    <c:v>damian macetas</c:v>
                  </c:pt>
                  <c:pt idx="477">
                    <c:v>damian macetas</c:v>
                  </c:pt>
                  <c:pt idx="478">
                    <c:v>belsir</c:v>
                  </c:pt>
                  <c:pt idx="479">
                    <c:v>ds</c:v>
                  </c:pt>
                  <c:pt idx="480">
                    <c:v>ds</c:v>
                  </c:pt>
                  <c:pt idx="481">
                    <c:v>ds</c:v>
                  </c:pt>
                  <c:pt idx="482">
                    <c:v>ds</c:v>
                  </c:pt>
                  <c:pt idx="483">
                    <c:v>dsd</c:v>
                  </c:pt>
                  <c:pt idx="484">
                    <c:v>ds</c:v>
                  </c:pt>
                  <c:pt idx="485">
                    <c:v>DS</c:v>
                  </c:pt>
                  <c:pt idx="486">
                    <c:v>DS</c:v>
                  </c:pt>
                  <c:pt idx="487">
                    <c:v>DS</c:v>
                  </c:pt>
                  <c:pt idx="488">
                    <c:v>ds</c:v>
                  </c:pt>
                  <c:pt idx="489">
                    <c:v>ds</c:v>
                  </c:pt>
                  <c:pt idx="490">
                    <c:v>ds</c:v>
                  </c:pt>
                  <c:pt idx="491">
                    <c:v>ds</c:v>
                  </c:pt>
                  <c:pt idx="492">
                    <c:v>ds</c:v>
                  </c:pt>
                  <c:pt idx="493">
                    <c:v>ds</c:v>
                  </c:pt>
                  <c:pt idx="494">
                    <c:v>ds</c:v>
                  </c:pt>
                  <c:pt idx="495">
                    <c:v>ds</c:v>
                  </c:pt>
                  <c:pt idx="496">
                    <c:v>ds</c:v>
                  </c:pt>
                  <c:pt idx="497">
                    <c:v>ds</c:v>
                  </c:pt>
                  <c:pt idx="498">
                    <c:v>ds</c:v>
                  </c:pt>
                  <c:pt idx="499">
                    <c:v>ds</c:v>
                  </c:pt>
                  <c:pt idx="500">
                    <c:v>ds</c:v>
                  </c:pt>
                  <c:pt idx="501">
                    <c:v>ds</c:v>
                  </c:pt>
                  <c:pt idx="502">
                    <c:v>ds</c:v>
                  </c:pt>
                  <c:pt idx="503">
                    <c:v>ds</c:v>
                  </c:pt>
                  <c:pt idx="504">
                    <c:v>ds</c:v>
                  </c:pt>
                  <c:pt idx="505">
                    <c:v>ds</c:v>
                  </c:pt>
                  <c:pt idx="506">
                    <c:v>ds</c:v>
                  </c:pt>
                  <c:pt idx="507">
                    <c:v>ds</c:v>
                  </c:pt>
                  <c:pt idx="508">
                    <c:v>ds</c:v>
                  </c:pt>
                  <c:pt idx="509">
                    <c:v>ds</c:v>
                  </c:pt>
                  <c:pt idx="510">
                    <c:v>ds</c:v>
                  </c:pt>
                  <c:pt idx="511">
                    <c:v>ds</c:v>
                  </c:pt>
                  <c:pt idx="512">
                    <c:v>ds</c:v>
                  </c:pt>
                  <c:pt idx="513">
                    <c:v>ds</c:v>
                  </c:pt>
                  <c:pt idx="514">
                    <c:v>ds</c:v>
                  </c:pt>
                  <c:pt idx="515">
                    <c:v>ds</c:v>
                  </c:pt>
                  <c:pt idx="516">
                    <c:v>ds</c:v>
                  </c:pt>
                  <c:pt idx="517">
                    <c:v>ds</c:v>
                  </c:pt>
                  <c:pt idx="518">
                    <c:v>ds</c:v>
                  </c:pt>
                  <c:pt idx="519">
                    <c:v>ds</c:v>
                  </c:pt>
                  <c:pt idx="520">
                    <c:v>ds</c:v>
                  </c:pt>
                  <c:pt idx="521">
                    <c:v>ds</c:v>
                  </c:pt>
                  <c:pt idx="522">
                    <c:v>damian macetas</c:v>
                  </c:pt>
                  <c:pt idx="536">
                    <c:v>ds</c:v>
                  </c:pt>
                  <c:pt idx="537">
                    <c:v>ds</c:v>
                  </c:pt>
                  <c:pt idx="538">
                    <c:v>ds</c:v>
                  </c:pt>
                  <c:pt idx="542">
                    <c:v>ds</c:v>
                  </c:pt>
                  <c:pt idx="543">
                    <c:v>ds</c:v>
                  </c:pt>
                  <c:pt idx="544">
                    <c:v>ds</c:v>
                  </c:pt>
                  <c:pt idx="545">
                    <c:v>ds</c:v>
                  </c:pt>
                  <c:pt idx="546">
                    <c:v>ds</c:v>
                  </c:pt>
                  <c:pt idx="547">
                    <c:v>ds</c:v>
                  </c:pt>
                  <c:pt idx="548">
                    <c:v>ds</c:v>
                  </c:pt>
                  <c:pt idx="549">
                    <c:v>ds</c:v>
                  </c:pt>
                  <c:pt idx="552">
                    <c:v>damian macetas</c:v>
                  </c:pt>
                  <c:pt idx="553">
                    <c:v>damian macetas</c:v>
                  </c:pt>
                  <c:pt idx="554">
                    <c:v>beltrame</c:v>
                  </c:pt>
                  <c:pt idx="555">
                    <c:v>volpe</c:v>
                  </c:pt>
                  <c:pt idx="556">
                    <c:v>volpe</c:v>
                  </c:pt>
                  <c:pt idx="557">
                    <c:v>damian macetas</c:v>
                  </c:pt>
                  <c:pt idx="558">
                    <c:v>beltrame</c:v>
                  </c:pt>
                  <c:pt idx="559">
                    <c:v>parque trebol</c:v>
                  </c:pt>
                  <c:pt idx="560">
                    <c:v>denucio</c:v>
                  </c:pt>
                  <c:pt idx="561">
                    <c:v>damian macetas</c:v>
                  </c:pt>
                  <c:pt idx="562">
                    <c:v>damian macetas</c:v>
                  </c:pt>
                  <c:pt idx="563">
                    <c:v>beltrame</c:v>
                  </c:pt>
                  <c:pt idx="564">
                    <c:v>denucio</c:v>
                  </c:pt>
                  <c:pt idx="565">
                    <c:v>denucio</c:v>
                  </c:pt>
                  <c:pt idx="567">
                    <c:v>damian macetas</c:v>
                  </c:pt>
                  <c:pt idx="568">
                    <c:v>grispix</c:v>
                  </c:pt>
                  <c:pt idx="569">
                    <c:v>damian macetas</c:v>
                  </c:pt>
                  <c:pt idx="570">
                    <c:v>damian macetas</c:v>
                  </c:pt>
                  <c:pt idx="571">
                    <c:v>damian macetas</c:v>
                  </c:pt>
                  <c:pt idx="572">
                    <c:v>beltrame</c:v>
                  </c:pt>
                  <c:pt idx="573">
                    <c:v>de navarra</c:v>
                  </c:pt>
                  <c:pt idx="577">
                    <c:v>damian macetas</c:v>
                  </c:pt>
                  <c:pt idx="578">
                    <c:v>damian macetas</c:v>
                  </c:pt>
                  <c:pt idx="579">
                    <c:v>valagu</c:v>
                  </c:pt>
                  <c:pt idx="580">
                    <c:v>valagu</c:v>
                  </c:pt>
                  <c:pt idx="582">
                    <c:v>distribuciones KRM</c:v>
                  </c:pt>
                  <c:pt idx="583">
                    <c:v>damian macetas</c:v>
                  </c:pt>
                  <c:pt idx="585">
                    <c:v>valagu</c:v>
                  </c:pt>
                  <c:pt idx="586">
                    <c:v>deribal</c:v>
                  </c:pt>
                  <c:pt idx="587">
                    <c:v>deribal</c:v>
                  </c:pt>
                  <c:pt idx="588">
                    <c:v>deribal</c:v>
                  </c:pt>
                  <c:pt idx="589">
                    <c:v>damian macetas</c:v>
                  </c:pt>
                  <c:pt idx="590">
                    <c:v>magric</c:v>
                  </c:pt>
                  <c:pt idx="591">
                    <c:v>magric</c:v>
                  </c:pt>
                  <c:pt idx="592">
                    <c:v>MAGRIC</c:v>
                  </c:pt>
                  <c:pt idx="593">
                    <c:v>beltrame</c:v>
                  </c:pt>
                  <c:pt idx="594">
                    <c:v>magric</c:v>
                  </c:pt>
                  <c:pt idx="595">
                    <c:v>magric</c:v>
                  </c:pt>
                  <c:pt idx="596">
                    <c:v>magric</c:v>
                  </c:pt>
                  <c:pt idx="598">
                    <c:v>magric</c:v>
                  </c:pt>
                  <c:pt idx="599">
                    <c:v>magric</c:v>
                  </c:pt>
                  <c:pt idx="605">
                    <c:v>alvarez</c:v>
                  </c:pt>
                  <c:pt idx="606">
                    <c:v>alvarez</c:v>
                  </c:pt>
                  <c:pt idx="607">
                    <c:v>alvarez</c:v>
                  </c:pt>
                  <c:pt idx="609">
                    <c:v>alvarez</c:v>
                  </c:pt>
                  <c:pt idx="610">
                    <c:v>alvarez</c:v>
                  </c:pt>
                  <c:pt idx="611">
                    <c:v>alvarez</c:v>
                  </c:pt>
                  <c:pt idx="613">
                    <c:v>alvarez</c:v>
                  </c:pt>
                  <c:pt idx="614">
                    <c:v>bioterra</c:v>
                  </c:pt>
                  <c:pt idx="617">
                    <c:v>alvarez</c:v>
                  </c:pt>
                  <c:pt idx="618">
                    <c:v>alvarez</c:v>
                  </c:pt>
                  <c:pt idx="619">
                    <c:v>valagu</c:v>
                  </c:pt>
                  <c:pt idx="620">
                    <c:v>valagu</c:v>
                  </c:pt>
                  <c:pt idx="621">
                    <c:v>valagu</c:v>
                  </c:pt>
                  <c:pt idx="622">
                    <c:v>valagu</c:v>
                  </c:pt>
                  <c:pt idx="623">
                    <c:v>valagu</c:v>
                  </c:pt>
                  <c:pt idx="624">
                    <c:v>valagu</c:v>
                  </c:pt>
                  <c:pt idx="625">
                    <c:v>valagu</c:v>
                  </c:pt>
                  <c:pt idx="626">
                    <c:v>valagu</c:v>
                  </c:pt>
                  <c:pt idx="627">
                    <c:v>valagu</c:v>
                  </c:pt>
                  <c:pt idx="628">
                    <c:v>valagu</c:v>
                  </c:pt>
                  <c:pt idx="629">
                    <c:v>valagu</c:v>
                  </c:pt>
                  <c:pt idx="630">
                    <c:v>valagu</c:v>
                  </c:pt>
                  <c:pt idx="631">
                    <c:v>damian macetas</c:v>
                  </c:pt>
                  <c:pt idx="632">
                    <c:v>valagu</c:v>
                  </c:pt>
                  <c:pt idx="633">
                    <c:v>parque trebol</c:v>
                  </c:pt>
                  <c:pt idx="634">
                    <c:v>parque trebol</c:v>
                  </c:pt>
                  <c:pt idx="635">
                    <c:v>parque trebol</c:v>
                  </c:pt>
                  <c:pt idx="636">
                    <c:v>parque trebol</c:v>
                  </c:pt>
                  <c:pt idx="637">
                    <c:v>parque trebol</c:v>
                  </c:pt>
                  <c:pt idx="638">
                    <c:v>diego</c:v>
                  </c:pt>
                  <c:pt idx="640">
                    <c:v>damian macetas</c:v>
                  </c:pt>
                  <c:pt idx="641">
                    <c:v>damian macetas</c:v>
                  </c:pt>
                  <c:pt idx="642">
                    <c:v>damian macetas</c:v>
                  </c:pt>
                  <c:pt idx="643">
                    <c:v>damian macetas</c:v>
                  </c:pt>
                  <c:pt idx="644">
                    <c:v>damian macetas</c:v>
                  </c:pt>
                  <c:pt idx="645">
                    <c:v>damian macetas</c:v>
                  </c:pt>
                  <c:pt idx="647">
                    <c:v>diego</c:v>
                  </c:pt>
                  <c:pt idx="651">
                    <c:v>damian macetas</c:v>
                  </c:pt>
                  <c:pt idx="652">
                    <c:v>damian macetas</c:v>
                  </c:pt>
                  <c:pt idx="653">
                    <c:v>damian macetas</c:v>
                  </c:pt>
                  <c:pt idx="654">
                    <c:v>damian macetas</c:v>
                  </c:pt>
                  <c:pt idx="655">
                    <c:v>damian macetas</c:v>
                  </c:pt>
                  <c:pt idx="656">
                    <c:v>grispix</c:v>
                  </c:pt>
                  <c:pt idx="657">
                    <c:v>yaques</c:v>
                  </c:pt>
                  <c:pt idx="658">
                    <c:v>damian macetas</c:v>
                  </c:pt>
                  <c:pt idx="659">
                    <c:v>yaques</c:v>
                  </c:pt>
                  <c:pt idx="660">
                    <c:v>casa cristina</c:v>
                  </c:pt>
                  <c:pt idx="661">
                    <c:v>casa cristina</c:v>
                  </c:pt>
                  <c:pt idx="662">
                    <c:v>casa cristina</c:v>
                  </c:pt>
                  <c:pt idx="663">
                    <c:v>casa cristina</c:v>
                  </c:pt>
                  <c:pt idx="664">
                    <c:v>casa cristina</c:v>
                  </c:pt>
                  <c:pt idx="665">
                    <c:v>casa cristina</c:v>
                  </c:pt>
                  <c:pt idx="666">
                    <c:v>diego</c:v>
                  </c:pt>
                  <c:pt idx="667">
                    <c:v>empack</c:v>
                  </c:pt>
                  <c:pt idx="668">
                    <c:v>empack</c:v>
                  </c:pt>
                  <c:pt idx="670">
                    <c:v>attack</c:v>
                  </c:pt>
                  <c:pt idx="671">
                    <c:v>atack</c:v>
                  </c:pt>
                  <c:pt idx="674">
                    <c:v>parque trebol</c:v>
                  </c:pt>
                  <c:pt idx="675">
                    <c:v>volpe</c:v>
                  </c:pt>
                  <c:pt idx="676">
                    <c:v>volpe</c:v>
                  </c:pt>
                  <c:pt idx="677">
                    <c:v>grispix</c:v>
                  </c:pt>
                  <c:pt idx="678">
                    <c:v>damian macetas</c:v>
                  </c:pt>
                  <c:pt idx="679">
                    <c:v>belsir</c:v>
                  </c:pt>
                  <c:pt idx="680">
                    <c:v>negley</c:v>
                  </c:pt>
                  <c:pt idx="681">
                    <c:v>fermara</c:v>
                  </c:pt>
                  <c:pt idx="682">
                    <c:v>fermara</c:v>
                  </c:pt>
                  <c:pt idx="683">
                    <c:v>damian macetas</c:v>
                  </c:pt>
                  <c:pt idx="684">
                    <c:v>damian macetas</c:v>
                  </c:pt>
                  <c:pt idx="685">
                    <c:v>carrau</c:v>
                  </c:pt>
                  <c:pt idx="686">
                    <c:v>carrau</c:v>
                  </c:pt>
                  <c:pt idx="687">
                    <c:v>negley</c:v>
                  </c:pt>
                  <c:pt idx="688">
                    <c:v>deribal</c:v>
                  </c:pt>
                  <c:pt idx="689">
                    <c:v>belsir</c:v>
                  </c:pt>
                  <c:pt idx="690">
                    <c:v>belsir</c:v>
                  </c:pt>
                  <c:pt idx="691">
                    <c:v>belsir</c:v>
                  </c:pt>
                  <c:pt idx="692">
                    <c:v>belsir</c:v>
                  </c:pt>
                  <c:pt idx="693">
                    <c:v>belsir</c:v>
                  </c:pt>
                  <c:pt idx="694">
                    <c:v>deribal</c:v>
                  </c:pt>
                  <c:pt idx="695">
                    <c:v>REMIPLAT</c:v>
                  </c:pt>
                  <c:pt idx="696">
                    <c:v>REMIPLAT</c:v>
                  </c:pt>
                  <c:pt idx="697">
                    <c:v>REMIPLAT</c:v>
                  </c:pt>
                  <c:pt idx="698">
                    <c:v>REMIPLAT</c:v>
                  </c:pt>
                  <c:pt idx="699">
                    <c:v>fermara</c:v>
                  </c:pt>
                  <c:pt idx="700">
                    <c:v>fermara</c:v>
                  </c:pt>
                  <c:pt idx="703">
                    <c:v>REMIPLAT</c:v>
                  </c:pt>
                  <c:pt idx="704">
                    <c:v>heroica</c:v>
                  </c:pt>
                  <c:pt idx="705">
                    <c:v>heroica</c:v>
                  </c:pt>
                  <c:pt idx="706">
                    <c:v>distribuidora del sol</c:v>
                  </c:pt>
                  <c:pt idx="707">
                    <c:v>distribuidora del sol</c:v>
                  </c:pt>
                  <c:pt idx="708">
                    <c:v>distribuidora del sol</c:v>
                  </c:pt>
                  <c:pt idx="709">
                    <c:v>distribuidora del sol</c:v>
                  </c:pt>
                  <c:pt idx="710">
                    <c:v>distribuidora del sol</c:v>
                  </c:pt>
                  <c:pt idx="711">
                    <c:v>distribuidora del sol</c:v>
                  </c:pt>
                  <c:pt idx="712">
                    <c:v>distribuidora del sol</c:v>
                  </c:pt>
                  <c:pt idx="713">
                    <c:v>negley</c:v>
                  </c:pt>
                  <c:pt idx="714">
                    <c:v>negley</c:v>
                  </c:pt>
                  <c:pt idx="715">
                    <c:v>belsir</c:v>
                  </c:pt>
                  <c:pt idx="716">
                    <c:v>belsir</c:v>
                  </c:pt>
                  <c:pt idx="717">
                    <c:v>belsir</c:v>
                  </c:pt>
                  <c:pt idx="718">
                    <c:v>belsir</c:v>
                  </c:pt>
                  <c:pt idx="719">
                    <c:v>belsir</c:v>
                  </c:pt>
                  <c:pt idx="720">
                    <c:v>belsir</c:v>
                  </c:pt>
                  <c:pt idx="721">
                    <c:v>belsir</c:v>
                  </c:pt>
                  <c:pt idx="722">
                    <c:v>negley</c:v>
                  </c:pt>
                  <c:pt idx="723">
                    <c:v>DERIBAL</c:v>
                  </c:pt>
                  <c:pt idx="726">
                    <c:v>rimart</c:v>
                  </c:pt>
                  <c:pt idx="727">
                    <c:v>rimart</c:v>
                  </c:pt>
                  <c:pt idx="730">
                    <c:v>magric</c:v>
                  </c:pt>
                  <c:pt idx="731">
                    <c:v>magric</c:v>
                  </c:pt>
                  <c:pt idx="732">
                    <c:v>manfredi</c:v>
                  </c:pt>
                  <c:pt idx="733">
                    <c:v>denucio</c:v>
                  </c:pt>
                  <c:pt idx="734">
                    <c:v>denucio</c:v>
                  </c:pt>
                  <c:pt idx="736">
                    <c:v>bioterra</c:v>
                  </c:pt>
                  <c:pt idx="739">
                    <c:v>damian macetas</c:v>
                  </c:pt>
                  <c:pt idx="740">
                    <c:v>grispix</c:v>
                  </c:pt>
                  <c:pt idx="741">
                    <c:v>damian macetas</c:v>
                  </c:pt>
                  <c:pt idx="742">
                    <c:v>grispix</c:v>
                  </c:pt>
                  <c:pt idx="743">
                    <c:v>yaques</c:v>
                  </c:pt>
                  <c:pt idx="744">
                    <c:v>diego</c:v>
                  </c:pt>
                  <c:pt idx="745">
                    <c:v>yaques</c:v>
                  </c:pt>
                  <c:pt idx="746">
                    <c:v>yaques</c:v>
                  </c:pt>
                  <c:pt idx="749">
                    <c:v>alvarez</c:v>
                  </c:pt>
                  <c:pt idx="750">
                    <c:v>damian macetas</c:v>
                  </c:pt>
                  <c:pt idx="751">
                    <c:v>copagran</c:v>
                  </c:pt>
                  <c:pt idx="752">
                    <c:v>copagran</c:v>
                  </c:pt>
                  <c:pt idx="753">
                    <c:v>copagran</c:v>
                  </c:pt>
                  <c:pt idx="754">
                    <c:v>agritec</c:v>
                  </c:pt>
                  <c:pt idx="755">
                    <c:v>magric</c:v>
                  </c:pt>
                  <c:pt idx="756">
                    <c:v>magric</c:v>
                  </c:pt>
                  <c:pt idx="757">
                    <c:v>copagran</c:v>
                  </c:pt>
                  <c:pt idx="758">
                    <c:v>diego</c:v>
                  </c:pt>
                  <c:pt idx="759">
                    <c:v>diego</c:v>
                  </c:pt>
                  <c:pt idx="760">
                    <c:v>damian macetas</c:v>
                  </c:pt>
                  <c:pt idx="761">
                    <c:v>damian macetas</c:v>
                  </c:pt>
                  <c:pt idx="762">
                    <c:v>damian macetas</c:v>
                  </c:pt>
                  <c:pt idx="763">
                    <c:v>yaques</c:v>
                  </c:pt>
                  <c:pt idx="764">
                    <c:v>parque trebol</c:v>
                  </c:pt>
                  <c:pt idx="765">
                    <c:v>beltrame</c:v>
                  </c:pt>
                  <c:pt idx="766">
                    <c:v>magric</c:v>
                  </c:pt>
                  <c:pt idx="767">
                    <c:v>beltrame</c:v>
                  </c:pt>
                  <c:pt idx="768">
                    <c:v>beltrame</c:v>
                  </c:pt>
                  <c:pt idx="769">
                    <c:v>beltrame</c:v>
                  </c:pt>
                  <c:pt idx="770">
                    <c:v>copagran</c:v>
                  </c:pt>
                  <c:pt idx="771">
                    <c:v>parque trebol</c:v>
                  </c:pt>
                  <c:pt idx="772">
                    <c:v>copagran</c:v>
                  </c:pt>
                  <c:pt idx="773">
                    <c:v>beltrame</c:v>
                  </c:pt>
                  <c:pt idx="774">
                    <c:v>uruquim</c:v>
                  </c:pt>
                  <c:pt idx="776">
                    <c:v>damian macetas</c:v>
                  </c:pt>
                  <c:pt idx="777">
                    <c:v>damian macetas</c:v>
                  </c:pt>
                  <c:pt idx="778">
                    <c:v>MAYORPET</c:v>
                  </c:pt>
                  <c:pt idx="779">
                    <c:v>MAYORPET</c:v>
                  </c:pt>
                  <c:pt idx="780">
                    <c:v>MAYORPET</c:v>
                  </c:pt>
                  <c:pt idx="781">
                    <c:v>damian macetas</c:v>
                  </c:pt>
                  <c:pt idx="782">
                    <c:v>damian macetas</c:v>
                  </c:pt>
                  <c:pt idx="783">
                    <c:v>alvarez</c:v>
                  </c:pt>
                  <c:pt idx="787">
                    <c:v>damian macetas</c:v>
                  </c:pt>
                  <c:pt idx="788">
                    <c:v>damian macetas</c:v>
                  </c:pt>
                  <c:pt idx="789">
                    <c:v>MAYORPET</c:v>
                  </c:pt>
                  <c:pt idx="790">
                    <c:v>MAYORPET</c:v>
                  </c:pt>
                  <c:pt idx="791">
                    <c:v>MAYORPET</c:v>
                  </c:pt>
                  <c:pt idx="792">
                    <c:v>parque trebol</c:v>
                  </c:pt>
                  <c:pt idx="796">
                    <c:v>parque trebol</c:v>
                  </c:pt>
                  <c:pt idx="797">
                    <c:v>parque trebol</c:v>
                  </c:pt>
                  <c:pt idx="798">
                    <c:v>distribuidora del sol</c:v>
                  </c:pt>
                  <c:pt idx="799">
                    <c:v>distribuidora del sol</c:v>
                  </c:pt>
                  <c:pt idx="800">
                    <c:v>distribuidora del sol</c:v>
                  </c:pt>
                  <c:pt idx="801">
                    <c:v>meril</c:v>
                  </c:pt>
                  <c:pt idx="802">
                    <c:v>meril</c:v>
                  </c:pt>
                  <c:pt idx="803">
                    <c:v>meril</c:v>
                  </c:pt>
                  <c:pt idx="804">
                    <c:v>meril</c:v>
                  </c:pt>
                  <c:pt idx="805">
                    <c:v>damian macetas</c:v>
                  </c:pt>
                  <c:pt idx="806">
                    <c:v>damian macetas</c:v>
                  </c:pt>
                  <c:pt idx="807">
                    <c:v>damian macetas</c:v>
                  </c:pt>
                  <c:pt idx="808">
                    <c:v>damian macetas</c:v>
                  </c:pt>
                  <c:pt idx="809">
                    <c:v>damian macetas</c:v>
                  </c:pt>
                  <c:pt idx="810">
                    <c:v>damian macetas</c:v>
                  </c:pt>
                  <c:pt idx="811">
                    <c:v>damian macetas</c:v>
                  </c:pt>
                  <c:pt idx="812">
                    <c:v>damian macetas</c:v>
                  </c:pt>
                  <c:pt idx="813">
                    <c:v>damian macetas</c:v>
                  </c:pt>
                  <c:pt idx="814">
                    <c:v>damian macetas</c:v>
                  </c:pt>
                  <c:pt idx="815">
                    <c:v>damian macetas</c:v>
                  </c:pt>
                  <c:pt idx="816">
                    <c:v>damian macetas</c:v>
                  </c:pt>
                  <c:pt idx="817">
                    <c:v>damian macetas</c:v>
                  </c:pt>
                  <c:pt idx="818">
                    <c:v>damian macetas</c:v>
                  </c:pt>
                  <c:pt idx="819">
                    <c:v>alvarez</c:v>
                  </c:pt>
                  <c:pt idx="820">
                    <c:v>alvarez</c:v>
                  </c:pt>
                  <c:pt idx="821">
                    <c:v>damian macetas</c:v>
                  </c:pt>
                  <c:pt idx="822">
                    <c:v>damian macetas</c:v>
                  </c:pt>
                  <c:pt idx="823">
                    <c:v>damian macetas</c:v>
                  </c:pt>
                  <c:pt idx="824">
                    <c:v>damian macetas</c:v>
                  </c:pt>
                  <c:pt idx="825">
                    <c:v>damian macetas</c:v>
                  </c:pt>
                  <c:pt idx="826">
                    <c:v>damian macetas</c:v>
                  </c:pt>
                  <c:pt idx="827">
                    <c:v>damian macetas</c:v>
                  </c:pt>
                  <c:pt idx="828">
                    <c:v>damian macetas</c:v>
                  </c:pt>
                  <c:pt idx="829">
                    <c:v>grispix</c:v>
                  </c:pt>
                  <c:pt idx="830">
                    <c:v>damian macetas</c:v>
                  </c:pt>
                  <c:pt idx="831">
                    <c:v>damian macetas</c:v>
                  </c:pt>
                  <c:pt idx="832">
                    <c:v>damian macetas</c:v>
                  </c:pt>
                  <c:pt idx="833">
                    <c:v>damian macetas</c:v>
                  </c:pt>
                  <c:pt idx="834">
                    <c:v>damian macetas</c:v>
                  </c:pt>
                  <c:pt idx="835">
                    <c:v>damian macetas</c:v>
                  </c:pt>
                  <c:pt idx="836">
                    <c:v>damian macetas</c:v>
                  </c:pt>
                  <c:pt idx="837">
                    <c:v>damian macetas</c:v>
                  </c:pt>
                  <c:pt idx="838">
                    <c:v>damian macetas</c:v>
                  </c:pt>
                  <c:pt idx="839">
                    <c:v>damian macetas</c:v>
                  </c:pt>
                  <c:pt idx="840">
                    <c:v>damian macetas</c:v>
                  </c:pt>
                  <c:pt idx="841">
                    <c:v>damian macetas</c:v>
                  </c:pt>
                  <c:pt idx="842">
                    <c:v>valagu</c:v>
                  </c:pt>
                  <c:pt idx="843">
                    <c:v>valagu</c:v>
                  </c:pt>
                  <c:pt idx="844">
                    <c:v>valagu</c:v>
                  </c:pt>
                  <c:pt idx="845">
                    <c:v>valagu</c:v>
                  </c:pt>
                  <c:pt idx="846">
                    <c:v>valagu</c:v>
                  </c:pt>
                  <c:pt idx="847">
                    <c:v>valagu</c:v>
                  </c:pt>
                  <c:pt idx="848">
                    <c:v>valagu</c:v>
                  </c:pt>
                  <c:pt idx="849">
                    <c:v>valagu</c:v>
                  </c:pt>
                  <c:pt idx="850">
                    <c:v>casciato</c:v>
                  </c:pt>
                  <c:pt idx="853">
                    <c:v>valagu</c:v>
                  </c:pt>
                  <c:pt idx="854">
                    <c:v>valagu</c:v>
                  </c:pt>
                  <c:pt idx="855">
                    <c:v>valagu</c:v>
                  </c:pt>
                  <c:pt idx="856">
                    <c:v>valagu</c:v>
                  </c:pt>
                  <c:pt idx="857">
                    <c:v>valagu</c:v>
                  </c:pt>
                  <c:pt idx="858">
                    <c:v>valagu</c:v>
                  </c:pt>
                  <c:pt idx="859">
                    <c:v>valagu</c:v>
                  </c:pt>
                  <c:pt idx="860">
                    <c:v>valagu</c:v>
                  </c:pt>
                  <c:pt idx="861">
                    <c:v>valagu</c:v>
                  </c:pt>
                  <c:pt idx="864">
                    <c:v>uruquim</c:v>
                  </c:pt>
                  <c:pt idx="865">
                    <c:v>parque trebol</c:v>
                  </c:pt>
                  <c:pt idx="867">
                    <c:v>parque trebol</c:v>
                  </c:pt>
                  <c:pt idx="868">
                    <c:v>parque trebol</c:v>
                  </c:pt>
                  <c:pt idx="869">
                    <c:v>valagu</c:v>
                  </c:pt>
                  <c:pt idx="870">
                    <c:v>delta</c:v>
                  </c:pt>
                  <c:pt idx="871">
                    <c:v>distribuciones KRM</c:v>
                  </c:pt>
                  <c:pt idx="872">
                    <c:v>distribuciones KRM</c:v>
                  </c:pt>
                  <c:pt idx="873">
                    <c:v>damian macetas</c:v>
                  </c:pt>
                  <c:pt idx="874">
                    <c:v>damian macetas</c:v>
                  </c:pt>
                  <c:pt idx="875">
                    <c:v>damian macetas</c:v>
                  </c:pt>
                  <c:pt idx="876">
                    <c:v>MAYORPET</c:v>
                  </c:pt>
                  <c:pt idx="877">
                    <c:v>MAYORPET</c:v>
                  </c:pt>
                  <c:pt idx="878">
                    <c:v>MAYORPET</c:v>
                  </c:pt>
                  <c:pt idx="879">
                    <c:v>MAYORPET</c:v>
                  </c:pt>
                  <c:pt idx="880">
                    <c:v>diego</c:v>
                  </c:pt>
                  <c:pt idx="881">
                    <c:v>MAYORPET</c:v>
                  </c:pt>
                  <c:pt idx="882">
                    <c:v>MAYORPET</c:v>
                  </c:pt>
                  <c:pt idx="883">
                    <c:v>beltrame</c:v>
                  </c:pt>
                  <c:pt idx="884">
                    <c:v>MAYORPET</c:v>
                  </c:pt>
                  <c:pt idx="885">
                    <c:v>MAYORPET</c:v>
                  </c:pt>
                  <c:pt idx="886">
                    <c:v>MAYORPET</c:v>
                  </c:pt>
                  <c:pt idx="887">
                    <c:v>MAYORPET</c:v>
                  </c:pt>
                  <c:pt idx="888">
                    <c:v>MAYORPET</c:v>
                  </c:pt>
                  <c:pt idx="889">
                    <c:v>MAYORPET</c:v>
                  </c:pt>
                  <c:pt idx="890">
                    <c:v>grispix</c:v>
                  </c:pt>
                  <c:pt idx="891">
                    <c:v>MAYORPET</c:v>
                  </c:pt>
                  <c:pt idx="892">
                    <c:v>MAYORPET</c:v>
                  </c:pt>
                  <c:pt idx="893">
                    <c:v>MAYORPET</c:v>
                  </c:pt>
                  <c:pt idx="894">
                    <c:v>DIEGO</c:v>
                  </c:pt>
                  <c:pt idx="895">
                    <c:v>grispix</c:v>
                  </c:pt>
                  <c:pt idx="896">
                    <c:v>grispix</c:v>
                  </c:pt>
                  <c:pt idx="897">
                    <c:v>MAYORPET</c:v>
                  </c:pt>
                  <c:pt idx="898">
                    <c:v>MAYORPET</c:v>
                  </c:pt>
                  <c:pt idx="899">
                    <c:v>MAYORPET</c:v>
                  </c:pt>
                  <c:pt idx="900">
                    <c:v>MAYORPET</c:v>
                  </c:pt>
                  <c:pt idx="901">
                    <c:v>MAYORPET</c:v>
                  </c:pt>
                  <c:pt idx="902">
                    <c:v>MAYORPET</c:v>
                  </c:pt>
                  <c:pt idx="903">
                    <c:v>MAYORPET</c:v>
                  </c:pt>
                  <c:pt idx="904">
                    <c:v>MAYORPET</c:v>
                  </c:pt>
                  <c:pt idx="905">
                    <c:v>lima</c:v>
                  </c:pt>
                  <c:pt idx="906">
                    <c:v>MAYORPET</c:v>
                  </c:pt>
                  <c:pt idx="907">
                    <c:v>damian macetas</c:v>
                  </c:pt>
                  <c:pt idx="908">
                    <c:v>valagu</c:v>
                  </c:pt>
                  <c:pt idx="909">
                    <c:v>valagu</c:v>
                  </c:pt>
                  <c:pt idx="910">
                    <c:v>valagu</c:v>
                  </c:pt>
                  <c:pt idx="911">
                    <c:v>valagu</c:v>
                  </c:pt>
                  <c:pt idx="912">
                    <c:v>valagu</c:v>
                  </c:pt>
                  <c:pt idx="913">
                    <c:v>valagu</c:v>
                  </c:pt>
                  <c:pt idx="914">
                    <c:v>valagu</c:v>
                  </c:pt>
                  <c:pt idx="915">
                    <c:v>valagu</c:v>
                  </c:pt>
                  <c:pt idx="916">
                    <c:v>valagu</c:v>
                  </c:pt>
                  <c:pt idx="917">
                    <c:v>valagu</c:v>
                  </c:pt>
                  <c:pt idx="918">
                    <c:v>damian macetas</c:v>
                  </c:pt>
                  <c:pt idx="919">
                    <c:v>damian macetas</c:v>
                  </c:pt>
                  <c:pt idx="920">
                    <c:v>damian macetas</c:v>
                  </c:pt>
                  <c:pt idx="921">
                    <c:v>damian macetas</c:v>
                  </c:pt>
                  <c:pt idx="922">
                    <c:v>diego</c:v>
                  </c:pt>
                  <c:pt idx="923">
                    <c:v>damian macetas</c:v>
                  </c:pt>
                  <c:pt idx="924">
                    <c:v>damian macetas</c:v>
                  </c:pt>
                  <c:pt idx="925">
                    <c:v>diego</c:v>
                  </c:pt>
                  <c:pt idx="926">
                    <c:v>damian macetas</c:v>
                  </c:pt>
                  <c:pt idx="927">
                    <c:v>alvarez</c:v>
                  </c:pt>
                  <c:pt idx="928">
                    <c:v>alvarez</c:v>
                  </c:pt>
                  <c:pt idx="929">
                    <c:v>alvarez</c:v>
                  </c:pt>
                  <c:pt idx="930">
                    <c:v>alvarez</c:v>
                  </c:pt>
                  <c:pt idx="931">
                    <c:v>damian macetas</c:v>
                  </c:pt>
                  <c:pt idx="932">
                    <c:v>damian macetas</c:v>
                  </c:pt>
                  <c:pt idx="933">
                    <c:v>damian macetas</c:v>
                  </c:pt>
                  <c:pt idx="934">
                    <c:v>damian macetas</c:v>
                  </c:pt>
                  <c:pt idx="935">
                    <c:v>damian macetas</c:v>
                  </c:pt>
                  <c:pt idx="936">
                    <c:v>damian macetas</c:v>
                  </c:pt>
                  <c:pt idx="937">
                    <c:v>damian macetas</c:v>
                  </c:pt>
                  <c:pt idx="938">
                    <c:v>damian macetas</c:v>
                  </c:pt>
                  <c:pt idx="939">
                    <c:v>grispix</c:v>
                  </c:pt>
                  <c:pt idx="940">
                    <c:v>grispix</c:v>
                  </c:pt>
                  <c:pt idx="941">
                    <c:v>damian macetas</c:v>
                  </c:pt>
                  <c:pt idx="942">
                    <c:v>damian macetas</c:v>
                  </c:pt>
                  <c:pt idx="943">
                    <c:v>damian macetas</c:v>
                  </c:pt>
                  <c:pt idx="944">
                    <c:v>damian macetas</c:v>
                  </c:pt>
                  <c:pt idx="945">
                    <c:v>damian macetas</c:v>
                  </c:pt>
                  <c:pt idx="946">
                    <c:v>damian macetas</c:v>
                  </c:pt>
                  <c:pt idx="947">
                    <c:v>damian macetas</c:v>
                  </c:pt>
                  <c:pt idx="948">
                    <c:v>damian macetas</c:v>
                  </c:pt>
                  <c:pt idx="949">
                    <c:v>damian macetas</c:v>
                  </c:pt>
                  <c:pt idx="950">
                    <c:v>damian macetas</c:v>
                  </c:pt>
                  <c:pt idx="951">
                    <c:v>damian macetas</c:v>
                  </c:pt>
                  <c:pt idx="952">
                    <c:v>damian macetas</c:v>
                  </c:pt>
                  <c:pt idx="953">
                    <c:v>damian macetas</c:v>
                  </c:pt>
                  <c:pt idx="954">
                    <c:v>damian macetas</c:v>
                  </c:pt>
                  <c:pt idx="955">
                    <c:v>damian macetas</c:v>
                  </c:pt>
                  <c:pt idx="956">
                    <c:v>damian macetas</c:v>
                  </c:pt>
                  <c:pt idx="957">
                    <c:v>damian macetas</c:v>
                  </c:pt>
                  <c:pt idx="958">
                    <c:v>damian macetas</c:v>
                  </c:pt>
                  <c:pt idx="959">
                    <c:v>alvarez</c:v>
                  </c:pt>
                  <c:pt idx="960">
                    <c:v>damian macetas</c:v>
                  </c:pt>
                  <c:pt idx="961">
                    <c:v>alvarez</c:v>
                  </c:pt>
                  <c:pt idx="962">
                    <c:v>damian macetas</c:v>
                  </c:pt>
                  <c:pt idx="963">
                    <c:v>damian macetas</c:v>
                  </c:pt>
                  <c:pt idx="964">
                    <c:v>damian macetas</c:v>
                  </c:pt>
                  <c:pt idx="965">
                    <c:v>damian macetas</c:v>
                  </c:pt>
                  <c:pt idx="966">
                    <c:v>damian macetas</c:v>
                  </c:pt>
                  <c:pt idx="967">
                    <c:v>damian macetas</c:v>
                  </c:pt>
                  <c:pt idx="968">
                    <c:v>damian macetas</c:v>
                  </c:pt>
                  <c:pt idx="969">
                    <c:v>damian macetas</c:v>
                  </c:pt>
                  <c:pt idx="970">
                    <c:v>damian macetas</c:v>
                  </c:pt>
                  <c:pt idx="971">
                    <c:v>damian macetas</c:v>
                  </c:pt>
                  <c:pt idx="972">
                    <c:v>damian macetas</c:v>
                  </c:pt>
                  <c:pt idx="973">
                    <c:v>damian macetas</c:v>
                  </c:pt>
                  <c:pt idx="974">
                    <c:v>damian macetas</c:v>
                  </c:pt>
                  <c:pt idx="975">
                    <c:v>damian macetas</c:v>
                  </c:pt>
                  <c:pt idx="976">
                    <c:v>damian macetas</c:v>
                  </c:pt>
                  <c:pt idx="977">
                    <c:v>damian macetas</c:v>
                  </c:pt>
                  <c:pt idx="978">
                    <c:v>damian macetas</c:v>
                  </c:pt>
                  <c:pt idx="979">
                    <c:v>damian macetas</c:v>
                  </c:pt>
                  <c:pt idx="980">
                    <c:v>damian macetas</c:v>
                  </c:pt>
                  <c:pt idx="981">
                    <c:v>damian macetas</c:v>
                  </c:pt>
                  <c:pt idx="982">
                    <c:v>alvarez</c:v>
                  </c:pt>
                  <c:pt idx="983">
                    <c:v>damian macetas</c:v>
                  </c:pt>
                  <c:pt idx="984">
                    <c:v>maple vila</c:v>
                  </c:pt>
                  <c:pt idx="985">
                    <c:v>maple vila</c:v>
                  </c:pt>
                  <c:pt idx="986">
                    <c:v>maple vila</c:v>
                  </c:pt>
                  <c:pt idx="987">
                    <c:v>maple vila</c:v>
                  </c:pt>
                  <c:pt idx="988">
                    <c:v>maple vila</c:v>
                  </c:pt>
                  <c:pt idx="989">
                    <c:v>maple vila</c:v>
                  </c:pt>
                  <c:pt idx="990">
                    <c:v>maple vila</c:v>
                  </c:pt>
                  <c:pt idx="991">
                    <c:v>maple vila</c:v>
                  </c:pt>
                  <c:pt idx="992">
                    <c:v>maestro</c:v>
                  </c:pt>
                  <c:pt idx="993">
                    <c:v>damian macetas</c:v>
                  </c:pt>
                  <c:pt idx="994">
                    <c:v>maestro</c:v>
                  </c:pt>
                  <c:pt idx="995">
                    <c:v>maestro</c:v>
                  </c:pt>
                  <c:pt idx="996">
                    <c:v>damian macetas</c:v>
                  </c:pt>
                  <c:pt idx="997">
                    <c:v>damian macetas</c:v>
                  </c:pt>
                  <c:pt idx="998">
                    <c:v>damian macetas</c:v>
                  </c:pt>
                  <c:pt idx="999">
                    <c:v>damian macetas</c:v>
                  </c:pt>
                  <c:pt idx="1000">
                    <c:v>damian macetas</c:v>
                  </c:pt>
                  <c:pt idx="1001">
                    <c:v>damian macetas</c:v>
                  </c:pt>
                  <c:pt idx="1002">
                    <c:v>damian macetas</c:v>
                  </c:pt>
                  <c:pt idx="1003">
                    <c:v>damian macetas</c:v>
                  </c:pt>
                  <c:pt idx="1004">
                    <c:v>damian macetas</c:v>
                  </c:pt>
                  <c:pt idx="1005">
                    <c:v>damian macetas</c:v>
                  </c:pt>
                  <c:pt idx="1006">
                    <c:v>damian macetas</c:v>
                  </c:pt>
                  <c:pt idx="1007">
                    <c:v>damian macetas</c:v>
                  </c:pt>
                  <c:pt idx="1008">
                    <c:v>damian macetas</c:v>
                  </c:pt>
                  <c:pt idx="1009">
                    <c:v>damian macetas</c:v>
                  </c:pt>
                  <c:pt idx="1010">
                    <c:v>damian macetas</c:v>
                  </c:pt>
                  <c:pt idx="1011">
                    <c:v>damian macetas</c:v>
                  </c:pt>
                  <c:pt idx="1012">
                    <c:v>maestro</c:v>
                  </c:pt>
                  <c:pt idx="1013">
                    <c:v>damian macetas</c:v>
                  </c:pt>
                  <c:pt idx="1014">
                    <c:v>damian macetas</c:v>
                  </c:pt>
                  <c:pt idx="1015">
                    <c:v>damian macetas</c:v>
                  </c:pt>
                  <c:pt idx="1016">
                    <c:v>damian macetas</c:v>
                  </c:pt>
                  <c:pt idx="1017">
                    <c:v>damian macetas</c:v>
                  </c:pt>
                  <c:pt idx="1018">
                    <c:v>damian macetas</c:v>
                  </c:pt>
                  <c:pt idx="1019">
                    <c:v>damian macetas</c:v>
                  </c:pt>
                  <c:pt idx="1020">
                    <c:v>damian macetas</c:v>
                  </c:pt>
                  <c:pt idx="1021">
                    <c:v>damian macetas</c:v>
                  </c:pt>
                  <c:pt idx="1022">
                    <c:v>damian macetas</c:v>
                  </c:pt>
                  <c:pt idx="1023">
                    <c:v>damian macetas</c:v>
                  </c:pt>
                  <c:pt idx="1024">
                    <c:v>damian macetas</c:v>
                  </c:pt>
                  <c:pt idx="1025">
                    <c:v>ds</c:v>
                  </c:pt>
                  <c:pt idx="1026">
                    <c:v>damian macetas</c:v>
                  </c:pt>
                  <c:pt idx="1027">
                    <c:v>damian macetas</c:v>
                  </c:pt>
                  <c:pt idx="1028">
                    <c:v>damian macetas</c:v>
                  </c:pt>
                  <c:pt idx="1029">
                    <c:v>damian macetas</c:v>
                  </c:pt>
                  <c:pt idx="1030">
                    <c:v>damian macetas</c:v>
                  </c:pt>
                  <c:pt idx="1031">
                    <c:v>damian macetas</c:v>
                  </c:pt>
                  <c:pt idx="1032">
                    <c:v>damian macetas</c:v>
                  </c:pt>
                  <c:pt idx="1033">
                    <c:v>alvarez</c:v>
                  </c:pt>
                  <c:pt idx="1034">
                    <c:v>alvarez</c:v>
                  </c:pt>
                  <c:pt idx="1035">
                    <c:v>alvarez</c:v>
                  </c:pt>
                  <c:pt idx="1036">
                    <c:v>damian macetas</c:v>
                  </c:pt>
                  <c:pt idx="1037">
                    <c:v>damian macetas</c:v>
                  </c:pt>
                  <c:pt idx="1038">
                    <c:v>damian macetas</c:v>
                  </c:pt>
                  <c:pt idx="1039">
                    <c:v>damian macetas</c:v>
                  </c:pt>
                  <c:pt idx="1040">
                    <c:v>damian macetas</c:v>
                  </c:pt>
                  <c:pt idx="1041">
                    <c:v>damian macetas</c:v>
                  </c:pt>
                  <c:pt idx="1042">
                    <c:v>damian macetas</c:v>
                  </c:pt>
                  <c:pt idx="1043">
                    <c:v>damian macetas</c:v>
                  </c:pt>
                  <c:pt idx="1044">
                    <c:v>damian macetas</c:v>
                  </c:pt>
                  <c:pt idx="1045">
                    <c:v>damian macetas</c:v>
                  </c:pt>
                  <c:pt idx="1046">
                    <c:v>damian macetas</c:v>
                  </c:pt>
                  <c:pt idx="1047">
                    <c:v>damian macetas</c:v>
                  </c:pt>
                  <c:pt idx="1048">
                    <c:v>damian macetas</c:v>
                  </c:pt>
                  <c:pt idx="1049">
                    <c:v>damian macetas</c:v>
                  </c:pt>
                  <c:pt idx="1050">
                    <c:v>alvarez</c:v>
                  </c:pt>
                  <c:pt idx="1051">
                    <c:v>alvarez</c:v>
                  </c:pt>
                  <c:pt idx="1052">
                    <c:v>damian macetas</c:v>
                  </c:pt>
                  <c:pt idx="1053">
                    <c:v>casino</c:v>
                  </c:pt>
                  <c:pt idx="1054">
                    <c:v>alvarez</c:v>
                  </c:pt>
                  <c:pt idx="1055">
                    <c:v>alvarez</c:v>
                  </c:pt>
                  <c:pt idx="1056">
                    <c:v>alvarez</c:v>
                  </c:pt>
                  <c:pt idx="1057">
                    <c:v>grispix</c:v>
                  </c:pt>
                  <c:pt idx="1058">
                    <c:v>grispix</c:v>
                  </c:pt>
                  <c:pt idx="1059">
                    <c:v>grispix</c:v>
                  </c:pt>
                  <c:pt idx="1060">
                    <c:v>grispix</c:v>
                  </c:pt>
                  <c:pt idx="1061">
                    <c:v>grispix</c:v>
                  </c:pt>
                  <c:pt idx="1062">
                    <c:v>grispix</c:v>
                  </c:pt>
                  <c:pt idx="1063">
                    <c:v>damian macetas</c:v>
                  </c:pt>
                  <c:pt idx="1064">
                    <c:v>damian macetas</c:v>
                  </c:pt>
                  <c:pt idx="1065">
                    <c:v>grispix</c:v>
                  </c:pt>
                  <c:pt idx="1066">
                    <c:v>grispix</c:v>
                  </c:pt>
                  <c:pt idx="1067">
                    <c:v>diego</c:v>
                  </c:pt>
                  <c:pt idx="1068">
                    <c:v>damian macetas</c:v>
                  </c:pt>
                  <c:pt idx="1069">
                    <c:v>plastolit</c:v>
                  </c:pt>
                  <c:pt idx="1070">
                    <c:v>plastolit</c:v>
                  </c:pt>
                  <c:pt idx="1071">
                    <c:v>grispix</c:v>
                  </c:pt>
                  <c:pt idx="1072">
                    <c:v>damian macetas</c:v>
                  </c:pt>
                  <c:pt idx="1073">
                    <c:v>damian macetas</c:v>
                  </c:pt>
                  <c:pt idx="1074">
                    <c:v>damian macetas</c:v>
                  </c:pt>
                  <c:pt idx="1075">
                    <c:v>damian macetas</c:v>
                  </c:pt>
                  <c:pt idx="1076">
                    <c:v>damian macetas</c:v>
                  </c:pt>
                  <c:pt idx="1077">
                    <c:v>damian macetas</c:v>
                  </c:pt>
                  <c:pt idx="1078">
                    <c:v>grispix</c:v>
                  </c:pt>
                  <c:pt idx="1079">
                    <c:v>grispix</c:v>
                  </c:pt>
                  <c:pt idx="1080">
                    <c:v>damian macetas</c:v>
                  </c:pt>
                  <c:pt idx="1081">
                    <c:v>damian macetas</c:v>
                  </c:pt>
                  <c:pt idx="1082">
                    <c:v>damian macetas</c:v>
                  </c:pt>
                  <c:pt idx="1083">
                    <c:v>damian macetas</c:v>
                  </c:pt>
                  <c:pt idx="1084">
                    <c:v>damian macetas</c:v>
                  </c:pt>
                  <c:pt idx="1085">
                    <c:v>alvarez</c:v>
                  </c:pt>
                  <c:pt idx="1086">
                    <c:v>alvarez</c:v>
                  </c:pt>
                  <c:pt idx="1087">
                    <c:v>damian macetas</c:v>
                  </c:pt>
                  <c:pt idx="1088">
                    <c:v>damian macetas</c:v>
                  </c:pt>
                  <c:pt idx="1089">
                    <c:v>damian macetas</c:v>
                  </c:pt>
                  <c:pt idx="1090">
                    <c:v>damian macetas</c:v>
                  </c:pt>
                  <c:pt idx="1091">
                    <c:v>damian macetas</c:v>
                  </c:pt>
                  <c:pt idx="1092">
                    <c:v>damian macetas</c:v>
                  </c:pt>
                  <c:pt idx="1093">
                    <c:v>damian macetas</c:v>
                  </c:pt>
                  <c:pt idx="1094">
                    <c:v>damian macetas</c:v>
                  </c:pt>
                  <c:pt idx="1095">
                    <c:v>alvarez</c:v>
                  </c:pt>
                  <c:pt idx="1096">
                    <c:v>damian macetas</c:v>
                  </c:pt>
                  <c:pt idx="1097">
                    <c:v>damian macetas</c:v>
                  </c:pt>
                  <c:pt idx="1098">
                    <c:v>damian macetas</c:v>
                  </c:pt>
                  <c:pt idx="1099">
                    <c:v>damian macetas</c:v>
                  </c:pt>
                  <c:pt idx="1100">
                    <c:v>grspix</c:v>
                  </c:pt>
                  <c:pt idx="1101">
                    <c:v>grispix</c:v>
                  </c:pt>
                  <c:pt idx="1102">
                    <c:v>grispix</c:v>
                  </c:pt>
                  <c:pt idx="1103">
                    <c:v>grispix</c:v>
                  </c:pt>
                  <c:pt idx="1104">
                    <c:v>damian macetas</c:v>
                  </c:pt>
                  <c:pt idx="1105">
                    <c:v>damian macetas</c:v>
                  </c:pt>
                  <c:pt idx="1106">
                    <c:v>damian macetas</c:v>
                  </c:pt>
                  <c:pt idx="1107">
                    <c:v>damian macetas</c:v>
                  </c:pt>
                  <c:pt idx="1108">
                    <c:v>diego</c:v>
                  </c:pt>
                  <c:pt idx="1109">
                    <c:v>damian macetas</c:v>
                  </c:pt>
                  <c:pt idx="1110">
                    <c:v>damian macetas</c:v>
                  </c:pt>
                  <c:pt idx="1111">
                    <c:v>damian macetas</c:v>
                  </c:pt>
                  <c:pt idx="1112">
                    <c:v>damian macetas</c:v>
                  </c:pt>
                  <c:pt idx="1113">
                    <c:v>damian macetas</c:v>
                  </c:pt>
                  <c:pt idx="1114">
                    <c:v>damian macetas</c:v>
                  </c:pt>
                  <c:pt idx="1115">
                    <c:v>beltrame</c:v>
                  </c:pt>
                  <c:pt idx="1116">
                    <c:v>damian macetas</c:v>
                  </c:pt>
                  <c:pt idx="1117">
                    <c:v>damian macetas</c:v>
                  </c:pt>
                  <c:pt idx="1118">
                    <c:v>damian macetas</c:v>
                  </c:pt>
                  <c:pt idx="1119">
                    <c:v>damian macetas</c:v>
                  </c:pt>
                  <c:pt idx="1120">
                    <c:v>damian macetas</c:v>
                  </c:pt>
                  <c:pt idx="1121">
                    <c:v>damian macetas</c:v>
                  </c:pt>
                  <c:pt idx="1122">
                    <c:v>damian macetas</c:v>
                  </c:pt>
                  <c:pt idx="1123">
                    <c:v>damian macetas</c:v>
                  </c:pt>
                  <c:pt idx="1124">
                    <c:v>damian macetas</c:v>
                  </c:pt>
                  <c:pt idx="1125">
                    <c:v>damian macetas</c:v>
                  </c:pt>
                  <c:pt idx="1126">
                    <c:v>damian macetas</c:v>
                  </c:pt>
                  <c:pt idx="1127">
                    <c:v>damian macetas</c:v>
                  </c:pt>
                  <c:pt idx="1128">
                    <c:v>damian macetas</c:v>
                  </c:pt>
                  <c:pt idx="1129">
                    <c:v>damian macetas</c:v>
                  </c:pt>
                  <c:pt idx="1130">
                    <c:v>damian macetas</c:v>
                  </c:pt>
                  <c:pt idx="1131">
                    <c:v>damian macetas</c:v>
                  </c:pt>
                  <c:pt idx="1132">
                    <c:v>damian macetas</c:v>
                  </c:pt>
                  <c:pt idx="1133">
                    <c:v>damian macetas</c:v>
                  </c:pt>
                  <c:pt idx="1134">
                    <c:v>damian macetas</c:v>
                  </c:pt>
                  <c:pt idx="1135">
                    <c:v>damian macetas</c:v>
                  </c:pt>
                  <c:pt idx="1136">
                    <c:v>damian macetas</c:v>
                  </c:pt>
                  <c:pt idx="1137">
                    <c:v>damian macetas</c:v>
                  </c:pt>
                  <c:pt idx="1138">
                    <c:v>damian macetas</c:v>
                  </c:pt>
                  <c:pt idx="1139">
                    <c:v>damian macetas</c:v>
                  </c:pt>
                  <c:pt idx="1140">
                    <c:v>damian macetas</c:v>
                  </c:pt>
                  <c:pt idx="1141">
                    <c:v>damian macetas</c:v>
                  </c:pt>
                  <c:pt idx="1142">
                    <c:v>damian macetas</c:v>
                  </c:pt>
                  <c:pt idx="1143">
                    <c:v>damian macetas</c:v>
                  </c:pt>
                  <c:pt idx="1144">
                    <c:v>alvarez</c:v>
                  </c:pt>
                  <c:pt idx="1145">
                    <c:v>damian macetas</c:v>
                  </c:pt>
                  <c:pt idx="1146">
                    <c:v>alvarez</c:v>
                  </c:pt>
                  <c:pt idx="1147">
                    <c:v>damian macetas</c:v>
                  </c:pt>
                  <c:pt idx="1148">
                    <c:v>grispix</c:v>
                  </c:pt>
                  <c:pt idx="1149">
                    <c:v>grispix</c:v>
                  </c:pt>
                  <c:pt idx="1150">
                    <c:v>damian macetas</c:v>
                  </c:pt>
                  <c:pt idx="1151">
                    <c:v>damian macetas</c:v>
                  </c:pt>
                  <c:pt idx="1152">
                    <c:v>grispix</c:v>
                  </c:pt>
                  <c:pt idx="1153">
                    <c:v>grispix</c:v>
                  </c:pt>
                  <c:pt idx="1154">
                    <c:v>grispix</c:v>
                  </c:pt>
                  <c:pt idx="1155">
                    <c:v>damian macetas</c:v>
                  </c:pt>
                  <c:pt idx="1156">
                    <c:v>damian macetas</c:v>
                  </c:pt>
                  <c:pt idx="1157">
                    <c:v>damian macetas</c:v>
                  </c:pt>
                  <c:pt idx="1158">
                    <c:v>damian macetas</c:v>
                  </c:pt>
                  <c:pt idx="1159">
                    <c:v>damian macetas</c:v>
                  </c:pt>
                  <c:pt idx="1160">
                    <c:v>grispix</c:v>
                  </c:pt>
                  <c:pt idx="1161">
                    <c:v>grispix</c:v>
                  </c:pt>
                  <c:pt idx="1162">
                    <c:v>damian macetas</c:v>
                  </c:pt>
                  <c:pt idx="1163">
                    <c:v>grispix</c:v>
                  </c:pt>
                  <c:pt idx="1164">
                    <c:v>damian macetas</c:v>
                  </c:pt>
                  <c:pt idx="1165">
                    <c:v>damian macetas</c:v>
                  </c:pt>
                  <c:pt idx="1166">
                    <c:v>damian macetas</c:v>
                  </c:pt>
                  <c:pt idx="1167">
                    <c:v>damian macetas</c:v>
                  </c:pt>
                  <c:pt idx="1168">
                    <c:v>damian macetas</c:v>
                  </c:pt>
                  <c:pt idx="1169">
                    <c:v>damian macetas</c:v>
                  </c:pt>
                  <c:pt idx="1170">
                    <c:v>damian macetas</c:v>
                  </c:pt>
                  <c:pt idx="1171">
                    <c:v>damian macetas</c:v>
                  </c:pt>
                  <c:pt idx="1172">
                    <c:v>damian macetas</c:v>
                  </c:pt>
                  <c:pt idx="1173">
                    <c:v>damian macetas</c:v>
                  </c:pt>
                  <c:pt idx="1174">
                    <c:v>damian macetas</c:v>
                  </c:pt>
                  <c:pt idx="1175">
                    <c:v>damian macetas</c:v>
                  </c:pt>
                  <c:pt idx="1176">
                    <c:v>damian macetas</c:v>
                  </c:pt>
                  <c:pt idx="1177">
                    <c:v>damian macetas</c:v>
                  </c:pt>
                  <c:pt idx="1178">
                    <c:v>damian macetas</c:v>
                  </c:pt>
                  <c:pt idx="1179">
                    <c:v>damian macetas</c:v>
                  </c:pt>
                  <c:pt idx="1180">
                    <c:v>damian macetas</c:v>
                  </c:pt>
                  <c:pt idx="1181">
                    <c:v>damian macetas</c:v>
                  </c:pt>
                  <c:pt idx="1182">
                    <c:v>damian macetas</c:v>
                  </c:pt>
                  <c:pt idx="1183">
                    <c:v>damian macetas</c:v>
                  </c:pt>
                  <c:pt idx="1184">
                    <c:v>damian macetas</c:v>
                  </c:pt>
                  <c:pt idx="1185">
                    <c:v>damian macetas</c:v>
                  </c:pt>
                  <c:pt idx="1186">
                    <c:v>damian macetas</c:v>
                  </c:pt>
                  <c:pt idx="1187">
                    <c:v>grispix</c:v>
                  </c:pt>
                  <c:pt idx="1188">
                    <c:v>grispix</c:v>
                  </c:pt>
                  <c:pt idx="1189">
                    <c:v>grispix</c:v>
                  </c:pt>
                  <c:pt idx="1190">
                    <c:v>grispix</c:v>
                  </c:pt>
                  <c:pt idx="1191">
                    <c:v>grispix</c:v>
                  </c:pt>
                  <c:pt idx="1192">
                    <c:v>grispix</c:v>
                  </c:pt>
                  <c:pt idx="1193">
                    <c:v>grispix</c:v>
                  </c:pt>
                  <c:pt idx="1194">
                    <c:v>grispix</c:v>
                  </c:pt>
                  <c:pt idx="1195">
                    <c:v>grispix</c:v>
                  </c:pt>
                  <c:pt idx="1196">
                    <c:v>grispix</c:v>
                  </c:pt>
                  <c:pt idx="1197">
                    <c:v>damian macetas</c:v>
                  </c:pt>
                  <c:pt idx="1198">
                    <c:v>alvarez</c:v>
                  </c:pt>
                  <c:pt idx="1199">
                    <c:v>damian macetas</c:v>
                  </c:pt>
                  <c:pt idx="1200">
                    <c:v>damian macetas</c:v>
                  </c:pt>
                  <c:pt idx="1201">
                    <c:v>damian macetas</c:v>
                  </c:pt>
                  <c:pt idx="1202">
                    <c:v>damian macetas</c:v>
                  </c:pt>
                  <c:pt idx="1203">
                    <c:v>damian macetas</c:v>
                  </c:pt>
                  <c:pt idx="1204">
                    <c:v>damian macetas</c:v>
                  </c:pt>
                  <c:pt idx="1205">
                    <c:v>damian macetas</c:v>
                  </c:pt>
                  <c:pt idx="1206">
                    <c:v>damian macetas</c:v>
                  </c:pt>
                  <c:pt idx="1207">
                    <c:v>damian macetas</c:v>
                  </c:pt>
                  <c:pt idx="1208">
                    <c:v>damian macetas</c:v>
                  </c:pt>
                  <c:pt idx="1209">
                    <c:v>grispix</c:v>
                  </c:pt>
                  <c:pt idx="1210">
                    <c:v>damian macetas</c:v>
                  </c:pt>
                  <c:pt idx="1211">
                    <c:v>damian macetas</c:v>
                  </c:pt>
                  <c:pt idx="1212">
                    <c:v>damian macetas</c:v>
                  </c:pt>
                  <c:pt idx="1213">
                    <c:v>grispix</c:v>
                  </c:pt>
                  <c:pt idx="1214">
                    <c:v>grispix</c:v>
                  </c:pt>
                  <c:pt idx="1215">
                    <c:v>damian macetas</c:v>
                  </c:pt>
                  <c:pt idx="1216">
                    <c:v>damian macetas</c:v>
                  </c:pt>
                  <c:pt idx="1217">
                    <c:v>damian macetas</c:v>
                  </c:pt>
                  <c:pt idx="1218">
                    <c:v>beltrame</c:v>
                  </c:pt>
                  <c:pt idx="1219">
                    <c:v>beltrame</c:v>
                  </c:pt>
                  <c:pt idx="1220">
                    <c:v>beltrame</c:v>
                  </c:pt>
                  <c:pt idx="1221">
                    <c:v>beltrame</c:v>
                  </c:pt>
                  <c:pt idx="1222">
                    <c:v>beltrame</c:v>
                  </c:pt>
                  <c:pt idx="1223">
                    <c:v>grispix</c:v>
                  </c:pt>
                  <c:pt idx="1224">
                    <c:v>grispix</c:v>
                  </c:pt>
                  <c:pt idx="1225">
                    <c:v>grispix</c:v>
                  </c:pt>
                  <c:pt idx="1226">
                    <c:v>grispix</c:v>
                  </c:pt>
                  <c:pt idx="1227">
                    <c:v>grispix</c:v>
                  </c:pt>
                  <c:pt idx="1228">
                    <c:v>grispix</c:v>
                  </c:pt>
                  <c:pt idx="1229">
                    <c:v>grispix</c:v>
                  </c:pt>
                  <c:pt idx="1230">
                    <c:v>grispix</c:v>
                  </c:pt>
                  <c:pt idx="1231">
                    <c:v>grispix</c:v>
                  </c:pt>
                  <c:pt idx="1232">
                    <c:v>grispix</c:v>
                  </c:pt>
                  <c:pt idx="1233">
                    <c:v>grispix</c:v>
                  </c:pt>
                  <c:pt idx="1234">
                    <c:v>damian macetas</c:v>
                  </c:pt>
                  <c:pt idx="1235">
                    <c:v>damian macetas</c:v>
                  </c:pt>
                  <c:pt idx="1236">
                    <c:v>damian macetas</c:v>
                  </c:pt>
                  <c:pt idx="1237">
                    <c:v>damian macetas</c:v>
                  </c:pt>
                  <c:pt idx="1238">
                    <c:v>damian macetas</c:v>
                  </c:pt>
                  <c:pt idx="1239">
                    <c:v>damian macetas</c:v>
                  </c:pt>
                  <c:pt idx="1240">
                    <c:v>damian macetas</c:v>
                  </c:pt>
                  <c:pt idx="1241">
                    <c:v>damian macetas</c:v>
                  </c:pt>
                  <c:pt idx="1242">
                    <c:v>damian macetas</c:v>
                  </c:pt>
                  <c:pt idx="1243">
                    <c:v>damian macetas</c:v>
                  </c:pt>
                  <c:pt idx="1244">
                    <c:v>damian macetas</c:v>
                  </c:pt>
                  <c:pt idx="1245">
                    <c:v>diego</c:v>
                  </c:pt>
                  <c:pt idx="1246">
                    <c:v>damian macetas</c:v>
                  </c:pt>
                  <c:pt idx="1247">
                    <c:v>damian macetas</c:v>
                  </c:pt>
                  <c:pt idx="1249">
                    <c:v>maestro</c:v>
                  </c:pt>
                  <c:pt idx="1250">
                    <c:v>maestro</c:v>
                  </c:pt>
                  <c:pt idx="1251">
                    <c:v>casino</c:v>
                  </c:pt>
                  <c:pt idx="1252">
                    <c:v>maestro</c:v>
                  </c:pt>
                  <c:pt idx="1253">
                    <c:v>grispix</c:v>
                  </c:pt>
                  <c:pt idx="1254">
                    <c:v>diego</c:v>
                  </c:pt>
                  <c:pt idx="1255">
                    <c:v>insumos cultivador</c:v>
                  </c:pt>
                  <c:pt idx="1256">
                    <c:v>insumos cultivador</c:v>
                  </c:pt>
                  <c:pt idx="1257">
                    <c:v>insumos cultivador</c:v>
                  </c:pt>
                  <c:pt idx="1258">
                    <c:v>insumos cultivador</c:v>
                  </c:pt>
                  <c:pt idx="1259">
                    <c:v>insumos cultivador</c:v>
                  </c:pt>
                  <c:pt idx="1260">
                    <c:v>insumos cultivador</c:v>
                  </c:pt>
                  <c:pt idx="1261">
                    <c:v>grispix</c:v>
                  </c:pt>
                  <c:pt idx="1262">
                    <c:v>grispix</c:v>
                  </c:pt>
                  <c:pt idx="1263">
                    <c:v>grispix</c:v>
                  </c:pt>
                  <c:pt idx="1264">
                    <c:v>damian macetas</c:v>
                  </c:pt>
                  <c:pt idx="1265">
                    <c:v>damian macetas</c:v>
                  </c:pt>
                  <c:pt idx="1266">
                    <c:v>damian macetas</c:v>
                  </c:pt>
                  <c:pt idx="1267">
                    <c:v>damian macetas</c:v>
                  </c:pt>
                  <c:pt idx="1268">
                    <c:v>damian macetas</c:v>
                  </c:pt>
                  <c:pt idx="1269">
                    <c:v>damian macetas</c:v>
                  </c:pt>
                  <c:pt idx="1270">
                    <c:v>damian macetas</c:v>
                  </c:pt>
                  <c:pt idx="1271">
                    <c:v>damian macetas</c:v>
                  </c:pt>
                  <c:pt idx="1272">
                    <c:v>damian macetas</c:v>
                  </c:pt>
                  <c:pt idx="1273">
                    <c:v>damian macetas</c:v>
                  </c:pt>
                  <c:pt idx="1274">
                    <c:v>damian macetas</c:v>
                  </c:pt>
                  <c:pt idx="1275">
                    <c:v>damian macetas</c:v>
                  </c:pt>
                  <c:pt idx="1276">
                    <c:v>                                      ,              </c:v>
                  </c:pt>
                  <c:pt idx="1277">
                    <c:v>damian macetas</c:v>
                  </c:pt>
                  <c:pt idx="1278">
                    <c:v>grispix</c:v>
                  </c:pt>
                  <c:pt idx="1279">
                    <c:v>grispix</c:v>
                  </c:pt>
                  <c:pt idx="1280">
                    <c:v>grispix</c:v>
                  </c:pt>
                  <c:pt idx="1281">
                    <c:v>grispix</c:v>
                  </c:pt>
                  <c:pt idx="1282">
                    <c:v>grispix</c:v>
                  </c:pt>
                  <c:pt idx="1283">
                    <c:v>grispix</c:v>
                  </c:pt>
                  <c:pt idx="1284">
                    <c:v>plastolit</c:v>
                  </c:pt>
                  <c:pt idx="1285">
                    <c:v>plastolit</c:v>
                  </c:pt>
                  <c:pt idx="1286">
                    <c:v>plastolit</c:v>
                  </c:pt>
                  <c:pt idx="1287">
                    <c:v>plastolit</c:v>
                  </c:pt>
                  <c:pt idx="1288">
                    <c:v>damian macetas</c:v>
                  </c:pt>
                  <c:pt idx="1289">
                    <c:v>damian macetas</c:v>
                  </c:pt>
                  <c:pt idx="1290">
                    <c:v>mercoplant</c:v>
                  </c:pt>
                  <c:pt idx="1291">
                    <c:v>mercoplant</c:v>
                  </c:pt>
                  <c:pt idx="1292">
                    <c:v>damian macetas</c:v>
                  </c:pt>
                  <c:pt idx="1293">
                    <c:v>damian macetas1,22</c:v>
                  </c:pt>
                  <c:pt idx="1294">
                    <c:v>damian macetas</c:v>
                  </c:pt>
                  <c:pt idx="1295">
                    <c:v>damian macetas</c:v>
                  </c:pt>
                  <c:pt idx="1296">
                    <c:v>damian macetas</c:v>
                  </c:pt>
                  <c:pt idx="1297">
                    <c:v>damian macetas</c:v>
                  </c:pt>
                  <c:pt idx="1298">
                    <c:v>damian macetas</c:v>
                  </c:pt>
                  <c:pt idx="1299">
                    <c:v>damian macetas</c:v>
                  </c:pt>
                  <c:pt idx="1300">
                    <c:v>damian macetas</c:v>
                  </c:pt>
                  <c:pt idx="1301">
                    <c:v>damian macetas</c:v>
                  </c:pt>
                  <c:pt idx="1302">
                    <c:v>rial</c:v>
                  </c:pt>
                  <c:pt idx="1303">
                    <c:v>rial</c:v>
                  </c:pt>
                  <c:pt idx="1304">
                    <c:v>rial</c:v>
                  </c:pt>
                  <c:pt idx="1305">
                    <c:v>rial</c:v>
                  </c:pt>
                  <c:pt idx="1306">
                    <c:v>rial</c:v>
                  </c:pt>
                  <c:pt idx="1307">
                    <c:v>rial</c:v>
                  </c:pt>
                  <c:pt idx="1308">
                    <c:v>rial</c:v>
                  </c:pt>
                  <c:pt idx="1309">
                    <c:v>rial</c:v>
                  </c:pt>
                  <c:pt idx="1310">
                    <c:v>rial</c:v>
                  </c:pt>
                  <c:pt idx="1311">
                    <c:v>rial</c:v>
                  </c:pt>
                  <c:pt idx="1312">
                    <c:v>rial</c:v>
                  </c:pt>
                  <c:pt idx="1313">
                    <c:v>rial</c:v>
                  </c:pt>
                  <c:pt idx="1314">
                    <c:v>rial</c:v>
                  </c:pt>
                  <c:pt idx="1315">
                    <c:v>damian macetas</c:v>
                  </c:pt>
                  <c:pt idx="1316">
                    <c:v>damian macetas</c:v>
                  </c:pt>
                  <c:pt idx="1317">
                    <c:v>damian macetas</c:v>
                  </c:pt>
                  <c:pt idx="1318">
                    <c:v>damian macetas</c:v>
                  </c:pt>
                  <c:pt idx="1319">
                    <c:v>damian macetas</c:v>
                  </c:pt>
                  <c:pt idx="1320">
                    <c:v>damian macetas</c:v>
                  </c:pt>
                  <c:pt idx="1321">
                    <c:v>damian macetas</c:v>
                  </c:pt>
                  <c:pt idx="1322">
                    <c:v>damian macetas</c:v>
                  </c:pt>
                  <c:pt idx="1323">
                    <c:v>damian macetas</c:v>
                  </c:pt>
                  <c:pt idx="1324">
                    <c:v>damian macetas</c:v>
                  </c:pt>
                  <c:pt idx="1325">
                    <c:v>damian macetas</c:v>
                  </c:pt>
                  <c:pt idx="1326">
                    <c:v>damian macetas</c:v>
                  </c:pt>
                  <c:pt idx="1327">
                    <c:v>damian macetas</c:v>
                  </c:pt>
                  <c:pt idx="1328">
                    <c:v>damian macetas</c:v>
                  </c:pt>
                  <c:pt idx="1329">
                    <c:v>damian macetas</c:v>
                  </c:pt>
                  <c:pt idx="1330">
                    <c:v>damian macetas</c:v>
                  </c:pt>
                  <c:pt idx="1331">
                    <c:v>damian macetas</c:v>
                  </c:pt>
                  <c:pt idx="1332">
                    <c:v>damian macetas</c:v>
                  </c:pt>
                  <c:pt idx="1333">
                    <c:v>damian macetas</c:v>
                  </c:pt>
                  <c:pt idx="1334">
                    <c:v>damian macetas</c:v>
                  </c:pt>
                  <c:pt idx="1335">
                    <c:v>damian macetas</c:v>
                  </c:pt>
                  <c:pt idx="1336">
                    <c:v>damian macetas</c:v>
                  </c:pt>
                  <c:pt idx="1337">
                    <c:v>damian macetas</c:v>
                  </c:pt>
                  <c:pt idx="1338">
                    <c:v>damian macetas</c:v>
                  </c:pt>
                  <c:pt idx="1339">
                    <c:v>damian macetas</c:v>
                  </c:pt>
                  <c:pt idx="1340">
                    <c:v>damian macetas</c:v>
                  </c:pt>
                  <c:pt idx="1341">
                    <c:v>damian macetas</c:v>
                  </c:pt>
                  <c:pt idx="1342">
                    <c:v>casa cristina</c:v>
                  </c:pt>
                  <c:pt idx="1343">
                    <c:v>damian macetas</c:v>
                  </c:pt>
                  <c:pt idx="1344">
                    <c:v>damian macetas</c:v>
                  </c:pt>
                  <c:pt idx="1345">
                    <c:v>damian macetas</c:v>
                  </c:pt>
                  <c:pt idx="1346">
                    <c:v>damian macetas</c:v>
                  </c:pt>
                  <c:pt idx="1347">
                    <c:v>damian macetas</c:v>
                  </c:pt>
                  <c:pt idx="1348">
                    <c:v>damian macetas</c:v>
                  </c:pt>
                  <c:pt idx="1349">
                    <c:v>damian macetas</c:v>
                  </c:pt>
                  <c:pt idx="1350">
                    <c:v>damian macetas</c:v>
                  </c:pt>
                  <c:pt idx="1351">
                    <c:v>damian macetas</c:v>
                  </c:pt>
                  <c:pt idx="1352">
                    <c:v>damian macetas</c:v>
                  </c:pt>
                  <c:pt idx="1353">
                    <c:v>damian macetas</c:v>
                  </c:pt>
                  <c:pt idx="1354">
                    <c:v>damian macetas</c:v>
                  </c:pt>
                  <c:pt idx="1355">
                    <c:v>damian macetas</c:v>
                  </c:pt>
                  <c:pt idx="1356">
                    <c:v>damian macetas</c:v>
                  </c:pt>
                  <c:pt idx="1357">
                    <c:v>damian macetas</c:v>
                  </c:pt>
                  <c:pt idx="1358">
                    <c:v>damian macetas</c:v>
                  </c:pt>
                  <c:pt idx="1359">
                    <c:v>alvarez</c:v>
                  </c:pt>
                  <c:pt idx="1360">
                    <c:v>damian macetas</c:v>
                  </c:pt>
                  <c:pt idx="1361">
                    <c:v>damian macetas</c:v>
                  </c:pt>
                  <c:pt idx="1362">
                    <c:v>damian macetas</c:v>
                  </c:pt>
                  <c:pt idx="1363">
                    <c:v>damian macetas</c:v>
                  </c:pt>
                  <c:pt idx="1364">
                    <c:v>damian macetas</c:v>
                  </c:pt>
                  <c:pt idx="1365">
                    <c:v>damian macetas</c:v>
                  </c:pt>
                  <c:pt idx="1366">
                    <c:v>damian macetas</c:v>
                  </c:pt>
                  <c:pt idx="1367">
                    <c:v>damian macetas</c:v>
                  </c:pt>
                  <c:pt idx="1368">
                    <c:v>damian macetas</c:v>
                  </c:pt>
                  <c:pt idx="1369">
                    <c:v>damian macetas</c:v>
                  </c:pt>
                  <c:pt idx="1370">
                    <c:v>damian macetas</c:v>
                  </c:pt>
                  <c:pt idx="1371">
                    <c:v>damian macetas</c:v>
                  </c:pt>
                  <c:pt idx="1372">
                    <c:v>damian macetas</c:v>
                  </c:pt>
                  <c:pt idx="1373">
                    <c:v>damian macetas</c:v>
                  </c:pt>
                  <c:pt idx="1374">
                    <c:v>mercoplant</c:v>
                  </c:pt>
                  <c:pt idx="1375">
                    <c:v>grispix</c:v>
                  </c:pt>
                  <c:pt idx="1376">
                    <c:v>alvarez</c:v>
                  </c:pt>
                  <c:pt idx="1377">
                    <c:v>alvarez</c:v>
                  </c:pt>
                  <c:pt idx="1378">
                    <c:v>alvarez</c:v>
                  </c:pt>
                  <c:pt idx="1379">
                    <c:v>grispix</c:v>
                  </c:pt>
                  <c:pt idx="1380">
                    <c:v>damian macetas</c:v>
                  </c:pt>
                  <c:pt idx="1381">
                    <c:v>damian macetas</c:v>
                  </c:pt>
                  <c:pt idx="1382">
                    <c:v>damian macetas</c:v>
                  </c:pt>
                  <c:pt idx="1383">
                    <c:v>damian macetas</c:v>
                  </c:pt>
                  <c:pt idx="1384">
                    <c:v>damian macetas</c:v>
                  </c:pt>
                  <c:pt idx="1385">
                    <c:v>damian macetas</c:v>
                  </c:pt>
                  <c:pt idx="1386">
                    <c:v>alvarez</c:v>
                  </c:pt>
                  <c:pt idx="1388">
                    <c:v>damian macetas</c:v>
                  </c:pt>
                  <c:pt idx="1389">
                    <c:v>damian macetas</c:v>
                  </c:pt>
                  <c:pt idx="1390">
                    <c:v>damian macetas</c:v>
                  </c:pt>
                  <c:pt idx="1391">
                    <c:v>damian macetas</c:v>
                  </c:pt>
                  <c:pt idx="1392">
                    <c:v>damian macetas</c:v>
                  </c:pt>
                  <c:pt idx="1393">
                    <c:v>damian macetas</c:v>
                  </c:pt>
                  <c:pt idx="1394">
                    <c:v>alvarez</c:v>
                  </c:pt>
                  <c:pt idx="1395">
                    <c:v>alvarez</c:v>
                  </c:pt>
                  <c:pt idx="1396">
                    <c:v>alvarez</c:v>
                  </c:pt>
                  <c:pt idx="1397">
                    <c:v>alvarez</c:v>
                  </c:pt>
                  <c:pt idx="1398">
                    <c:v>alvarez</c:v>
                  </c:pt>
                  <c:pt idx="1399">
                    <c:v>damian macetas</c:v>
                  </c:pt>
                  <c:pt idx="1400">
                    <c:v>damian macetas</c:v>
                  </c:pt>
                  <c:pt idx="1401">
                    <c:v>damian macetas</c:v>
                  </c:pt>
                  <c:pt idx="1402">
                    <c:v>alvarez</c:v>
                  </c:pt>
                  <c:pt idx="1403">
                    <c:v>grispix</c:v>
                  </c:pt>
                  <c:pt idx="1404">
                    <c:v>grispix</c:v>
                  </c:pt>
                  <c:pt idx="1405">
                    <c:v>damian macetas</c:v>
                  </c:pt>
                  <c:pt idx="1406">
                    <c:v>damian macetas</c:v>
                  </c:pt>
                  <c:pt idx="1407">
                    <c:v>damian macetas</c:v>
                  </c:pt>
                  <c:pt idx="1408">
                    <c:v>damian macetas</c:v>
                  </c:pt>
                  <c:pt idx="1409">
                    <c:v>damian macetas</c:v>
                  </c:pt>
                  <c:pt idx="1410">
                    <c:v>damian macetas</c:v>
                  </c:pt>
                  <c:pt idx="1411">
                    <c:v>damian macetas</c:v>
                  </c:pt>
                  <c:pt idx="1412">
                    <c:v>damian macetas</c:v>
                  </c:pt>
                  <c:pt idx="1413">
                    <c:v>damian macetas</c:v>
                  </c:pt>
                  <c:pt idx="1414">
                    <c:v>damian macetas</c:v>
                  </c:pt>
                  <c:pt idx="1415">
                    <c:v>damian macetas</c:v>
                  </c:pt>
                  <c:pt idx="1416">
                    <c:v>damian macetas</c:v>
                  </c:pt>
                  <c:pt idx="1417">
                    <c:v>damian macetas</c:v>
                  </c:pt>
                  <c:pt idx="1418">
                    <c:v>damian macetas</c:v>
                  </c:pt>
                  <c:pt idx="1419">
                    <c:v>alvarez</c:v>
                  </c:pt>
                  <c:pt idx="1420">
                    <c:v>alvarez</c:v>
                  </c:pt>
                  <c:pt idx="1421">
                    <c:v>alvarez</c:v>
                  </c:pt>
                  <c:pt idx="1422">
                    <c:v>alvarez</c:v>
                  </c:pt>
                  <c:pt idx="1423">
                    <c:v>alvarez</c:v>
                  </c:pt>
                  <c:pt idx="1424">
                    <c:v>alvarez</c:v>
                  </c:pt>
                  <c:pt idx="1425">
                    <c:v>alvarez</c:v>
                  </c:pt>
                  <c:pt idx="1426">
                    <c:v>alvarez</c:v>
                  </c:pt>
                  <c:pt idx="1427">
                    <c:v>alvarez</c:v>
                  </c:pt>
                  <c:pt idx="1428">
                    <c:v>alvarez</c:v>
                  </c:pt>
                  <c:pt idx="1429">
                    <c:v>alvarez</c:v>
                  </c:pt>
                  <c:pt idx="1430">
                    <c:v>damian macetas</c:v>
                  </c:pt>
                  <c:pt idx="1431">
                    <c:v>damian macetas</c:v>
                  </c:pt>
                  <c:pt idx="1432">
                    <c:v>damian macetas</c:v>
                  </c:pt>
                  <c:pt idx="1433">
                    <c:v>grispix</c:v>
                  </c:pt>
                  <c:pt idx="1434">
                    <c:v>grispix</c:v>
                  </c:pt>
                  <c:pt idx="1436">
                    <c:v>cousa</c:v>
                  </c:pt>
                  <c:pt idx="1437">
                    <c:v>cousa</c:v>
                  </c:pt>
                  <c:pt idx="1438">
                    <c:v>cousa</c:v>
                  </c:pt>
                  <c:pt idx="1439">
                    <c:v>cousa</c:v>
                  </c:pt>
                  <c:pt idx="1441">
                    <c:v>baldivia</c:v>
                  </c:pt>
                  <c:pt idx="1442">
                    <c:v>baldivia</c:v>
                  </c:pt>
                  <c:pt idx="1443">
                    <c:v>magric</c:v>
                  </c:pt>
                  <c:pt idx="1444">
                    <c:v>baldivia</c:v>
                  </c:pt>
                  <c:pt idx="1445">
                    <c:v>baldivia</c:v>
                  </c:pt>
                  <c:pt idx="1446">
                    <c:v>baldivia</c:v>
                  </c:pt>
                  <c:pt idx="1447">
                    <c:v>baldivia</c:v>
                  </c:pt>
                  <c:pt idx="1448">
                    <c:v>baldivia</c:v>
                  </c:pt>
                  <c:pt idx="1449">
                    <c:v>agraciada</c:v>
                  </c:pt>
                  <c:pt idx="1450">
                    <c:v>agropecuaria agraciada</c:v>
                  </c:pt>
                  <c:pt idx="1452">
                    <c:v>diego</c:v>
                  </c:pt>
                  <c:pt idx="1453">
                    <c:v>diego</c:v>
                  </c:pt>
                  <c:pt idx="1454">
                    <c:v>diego</c:v>
                  </c:pt>
                  <c:pt idx="1456">
                    <c:v>damian macetas</c:v>
                  </c:pt>
                  <c:pt idx="1458">
                    <c:v>diego</c:v>
                  </c:pt>
                  <c:pt idx="1459">
                    <c:v>damian macetas</c:v>
                  </c:pt>
                  <c:pt idx="1460">
                    <c:v>damian macetas</c:v>
                  </c:pt>
                  <c:pt idx="1463">
                    <c:v>maple vila</c:v>
                  </c:pt>
                  <c:pt idx="1464">
                    <c:v>maple vila</c:v>
                  </c:pt>
                  <c:pt idx="1465">
                    <c:v>diego</c:v>
                  </c:pt>
                  <c:pt idx="1466">
                    <c:v>damian macetas</c:v>
                  </c:pt>
                  <c:pt idx="1468">
                    <c:v>distribuidora del sol</c:v>
                  </c:pt>
                  <c:pt idx="1469">
                    <c:v>ATMA</c:v>
                  </c:pt>
                  <c:pt idx="1470">
                    <c:v>casino</c:v>
                  </c:pt>
                  <c:pt idx="1474">
                    <c:v>agroinsumos</c:v>
                  </c:pt>
                  <c:pt idx="1475">
                    <c:v>agroinsumos</c:v>
                  </c:pt>
                  <c:pt idx="1476">
                    <c:v>beltrame</c:v>
                  </c:pt>
                  <c:pt idx="1477">
                    <c:v>beltrame</c:v>
                  </c:pt>
                  <c:pt idx="1478">
                    <c:v>valagu</c:v>
                  </c:pt>
                  <c:pt idx="1479">
                    <c:v>agroinsumos</c:v>
                  </c:pt>
                  <c:pt idx="1481">
                    <c:v>damian macetas</c:v>
                  </c:pt>
                  <c:pt idx="1483">
                    <c:v>damian macetas</c:v>
                  </c:pt>
                  <c:pt idx="1484">
                    <c:v>diego</c:v>
                  </c:pt>
                  <c:pt idx="1485">
                    <c:v>rimart</c:v>
                  </c:pt>
                  <c:pt idx="1486">
                    <c:v>mayans</c:v>
                  </c:pt>
                  <c:pt idx="1487">
                    <c:v>mayans</c:v>
                  </c:pt>
                  <c:pt idx="1488">
                    <c:v>casa cristina</c:v>
                  </c:pt>
                  <c:pt idx="1490">
                    <c:v>casa cristina</c:v>
                  </c:pt>
                  <c:pt idx="1491">
                    <c:v>diego</c:v>
                  </c:pt>
                  <c:pt idx="1492">
                    <c:v>diego</c:v>
                  </c:pt>
                  <c:pt idx="1493">
                    <c:v>diego</c:v>
                  </c:pt>
                  <c:pt idx="1494">
                    <c:v>diego</c:v>
                  </c:pt>
                  <c:pt idx="1495">
                    <c:v>diego</c:v>
                  </c:pt>
                  <c:pt idx="1496">
                    <c:v>damian macetas</c:v>
                  </c:pt>
                  <c:pt idx="1499">
                    <c:v>MAYORPET</c:v>
                  </c:pt>
                  <c:pt idx="1500">
                    <c:v>MAYORPET</c:v>
                  </c:pt>
                  <c:pt idx="1501">
                    <c:v>MAYORPET</c:v>
                  </c:pt>
                  <c:pt idx="1502">
                    <c:v>MAYORPET</c:v>
                  </c:pt>
                  <c:pt idx="1503">
                    <c:v>bioterra</c:v>
                  </c:pt>
                  <c:pt idx="1505">
                    <c:v>yaques</c:v>
                  </c:pt>
                  <c:pt idx="1506">
                    <c:v>musaco</c:v>
                  </c:pt>
                  <c:pt idx="1507">
                    <c:v>merlin</c:v>
                  </c:pt>
                  <c:pt idx="1508">
                    <c:v>beltrame</c:v>
                  </c:pt>
                  <c:pt idx="1509">
                    <c:v>beltrame</c:v>
                  </c:pt>
                  <c:pt idx="1510">
                    <c:v>MAYORPET</c:v>
                  </c:pt>
                  <c:pt idx="1511">
                    <c:v>valagu</c:v>
                  </c:pt>
                  <c:pt idx="1512">
                    <c:v>MAYORPET</c:v>
                  </c:pt>
                  <c:pt idx="1513">
                    <c:v>valagu</c:v>
                  </c:pt>
                  <c:pt idx="1514">
                    <c:v>valagu</c:v>
                  </c:pt>
                  <c:pt idx="1515">
                    <c:v>MAYORPET</c:v>
                  </c:pt>
                  <c:pt idx="1516">
                    <c:v>MAYORPET</c:v>
                  </c:pt>
                  <c:pt idx="1517">
                    <c:v>MAYORPET</c:v>
                  </c:pt>
                  <c:pt idx="1518">
                    <c:v>MAYORPET</c:v>
                  </c:pt>
                  <c:pt idx="1519">
                    <c:v>volpe</c:v>
                  </c:pt>
                  <c:pt idx="1520">
                    <c:v>volpe</c:v>
                  </c:pt>
                  <c:pt idx="1522">
                    <c:v>valagu</c:v>
                  </c:pt>
                  <c:pt idx="1523">
                    <c:v>valagu</c:v>
                  </c:pt>
                  <c:pt idx="1524">
                    <c:v>valagu</c:v>
                  </c:pt>
                  <c:pt idx="1525">
                    <c:v>valagu</c:v>
                  </c:pt>
                  <c:pt idx="1526">
                    <c:v>damian macetas</c:v>
                  </c:pt>
                  <c:pt idx="1527">
                    <c:v>musaco</c:v>
                  </c:pt>
                  <c:pt idx="1528">
                    <c:v>BELSIR</c:v>
                  </c:pt>
                  <c:pt idx="1529">
                    <c:v>exportagro</c:v>
                  </c:pt>
                  <c:pt idx="1530">
                    <c:v>magric</c:v>
                  </c:pt>
                  <c:pt idx="1531">
                    <c:v>magric</c:v>
                  </c:pt>
                  <c:pt idx="1532">
                    <c:v>alvarez</c:v>
                  </c:pt>
                  <c:pt idx="1533">
                    <c:v>damian macetas</c:v>
                  </c:pt>
                  <c:pt idx="1534">
                    <c:v>damian macetas</c:v>
                  </c:pt>
                  <c:pt idx="1535">
                    <c:v>damian macetas</c:v>
                  </c:pt>
                  <c:pt idx="1536">
                    <c:v>grispix</c:v>
                  </c:pt>
                  <c:pt idx="1537">
                    <c:v>damian macetas</c:v>
                  </c:pt>
                  <c:pt idx="1538">
                    <c:v>deribal</c:v>
                  </c:pt>
                  <c:pt idx="1539">
                    <c:v>damian macetas</c:v>
                  </c:pt>
                  <c:pt idx="1540">
                    <c:v>damian macetas</c:v>
                  </c:pt>
                  <c:pt idx="1541">
                    <c:v>MAYORPET</c:v>
                  </c:pt>
                  <c:pt idx="1542">
                    <c:v>damian macetas</c:v>
                  </c:pt>
                  <c:pt idx="1544">
                    <c:v>yaques</c:v>
                  </c:pt>
                  <c:pt idx="1545">
                    <c:v>yaques</c:v>
                  </c:pt>
                  <c:pt idx="1546">
                    <c:v>diego</c:v>
                  </c:pt>
                  <c:pt idx="1547">
                    <c:v>diego</c:v>
                  </c:pt>
                  <c:pt idx="1548">
                    <c:v>empack</c:v>
                  </c:pt>
                  <c:pt idx="1549">
                    <c:v>valagu</c:v>
                  </c:pt>
                  <c:pt idx="1550">
                    <c:v>valagu</c:v>
                  </c:pt>
                  <c:pt idx="1551">
                    <c:v>valagu</c:v>
                  </c:pt>
                  <c:pt idx="1552">
                    <c:v>beltrame</c:v>
                  </c:pt>
                  <c:pt idx="1553">
                    <c:v>uruquim</c:v>
                  </c:pt>
                  <c:pt idx="1554">
                    <c:v>uruquim</c:v>
                  </c:pt>
                  <c:pt idx="1555">
                    <c:v>lezama</c:v>
                  </c:pt>
                  <c:pt idx="1556">
                    <c:v>fermara</c:v>
                  </c:pt>
                  <c:pt idx="1557">
                    <c:v>FERMARA</c:v>
                  </c:pt>
                  <c:pt idx="1558">
                    <c:v>fermara</c:v>
                  </c:pt>
                  <c:pt idx="1559">
                    <c:v>fermara</c:v>
                  </c:pt>
                  <c:pt idx="1560">
                    <c:v>damian macetas</c:v>
                  </c:pt>
                  <c:pt idx="1567">
                    <c:v>valagu</c:v>
                  </c:pt>
                  <c:pt idx="1568">
                    <c:v>valagu</c:v>
                  </c:pt>
                  <c:pt idx="1570">
                    <c:v>belsir</c:v>
                  </c:pt>
                  <c:pt idx="1571">
                    <c:v>belsir</c:v>
                  </c:pt>
                  <c:pt idx="1572">
                    <c:v>valagu</c:v>
                  </c:pt>
                  <c:pt idx="1574">
                    <c:v>MAYORPET</c:v>
                  </c:pt>
                  <c:pt idx="1575">
                    <c:v>MAYORPET</c:v>
                  </c:pt>
                  <c:pt idx="1577">
                    <c:v>grispix</c:v>
                  </c:pt>
                  <c:pt idx="1579">
                    <c:v>damian macetas</c:v>
                  </c:pt>
                  <c:pt idx="1580">
                    <c:v>damian macetas</c:v>
                  </c:pt>
                  <c:pt idx="1581">
                    <c:v>damian macetas</c:v>
                  </c:pt>
                  <c:pt idx="1582">
                    <c:v>damian macetas</c:v>
                  </c:pt>
                  <c:pt idx="1583">
                    <c:v>alvarez</c:v>
                  </c:pt>
                  <c:pt idx="1587">
                    <c:v>bioterra</c:v>
                  </c:pt>
                  <c:pt idx="1588">
                    <c:v>negley</c:v>
                  </c:pt>
                  <c:pt idx="1589">
                    <c:v>negley</c:v>
                  </c:pt>
                  <c:pt idx="1590">
                    <c:v>negley</c:v>
                  </c:pt>
                  <c:pt idx="1591">
                    <c:v>distribuidora del sol</c:v>
                  </c:pt>
                  <c:pt idx="1592">
                    <c:v>distribuidora del sol</c:v>
                  </c:pt>
                  <c:pt idx="1594">
                    <c:v>fermara</c:v>
                  </c:pt>
                  <c:pt idx="1596">
                    <c:v>REMIPLAT</c:v>
                  </c:pt>
                  <c:pt idx="1597">
                    <c:v>REMIPLAT</c:v>
                  </c:pt>
                  <c:pt idx="1599">
                    <c:v>intor</c:v>
                  </c:pt>
                  <c:pt idx="1600">
                    <c:v>intor</c:v>
                  </c:pt>
                  <c:pt idx="1601">
                    <c:v>intor</c:v>
                  </c:pt>
                  <c:pt idx="1602">
                    <c:v>intor</c:v>
                  </c:pt>
                  <c:pt idx="1603">
                    <c:v>intor</c:v>
                  </c:pt>
                  <c:pt idx="1604">
                    <c:v>intor</c:v>
                  </c:pt>
                  <c:pt idx="1607">
                    <c:v>REMIPLAT</c:v>
                  </c:pt>
                  <c:pt idx="1609">
                    <c:v>REMIPLAT</c:v>
                  </c:pt>
                  <c:pt idx="1613">
                    <c:v>damian macetas</c:v>
                  </c:pt>
                  <c:pt idx="1615">
                    <c:v>fermara</c:v>
                  </c:pt>
                  <c:pt idx="1616">
                    <c:v>fermara</c:v>
                  </c:pt>
                  <c:pt idx="1618">
                    <c:v>negley</c:v>
                  </c:pt>
                  <c:pt idx="1619">
                    <c:v>negley</c:v>
                  </c:pt>
                  <c:pt idx="1620">
                    <c:v>intor</c:v>
                  </c:pt>
                  <c:pt idx="1621">
                    <c:v>damian macetas</c:v>
                  </c:pt>
                  <c:pt idx="1624">
                    <c:v>damian macetas</c:v>
                  </c:pt>
                  <c:pt idx="1625">
                    <c:v>negley</c:v>
                  </c:pt>
                  <c:pt idx="1626">
                    <c:v>negley</c:v>
                  </c:pt>
                  <c:pt idx="1627">
                    <c:v>belsir</c:v>
                  </c:pt>
                  <c:pt idx="1629">
                    <c:v>belsir</c:v>
                  </c:pt>
                  <c:pt idx="1630">
                    <c:v>belsir</c:v>
                  </c:pt>
                  <c:pt idx="1631">
                    <c:v>belsir</c:v>
                  </c:pt>
                  <c:pt idx="1632">
                    <c:v>belsir</c:v>
                  </c:pt>
                  <c:pt idx="1633">
                    <c:v>belsir</c:v>
                  </c:pt>
                  <c:pt idx="1634">
                    <c:v>distribuidora del sol</c:v>
                  </c:pt>
                  <c:pt idx="1635">
                    <c:v>distribuidora del sol</c:v>
                  </c:pt>
                  <c:pt idx="1636">
                    <c:v>distribuidora del sol</c:v>
                  </c:pt>
                  <c:pt idx="1637">
                    <c:v>distribuidora del sol</c:v>
                  </c:pt>
                  <c:pt idx="1638">
                    <c:v>distribuidora del sol</c:v>
                  </c:pt>
                  <c:pt idx="1639">
                    <c:v>distribuidora del sol</c:v>
                  </c:pt>
                  <c:pt idx="1640">
                    <c:v>distribuidora del sol</c:v>
                  </c:pt>
                  <c:pt idx="1641">
                    <c:v>negley</c:v>
                  </c:pt>
                  <c:pt idx="1642">
                    <c:v>negley</c:v>
                  </c:pt>
                  <c:pt idx="1643">
                    <c:v>negley</c:v>
                  </c:pt>
                  <c:pt idx="1644">
                    <c:v>negley</c:v>
                  </c:pt>
                  <c:pt idx="1645">
                    <c:v>negley</c:v>
                  </c:pt>
                  <c:pt idx="1646">
                    <c:v>negley</c:v>
                  </c:pt>
                  <c:pt idx="1647">
                    <c:v>negley</c:v>
                  </c:pt>
                  <c:pt idx="1649">
                    <c:v>valagu</c:v>
                  </c:pt>
                  <c:pt idx="1650">
                    <c:v>valagu</c:v>
                  </c:pt>
                  <c:pt idx="1651">
                    <c:v>beltrame</c:v>
                  </c:pt>
                  <c:pt idx="1652">
                    <c:v>valagu</c:v>
                  </c:pt>
                  <c:pt idx="1653">
                    <c:v>corona</c:v>
                  </c:pt>
                  <c:pt idx="1654">
                    <c:v>valagu</c:v>
                  </c:pt>
                  <c:pt idx="1655">
                    <c:v>valagu</c:v>
                  </c:pt>
                  <c:pt idx="1656">
                    <c:v>mayorpet</c:v>
                  </c:pt>
                  <c:pt idx="1657">
                    <c:v>valagu</c:v>
                  </c:pt>
                  <c:pt idx="1658">
                    <c:v>valagu</c:v>
                  </c:pt>
                  <c:pt idx="1659">
                    <c:v>valagu</c:v>
                  </c:pt>
                  <c:pt idx="1660">
                    <c:v>valagu</c:v>
                  </c:pt>
                  <c:pt idx="1661">
                    <c:v>valagu</c:v>
                  </c:pt>
                  <c:pt idx="1662">
                    <c:v>deribal</c:v>
                  </c:pt>
                  <c:pt idx="1663">
                    <c:v>deribal</c:v>
                  </c:pt>
                  <c:pt idx="1664">
                    <c:v>animalitos</c:v>
                  </c:pt>
                  <c:pt idx="1666">
                    <c:v>alvarez</c:v>
                  </c:pt>
                  <c:pt idx="1667">
                    <c:v>alvarez</c:v>
                  </c:pt>
                  <c:pt idx="1668">
                    <c:v>damian macetas</c:v>
                  </c:pt>
                  <c:pt idx="1669">
                    <c:v>MAYORPET</c:v>
                  </c:pt>
                  <c:pt idx="1670">
                    <c:v>ds</c:v>
                  </c:pt>
                  <c:pt idx="1671">
                    <c:v>damian macetas</c:v>
                  </c:pt>
                  <c:pt idx="1672">
                    <c:v>damian macetas</c:v>
                  </c:pt>
                  <c:pt idx="1674">
                    <c:v>fermara</c:v>
                  </c:pt>
                  <c:pt idx="1675">
                    <c:v>fermara</c:v>
                  </c:pt>
                  <c:pt idx="1676">
                    <c:v>fermara</c:v>
                  </c:pt>
                  <c:pt idx="1677">
                    <c:v>fermara</c:v>
                  </c:pt>
                  <c:pt idx="1678">
                    <c:v>DERIBAL</c:v>
                  </c:pt>
                  <c:pt idx="1679">
                    <c:v>DERIBAL</c:v>
                  </c:pt>
                  <c:pt idx="1680">
                    <c:v>DERIBAL</c:v>
                  </c:pt>
                  <c:pt idx="1681">
                    <c:v>fermara</c:v>
                  </c:pt>
                  <c:pt idx="1682">
                    <c:v>deribal</c:v>
                  </c:pt>
                  <c:pt idx="1683">
                    <c:v>deribal</c:v>
                  </c:pt>
                  <c:pt idx="1684">
                    <c:v>DERIBAL</c:v>
                  </c:pt>
                  <c:pt idx="1685">
                    <c:v>deribal</c:v>
                  </c:pt>
                  <c:pt idx="1686">
                    <c:v>deribal</c:v>
                  </c:pt>
                  <c:pt idx="1687">
                    <c:v>fermara</c:v>
                  </c:pt>
                  <c:pt idx="1688">
                    <c:v>fermara</c:v>
                  </c:pt>
                  <c:pt idx="1689">
                    <c:v>fermara</c:v>
                  </c:pt>
                  <c:pt idx="1690">
                    <c:v>damian macetas</c:v>
                  </c:pt>
                  <c:pt idx="1691">
                    <c:v>valagu</c:v>
                  </c:pt>
                  <c:pt idx="1693">
                    <c:v>valagu</c:v>
                  </c:pt>
                  <c:pt idx="1694">
                    <c:v>valagu</c:v>
                  </c:pt>
                  <c:pt idx="1695">
                    <c:v>valagu</c:v>
                  </c:pt>
                  <c:pt idx="1696">
                    <c:v>valagu</c:v>
                  </c:pt>
                  <c:pt idx="1697">
                    <c:v>valagu</c:v>
                  </c:pt>
                  <c:pt idx="1698">
                    <c:v>valagu</c:v>
                  </c:pt>
                  <c:pt idx="1699">
                    <c:v>diego</c:v>
                  </c:pt>
                  <c:pt idx="1700">
                    <c:v>valagu</c:v>
                  </c:pt>
                  <c:pt idx="1701">
                    <c:v>valagu</c:v>
                  </c:pt>
                  <c:pt idx="1702">
                    <c:v>valagu</c:v>
                  </c:pt>
                  <c:pt idx="1703">
                    <c:v>valagu</c:v>
                  </c:pt>
                  <c:pt idx="1704">
                    <c:v>diego</c:v>
                  </c:pt>
                  <c:pt idx="1705">
                    <c:v>diego</c:v>
                  </c:pt>
                  <c:pt idx="1706">
                    <c:v>damian macetas</c:v>
                  </c:pt>
                  <c:pt idx="1707">
                    <c:v>casa cristina</c:v>
                  </c:pt>
                  <c:pt idx="1709">
                    <c:v>valagu</c:v>
                  </c:pt>
                  <c:pt idx="1710">
                    <c:v>valagu</c:v>
                  </c:pt>
                  <c:pt idx="1711">
                    <c:v>valagu</c:v>
                  </c:pt>
                  <c:pt idx="1712">
                    <c:v>valagu</c:v>
                  </c:pt>
                  <c:pt idx="1713">
                    <c:v>valagu</c:v>
                  </c:pt>
                  <c:pt idx="1714">
                    <c:v>agropecuaria agraciada</c:v>
                  </c:pt>
                  <c:pt idx="1715">
                    <c:v>agraciada</c:v>
                  </c:pt>
                  <c:pt idx="1716">
                    <c:v>parque trebol</c:v>
                  </c:pt>
                  <c:pt idx="1717">
                    <c:v>damian macetas</c:v>
                  </c:pt>
                  <c:pt idx="1718">
                    <c:v>damian macetas</c:v>
                  </c:pt>
                  <c:pt idx="1719">
                    <c:v>damian macetas</c:v>
                  </c:pt>
                  <c:pt idx="1720">
                    <c:v>damian macetas</c:v>
                  </c:pt>
                  <c:pt idx="1721">
                    <c:v>damian macetas</c:v>
                  </c:pt>
                  <c:pt idx="1722">
                    <c:v>damian macetas</c:v>
                  </c:pt>
                  <c:pt idx="1723">
                    <c:v>damian macetas</c:v>
                  </c:pt>
                  <c:pt idx="1724">
                    <c:v>damian macetas</c:v>
                  </c:pt>
                </c:lvl>
                <c:lvl>
                  <c:pt idx="0">
                    <c:v>1 doc clavel 2 ilusion 2 rosas</c:v>
                  </c:pt>
                  <c:pt idx="1">
                    <c:v>100 c,c</c:v>
                  </c:pt>
                  <c:pt idx="2">
                    <c:v>100 cc</c:v>
                  </c:pt>
                  <c:pt idx="3">
                    <c:v>10litr</c:v>
                  </c:pt>
                  <c:pt idx="4">
                    <c:v>250 gr</c:v>
                  </c:pt>
                  <c:pt idx="5">
                    <c:v>1lt</c:v>
                  </c:pt>
                  <c:pt idx="6">
                    <c:v>100 cc</c:v>
                  </c:pt>
                  <c:pt idx="7">
                    <c:v>20lt</c:v>
                  </c:pt>
                  <c:pt idx="8">
                    <c:v>1 lt</c:v>
                  </c:pt>
                  <c:pt idx="9">
                    <c:v>1 LT</c:v>
                  </c:pt>
                  <c:pt idx="12">
                    <c:v>4pcs</c:v>
                  </c:pt>
                  <c:pt idx="13">
                    <c:v>600 cc</c:v>
                  </c:pt>
                  <c:pt idx="14">
                    <c:v>1,200 ltr</c:v>
                  </c:pt>
                  <c:pt idx="15">
                    <c:v>c/u</c:v>
                  </c:pt>
                  <c:pt idx="23">
                    <c:v>30 cm</c:v>
                  </c:pt>
                  <c:pt idx="24">
                    <c:v>1 kg</c:v>
                  </c:pt>
                  <c:pt idx="25">
                    <c:v>25 kg</c:v>
                  </c:pt>
                  <c:pt idx="26">
                    <c:v>350 ml</c:v>
                  </c:pt>
                  <c:pt idx="27">
                    <c:v>2,5L/mmrs-RS510</c:v>
                  </c:pt>
                  <c:pt idx="28">
                    <c:v>RS 290</c:v>
                  </c:pt>
                  <c:pt idx="29">
                    <c:v>rs-160</c:v>
                  </c:pt>
                  <c:pt idx="30">
                    <c:v>rs610</c:v>
                  </c:pt>
                  <c:pt idx="31">
                    <c:v>4w 4lt/min</c:v>
                  </c:pt>
                  <c:pt idx="32">
                    <c:v>5w4,5 1/min sile</c:v>
                  </c:pt>
                  <c:pt idx="33">
                    <c:v> 2,5lm  sl-2800</c:v>
                  </c:pt>
                  <c:pt idx="34">
                    <c:v>30 CC</c:v>
                  </c:pt>
                  <c:pt idx="35">
                    <c:v>11,5cm</c:v>
                  </c:pt>
                  <c:pt idx="36">
                    <c:v>60 cc</c:v>
                  </c:pt>
                  <c:pt idx="37">
                    <c:v>400 grs caja</c:v>
                  </c:pt>
                  <c:pt idx="38">
                    <c:v>10gr</c:v>
                  </c:pt>
                  <c:pt idx="39">
                    <c:v>250 gr</c:v>
                  </c:pt>
                  <c:pt idx="40">
                    <c:v>10 gr</c:v>
                  </c:pt>
                  <c:pt idx="41">
                    <c:v>100 gr</c:v>
                  </c:pt>
                  <c:pt idx="42">
                    <c:v>500gr</c:v>
                  </c:pt>
                  <c:pt idx="43">
                    <c:v>120 grs</c:v>
                  </c:pt>
                  <c:pt idx="44">
                    <c:v>100 gr</c:v>
                  </c:pt>
                  <c:pt idx="45">
                    <c:v>15 gr</c:v>
                  </c:pt>
                  <c:pt idx="46">
                    <c:v>500 gr</c:v>
                  </c:pt>
                  <c:pt idx="47">
                    <c:v>500 grs</c:v>
                  </c:pt>
                  <c:pt idx="48">
                    <c:v>270 grs</c:v>
                  </c:pt>
                  <c:pt idx="49">
                    <c:v>kg</c:v>
                  </c:pt>
                  <c:pt idx="50">
                    <c:v>500  GR</c:v>
                  </c:pt>
                  <c:pt idx="51">
                    <c:v>100 GR</c:v>
                  </c:pt>
                  <c:pt idx="52">
                    <c:v>50 gr</c:v>
                  </c:pt>
                  <c:pt idx="53">
                    <c:v>10 GR</c:v>
                  </c:pt>
                  <c:pt idx="54">
                    <c:v>1,1 kg</c:v>
                  </c:pt>
                  <c:pt idx="55">
                    <c:v>75 gr</c:v>
                  </c:pt>
                  <c:pt idx="56">
                    <c:v>1kg</c:v>
                  </c:pt>
                  <c:pt idx="57">
                    <c:v>100 gr</c:v>
                  </c:pt>
                  <c:pt idx="58">
                    <c:v>10 gr</c:v>
                  </c:pt>
                  <c:pt idx="59">
                    <c:v>400 CC</c:v>
                  </c:pt>
                  <c:pt idx="60">
                    <c:v>128 cv,</c:v>
                  </c:pt>
                  <c:pt idx="61">
                    <c:v>32 cav</c:v>
                  </c:pt>
                  <c:pt idx="62">
                    <c:v>50 cavidades</c:v>
                  </c:pt>
                  <c:pt idx="63">
                    <c:v> 105 CAVIDADES</c:v>
                  </c:pt>
                  <c:pt idx="64">
                    <c:v>288 cavidades</c:v>
                  </c:pt>
                  <c:pt idx="65">
                    <c:v>50 cavidades</c:v>
                  </c:pt>
                  <c:pt idx="66">
                    <c:v>98 cavidades</c:v>
                  </c:pt>
                  <c:pt idx="72">
                    <c:v>25 kg</c:v>
                  </c:pt>
                  <c:pt idx="73">
                    <c:v>1 kg</c:v>
                  </c:pt>
                  <c:pt idx="74">
                    <c:v>25 kg</c:v>
                  </c:pt>
                  <c:pt idx="75">
                    <c:v>1 kg</c:v>
                  </c:pt>
                  <c:pt idx="78">
                    <c:v>0</c:v>
                  </c:pt>
                  <c:pt idx="80">
                    <c:v>c/u</c:v>
                  </c:pt>
                  <c:pt idx="81">
                    <c:v>blister de 10 comp</c:v>
                  </c:pt>
                  <c:pt idx="82">
                    <c:v>caja 240 comp</c:v>
                  </c:pt>
                  <c:pt idx="83">
                    <c:v>20 CM</c:v>
                  </c:pt>
                  <c:pt idx="84">
                    <c:v>24 CM</c:v>
                  </c:pt>
                  <c:pt idx="85">
                    <c:v>30 cm</c:v>
                  </c:pt>
                  <c:pt idx="86">
                    <c:v>40 cm</c:v>
                  </c:pt>
                  <c:pt idx="87">
                    <c:v>70 cm</c:v>
                  </c:pt>
                  <c:pt idx="88">
                    <c:v>25 kg</c:v>
                  </c:pt>
                  <c:pt idx="89">
                    <c:v>kg</c:v>
                  </c:pt>
                  <c:pt idx="90">
                    <c:v>0</c:v>
                  </c:pt>
                  <c:pt idx="97">
                    <c:v>500 grs</c:v>
                  </c:pt>
                  <c:pt idx="98">
                    <c:v>kg</c:v>
                  </c:pt>
                  <c:pt idx="99">
                    <c:v>100 gr</c:v>
                  </c:pt>
                  <c:pt idx="100">
                    <c:v>C/U</c:v>
                  </c:pt>
                  <c:pt idx="102">
                    <c:v>kg</c:v>
                  </c:pt>
                  <c:pt idx="103">
                    <c:v>125 grs</c:v>
                  </c:pt>
                  <c:pt idx="104">
                    <c:v>50 gr</c:v>
                  </c:pt>
                  <c:pt idx="105">
                    <c:v>50gr</c:v>
                  </c:pt>
                  <c:pt idx="106">
                    <c:v>500 GRS</c:v>
                  </c:pt>
                  <c:pt idx="107">
                    <c:v>500 grs</c:v>
                  </c:pt>
                  <c:pt idx="108">
                    <c:v>50gr</c:v>
                  </c:pt>
                  <c:pt idx="109">
                    <c:v>21 LTS</c:v>
                  </c:pt>
                  <c:pt idx="110">
                    <c:v>141 cristal</c:v>
                  </c:pt>
                  <c:pt idx="111">
                    <c:v>46x32x10</c:v>
                  </c:pt>
                  <c:pt idx="112">
                    <c:v>40x27x7</c:v>
                  </c:pt>
                  <c:pt idx="113">
                    <c:v>0</c:v>
                  </c:pt>
                  <c:pt idx="115">
                    <c:v>c/u</c:v>
                  </c:pt>
                  <c:pt idx="116">
                    <c:v>gigante</c:v>
                  </c:pt>
                  <c:pt idx="117">
                    <c:v>350 ml</c:v>
                  </c:pt>
                  <c:pt idx="118">
                    <c:v>260ml</c:v>
                  </c:pt>
                  <c:pt idx="121">
                    <c:v>mts</c:v>
                  </c:pt>
                  <c:pt idx="122">
                    <c:v>20 c,c</c:v>
                  </c:pt>
                  <c:pt idx="123">
                    <c:v>20 c,c</c:v>
                  </c:pt>
                  <c:pt idx="124">
                    <c:v>30 c,c,</c:v>
                  </c:pt>
                  <c:pt idx="125">
                    <c:v>500 gr</c:v>
                  </c:pt>
                  <c:pt idx="126">
                    <c:v>100gr</c:v>
                  </c:pt>
                  <c:pt idx="127">
                    <c:v>1 ltr</c:v>
                  </c:pt>
                  <c:pt idx="128">
                    <c:v>1,8 ltr</c:v>
                  </c:pt>
                  <c:pt idx="129">
                    <c:v>3,5 LTR</c:v>
                  </c:pt>
                  <c:pt idx="130">
                    <c:v>6 lt</c:v>
                  </c:pt>
                  <c:pt idx="131">
                    <c:v>1,5 lts</c:v>
                  </c:pt>
                  <c:pt idx="132">
                    <c:v>1,5 lts</c:v>
                  </c:pt>
                  <c:pt idx="133">
                    <c:v>6 lt</c:v>
                  </c:pt>
                  <c:pt idx="134">
                    <c:v>125 ML</c:v>
                  </c:pt>
                  <c:pt idx="135">
                    <c:v>80ml</c:v>
                  </c:pt>
                  <c:pt idx="137">
                    <c:v>5 lt </c:v>
                  </c:pt>
                  <c:pt idx="138">
                    <c:v>7x16</c:v>
                  </c:pt>
                  <c:pt idx="139">
                    <c:v>300ml</c:v>
                  </c:pt>
                  <c:pt idx="140">
                    <c:v>50 ml</c:v>
                  </c:pt>
                  <c:pt idx="141">
                    <c:v>150 ml</c:v>
                  </c:pt>
                  <c:pt idx="142">
                    <c:v>c/u</c:v>
                  </c:pt>
                  <c:pt idx="143">
                    <c:v>0</c:v>
                  </c:pt>
                  <c:pt idx="145">
                    <c:v>c/u</c:v>
                  </c:pt>
                  <c:pt idx="146">
                    <c:v>c/u</c:v>
                  </c:pt>
                  <c:pt idx="148">
                    <c:v>0</c:v>
                  </c:pt>
                  <c:pt idx="149">
                    <c:v>c/u</c:v>
                  </c:pt>
                  <c:pt idx="151">
                    <c:v>17,8x10,5x10,5 cm</c:v>
                  </c:pt>
                  <c:pt idx="152">
                    <c:v>0</c:v>
                  </c:pt>
                  <c:pt idx="153">
                    <c:v>n 1</c:v>
                  </c:pt>
                  <c:pt idx="154">
                    <c:v>n 2</c:v>
                  </c:pt>
                  <c:pt idx="155">
                    <c:v>n 3</c:v>
                  </c:pt>
                  <c:pt idx="156">
                    <c:v>80 ml</c:v>
                  </c:pt>
                  <c:pt idx="157">
                    <c:v>500 ml</c:v>
                  </c:pt>
                  <c:pt idx="158">
                    <c:v>250 cc</c:v>
                  </c:pt>
                  <c:pt idx="159">
                    <c:v>1000 ml</c:v>
                  </c:pt>
                  <c:pt idx="160">
                    <c:v>1000 cc</c:v>
                  </c:pt>
                  <c:pt idx="161">
                    <c:v>kg</c:v>
                  </c:pt>
                  <c:pt idx="166">
                    <c:v>250 CC</c:v>
                  </c:pt>
                  <c:pt idx="167">
                    <c:v>600 cc</c:v>
                  </c:pt>
                  <c:pt idx="168">
                    <c:v>1 lt</c:v>
                  </c:pt>
                  <c:pt idx="169">
                    <c:v>10 ltr</c:v>
                  </c:pt>
                  <c:pt idx="170">
                    <c:v>1 litro suelto</c:v>
                  </c:pt>
                  <c:pt idx="171">
                    <c:v>1 ltr</c:v>
                  </c:pt>
                  <c:pt idx="172">
                    <c:v>20 ltr</c:v>
                  </c:pt>
                  <c:pt idx="173">
                    <c:v>5 lt</c:v>
                  </c:pt>
                  <c:pt idx="174">
                    <c:v>600 ml,</c:v>
                  </c:pt>
                  <c:pt idx="175">
                    <c:v>7lt</c:v>
                  </c:pt>
                  <c:pt idx="176">
                    <c:v>20 ltr</c:v>
                  </c:pt>
                  <c:pt idx="177">
                    <c:v>100 gr</c:v>
                  </c:pt>
                  <c:pt idx="178">
                    <c:v>500 gr</c:v>
                  </c:pt>
                  <c:pt idx="179">
                    <c:v>12 unidades</c:v>
                  </c:pt>
                  <c:pt idx="180">
                    <c:v>X 12 UNID.</c:v>
                  </c:pt>
                  <c:pt idx="181">
                    <c:v>15</c:v>
                  </c:pt>
                  <c:pt idx="182">
                    <c:v>20</c:v>
                  </c:pt>
                  <c:pt idx="183">
                    <c:v>25</c:v>
                  </c:pt>
                  <c:pt idx="184">
                    <c:v>30 cm</c:v>
                  </c:pt>
                  <c:pt idx="185">
                    <c:v>35</c:v>
                  </c:pt>
                  <c:pt idx="186">
                    <c:v>24</c:v>
                  </c:pt>
                  <c:pt idx="187">
                    <c:v>27</c:v>
                  </c:pt>
                  <c:pt idx="188">
                    <c:v>N20</c:v>
                  </c:pt>
                  <c:pt idx="189">
                    <c:v>N24</c:v>
                  </c:pt>
                  <c:pt idx="190">
                    <c:v>28</c:v>
                  </c:pt>
                  <c:pt idx="191">
                    <c:v>34</c:v>
                  </c:pt>
                  <c:pt idx="192">
                    <c:v>22</c:v>
                  </c:pt>
                  <c:pt idx="193">
                    <c:v>chico</c:v>
                  </c:pt>
                  <c:pt idx="194">
                    <c:v>gde</c:v>
                  </c:pt>
                  <c:pt idx="196">
                    <c:v>16cm</c:v>
                  </c:pt>
                  <c:pt idx="197">
                    <c:v>18cm</c:v>
                  </c:pt>
                  <c:pt idx="198">
                    <c:v>20cm</c:v>
                  </c:pt>
                  <c:pt idx="199">
                    <c:v>22 cm</c:v>
                  </c:pt>
                  <c:pt idx="200">
                    <c:v>25cm</c:v>
                  </c:pt>
                  <c:pt idx="201">
                    <c:v>20</c:v>
                  </c:pt>
                  <c:pt idx="202">
                    <c:v>25</c:v>
                  </c:pt>
                  <c:pt idx="203">
                    <c:v>1 kg</c:v>
                  </c:pt>
                  <c:pt idx="204">
                    <c:v>3 kg</c:v>
                  </c:pt>
                  <c:pt idx="205">
                    <c:v>5 kg</c:v>
                  </c:pt>
                  <c:pt idx="206">
                    <c:v>codigo 22</c:v>
                  </c:pt>
                  <c:pt idx="207">
                    <c:v>0</c:v>
                  </c:pt>
                  <c:pt idx="208">
                    <c:v>45x50</c:v>
                  </c:pt>
                  <c:pt idx="209">
                    <c:v>45x60</c:v>
                  </c:pt>
                  <c:pt idx="210">
                    <c:v>c/u</c:v>
                  </c:pt>
                  <c:pt idx="211">
                    <c:v>8x15</c:v>
                  </c:pt>
                  <c:pt idx="212">
                    <c:v>n 3</c:v>
                  </c:pt>
                  <c:pt idx="213">
                    <c:v>24X35 5 LTS</c:v>
                  </c:pt>
                  <c:pt idx="214">
                    <c:v>38X41 10 LTS</c:v>
                  </c:pt>
                  <c:pt idx="215">
                    <c:v>45X49 15 LTS</c:v>
                  </c:pt>
                  <c:pt idx="216">
                    <c:v>14x23 1 lt</c:v>
                  </c:pt>
                  <c:pt idx="217">
                    <c:v>20x24 2 lt</c:v>
                  </c:pt>
                  <c:pt idx="218">
                    <c:v>58x58c14,5</c:v>
                  </c:pt>
                  <c:pt idx="219">
                    <c:v>c/u</c:v>
                  </c:pt>
                  <c:pt idx="220">
                    <c:v>c/u</c:v>
                  </c:pt>
                  <c:pt idx="221">
                    <c:v>3w230lt/hr</c:v>
                  </c:pt>
                  <c:pt idx="222">
                    <c:v>rs-003 15w 1hr/1mts</c:v>
                  </c:pt>
                  <c:pt idx="223">
                    <c:v>RS-3400,12W,8801/H,1,2 MTR</c:v>
                  </c:pt>
                  <c:pt idx="224">
                    <c:v>RS-4100-A</c:v>
                  </c:pt>
                  <c:pt idx="225">
                    <c:v>rs-901</c:v>
                  </c:pt>
                  <c:pt idx="226">
                    <c:v>RS730</c:v>
                  </c:pt>
                  <c:pt idx="227">
                    <c:v>0</c:v>
                  </c:pt>
                  <c:pt idx="229">
                    <c:v>xl</c:v>
                  </c:pt>
                  <c:pt idx="230">
                    <c:v>4</c:v>
                  </c:pt>
                  <c:pt idx="231">
                    <c:v>5</c:v>
                  </c:pt>
                  <c:pt idx="232">
                    <c:v>6</c:v>
                  </c:pt>
                  <c:pt idx="233">
                    <c:v>8</c:v>
                  </c:pt>
                  <c:pt idx="234">
                    <c:v>230 c.c</c:v>
                  </c:pt>
                  <c:pt idx="235">
                    <c:v>40 cm</c:v>
                  </c:pt>
                  <c:pt idx="238">
                    <c:v>sachet</c:v>
                  </c:pt>
                  <c:pt idx="239">
                    <c:v>7 lt</c:v>
                  </c:pt>
                  <c:pt idx="240">
                    <c:v>2mm 120cm</c:v>
                  </c:pt>
                  <c:pt idx="241">
                    <c:v>180*3,5</c:v>
                  </c:pt>
                  <c:pt idx="242">
                    <c:v>3,5x1,5 mtr,</c:v>
                  </c:pt>
                  <c:pt idx="243">
                    <c:v>1,8*4</c:v>
                  </c:pt>
                  <c:pt idx="244">
                    <c:v>180x3,5</c:v>
                  </c:pt>
                  <c:pt idx="245">
                    <c:v>180x3,5</c:v>
                  </c:pt>
                  <c:pt idx="246">
                    <c:v>180x2,5</c:v>
                  </c:pt>
                  <c:pt idx="249">
                    <c:v>15 gr</c:v>
                  </c:pt>
                  <c:pt idx="250">
                    <c:v>30 grs</c:v>
                  </c:pt>
                  <c:pt idx="251">
                    <c:v>100 grs</c:v>
                  </c:pt>
                  <c:pt idx="252">
                    <c:v>30 w</c:v>
                  </c:pt>
                  <c:pt idx="253">
                    <c:v>100 w rs-688</c:v>
                  </c:pt>
                  <c:pt idx="254">
                    <c:v>300 w</c:v>
                  </c:pt>
                  <c:pt idx="256">
                    <c:v>29x29x33</c:v>
                  </c:pt>
                  <c:pt idx="257">
                    <c:v>34x34x36</c:v>
                  </c:pt>
                  <c:pt idx="260">
                    <c:v>mtr</c:v>
                  </c:pt>
                  <c:pt idx="261">
                    <c:v>100 grs,</c:v>
                  </c:pt>
                  <c:pt idx="262">
                    <c:v>100 gr</c:v>
                  </c:pt>
                  <c:pt idx="263">
                    <c:v>100grs</c:v>
                  </c:pt>
                  <c:pt idx="264">
                    <c:v>200 grs</c:v>
                  </c:pt>
                  <c:pt idx="265">
                    <c:v>1 kg</c:v>
                  </c:pt>
                  <c:pt idx="266">
                    <c:v>500 gr</c:v>
                  </c:pt>
                  <c:pt idx="267">
                    <c:v>150 grs</c:v>
                  </c:pt>
                  <c:pt idx="268">
                    <c:v>90 grs,</c:v>
                  </c:pt>
                  <c:pt idx="269">
                    <c:v>90 GR</c:v>
                  </c:pt>
                  <c:pt idx="270">
                    <c:v>500 gr</c:v>
                  </c:pt>
                  <c:pt idx="271">
                    <c:v>100 gr</c:v>
                  </c:pt>
                  <c:pt idx="272">
                    <c:v>14x8,5</c:v>
                  </c:pt>
                  <c:pt idx="273">
                    <c:v>45*35*55</c:v>
                  </c:pt>
                  <c:pt idx="274">
                    <c:v>400 grs caja</c:v>
                  </c:pt>
                  <c:pt idx="275">
                    <c:v>6</c:v>
                  </c:pt>
                  <c:pt idx="283">
                    <c:v>58X32</c:v>
                  </c:pt>
                  <c:pt idx="284">
                    <c:v>50x21</c:v>
                  </c:pt>
                  <c:pt idx="285">
                    <c:v>650 c,c,</c:v>
                  </c:pt>
                  <c:pt idx="286">
                    <c:v>180 cc</c:v>
                  </c:pt>
                  <c:pt idx="287">
                    <c:v>50 cm</c:v>
                  </c:pt>
                  <c:pt idx="288">
                    <c:v>300 CC</c:v>
                  </c:pt>
                  <c:pt idx="289">
                    <c:v>cebo 50 gr</c:v>
                  </c:pt>
                  <c:pt idx="290">
                    <c:v>650 c,c</c:v>
                  </c:pt>
                  <c:pt idx="291">
                    <c:v>100 gr</c:v>
                  </c:pt>
                  <c:pt idx="292">
                    <c:v>300 cc</c:v>
                  </c:pt>
                  <c:pt idx="293">
                    <c:v>650 cc</c:v>
                  </c:pt>
                  <c:pt idx="294">
                    <c:v>225</c:v>
                  </c:pt>
                  <c:pt idx="295">
                    <c:v>225 cc</c:v>
                  </c:pt>
                  <c:pt idx="296">
                    <c:v>650 cc</c:v>
                  </c:pt>
                  <c:pt idx="297">
                    <c:v>300 CC</c:v>
                  </c:pt>
                  <c:pt idx="298">
                    <c:v>300 c,c,</c:v>
                  </c:pt>
                  <c:pt idx="299">
                    <c:v>500 grs</c:v>
                  </c:pt>
                  <c:pt idx="300">
                    <c:v>100 grs</c:v>
                  </c:pt>
                  <c:pt idx="301">
                    <c:v>10 mts 2</c:v>
                  </c:pt>
                  <c:pt idx="302">
                    <c:v>25 mts 2</c:v>
                  </c:pt>
                  <c:pt idx="303">
                    <c:v>4kg</c:v>
                  </c:pt>
                  <c:pt idx="304">
                    <c:v>500 gr</c:v>
                  </c:pt>
                  <c:pt idx="305">
                    <c:v>250 gr</c:v>
                  </c:pt>
                  <c:pt idx="307">
                    <c:v>5 kg</c:v>
                  </c:pt>
                  <c:pt idx="308">
                    <c:v>2 MTS ANCHO</c:v>
                  </c:pt>
                  <c:pt idx="310">
                    <c:v>bolsa 4,250kg</c:v>
                  </c:pt>
                  <c:pt idx="316">
                    <c:v>100c,c,</c:v>
                  </c:pt>
                  <c:pt idx="317">
                    <c:v>1 ltr</c:v>
                  </c:pt>
                  <c:pt idx="318">
                    <c:v>1 lts</c:v>
                  </c:pt>
                  <c:pt idx="319">
                    <c:v>5 ltr</c:v>
                  </c:pt>
                  <c:pt idx="320">
                    <c:v>650 c,c</c:v>
                  </c:pt>
                  <c:pt idx="322">
                    <c:v>30 ml</c:v>
                  </c:pt>
                  <c:pt idx="323">
                    <c:v>15</c:v>
                  </c:pt>
                  <c:pt idx="324">
                    <c:v>25</c:v>
                  </c:pt>
                  <c:pt idx="325">
                    <c:v>35</c:v>
                  </c:pt>
                  <c:pt idx="326">
                    <c:v>40</c:v>
                  </c:pt>
                  <c:pt idx="327">
                    <c:v>10 lt</c:v>
                  </c:pt>
                  <c:pt idx="328">
                    <c:v>7,6</c:v>
                  </c:pt>
                  <c:pt idx="329">
                    <c:v>11,4 lt</c:v>
                  </c:pt>
                  <c:pt idx="330">
                    <c:v>220 lt</c:v>
                  </c:pt>
                  <c:pt idx="331">
                    <c:v>2 kg</c:v>
                  </c:pt>
                  <c:pt idx="335">
                    <c:v>54X2,5</c:v>
                  </c:pt>
                  <c:pt idx="336">
                    <c:v>31 cmx10mm con piedritas</c:v>
                  </c:pt>
                  <c:pt idx="337">
                    <c:v>3,mm 55cm</c:v>
                  </c:pt>
                  <c:pt idx="338">
                    <c:v>2 mm 40 cm</c:v>
                  </c:pt>
                  <c:pt idx="339">
                    <c:v>4mm 65cm</c:v>
                  </c:pt>
                  <c:pt idx="340">
                    <c:v>2,5x50cm</c:v>
                  </c:pt>
                  <c:pt idx="341">
                    <c:v>2,5x55 cm</c:v>
                  </c:pt>
                  <c:pt idx="342">
                    <c:v>2 cmx45cm</c:v>
                  </c:pt>
                  <c:pt idx="343">
                    <c:v>3,5 cmx65 cm</c:v>
                  </c:pt>
                  <c:pt idx="344">
                    <c:v>3,5 cmx75 cm</c:v>
                  </c:pt>
                  <c:pt idx="345">
                    <c:v>1,2 cm-30 cm</c:v>
                  </c:pt>
                  <c:pt idx="346">
                    <c:v>3 cm-60 cm</c:v>
                  </c:pt>
                  <c:pt idx="347">
                    <c:v>3cm *60cm doble cinta</c:v>
                  </c:pt>
                  <c:pt idx="348">
                    <c:v>1,2x25 cm</c:v>
                  </c:pt>
                  <c:pt idx="349">
                    <c:v>35 cm x 1 cm</c:v>
                  </c:pt>
                  <c:pt idx="350">
                    <c:v>40 cm</c:v>
                  </c:pt>
                  <c:pt idx="351">
                    <c:v>3,5x70</c:v>
                  </c:pt>
                  <c:pt idx="352">
                    <c:v>N6 </c:v>
                  </c:pt>
                  <c:pt idx="354">
                    <c:v>72 cm</c:v>
                  </c:pt>
                  <c:pt idx="355">
                    <c:v>63 cm</c:v>
                  </c:pt>
                  <c:pt idx="356">
                    <c:v>40cm</c:v>
                  </c:pt>
                  <c:pt idx="357">
                    <c:v>55x30</c:v>
                  </c:pt>
                  <c:pt idx="358">
                    <c:v>72 cm</c:v>
                  </c:pt>
                  <c:pt idx="359">
                    <c:v>65x4</c:v>
                  </c:pt>
                  <c:pt idx="360">
                    <c:v>80x5</c:v>
                  </c:pt>
                  <c:pt idx="363">
                    <c:v>0</c:v>
                  </c:pt>
                  <c:pt idx="364">
                    <c:v>13 gr</c:v>
                  </c:pt>
                  <c:pt idx="369">
                    <c:v>1 cm</c:v>
                  </c:pt>
                  <c:pt idx="370">
                    <c:v>40x1,5</c:v>
                  </c:pt>
                  <c:pt idx="371">
                    <c:v>36x1,5</c:v>
                  </c:pt>
                  <c:pt idx="372">
                    <c:v>39</c:v>
                  </c:pt>
                  <c:pt idx="373">
                    <c:v>0</c:v>
                  </c:pt>
                  <c:pt idx="374">
                    <c:v>63 cn</c:v>
                  </c:pt>
                  <c:pt idx="375">
                    <c:v>30x14</c:v>
                  </c:pt>
                  <c:pt idx="376">
                    <c:v>55 cm</c:v>
                  </c:pt>
                  <c:pt idx="377">
                    <c:v>72 cm</c:v>
                  </c:pt>
                  <c:pt idx="378">
                    <c:v>2,5mm45cm</c:v>
                  </c:pt>
                  <c:pt idx="379">
                    <c:v>4 mm60cm</c:v>
                  </c:pt>
                  <c:pt idx="380">
                    <c:v>1 CM</c:v>
                  </c:pt>
                  <c:pt idx="382">
                    <c:v>c/u</c:v>
                  </c:pt>
                  <c:pt idx="383">
                    <c:v>1kg</c:v>
                  </c:pt>
                  <c:pt idx="384">
                    <c:v>25 kg</c:v>
                  </c:pt>
                  <c:pt idx="385">
                    <c:v>22 cm</c:v>
                  </c:pt>
                  <c:pt idx="386">
                    <c:v>0</c:v>
                  </c:pt>
                  <c:pt idx="387">
                    <c:v>1100 ml</c:v>
                  </c:pt>
                  <c:pt idx="388">
                    <c:v>15cm</c:v>
                  </c:pt>
                  <c:pt idx="392">
                    <c:v>6,5X5</c:v>
                  </c:pt>
                  <c:pt idx="393">
                    <c:v>10X5</c:v>
                  </c:pt>
                  <c:pt idx="394">
                    <c:v>c/u</c:v>
                  </c:pt>
                  <c:pt idx="395">
                    <c:v>600 ml</c:v>
                  </c:pt>
                  <c:pt idx="396">
                    <c:v>300 ml </c:v>
                  </c:pt>
                  <c:pt idx="397">
                    <c:v>27x14,5</c:v>
                  </c:pt>
                  <c:pt idx="398">
                    <c:v>22 cm</c:v>
                  </c:pt>
                  <c:pt idx="399">
                    <c:v>30*16*5,5</c:v>
                  </c:pt>
                  <c:pt idx="400">
                    <c:v>23x12x3</c:v>
                  </c:pt>
                  <c:pt idx="401">
                    <c:v>22x6</c:v>
                  </c:pt>
                  <c:pt idx="402">
                    <c:v>14,8*3,8</c:v>
                  </c:pt>
                  <c:pt idx="403">
                    <c:v>c/u</c:v>
                  </c:pt>
                  <c:pt idx="405">
                    <c:v>c/u</c:v>
                  </c:pt>
                  <c:pt idx="406">
                    <c:v>0</c:v>
                  </c:pt>
                  <c:pt idx="407">
                    <c:v>grde</c:v>
                  </c:pt>
                  <c:pt idx="408">
                    <c:v>10 cm</c:v>
                  </c:pt>
                  <c:pt idx="409">
                    <c:v>50 cm</c:v>
                  </c:pt>
                  <c:pt idx="410">
                    <c:v>50 cm</c:v>
                  </c:pt>
                  <c:pt idx="411">
                    <c:v>12x8x3,5 cm</c:v>
                  </c:pt>
                  <c:pt idx="413">
                    <c:v>45cm lata</c:v>
                  </c:pt>
                  <c:pt idx="414">
                    <c:v>c/u</c:v>
                  </c:pt>
                  <c:pt idx="415">
                    <c:v>17,5x5</c:v>
                  </c:pt>
                  <c:pt idx="416">
                    <c:v>20 lt,</c:v>
                  </c:pt>
                  <c:pt idx="417">
                    <c:v>7</c:v>
                  </c:pt>
                  <c:pt idx="423">
                    <c:v>6 unidades</c:v>
                  </c:pt>
                  <c:pt idx="424">
                    <c:v>2 doc claveles</c:v>
                  </c:pt>
                  <c:pt idx="426">
                    <c:v>4 doc claveles</c:v>
                  </c:pt>
                  <c:pt idx="427">
                    <c:v>2,5 doc claveles ilusion flpilla</c:v>
                  </c:pt>
                  <c:pt idx="428">
                    <c:v>1,2*120</c:v>
                  </c:pt>
                  <c:pt idx="429">
                    <c:v>1,5x120</c:v>
                  </c:pt>
                  <c:pt idx="430">
                    <c:v>2x116</c:v>
                  </c:pt>
                  <c:pt idx="431">
                    <c:v>2,5x116</c:v>
                  </c:pt>
                  <c:pt idx="434">
                    <c:v>3,5 cm-110cm</c:v>
                  </c:pt>
                  <c:pt idx="435">
                    <c:v>3x110</c:v>
                  </c:pt>
                  <c:pt idx="436">
                    <c:v>resiste 15kg aprox,</c:v>
                  </c:pt>
                  <c:pt idx="437">
                    <c:v>bolsa</c:v>
                  </c:pt>
                  <c:pt idx="438">
                    <c:v>345 c,c</c:v>
                  </c:pt>
                  <c:pt idx="439">
                    <c:v>60 c,c</c:v>
                  </c:pt>
                  <c:pt idx="440">
                    <c:v>345 cc</c:v>
                  </c:pt>
                  <c:pt idx="441">
                    <c:v>345</c:v>
                  </c:pt>
                  <c:pt idx="442">
                    <c:v>600 grs</c:v>
                  </c:pt>
                  <c:pt idx="443">
                    <c:v>60 c,,c</c:v>
                  </c:pt>
                  <c:pt idx="444">
                    <c:v>600 grs</c:v>
                  </c:pt>
                  <c:pt idx="445">
                    <c:v>1,2lt</c:v>
                  </c:pt>
                  <c:pt idx="446">
                    <c:v>345 c,c,</c:v>
                  </c:pt>
                  <c:pt idx="447">
                    <c:v>600 grs</c:v>
                  </c:pt>
                  <c:pt idx="448">
                    <c:v>650 cc</c:v>
                  </c:pt>
                  <c:pt idx="449">
                    <c:v>345 c,c,</c:v>
                  </c:pt>
                  <c:pt idx="450">
                    <c:v>sachet 60 grs</c:v>
                  </c:pt>
                  <c:pt idx="451">
                    <c:v>ltr</c:v>
                  </c:pt>
                  <c:pt idx="452">
                    <c:v>1 ltr</c:v>
                  </c:pt>
                  <c:pt idx="453">
                    <c:v>1/2 ltr</c:v>
                  </c:pt>
                  <c:pt idx="454">
                    <c:v>1 ltr</c:v>
                  </c:pt>
                  <c:pt idx="455">
                    <c:v>1 ltr</c:v>
                  </c:pt>
                  <c:pt idx="456">
                    <c:v>500 c,c,</c:v>
                  </c:pt>
                  <c:pt idx="457">
                    <c:v>250 c.c.</c:v>
                  </c:pt>
                  <c:pt idx="458">
                    <c:v>1/2 ltr</c:v>
                  </c:pt>
                  <c:pt idx="460">
                    <c:v>100 gr</c:v>
                  </c:pt>
                  <c:pt idx="461">
                    <c:v>200 grs</c:v>
                  </c:pt>
                  <c:pt idx="462">
                    <c:v>0</c:v>
                  </c:pt>
                  <c:pt idx="463">
                    <c:v>100 grs</c:v>
                  </c:pt>
                  <c:pt idx="464">
                    <c:v>26 cm 2 nudos 2 pelotas</c:v>
                  </c:pt>
                  <c:pt idx="466">
                    <c:v>0</c:v>
                  </c:pt>
                  <c:pt idx="468">
                    <c:v>grande</c:v>
                  </c:pt>
                  <c:pt idx="469">
                    <c:v>mediana</c:v>
                  </c:pt>
                  <c:pt idx="470">
                    <c:v>chica</c:v>
                  </c:pt>
                  <c:pt idx="471">
                    <c:v>50v29x15</c:v>
                  </c:pt>
                  <c:pt idx="472">
                    <c:v>50*29*15</c:v>
                  </c:pt>
                  <c:pt idx="473">
                    <c:v>56*33*15</c:v>
                  </c:pt>
                  <c:pt idx="474">
                    <c:v>451 c,c</c:v>
                  </c:pt>
                  <c:pt idx="475">
                    <c:v>440 ml</c:v>
                  </c:pt>
                  <c:pt idx="477">
                    <c:v>1 ltr</c:v>
                  </c:pt>
                  <c:pt idx="478">
                    <c:v>47,5 gr</c:v>
                  </c:pt>
                  <c:pt idx="479">
                    <c:v>C/U</c:v>
                  </c:pt>
                  <c:pt idx="480">
                    <c:v>40 CC</c:v>
                  </c:pt>
                  <c:pt idx="481">
                    <c:v>100 CC</c:v>
                  </c:pt>
                  <c:pt idx="482">
                    <c:v>100gr</c:v>
                  </c:pt>
                  <c:pt idx="483">
                    <c:v>360 cc</c:v>
                  </c:pt>
                  <c:pt idx="484">
                    <c:v>50 lts</c:v>
                  </c:pt>
                  <c:pt idx="489">
                    <c:v>24</c:v>
                  </c:pt>
                  <c:pt idx="492">
                    <c:v>c/u</c:v>
                  </c:pt>
                  <c:pt idx="493">
                    <c:v>c/u</c:v>
                  </c:pt>
                  <c:pt idx="495">
                    <c:v>c/u</c:v>
                  </c:pt>
                  <c:pt idx="496">
                    <c:v>2 ltr</c:v>
                  </c:pt>
                  <c:pt idx="497">
                    <c:v>tejido en hilo</c:v>
                  </c:pt>
                  <c:pt idx="498">
                    <c:v>c/u</c:v>
                  </c:pt>
                  <c:pt idx="499">
                    <c:v>MEDIANIO</c:v>
                  </c:pt>
                  <c:pt idx="500">
                    <c:v>madera</c:v>
                  </c:pt>
                  <c:pt idx="502">
                    <c:v>900 gr</c:v>
                  </c:pt>
                  <c:pt idx="503">
                    <c:v>C/U</c:v>
                  </c:pt>
                  <c:pt idx="504">
                    <c:v>2</c:v>
                  </c:pt>
                  <c:pt idx="505">
                    <c:v>N28</c:v>
                  </c:pt>
                  <c:pt idx="507">
                    <c:v>2 lt</c:v>
                  </c:pt>
                  <c:pt idx="509">
                    <c:v>37X30</c:v>
                  </c:pt>
                  <c:pt idx="511">
                    <c:v>18 cm</c:v>
                  </c:pt>
                  <c:pt idx="512">
                    <c:v>12cm</c:v>
                  </c:pt>
                  <c:pt idx="513">
                    <c:v>C/U</c:v>
                  </c:pt>
                  <c:pt idx="516">
                    <c:v>200 grs</c:v>
                  </c:pt>
                  <c:pt idx="517">
                    <c:v>100 grs</c:v>
                  </c:pt>
                  <c:pt idx="519">
                    <c:v>100 gr</c:v>
                  </c:pt>
                  <c:pt idx="520">
                    <c:v>3</c:v>
                  </c:pt>
                  <c:pt idx="521">
                    <c:v>20 lt</c:v>
                  </c:pt>
                  <c:pt idx="522">
                    <c:v>12 PASTILLAS</c:v>
                  </c:pt>
                  <c:pt idx="526">
                    <c:v>5 a 10 kg</c:v>
                  </c:pt>
                  <c:pt idx="527">
                    <c:v>10 a 20 kg</c:v>
                  </c:pt>
                  <c:pt idx="528">
                    <c:v>20 a 40 kg</c:v>
                  </c:pt>
                  <c:pt idx="529">
                    <c:v>40 a 60 kg</c:v>
                  </c:pt>
                  <c:pt idx="530">
                    <c:v>0</c:v>
                  </c:pt>
                  <c:pt idx="532">
                    <c:v>2 kg</c:v>
                  </c:pt>
                  <c:pt idx="534">
                    <c:v>6 grs</c:v>
                  </c:pt>
                  <c:pt idx="535">
                    <c:v>15 kg</c:v>
                  </c:pt>
                  <c:pt idx="536">
                    <c:v>500 c,c,</c:v>
                  </c:pt>
                  <c:pt idx="537">
                    <c:v>100 grs</c:v>
                  </c:pt>
                  <c:pt idx="539">
                    <c:v>7,5 kg</c:v>
                  </c:pt>
                  <c:pt idx="540">
                    <c:v>5 lt c/roseta</c:v>
                  </c:pt>
                  <c:pt idx="541">
                    <c:v>1kg</c:v>
                  </c:pt>
                  <c:pt idx="544">
                    <c:v>23x23x72</c:v>
                  </c:pt>
                  <c:pt idx="545">
                    <c:v>paquete</c:v>
                  </c:pt>
                  <c:pt idx="546">
                    <c:v>c/u</c:v>
                  </c:pt>
                  <c:pt idx="547">
                    <c:v>pte 10</c:v>
                  </c:pt>
                  <c:pt idx="548">
                    <c:v>paq.</c:v>
                  </c:pt>
                  <c:pt idx="550">
                    <c:v>250cc</c:v>
                  </c:pt>
                  <c:pt idx="551">
                    <c:v>1/2lt</c:v>
                  </c:pt>
                  <c:pt idx="552">
                    <c:v>9 cm</c:v>
                  </c:pt>
                  <c:pt idx="553">
                    <c:v>5 cm</c:v>
                  </c:pt>
                  <c:pt idx="555">
                    <c:v>caja</c:v>
                  </c:pt>
                  <c:pt idx="556">
                    <c:v>c/u</c:v>
                  </c:pt>
                  <c:pt idx="558">
                    <c:v>20 ml</c:v>
                  </c:pt>
                  <c:pt idx="559">
                    <c:v>600 cc</c:v>
                  </c:pt>
                  <c:pt idx="560">
                    <c:v>700 cc</c:v>
                  </c:pt>
                  <c:pt idx="562">
                    <c:v>10 cm</c:v>
                  </c:pt>
                  <c:pt idx="563">
                    <c:v>50 grs</c:v>
                  </c:pt>
                  <c:pt idx="564">
                    <c:v>345 c,c,</c:v>
                  </c:pt>
                  <c:pt idx="565">
                    <c:v>4 l</c:v>
                  </c:pt>
                  <c:pt idx="566">
                    <c:v>32,5 gr</c:v>
                  </c:pt>
                  <c:pt idx="568">
                    <c:v>39 cm</c:v>
                  </c:pt>
                  <c:pt idx="569">
                    <c:v>c/u</c:v>
                  </c:pt>
                  <c:pt idx="571">
                    <c:v>40x45</c:v>
                  </c:pt>
                  <c:pt idx="572">
                    <c:v>24 dientes</c:v>
                  </c:pt>
                  <c:pt idx="579">
                    <c:v>20cm</c:v>
                  </c:pt>
                  <c:pt idx="582">
                    <c:v>cajax10</c:v>
                  </c:pt>
                  <c:pt idx="584">
                    <c:v>1x2 mt</c:v>
                  </c:pt>
                  <c:pt idx="586">
                    <c:v>c/u</c:v>
                  </c:pt>
                  <c:pt idx="587">
                    <c:v>blister</c:v>
                  </c:pt>
                  <c:pt idx="588">
                    <c:v>c/u</c:v>
                  </c:pt>
                  <c:pt idx="589">
                    <c:v>450 GR</c:v>
                  </c:pt>
                  <c:pt idx="590">
                    <c:v>25kg</c:v>
                  </c:pt>
                  <c:pt idx="591">
                    <c:v>1 kg</c:v>
                  </c:pt>
                  <c:pt idx="592">
                    <c:v>25 kg</c:v>
                  </c:pt>
                  <c:pt idx="593">
                    <c:v>1 kg</c:v>
                  </c:pt>
                  <c:pt idx="594">
                    <c:v>1 kg</c:v>
                  </c:pt>
                  <c:pt idx="595">
                    <c:v>1 kg</c:v>
                  </c:pt>
                  <c:pt idx="596">
                    <c:v>25 kg</c:v>
                  </c:pt>
                  <c:pt idx="597">
                    <c:v>100 gr</c:v>
                  </c:pt>
                  <c:pt idx="598">
                    <c:v>25kg</c:v>
                  </c:pt>
                  <c:pt idx="599">
                    <c:v>1 kg</c:v>
                  </c:pt>
                  <c:pt idx="600">
                    <c:v>25 kg</c:v>
                  </c:pt>
                  <c:pt idx="601">
                    <c:v>1 kg</c:v>
                  </c:pt>
                  <c:pt idx="602">
                    <c:v>25 kg</c:v>
                  </c:pt>
                  <c:pt idx="603">
                    <c:v>1 kg</c:v>
                  </c:pt>
                  <c:pt idx="604">
                    <c:v>100 gr</c:v>
                  </c:pt>
                  <c:pt idx="606">
                    <c:v>150 gr</c:v>
                  </c:pt>
                  <c:pt idx="607">
                    <c:v>1 kg</c:v>
                  </c:pt>
                  <c:pt idx="608">
                    <c:v>150 grs</c:v>
                  </c:pt>
                  <c:pt idx="609">
                    <c:v>150 gr</c:v>
                  </c:pt>
                  <c:pt idx="611">
                    <c:v>150 gr</c:v>
                  </c:pt>
                  <c:pt idx="612">
                    <c:v>150 gr</c:v>
                  </c:pt>
                  <c:pt idx="613">
                    <c:v>150 gr</c:v>
                  </c:pt>
                  <c:pt idx="614">
                    <c:v>50 ltr</c:v>
                  </c:pt>
                  <c:pt idx="615">
                    <c:v>200 grs</c:v>
                  </c:pt>
                  <c:pt idx="616">
                    <c:v>1 kg</c:v>
                  </c:pt>
                  <c:pt idx="617">
                    <c:v>200 gr</c:v>
                  </c:pt>
                  <c:pt idx="618">
                    <c:v>10 lt</c:v>
                  </c:pt>
                  <c:pt idx="619">
                    <c:v>1 carbon-2esponja</c:v>
                  </c:pt>
                  <c:pt idx="620">
                    <c:v>430 k</c:v>
                  </c:pt>
                  <c:pt idx="621">
                    <c:v>rs-230</c:v>
                  </c:pt>
                  <c:pt idx="622">
                    <c:v>rs-130 k</c:v>
                  </c:pt>
                  <c:pt idx="623">
                    <c:v>rs-280</c:v>
                  </c:pt>
                  <c:pt idx="624">
                    <c:v>RS-1000 600 LT/HR</c:v>
                  </c:pt>
                  <c:pt idx="625">
                    <c:v>RS188 12w 800lt hr</c:v>
                  </c:pt>
                  <c:pt idx="626">
                    <c:v>350 lt / hr</c:v>
                  </c:pt>
                  <c:pt idx="627">
                    <c:v>450 lt / hr</c:v>
                  </c:pt>
                  <c:pt idx="628">
                    <c:v>1000 lt/hr</c:v>
                  </c:pt>
                  <c:pt idx="629">
                    <c:v>600 lt/hr</c:v>
                  </c:pt>
                  <c:pt idx="630">
                    <c:v>300 lt/hr</c:v>
                  </c:pt>
                  <c:pt idx="631">
                    <c:v>c/u</c:v>
                  </c:pt>
                  <c:pt idx="632">
                    <c:v>rs-4500</c:v>
                  </c:pt>
                  <c:pt idx="633">
                    <c:v>250,c,c</c:v>
                  </c:pt>
                  <c:pt idx="634">
                    <c:v>5 ltr</c:v>
                  </c:pt>
                  <c:pt idx="635">
                    <c:v>250 c,c</c:v>
                  </c:pt>
                  <c:pt idx="636">
                    <c:v>250 cc</c:v>
                  </c:pt>
                  <c:pt idx="638">
                    <c:v>c/u</c:v>
                  </c:pt>
                  <c:pt idx="639">
                    <c:v>c/u</c:v>
                  </c:pt>
                  <c:pt idx="645">
                    <c:v>c/u</c:v>
                  </c:pt>
                  <c:pt idx="652">
                    <c:v>9,5X19</c:v>
                  </c:pt>
                  <c:pt idx="653">
                    <c:v>13X23,5</c:v>
                  </c:pt>
                  <c:pt idx="654">
                    <c:v>6X18,5</c:v>
                  </c:pt>
                  <c:pt idx="655">
                    <c:v>839X19</c:v>
                  </c:pt>
                  <c:pt idx="658">
                    <c:v>15 varas</c:v>
                  </c:pt>
                  <c:pt idx="659">
                    <c:v>1v</c:v>
                  </c:pt>
                  <c:pt idx="666">
                    <c:v>0</c:v>
                  </c:pt>
                  <c:pt idx="667">
                    <c:v>30 c,c</c:v>
                  </c:pt>
                  <c:pt idx="668">
                    <c:v>100 c,c</c:v>
                  </c:pt>
                  <c:pt idx="670">
                    <c:v>4 lts</c:v>
                  </c:pt>
                  <c:pt idx="671">
                    <c:v>1,9 lt</c:v>
                  </c:pt>
                  <c:pt idx="672">
                    <c:v>410 ml</c:v>
                  </c:pt>
                  <c:pt idx="673">
                    <c:v>1 LT</c:v>
                  </c:pt>
                  <c:pt idx="674">
                    <c:v>50 cc</c:v>
                  </c:pt>
                  <c:pt idx="675">
                    <c:v>1 ltr</c:v>
                  </c:pt>
                  <c:pt idx="676">
                    <c:v>100 c,c</c:v>
                  </c:pt>
                  <c:pt idx="679">
                    <c:v>10 kg</c:v>
                  </c:pt>
                  <c:pt idx="680">
                    <c:v>5 kg</c:v>
                  </c:pt>
                  <c:pt idx="681">
                    <c:v>7,5 kg</c:v>
                  </c:pt>
                  <c:pt idx="682">
                    <c:v>1/2 kg</c:v>
                  </c:pt>
                  <c:pt idx="683">
                    <c:v>25 kg</c:v>
                  </c:pt>
                  <c:pt idx="684">
                    <c:v>1/2 kg</c:v>
                  </c:pt>
                  <c:pt idx="685">
                    <c:v>7 kg</c:v>
                  </c:pt>
                  <c:pt idx="686">
                    <c:v>1/2 kg</c:v>
                  </c:pt>
                  <c:pt idx="687">
                    <c:v>1/2 kg</c:v>
                  </c:pt>
                  <c:pt idx="688">
                    <c:v>500 gr</c:v>
                  </c:pt>
                  <c:pt idx="689">
                    <c:v>1/2 kg</c:v>
                  </c:pt>
                  <c:pt idx="690">
                    <c:v>1/2 kg</c:v>
                  </c:pt>
                  <c:pt idx="691">
                    <c:v>15 kg</c:v>
                  </c:pt>
                  <c:pt idx="692">
                    <c:v>15 kg</c:v>
                  </c:pt>
                  <c:pt idx="693">
                    <c:v>1/2 kg</c:v>
                  </c:pt>
                  <c:pt idx="694">
                    <c:v>kg</c:v>
                  </c:pt>
                  <c:pt idx="695">
                    <c:v>1 KG</c:v>
                  </c:pt>
                  <c:pt idx="696">
                    <c:v>8 KG</c:v>
                  </c:pt>
                  <c:pt idx="697">
                    <c:v>7 KG</c:v>
                  </c:pt>
                  <c:pt idx="698">
                    <c:v>1 KG</c:v>
                  </c:pt>
                  <c:pt idx="699">
                    <c:v>1/2 kg</c:v>
                  </c:pt>
                  <c:pt idx="700">
                    <c:v>7,5 kg</c:v>
                  </c:pt>
                  <c:pt idx="701">
                    <c:v>15 kg</c:v>
                  </c:pt>
                  <c:pt idx="702">
                    <c:v>1/2 kg</c:v>
                  </c:pt>
                  <c:pt idx="703">
                    <c:v>0,5</c:v>
                  </c:pt>
                  <c:pt idx="704">
                    <c:v>7 kg</c:v>
                  </c:pt>
                  <c:pt idx="705">
                    <c:v>500 gr</c:v>
                  </c:pt>
                  <c:pt idx="706">
                    <c:v>10 kg</c:v>
                  </c:pt>
                  <c:pt idx="707">
                    <c:v>22</c:v>
                  </c:pt>
                  <c:pt idx="708">
                    <c:v>1/2 kg</c:v>
                  </c:pt>
                  <c:pt idx="709">
                    <c:v>15 kg</c:v>
                  </c:pt>
                  <c:pt idx="710">
                    <c:v>1/2 kg</c:v>
                  </c:pt>
                  <c:pt idx="711">
                    <c:v>10 kg</c:v>
                  </c:pt>
                  <c:pt idx="712">
                    <c:v>1/2 kg</c:v>
                  </c:pt>
                  <c:pt idx="713">
                    <c:v>8 kgr</c:v>
                  </c:pt>
                  <c:pt idx="714">
                    <c:v>20kg</c:v>
                  </c:pt>
                  <c:pt idx="715">
                    <c:v>60x35</c:v>
                  </c:pt>
                  <c:pt idx="716">
                    <c:v>1 kg</c:v>
                  </c:pt>
                  <c:pt idx="717">
                    <c:v>85grs</c:v>
                  </c:pt>
                  <c:pt idx="718">
                    <c:v>1/2 kg</c:v>
                  </c:pt>
                  <c:pt idx="719">
                    <c:v>1/2 kg</c:v>
                  </c:pt>
                  <c:pt idx="720">
                    <c:v>10kg</c:v>
                  </c:pt>
                  <c:pt idx="721">
                    <c:v>10kg</c:v>
                  </c:pt>
                  <c:pt idx="722">
                    <c:v>7kg</c:v>
                  </c:pt>
                  <c:pt idx="724">
                    <c:v>25 kg</c:v>
                  </c:pt>
                  <c:pt idx="725">
                    <c:v>kg</c:v>
                  </c:pt>
                  <c:pt idx="726">
                    <c:v>20 kg</c:v>
                  </c:pt>
                  <c:pt idx="727">
                    <c:v>kg</c:v>
                  </c:pt>
                  <c:pt idx="728">
                    <c:v>1 kg</c:v>
                  </c:pt>
                  <c:pt idx="729">
                    <c:v>200 gr</c:v>
                  </c:pt>
                  <c:pt idx="730">
                    <c:v>20 ltr</c:v>
                  </c:pt>
                  <c:pt idx="731">
                    <c:v>1 ltr</c:v>
                  </c:pt>
                  <c:pt idx="732">
                    <c:v>5 kg</c:v>
                  </c:pt>
                  <c:pt idx="733">
                    <c:v>500 c.c.</c:v>
                  </c:pt>
                  <c:pt idx="734">
                    <c:v>500 cc</c:v>
                  </c:pt>
                  <c:pt idx="735">
                    <c:v>250 ml</c:v>
                  </c:pt>
                  <c:pt idx="736">
                    <c:v>500 grs</c:v>
                  </c:pt>
                  <c:pt idx="740">
                    <c:v>j&amp;G</c:v>
                  </c:pt>
                  <c:pt idx="741">
                    <c:v>0</c:v>
                  </c:pt>
                  <c:pt idx="742">
                    <c:v>0</c:v>
                  </c:pt>
                  <c:pt idx="744">
                    <c:v>0</c:v>
                  </c:pt>
                  <c:pt idx="750">
                    <c:v>1 kg</c:v>
                  </c:pt>
                  <c:pt idx="751">
                    <c:v>100 c,c</c:v>
                  </c:pt>
                  <c:pt idx="752">
                    <c:v>1/4 lt</c:v>
                  </c:pt>
                  <c:pt idx="753">
                    <c:v>1/2 lt</c:v>
                  </c:pt>
                  <c:pt idx="754">
                    <c:v>100 cc</c:v>
                  </c:pt>
                  <c:pt idx="755">
                    <c:v>1 ltr</c:v>
                  </c:pt>
                  <c:pt idx="756">
                    <c:v>1 lt</c:v>
                  </c:pt>
                  <c:pt idx="757">
                    <c:v>20 lt</c:v>
                  </c:pt>
                  <c:pt idx="758">
                    <c:v>c/u</c:v>
                  </c:pt>
                  <c:pt idx="759">
                    <c:v>0</c:v>
                  </c:pt>
                  <c:pt idx="760">
                    <c:v>5 grs</c:v>
                  </c:pt>
                  <c:pt idx="761">
                    <c:v>10 ltr</c:v>
                  </c:pt>
                  <c:pt idx="762">
                    <c:v>c/u</c:v>
                  </c:pt>
                  <c:pt idx="764">
                    <c:v>100 gr</c:v>
                  </c:pt>
                  <c:pt idx="765">
                    <c:v>250 grs</c:v>
                  </c:pt>
                  <c:pt idx="766">
                    <c:v>500 grs</c:v>
                  </c:pt>
                  <c:pt idx="767">
                    <c:v>500 gr</c:v>
                  </c:pt>
                  <c:pt idx="768">
                    <c:v>250</c:v>
                  </c:pt>
                  <c:pt idx="769">
                    <c:v>100 gr</c:v>
                  </c:pt>
                  <c:pt idx="770">
                    <c:v>1 kg</c:v>
                  </c:pt>
                  <c:pt idx="771">
                    <c:v>1 kg</c:v>
                  </c:pt>
                  <c:pt idx="772">
                    <c:v>1 kg</c:v>
                  </c:pt>
                  <c:pt idx="773">
                    <c:v>100 gr</c:v>
                  </c:pt>
                  <c:pt idx="774">
                    <c:v>100 gr</c:v>
                  </c:pt>
                  <c:pt idx="777">
                    <c:v>c/u</c:v>
                  </c:pt>
                  <c:pt idx="778">
                    <c:v>c/u</c:v>
                  </c:pt>
                  <c:pt idx="779">
                    <c:v>24 unidades</c:v>
                  </c:pt>
                  <c:pt idx="780">
                    <c:v>1 unidad</c:v>
                  </c:pt>
                  <c:pt idx="781">
                    <c:v>pte. 5 huevos</c:v>
                  </c:pt>
                  <c:pt idx="782">
                    <c:v>2 lt </c:v>
                  </c:pt>
                  <c:pt idx="783">
                    <c:v>6 lt</c:v>
                  </c:pt>
                  <c:pt idx="784">
                    <c:v>4 lts</c:v>
                  </c:pt>
                  <c:pt idx="785">
                    <c:v>10 lts</c:v>
                  </c:pt>
                  <c:pt idx="786">
                    <c:v>360 cc</c:v>
                  </c:pt>
                  <c:pt idx="788">
                    <c:v>c/u</c:v>
                  </c:pt>
                  <c:pt idx="789">
                    <c:v>36*31*31</c:v>
                  </c:pt>
                  <c:pt idx="790">
                    <c:v>45*40*36</c:v>
                  </c:pt>
                  <c:pt idx="791">
                    <c:v>35*35</c:v>
                  </c:pt>
                  <c:pt idx="792">
                    <c:v>50 C.C</c:v>
                  </c:pt>
                  <c:pt idx="793">
                    <c:v>100 c,c</c:v>
                  </c:pt>
                  <c:pt idx="796">
                    <c:v>1 ltr</c:v>
                  </c:pt>
                  <c:pt idx="797">
                    <c:v>50 ml</c:v>
                  </c:pt>
                  <c:pt idx="799">
                    <c:v>1Lt</c:v>
                  </c:pt>
                  <c:pt idx="800">
                    <c:v>360 cc</c:v>
                  </c:pt>
                  <c:pt idx="801">
                    <c:v>100 cc</c:v>
                  </c:pt>
                  <c:pt idx="802">
                    <c:v>500</c:v>
                  </c:pt>
                  <c:pt idx="803">
                    <c:v>1 lt</c:v>
                  </c:pt>
                  <c:pt idx="804">
                    <c:v>5 lts</c:v>
                  </c:pt>
                  <c:pt idx="805">
                    <c:v>50 cm</c:v>
                  </c:pt>
                  <c:pt idx="806">
                    <c:v>31X16X12</c:v>
                  </c:pt>
                  <c:pt idx="807">
                    <c:v>35X14</c:v>
                  </c:pt>
                  <c:pt idx="808">
                    <c:v>44,5X14</c:v>
                  </c:pt>
                  <c:pt idx="809">
                    <c:v>57X22</c:v>
                  </c:pt>
                  <c:pt idx="810">
                    <c:v>DOBLE balcon</c:v>
                  </c:pt>
                  <c:pt idx="811">
                    <c:v>35 cm </c:v>
                  </c:pt>
                  <c:pt idx="812">
                    <c:v>80 cm </c:v>
                  </c:pt>
                  <c:pt idx="814">
                    <c:v>20 cm</c:v>
                  </c:pt>
                  <c:pt idx="815">
                    <c:v>30 cm</c:v>
                  </c:pt>
                  <c:pt idx="816">
                    <c:v>40 cm</c:v>
                  </c:pt>
                  <c:pt idx="817">
                    <c:v>50 cm</c:v>
                  </c:pt>
                  <c:pt idx="818">
                    <c:v>60 cm</c:v>
                  </c:pt>
                  <c:pt idx="819">
                    <c:v>jd45</c:v>
                  </c:pt>
                  <c:pt idx="820">
                    <c:v>jd33</c:v>
                  </c:pt>
                  <c:pt idx="821">
                    <c:v>20</c:v>
                  </c:pt>
                  <c:pt idx="822">
                    <c:v>36</c:v>
                  </c:pt>
                  <c:pt idx="823">
                    <c:v>30 cm</c:v>
                  </c:pt>
                  <c:pt idx="824">
                    <c:v>40 cm</c:v>
                  </c:pt>
                  <c:pt idx="825">
                    <c:v>50 cm</c:v>
                  </c:pt>
                  <c:pt idx="826">
                    <c:v>60 cm</c:v>
                  </c:pt>
                  <c:pt idx="827">
                    <c:v>50 cm</c:v>
                  </c:pt>
                  <c:pt idx="828">
                    <c:v>67 CM</c:v>
                  </c:pt>
                  <c:pt idx="829">
                    <c:v>31x16x13cm</c:v>
                  </c:pt>
                  <c:pt idx="832">
                    <c:v>73 CN</c:v>
                  </c:pt>
                  <c:pt idx="833">
                    <c:v>35</c:v>
                  </c:pt>
                  <c:pt idx="834">
                    <c:v>45</c:v>
                  </c:pt>
                  <c:pt idx="835">
                    <c:v>55</c:v>
                  </c:pt>
                  <c:pt idx="836">
                    <c:v>50cm</c:v>
                  </c:pt>
                  <c:pt idx="837">
                    <c:v>25cm</c:v>
                  </c:pt>
                  <c:pt idx="838">
                    <c:v>37x17x13 </c:v>
                  </c:pt>
                  <c:pt idx="839">
                    <c:v>40x19</c:v>
                  </c:pt>
                  <c:pt idx="840">
                    <c:v>31x16x13</c:v>
                  </c:pt>
                  <c:pt idx="841">
                    <c:v>35 cm</c:v>
                  </c:pt>
                  <c:pt idx="842">
                    <c:v>34,5x28x46</c:v>
                  </c:pt>
                  <c:pt idx="843">
                    <c:v>69x45x36</c:v>
                  </c:pt>
                  <c:pt idx="844">
                    <c:v>85x49x38</c:v>
                  </c:pt>
                  <c:pt idx="845">
                    <c:v>60x36x32</c:v>
                  </c:pt>
                  <c:pt idx="846">
                    <c:v>3 pisos</c:v>
                  </c:pt>
                  <c:pt idx="847">
                    <c:v>30x23x21</c:v>
                  </c:pt>
                  <c:pt idx="848">
                    <c:v>30*23*41</c:v>
                  </c:pt>
                  <c:pt idx="849">
                    <c:v>kg.</c:v>
                  </c:pt>
                  <c:pt idx="851">
                    <c:v>grande</c:v>
                  </c:pt>
                  <c:pt idx="852">
                    <c:v>c/u</c:v>
                  </c:pt>
                  <c:pt idx="853">
                    <c:v>30x23x39</c:v>
                  </c:pt>
                  <c:pt idx="854">
                    <c:v>76,46,46,d610</c:v>
                  </c:pt>
                  <c:pt idx="855">
                    <c:v>76x46x46,d610</c:v>
                  </c:pt>
                  <c:pt idx="857">
                    <c:v>30x23x39</c:v>
                  </c:pt>
                  <c:pt idx="858">
                    <c:v>30x23x39</c:v>
                  </c:pt>
                  <c:pt idx="859">
                    <c:v>60x36x32</c:v>
                  </c:pt>
                  <c:pt idx="860">
                    <c:v>30x23x39</c:v>
                  </c:pt>
                  <c:pt idx="861">
                    <c:v>30*23*39</c:v>
                  </c:pt>
                  <c:pt idx="863">
                    <c:v>6 grs</c:v>
                  </c:pt>
                  <c:pt idx="864">
                    <c:v>8 gr</c:v>
                  </c:pt>
                  <c:pt idx="865">
                    <c:v>6 gr</c:v>
                  </c:pt>
                  <c:pt idx="866">
                    <c:v>3 grs</c:v>
                  </c:pt>
                  <c:pt idx="867">
                    <c:v>c/u</c:v>
                  </c:pt>
                  <c:pt idx="868">
                    <c:v>3gr</c:v>
                  </c:pt>
                  <c:pt idx="870">
                    <c:v>300 cc</c:v>
                  </c:pt>
                  <c:pt idx="871">
                    <c:v>300cc</c:v>
                  </c:pt>
                  <c:pt idx="872">
                    <c:v>2 tarro</c:v>
                  </c:pt>
                  <c:pt idx="876">
                    <c:v>38x1,5</c:v>
                  </c:pt>
                  <c:pt idx="877">
                    <c:v>45X2</c:v>
                  </c:pt>
                  <c:pt idx="878">
                    <c:v>34X1</c:v>
                  </c:pt>
                  <c:pt idx="880">
                    <c:v>0</c:v>
                  </c:pt>
                  <c:pt idx="881">
                    <c:v>3 PIEZAS</c:v>
                  </c:pt>
                  <c:pt idx="882">
                    <c:v>0</c:v>
                  </c:pt>
                  <c:pt idx="886">
                    <c:v>20cm</c:v>
                  </c:pt>
                  <c:pt idx="887">
                    <c:v>1,5cm</c:v>
                  </c:pt>
                  <c:pt idx="888">
                    <c:v>1cm</c:v>
                  </c:pt>
                  <c:pt idx="891">
                    <c:v>40x4 cn</c:v>
                  </c:pt>
                  <c:pt idx="892">
                    <c:v>10 x2,5</c:v>
                  </c:pt>
                  <c:pt idx="893">
                    <c:v>12 CM</c:v>
                  </c:pt>
                  <c:pt idx="898">
                    <c:v>13 CM</c:v>
                  </c:pt>
                  <c:pt idx="899">
                    <c:v>7 cm</c:v>
                  </c:pt>
                  <c:pt idx="900">
                    <c:v>8 cm</c:v>
                  </c:pt>
                  <c:pt idx="901">
                    <c:v>7 cm</c:v>
                  </c:pt>
                  <c:pt idx="902">
                    <c:v>33 cm</c:v>
                  </c:pt>
                  <c:pt idx="903">
                    <c:v>30 CM</c:v>
                  </c:pt>
                  <c:pt idx="904">
                    <c:v>12 cm</c:v>
                  </c:pt>
                  <c:pt idx="905">
                    <c:v>2 unidades</c:v>
                  </c:pt>
                  <c:pt idx="907">
                    <c:v>c/u</c:v>
                  </c:pt>
                  <c:pt idx="908">
                    <c:v>x metro</c:v>
                  </c:pt>
                  <c:pt idx="909">
                    <c:v>10cm </c:v>
                  </c:pt>
                  <c:pt idx="910">
                    <c:v>15MT</c:v>
                  </c:pt>
                  <c:pt idx="911">
                    <c:v>1m </c:v>
                  </c:pt>
                  <c:pt idx="912">
                    <c:v>10 CM X 50 CM</c:v>
                  </c:pt>
                  <c:pt idx="914">
                    <c:v>40-60 CMS RS-68l</c:v>
                  </c:pt>
                  <c:pt idx="916">
                    <c:v>20 a 30 cm</c:v>
                  </c:pt>
                  <c:pt idx="917">
                    <c:v>c/u</c:v>
                  </c:pt>
                  <c:pt idx="918">
                    <c:v>n 12</c:v>
                  </c:pt>
                  <c:pt idx="920">
                    <c:v>b20</c:v>
                  </c:pt>
                  <c:pt idx="921">
                    <c:v>n 44  </c:v>
                  </c:pt>
                  <c:pt idx="922">
                    <c:v>13,6x12,5</c:v>
                  </c:pt>
                  <c:pt idx="923">
                    <c:v>16,5x13,5</c:v>
                  </c:pt>
                  <c:pt idx="925">
                    <c:v>c/u</c:v>
                  </c:pt>
                  <c:pt idx="926">
                    <c:v>18</c:v>
                  </c:pt>
                  <c:pt idx="927">
                    <c:v>2</c:v>
                  </c:pt>
                  <c:pt idx="928">
                    <c:v>4</c:v>
                  </c:pt>
                  <c:pt idx="929">
                    <c:v>6</c:v>
                  </c:pt>
                  <c:pt idx="930">
                    <c:v>7</c:v>
                  </c:pt>
                  <c:pt idx="931">
                    <c:v>14 cm</c:v>
                  </c:pt>
                  <c:pt idx="932">
                    <c:v>17 cm</c:v>
                  </c:pt>
                  <c:pt idx="933">
                    <c:v>20 cm</c:v>
                  </c:pt>
                  <c:pt idx="934">
                    <c:v>27 cm</c:v>
                  </c:pt>
                  <c:pt idx="935">
                    <c:v>23 cm</c:v>
                  </c:pt>
                  <c:pt idx="936">
                    <c:v>25 cm</c:v>
                  </c:pt>
                  <c:pt idx="937">
                    <c:v>30 CM</c:v>
                  </c:pt>
                  <c:pt idx="938">
                    <c:v>16</c:v>
                  </c:pt>
                  <c:pt idx="939">
                    <c:v>30X20,5</c:v>
                  </c:pt>
                  <c:pt idx="940">
                    <c:v>25X16,5</c:v>
                  </c:pt>
                  <c:pt idx="941">
                    <c:v>35X23,5</c:v>
                  </c:pt>
                  <c:pt idx="942">
                    <c:v>30X20</c:v>
                  </c:pt>
                  <c:pt idx="943">
                    <c:v>25X16,5</c:v>
                  </c:pt>
                  <c:pt idx="944">
                    <c:v>10cm</c:v>
                  </c:pt>
                  <c:pt idx="945">
                    <c:v>12 cm</c:v>
                  </c:pt>
                  <c:pt idx="946">
                    <c:v>14 cm</c:v>
                  </c:pt>
                  <c:pt idx="947">
                    <c:v>16cm</c:v>
                  </c:pt>
                  <c:pt idx="948">
                    <c:v>18cm</c:v>
                  </c:pt>
                  <c:pt idx="949">
                    <c:v>20cm</c:v>
                  </c:pt>
                  <c:pt idx="950">
                    <c:v>22cm</c:v>
                  </c:pt>
                  <c:pt idx="951">
                    <c:v>26cm</c:v>
                  </c:pt>
                  <c:pt idx="952">
                    <c:v>30 CM</c:v>
                  </c:pt>
                  <c:pt idx="953">
                    <c:v>7cm</c:v>
                  </c:pt>
                  <c:pt idx="954">
                    <c:v>8cm</c:v>
                  </c:pt>
                  <c:pt idx="955">
                    <c:v>No 3</c:v>
                  </c:pt>
                  <c:pt idx="956">
                    <c:v>23</c:v>
                  </c:pt>
                  <c:pt idx="957">
                    <c:v>29</c:v>
                  </c:pt>
                  <c:pt idx="958">
                    <c:v>36</c:v>
                  </c:pt>
                  <c:pt idx="959">
                    <c:v>0</c:v>
                  </c:pt>
                  <c:pt idx="960">
                    <c:v>38 cm</c:v>
                  </c:pt>
                  <c:pt idx="961">
                    <c:v>1</c:v>
                  </c:pt>
                  <c:pt idx="962">
                    <c:v>n 12</c:v>
                  </c:pt>
                  <c:pt idx="963">
                    <c:v>n 5</c:v>
                  </c:pt>
                  <c:pt idx="964">
                    <c:v>n 6</c:v>
                  </c:pt>
                  <c:pt idx="965">
                    <c:v>n 7</c:v>
                  </c:pt>
                  <c:pt idx="966">
                    <c:v>n 0</c:v>
                  </c:pt>
                  <c:pt idx="967">
                    <c:v>n 8</c:v>
                  </c:pt>
                  <c:pt idx="968">
                    <c:v>12</c:v>
                  </c:pt>
                  <c:pt idx="969">
                    <c:v>16</c:v>
                  </c:pt>
                  <c:pt idx="971">
                    <c:v>40</c:v>
                  </c:pt>
                  <c:pt idx="972">
                    <c:v>48</c:v>
                  </c:pt>
                  <c:pt idx="973">
                    <c:v>52</c:v>
                  </c:pt>
                  <c:pt idx="974">
                    <c:v>22</c:v>
                  </c:pt>
                  <c:pt idx="975">
                    <c:v>22 cm</c:v>
                  </c:pt>
                  <c:pt idx="977">
                    <c:v>20</c:v>
                  </c:pt>
                  <c:pt idx="978">
                    <c:v>40</c:v>
                  </c:pt>
                  <c:pt idx="979">
                    <c:v>50</c:v>
                  </c:pt>
                  <c:pt idx="980">
                    <c:v>n 1</c:v>
                  </c:pt>
                  <c:pt idx="981">
                    <c:v>n 2</c:v>
                  </c:pt>
                  <c:pt idx="982">
                    <c:v>0</c:v>
                  </c:pt>
                  <c:pt idx="984">
                    <c:v>11 cm</c:v>
                  </c:pt>
                  <c:pt idx="985">
                    <c:v>9 cm</c:v>
                  </c:pt>
                  <c:pt idx="986">
                    <c:v>11 cm</c:v>
                  </c:pt>
                  <c:pt idx="987">
                    <c:v>9 cm</c:v>
                  </c:pt>
                  <c:pt idx="988">
                    <c:v>4,5x4,5</c:v>
                  </c:pt>
                  <c:pt idx="989">
                    <c:v>6 cm</c:v>
                  </c:pt>
                  <c:pt idx="990">
                    <c:v>6 cn</c:v>
                  </c:pt>
                  <c:pt idx="991">
                    <c:v>4,5 x4,5-</c:v>
                  </c:pt>
                  <c:pt idx="998">
                    <c:v>20cm</c:v>
                  </c:pt>
                  <c:pt idx="999">
                    <c:v>30cm</c:v>
                  </c:pt>
                  <c:pt idx="1000">
                    <c:v>15cm</c:v>
                  </c:pt>
                  <c:pt idx="1001">
                    <c:v>25 cm</c:v>
                  </c:pt>
                  <c:pt idx="1002">
                    <c:v>c/u</c:v>
                  </c:pt>
                  <c:pt idx="1003">
                    <c:v>48</c:v>
                  </c:pt>
                  <c:pt idx="1004">
                    <c:v>23</c:v>
                  </c:pt>
                  <c:pt idx="1005">
                    <c:v>27</c:v>
                  </c:pt>
                  <c:pt idx="1006">
                    <c:v>32</c:v>
                  </c:pt>
                  <c:pt idx="1007">
                    <c:v>38</c:v>
                  </c:pt>
                  <c:pt idx="1008">
                    <c:v>43</c:v>
                  </c:pt>
                  <c:pt idx="1009">
                    <c:v>48</c:v>
                  </c:pt>
                  <c:pt idx="1010">
                    <c:v>54</c:v>
                  </c:pt>
                  <c:pt idx="1011">
                    <c:v>48</c:v>
                  </c:pt>
                  <c:pt idx="1012">
                    <c:v>6,5x6</c:v>
                  </c:pt>
                  <c:pt idx="1015">
                    <c:v>c/u</c:v>
                  </c:pt>
                  <c:pt idx="1016">
                    <c:v>c/u</c:v>
                  </c:pt>
                  <c:pt idx="1017">
                    <c:v>c/u</c:v>
                  </c:pt>
                  <c:pt idx="1018">
                    <c:v>12 cm</c:v>
                  </c:pt>
                  <c:pt idx="1019">
                    <c:v>14 cm</c:v>
                  </c:pt>
                  <c:pt idx="1020">
                    <c:v>18 cm</c:v>
                  </c:pt>
                  <c:pt idx="1021">
                    <c:v>22cm</c:v>
                  </c:pt>
                  <c:pt idx="1022">
                    <c:v>N22</c:v>
                  </c:pt>
                  <c:pt idx="1023">
                    <c:v>N35</c:v>
                  </c:pt>
                  <c:pt idx="1024">
                    <c:v>N28</c:v>
                  </c:pt>
                  <c:pt idx="1025">
                    <c:v>N35</c:v>
                  </c:pt>
                  <c:pt idx="1026">
                    <c:v>N16</c:v>
                  </c:pt>
                  <c:pt idx="1027">
                    <c:v>N22</c:v>
                  </c:pt>
                  <c:pt idx="1028">
                    <c:v>N28</c:v>
                  </c:pt>
                  <c:pt idx="1029">
                    <c:v>N35</c:v>
                  </c:pt>
                  <c:pt idx="1030">
                    <c:v>35</c:v>
                  </c:pt>
                  <c:pt idx="1031">
                    <c:v>40</c:v>
                  </c:pt>
                  <c:pt idx="1032">
                    <c:v>48</c:v>
                  </c:pt>
                  <c:pt idx="1033">
                    <c:v>cl24</c:v>
                  </c:pt>
                  <c:pt idx="1034">
                    <c:v>cl15</c:v>
                  </c:pt>
                  <c:pt idx="1035">
                    <c:v>cl19</c:v>
                  </c:pt>
                  <c:pt idx="1036">
                    <c:v>12</c:v>
                  </c:pt>
                  <c:pt idx="1037">
                    <c:v>14</c:v>
                  </c:pt>
                  <c:pt idx="1038">
                    <c:v>16</c:v>
                  </c:pt>
                  <c:pt idx="1039">
                    <c:v>18</c:v>
                  </c:pt>
                  <c:pt idx="1040">
                    <c:v>20</c:v>
                  </c:pt>
                  <c:pt idx="1041">
                    <c:v>22</c:v>
                  </c:pt>
                  <c:pt idx="1042">
                    <c:v>24</c:v>
                  </c:pt>
                  <c:pt idx="1043">
                    <c:v>26</c:v>
                  </c:pt>
                  <c:pt idx="1044">
                    <c:v>30</c:v>
                  </c:pt>
                  <c:pt idx="1045">
                    <c:v>35</c:v>
                  </c:pt>
                  <c:pt idx="1046">
                    <c:v>40</c:v>
                  </c:pt>
                  <c:pt idx="1047">
                    <c:v>17</c:v>
                  </c:pt>
                  <c:pt idx="1048">
                    <c:v>24</c:v>
                  </c:pt>
                  <c:pt idx="1049">
                    <c:v>35</c:v>
                  </c:pt>
                  <c:pt idx="1050">
                    <c:v>cl10</c:v>
                  </c:pt>
                  <c:pt idx="1051">
                    <c:v>cl13</c:v>
                  </c:pt>
                  <c:pt idx="1053">
                    <c:v>16,5x12,5x51</c:v>
                  </c:pt>
                  <c:pt idx="1054">
                    <c:v>C13</c:v>
                  </c:pt>
                  <c:pt idx="1055">
                    <c:v>C18</c:v>
                  </c:pt>
                  <c:pt idx="1056">
                    <c:v>C21</c:v>
                  </c:pt>
                  <c:pt idx="1057">
                    <c:v>14,5x25,5</c:v>
                  </c:pt>
                  <c:pt idx="1058">
                    <c:v>11,5x20</c:v>
                  </c:pt>
                  <c:pt idx="1059">
                    <c:v>23,5x14,5cm</c:v>
                  </c:pt>
                  <c:pt idx="1061">
                    <c:v>20x12</c:v>
                  </c:pt>
                  <c:pt idx="1062">
                    <c:v>24X15</c:v>
                  </c:pt>
                  <c:pt idx="1063">
                    <c:v>20X13</c:v>
                  </c:pt>
                  <c:pt idx="1064">
                    <c:v>20X12</c:v>
                  </c:pt>
                  <c:pt idx="1068">
                    <c:v>37x29</c:v>
                  </c:pt>
                  <c:pt idx="1069">
                    <c:v>grde</c:v>
                  </c:pt>
                  <c:pt idx="1070">
                    <c:v>med</c:v>
                  </c:pt>
                  <c:pt idx="1071">
                    <c:v>20x16</c:v>
                  </c:pt>
                  <c:pt idx="1079">
                    <c:v>18x18x14,5</c:v>
                  </c:pt>
                  <c:pt idx="1084">
                    <c:v>21</c:v>
                  </c:pt>
                  <c:pt idx="1085">
                    <c:v>1,5</c:v>
                  </c:pt>
                  <c:pt idx="1086">
                    <c:v>2</c:v>
                  </c:pt>
                  <c:pt idx="1087">
                    <c:v>16 cm</c:v>
                  </c:pt>
                  <c:pt idx="1088">
                    <c:v>23 cm</c:v>
                  </c:pt>
                  <c:pt idx="1089">
                    <c:v>30 cm</c:v>
                  </c:pt>
                  <c:pt idx="1090">
                    <c:v>36 cm</c:v>
                  </c:pt>
                  <c:pt idx="1091">
                    <c:v>7 cm</c:v>
                  </c:pt>
                  <c:pt idx="1092">
                    <c:v>26 cm</c:v>
                  </c:pt>
                  <c:pt idx="1093">
                    <c:v>38 cm</c:v>
                  </c:pt>
                  <c:pt idx="1094">
                    <c:v>c/u</c:v>
                  </c:pt>
                  <c:pt idx="1095">
                    <c:v>1</c:v>
                  </c:pt>
                  <c:pt idx="1096">
                    <c:v>2</c:v>
                  </c:pt>
                  <c:pt idx="1097">
                    <c:v>4</c:v>
                  </c:pt>
                  <c:pt idx="1098">
                    <c:v>c/u</c:v>
                  </c:pt>
                  <c:pt idx="1103">
                    <c:v>26X11</c:v>
                  </c:pt>
                  <c:pt idx="1106">
                    <c:v>n 15</c:v>
                  </c:pt>
                  <c:pt idx="1107">
                    <c:v>23X12X11</c:v>
                  </c:pt>
                  <c:pt idx="1109">
                    <c:v>12 cm</c:v>
                  </c:pt>
                  <c:pt idx="1110">
                    <c:v>20lts</c:v>
                  </c:pt>
                  <c:pt idx="1111">
                    <c:v>11 lts</c:v>
                  </c:pt>
                  <c:pt idx="1112">
                    <c:v>5lt</c:v>
                  </c:pt>
                  <c:pt idx="1113">
                    <c:v>3lt</c:v>
                  </c:pt>
                  <c:pt idx="1114">
                    <c:v>2lt</c:v>
                  </c:pt>
                  <c:pt idx="1115">
                    <c:v>12 CM</c:v>
                  </c:pt>
                  <c:pt idx="1116">
                    <c:v>12 cm</c:v>
                  </c:pt>
                  <c:pt idx="1117">
                    <c:v>9 cm</c:v>
                  </c:pt>
                  <c:pt idx="1118">
                    <c:v>15lts</c:v>
                  </c:pt>
                  <c:pt idx="1119">
                    <c:v>15</c:v>
                  </c:pt>
                  <c:pt idx="1120">
                    <c:v>19</c:v>
                  </c:pt>
                  <c:pt idx="1122">
                    <c:v>15</c:v>
                  </c:pt>
                  <c:pt idx="1123">
                    <c:v>19</c:v>
                  </c:pt>
                  <c:pt idx="1124">
                    <c:v>17</c:v>
                  </c:pt>
                  <c:pt idx="1125">
                    <c:v>21</c:v>
                  </c:pt>
                  <c:pt idx="1126">
                    <c:v>25</c:v>
                  </c:pt>
                  <c:pt idx="1127">
                    <c:v>negra</c:v>
                  </c:pt>
                  <c:pt idx="1128">
                    <c:v>12</c:v>
                  </c:pt>
                  <c:pt idx="1129">
                    <c:v>14</c:v>
                  </c:pt>
                  <c:pt idx="1130">
                    <c:v>16</c:v>
                  </c:pt>
                  <c:pt idx="1131">
                    <c:v>N18</c:v>
                  </c:pt>
                  <c:pt idx="1132">
                    <c:v>N20</c:v>
                  </c:pt>
                  <c:pt idx="1133">
                    <c:v>N23</c:v>
                  </c:pt>
                  <c:pt idx="1134">
                    <c:v>N26</c:v>
                  </c:pt>
                  <c:pt idx="1135">
                    <c:v>N30</c:v>
                  </c:pt>
                  <c:pt idx="1136">
                    <c:v>22 cm</c:v>
                  </c:pt>
                  <c:pt idx="1137">
                    <c:v>25 cm</c:v>
                  </c:pt>
                  <c:pt idx="1138">
                    <c:v>30 cm</c:v>
                  </c:pt>
                  <c:pt idx="1139">
                    <c:v>34 cm</c:v>
                  </c:pt>
                  <c:pt idx="1140">
                    <c:v>38 cm</c:v>
                  </c:pt>
                  <c:pt idx="1141">
                    <c:v>43 cm</c:v>
                  </c:pt>
                  <c:pt idx="1142">
                    <c:v>20</c:v>
                  </c:pt>
                  <c:pt idx="1143">
                    <c:v>21,5x 18 cm</c:v>
                  </c:pt>
                  <c:pt idx="1144">
                    <c:v>ca21</c:v>
                  </c:pt>
                  <c:pt idx="1145">
                    <c:v>24 cm</c:v>
                  </c:pt>
                  <c:pt idx="1146">
                    <c:v>13 cm</c:v>
                  </c:pt>
                  <c:pt idx="1147">
                    <c:v>35X19,5X14,5</c:v>
                  </c:pt>
                  <c:pt idx="1148">
                    <c:v>43x21,5x16,5</c:v>
                  </c:pt>
                  <c:pt idx="1149">
                    <c:v>31x16x13</c:v>
                  </c:pt>
                  <c:pt idx="1150">
                    <c:v>31x16x13</c:v>
                  </c:pt>
                  <c:pt idx="1151">
                    <c:v>37X17X13</c:v>
                  </c:pt>
                  <c:pt idx="1152">
                    <c:v>45X20X14</c:v>
                  </c:pt>
                  <c:pt idx="1153">
                    <c:v>57x22x14</c:v>
                  </c:pt>
                  <c:pt idx="1154">
                    <c:v>35x20x14</c:v>
                  </c:pt>
                  <c:pt idx="1155">
                    <c:v>22</c:v>
                  </c:pt>
                  <c:pt idx="1158">
                    <c:v>17x13</c:v>
                  </c:pt>
                  <c:pt idx="1159">
                    <c:v>18x15x10</c:v>
                  </c:pt>
                  <c:pt idx="1160">
                    <c:v>42x29</c:v>
                  </c:pt>
                  <c:pt idx="1161">
                    <c:v>19x15</c:v>
                  </c:pt>
                  <c:pt idx="1162">
                    <c:v>30X23X17,5</c:v>
                  </c:pt>
                  <c:pt idx="1163">
                    <c:v>21X17X12</c:v>
                  </c:pt>
                  <c:pt idx="1164">
                    <c:v>16</c:v>
                  </c:pt>
                  <c:pt idx="1165">
                    <c:v>20</c:v>
                  </c:pt>
                  <c:pt idx="1166">
                    <c:v>c/u</c:v>
                  </c:pt>
                  <c:pt idx="1167">
                    <c:v>15 cm</c:v>
                  </c:pt>
                  <c:pt idx="1168">
                    <c:v>20 cm</c:v>
                  </c:pt>
                  <c:pt idx="1169">
                    <c:v>20 CM</c:v>
                  </c:pt>
                  <c:pt idx="1170">
                    <c:v>12 cm</c:v>
                  </c:pt>
                  <c:pt idx="1171">
                    <c:v>7 cm</c:v>
                  </c:pt>
                  <c:pt idx="1172">
                    <c:v>10cm</c:v>
                  </c:pt>
                  <c:pt idx="1173">
                    <c:v>14 cm</c:v>
                  </c:pt>
                  <c:pt idx="1174">
                    <c:v>16 cm</c:v>
                  </c:pt>
                  <c:pt idx="1175">
                    <c:v>18 cm</c:v>
                  </c:pt>
                  <c:pt idx="1176">
                    <c:v>20 cm</c:v>
                  </c:pt>
                  <c:pt idx="1177">
                    <c:v>35</c:v>
                  </c:pt>
                  <c:pt idx="1178">
                    <c:v>14</c:v>
                  </c:pt>
                  <c:pt idx="1179">
                    <c:v>16</c:v>
                  </c:pt>
                  <c:pt idx="1180">
                    <c:v>18</c:v>
                  </c:pt>
                  <c:pt idx="1181">
                    <c:v>12 CM</c:v>
                  </c:pt>
                  <c:pt idx="1182">
                    <c:v>c/u</c:v>
                  </c:pt>
                  <c:pt idx="1183">
                    <c:v>c/u</c:v>
                  </c:pt>
                  <c:pt idx="1184">
                    <c:v>N22</c:v>
                  </c:pt>
                  <c:pt idx="1185">
                    <c:v>N35</c:v>
                  </c:pt>
                  <c:pt idx="1186">
                    <c:v>N35</c:v>
                  </c:pt>
                  <c:pt idx="1188">
                    <c:v>31,5X25</c:v>
                  </c:pt>
                  <c:pt idx="1189">
                    <c:v>31,5X18</c:v>
                  </c:pt>
                  <c:pt idx="1190">
                    <c:v>15X12,5</c:v>
                  </c:pt>
                  <c:pt idx="1191">
                    <c:v>18X14,5</c:v>
                  </c:pt>
                  <c:pt idx="1192">
                    <c:v>35X27</c:v>
                  </c:pt>
                  <c:pt idx="1193">
                    <c:v>25X19,5</c:v>
                  </c:pt>
                  <c:pt idx="1194">
                    <c:v>30,5x23,5</c:v>
                  </c:pt>
                  <c:pt idx="1195">
                    <c:v>30,5/23,5</c:v>
                  </c:pt>
                  <c:pt idx="1196">
                    <c:v>22x22</c:v>
                  </c:pt>
                  <c:pt idx="1197">
                    <c:v>c/u</c:v>
                  </c:pt>
                  <c:pt idx="1198">
                    <c:v>25 lts</c:v>
                  </c:pt>
                  <c:pt idx="1199">
                    <c:v>14</c:v>
                  </c:pt>
                  <c:pt idx="1200">
                    <c:v>18</c:v>
                  </c:pt>
                  <c:pt idx="1203">
                    <c:v>15 cm</c:v>
                  </c:pt>
                  <c:pt idx="1204">
                    <c:v>14 cm</c:v>
                  </c:pt>
                  <c:pt idx="1205">
                    <c:v>18 cm</c:v>
                  </c:pt>
                  <c:pt idx="1206">
                    <c:v>22 CM</c:v>
                  </c:pt>
                  <c:pt idx="1207">
                    <c:v>35</c:v>
                  </c:pt>
                  <c:pt idx="1208">
                    <c:v>23</c:v>
                  </c:pt>
                  <c:pt idx="1209">
                    <c:v>25x22,5x19</c:v>
                  </c:pt>
                  <c:pt idx="1210">
                    <c:v>TA</c:v>
                  </c:pt>
                  <c:pt idx="1211">
                    <c:v>ch</c:v>
                  </c:pt>
                  <c:pt idx="1212">
                    <c:v>gde</c:v>
                  </c:pt>
                  <c:pt idx="1213">
                    <c:v>13X16X14</c:v>
                  </c:pt>
                  <c:pt idx="1215">
                    <c:v>18</c:v>
                  </c:pt>
                  <c:pt idx="1216">
                    <c:v>22</c:v>
                  </c:pt>
                  <c:pt idx="1217">
                    <c:v>27</c:v>
                  </c:pt>
                  <c:pt idx="1218">
                    <c:v>29 cm</c:v>
                  </c:pt>
                  <c:pt idx="1219">
                    <c:v>24 cm</c:v>
                  </c:pt>
                  <c:pt idx="1220">
                    <c:v>18</c:v>
                  </c:pt>
                  <c:pt idx="1221">
                    <c:v>20 cm</c:v>
                  </c:pt>
                  <c:pt idx="1222">
                    <c:v>35 cm</c:v>
                  </c:pt>
                  <c:pt idx="1223">
                    <c:v>67cm</c:v>
                  </c:pt>
                  <c:pt idx="1224">
                    <c:v>29x22</c:v>
                  </c:pt>
                  <c:pt idx="1225">
                    <c:v>25X20</c:v>
                  </c:pt>
                  <c:pt idx="1226">
                    <c:v>23x18cm</c:v>
                  </c:pt>
                  <c:pt idx="1227">
                    <c:v>19x20</c:v>
                  </c:pt>
                  <c:pt idx="1228">
                    <c:v>14x15</c:v>
                  </c:pt>
                  <c:pt idx="1229">
                    <c:v>10,5x11</c:v>
                  </c:pt>
                  <c:pt idx="1230">
                    <c:v>18x24</c:v>
                  </c:pt>
                  <c:pt idx="1231">
                    <c:v>16,5x18,5</c:v>
                  </c:pt>
                  <c:pt idx="1232">
                    <c:v>13,5x13</c:v>
                  </c:pt>
                  <c:pt idx="1233">
                    <c:v>18 x13</c:v>
                  </c:pt>
                  <c:pt idx="1235">
                    <c:v>N35</c:v>
                  </c:pt>
                  <c:pt idx="1236">
                    <c:v>N45</c:v>
                  </c:pt>
                  <c:pt idx="1237">
                    <c:v>17</c:v>
                  </c:pt>
                  <c:pt idx="1238">
                    <c:v>20</c:v>
                  </c:pt>
                  <c:pt idx="1239">
                    <c:v>24</c:v>
                  </c:pt>
                  <c:pt idx="1240">
                    <c:v>30</c:v>
                  </c:pt>
                  <c:pt idx="1241">
                    <c:v>17</c:v>
                  </c:pt>
                  <c:pt idx="1242">
                    <c:v>20</c:v>
                  </c:pt>
                  <c:pt idx="1243">
                    <c:v>24</c:v>
                  </c:pt>
                  <c:pt idx="1244">
                    <c:v>30</c:v>
                  </c:pt>
                  <c:pt idx="1245">
                    <c:v>34x18x14</c:v>
                  </c:pt>
                  <c:pt idx="1246">
                    <c:v>16x13</c:v>
                  </c:pt>
                  <c:pt idx="1247">
                    <c:v>0</c:v>
                  </c:pt>
                  <c:pt idx="1248">
                    <c:v>43x18x14</c:v>
                  </c:pt>
                  <c:pt idx="1249">
                    <c:v>15,5x12,3</c:v>
                  </c:pt>
                  <c:pt idx="1250">
                    <c:v>7,8x7</c:v>
                  </c:pt>
                  <c:pt idx="1251">
                    <c:v>25x20</c:v>
                  </c:pt>
                  <c:pt idx="1252">
                    <c:v>15,5x12,3</c:v>
                  </c:pt>
                  <c:pt idx="1253">
                    <c:v>20x16</c:v>
                  </c:pt>
                  <c:pt idx="1255">
                    <c:v>19 lts</c:v>
                  </c:pt>
                  <c:pt idx="1256">
                    <c:v>14 lts</c:v>
                  </c:pt>
                  <c:pt idx="1257">
                    <c:v>11 lts</c:v>
                  </c:pt>
                  <c:pt idx="1258">
                    <c:v>7 lts</c:v>
                  </c:pt>
                  <c:pt idx="1259">
                    <c:v>5 lts</c:v>
                  </c:pt>
                  <c:pt idx="1260">
                    <c:v>3 lts</c:v>
                  </c:pt>
                  <c:pt idx="1262">
                    <c:v>25x20</c:v>
                  </c:pt>
                  <c:pt idx="1263">
                    <c:v>20x16</c:v>
                  </c:pt>
                  <c:pt idx="1264">
                    <c:v>c/u</c:v>
                  </c:pt>
                  <c:pt idx="1265">
                    <c:v>0</c:v>
                  </c:pt>
                  <c:pt idx="1266">
                    <c:v>20</c:v>
                  </c:pt>
                  <c:pt idx="1267">
                    <c:v>12 CM</c:v>
                  </c:pt>
                  <c:pt idx="1268">
                    <c:v>16</c:v>
                  </c:pt>
                  <c:pt idx="1269">
                    <c:v>18</c:v>
                  </c:pt>
                  <c:pt idx="1270">
                    <c:v>20</c:v>
                  </c:pt>
                  <c:pt idx="1271">
                    <c:v>24</c:v>
                  </c:pt>
                  <c:pt idx="1274">
                    <c:v>,75 LT</c:v>
                  </c:pt>
                  <c:pt idx="1275">
                    <c:v>1,6 LT</c:v>
                  </c:pt>
                  <c:pt idx="1276">
                    <c:v>3 lts</c:v>
                  </c:pt>
                  <c:pt idx="1277">
                    <c:v>4,3 LT</c:v>
                  </c:pt>
                  <c:pt idx="1278">
                    <c:v>16X13</c:v>
                  </c:pt>
                  <c:pt idx="1279">
                    <c:v>39X29</c:v>
                  </c:pt>
                  <c:pt idx="1280">
                    <c:v>36X26</c:v>
                  </c:pt>
                  <c:pt idx="1281">
                    <c:v>32X24</c:v>
                  </c:pt>
                  <c:pt idx="1282">
                    <c:v>16X21</c:v>
                  </c:pt>
                  <c:pt idx="1283">
                    <c:v>43 x31</c:v>
                  </c:pt>
                  <c:pt idx="1288">
                    <c:v>24</c:v>
                  </c:pt>
                  <c:pt idx="1290">
                    <c:v>24x28</c:v>
                  </c:pt>
                  <c:pt idx="1291">
                    <c:v>36x40</c:v>
                  </c:pt>
                  <c:pt idx="1293">
                    <c:v>12</c:v>
                  </c:pt>
                  <c:pt idx="1294">
                    <c:v>15</c:v>
                  </c:pt>
                  <c:pt idx="1295">
                    <c:v>17</c:v>
                  </c:pt>
                  <c:pt idx="1296">
                    <c:v>20</c:v>
                  </c:pt>
                  <c:pt idx="1297">
                    <c:v>6</c:v>
                  </c:pt>
                  <c:pt idx="1298">
                    <c:v>8</c:v>
                  </c:pt>
                  <c:pt idx="1299">
                    <c:v>10</c:v>
                  </c:pt>
                  <c:pt idx="1300">
                    <c:v>12</c:v>
                  </c:pt>
                  <c:pt idx="1301">
                    <c:v>14</c:v>
                  </c:pt>
                  <c:pt idx="1302">
                    <c:v>DX1</c:v>
                  </c:pt>
                  <c:pt idx="1303">
                    <c:v>DX2</c:v>
                  </c:pt>
                  <c:pt idx="1304">
                    <c:v>DX3</c:v>
                  </c:pt>
                  <c:pt idx="1305">
                    <c:v>DX4</c:v>
                  </c:pt>
                  <c:pt idx="1306">
                    <c:v>7S2</c:v>
                  </c:pt>
                  <c:pt idx="1307">
                    <c:v>7S3</c:v>
                  </c:pt>
                  <c:pt idx="1308">
                    <c:v>7F2</c:v>
                  </c:pt>
                  <c:pt idx="1309">
                    <c:v>YT2</c:v>
                  </c:pt>
                  <c:pt idx="1310">
                    <c:v>YT3</c:v>
                  </c:pt>
                  <c:pt idx="1311">
                    <c:v>WLI</c:v>
                  </c:pt>
                  <c:pt idx="1312">
                    <c:v>GP3</c:v>
                  </c:pt>
                  <c:pt idx="1313">
                    <c:v>GP4</c:v>
                  </c:pt>
                  <c:pt idx="1314">
                    <c:v>X0</c:v>
                  </c:pt>
                  <c:pt idx="1315">
                    <c:v>JVER 24</c:v>
                  </c:pt>
                  <c:pt idx="1316">
                    <c:v>JVER 33</c:v>
                  </c:pt>
                  <c:pt idx="1317">
                    <c:v>JVER 42</c:v>
                  </c:pt>
                  <c:pt idx="1318">
                    <c:v>IVOM 30</c:v>
                  </c:pt>
                  <c:pt idx="1319">
                    <c:v>IVOM 38</c:v>
                  </c:pt>
                  <c:pt idx="1320">
                    <c:v>IVPM 25</c:v>
                  </c:pt>
                  <c:pt idx="1321">
                    <c:v>IVQM20</c:v>
                  </c:pt>
                  <c:pt idx="1322">
                    <c:v>JVEO 41</c:v>
                  </c:pt>
                  <c:pt idx="1323">
                    <c:v>JVEF 34</c:v>
                  </c:pt>
                  <c:pt idx="1324">
                    <c:v>JVEF 42</c:v>
                  </c:pt>
                  <c:pt idx="1325">
                    <c:v>IVEC 33</c:v>
                  </c:pt>
                  <c:pt idx="1326">
                    <c:v>JVEO 55</c:v>
                  </c:pt>
                  <c:pt idx="1327">
                    <c:v>JVHR 42</c:v>
                  </c:pt>
                  <c:pt idx="1328">
                    <c:v>JVHR33</c:v>
                  </c:pt>
                  <c:pt idx="1329">
                    <c:v>JVUM 30 S</c:v>
                  </c:pt>
                  <c:pt idx="1330">
                    <c:v>JVUM 38</c:v>
                  </c:pt>
                  <c:pt idx="1331">
                    <c:v>JFQF 67</c:v>
                  </c:pt>
                  <c:pt idx="1332">
                    <c:v>JFQF 77</c:v>
                  </c:pt>
                  <c:pt idx="1333">
                    <c:v>JVQM20</c:v>
                  </c:pt>
                  <c:pt idx="1334">
                    <c:v>45</c:v>
                  </c:pt>
                  <c:pt idx="1335">
                    <c:v>34</c:v>
                  </c:pt>
                  <c:pt idx="1336">
                    <c:v>25</c:v>
                  </c:pt>
                  <c:pt idx="1337">
                    <c:v>33</c:v>
                  </c:pt>
                  <c:pt idx="1339">
                    <c:v>28</c:v>
                  </c:pt>
                  <c:pt idx="1340">
                    <c:v>35</c:v>
                  </c:pt>
                  <c:pt idx="1341">
                    <c:v>45</c:v>
                  </c:pt>
                  <c:pt idx="1342">
                    <c:v>JVERH 33</c:v>
                  </c:pt>
                  <c:pt idx="1343">
                    <c:v>33</c:v>
                  </c:pt>
                  <c:pt idx="1344">
                    <c:v>JVLL45</c:v>
                  </c:pt>
                  <c:pt idx="1346">
                    <c:v>IVIP 34</c:v>
                  </c:pt>
                  <c:pt idx="1347">
                    <c:v>JVQM30</c:v>
                  </c:pt>
                  <c:pt idx="1348">
                    <c:v>IVQM36</c:v>
                  </c:pt>
                  <c:pt idx="1349">
                    <c:v>JVMO38C</c:v>
                  </c:pt>
                  <c:pt idx="1353">
                    <c:v>JVCB 30</c:v>
                  </c:pt>
                  <c:pt idx="1354">
                    <c:v>JVQM36</c:v>
                  </c:pt>
                  <c:pt idx="1355">
                    <c:v>37AC</c:v>
                  </c:pt>
                  <c:pt idx="1356">
                    <c:v>46 AC</c:v>
                  </c:pt>
                  <c:pt idx="1357">
                    <c:v>57 AC</c:v>
                  </c:pt>
                  <c:pt idx="1360">
                    <c:v>IVIP 43</c:v>
                  </c:pt>
                  <c:pt idx="1361">
                    <c:v>25</c:v>
                  </c:pt>
                  <c:pt idx="1362">
                    <c:v>20</c:v>
                  </c:pt>
                  <c:pt idx="1363">
                    <c:v>16</c:v>
                  </c:pt>
                  <c:pt idx="1364">
                    <c:v>23</c:v>
                  </c:pt>
                  <c:pt idx="1365">
                    <c:v>8</c:v>
                  </c:pt>
                  <c:pt idx="1366">
                    <c:v>10</c:v>
                  </c:pt>
                  <c:pt idx="1367">
                    <c:v>12</c:v>
                  </c:pt>
                  <c:pt idx="1368">
                    <c:v>14</c:v>
                  </c:pt>
                  <c:pt idx="1369">
                    <c:v>18</c:v>
                  </c:pt>
                  <c:pt idx="1370">
                    <c:v>12</c:v>
                  </c:pt>
                  <c:pt idx="1371">
                    <c:v>15</c:v>
                  </c:pt>
                  <c:pt idx="1372">
                    <c:v>17</c:v>
                  </c:pt>
                  <c:pt idx="1373">
                    <c:v>20</c:v>
                  </c:pt>
                  <c:pt idx="1374">
                    <c:v>30x40</c:v>
                  </c:pt>
                  <c:pt idx="1375">
                    <c:v>40X30</c:v>
                  </c:pt>
                  <c:pt idx="1376">
                    <c:v>11 cm</c:v>
                  </c:pt>
                  <c:pt idx="1377">
                    <c:v>14 cm</c:v>
                  </c:pt>
                  <c:pt idx="1378">
                    <c:v>19 cm</c:v>
                  </c:pt>
                  <c:pt idx="1379">
                    <c:v>16X13X9</c:v>
                  </c:pt>
                  <c:pt idx="1380">
                    <c:v>14</c:v>
                  </c:pt>
                  <c:pt idx="1381">
                    <c:v>18</c:v>
                  </c:pt>
                  <c:pt idx="1382">
                    <c:v>ch 8 cm </c:v>
                  </c:pt>
                  <c:pt idx="1383">
                    <c:v>gde</c:v>
                  </c:pt>
                  <c:pt idx="1384">
                    <c:v>7 cmx7</c:v>
                  </c:pt>
                  <c:pt idx="1385">
                    <c:v>9 cm</c:v>
                  </c:pt>
                  <c:pt idx="1386">
                    <c:v>1,5</c:v>
                  </c:pt>
                  <c:pt idx="1388">
                    <c:v>*</c:v>
                  </c:pt>
                  <c:pt idx="1389">
                    <c:v>n 5</c:v>
                  </c:pt>
                  <c:pt idx="1390">
                    <c:v>n 6</c:v>
                  </c:pt>
                  <c:pt idx="1391">
                    <c:v>n 7</c:v>
                  </c:pt>
                  <c:pt idx="1392">
                    <c:v>3,5</c:v>
                  </c:pt>
                  <c:pt idx="1393">
                    <c:v>5</c:v>
                  </c:pt>
                  <c:pt idx="1402">
                    <c:v>3</c:v>
                  </c:pt>
                  <c:pt idx="1403">
                    <c:v>30X24</c:v>
                  </c:pt>
                  <c:pt idx="1404">
                    <c:v>26x20</c:v>
                  </c:pt>
                  <c:pt idx="1405">
                    <c:v>33 cm</c:v>
                  </c:pt>
                  <c:pt idx="1406">
                    <c:v>18 cm</c:v>
                  </c:pt>
                  <c:pt idx="1407">
                    <c:v>colores brillosos</c:v>
                  </c:pt>
                  <c:pt idx="1408">
                    <c:v>13</c:v>
                  </c:pt>
                  <c:pt idx="1409">
                    <c:v>15</c:v>
                  </c:pt>
                  <c:pt idx="1410">
                    <c:v>17</c:v>
                  </c:pt>
                  <c:pt idx="1411">
                    <c:v>19</c:v>
                  </c:pt>
                  <c:pt idx="1412">
                    <c:v>21</c:v>
                  </c:pt>
                  <c:pt idx="1413">
                    <c:v>24</c:v>
                  </c:pt>
                  <c:pt idx="1414">
                    <c:v>27</c:v>
                  </c:pt>
                  <c:pt idx="1415">
                    <c:v>30</c:v>
                  </c:pt>
                  <c:pt idx="1416">
                    <c:v>35</c:v>
                  </c:pt>
                  <c:pt idx="1417">
                    <c:v>40</c:v>
                  </c:pt>
                  <c:pt idx="1418">
                    <c:v>60</c:v>
                  </c:pt>
                  <c:pt idx="1419">
                    <c:v>3,6 lt</c:v>
                  </c:pt>
                  <c:pt idx="1420">
                    <c:v>5 lts</c:v>
                  </c:pt>
                  <c:pt idx="1421">
                    <c:v>8,5 lt</c:v>
                  </c:pt>
                  <c:pt idx="1422">
                    <c:v>7 lts</c:v>
                  </c:pt>
                  <c:pt idx="1423">
                    <c:v>10 lts</c:v>
                  </c:pt>
                  <c:pt idx="1424">
                    <c:v>11 lt</c:v>
                  </c:pt>
                  <c:pt idx="1425">
                    <c:v>14,3 lt</c:v>
                  </c:pt>
                  <c:pt idx="1426">
                    <c:v>18 lt</c:v>
                  </c:pt>
                  <c:pt idx="1427">
                    <c:v>33 lts</c:v>
                  </c:pt>
                  <c:pt idx="1428">
                    <c:v>39,5 lt</c:v>
                  </c:pt>
                  <c:pt idx="1429">
                    <c:v>50 lt</c:v>
                  </c:pt>
                  <c:pt idx="1433">
                    <c:v>21x17x12</c:v>
                  </c:pt>
                  <c:pt idx="1435">
                    <c:v>18</c:v>
                  </c:pt>
                  <c:pt idx="1436">
                    <c:v>1 kg</c:v>
                  </c:pt>
                  <c:pt idx="1437">
                    <c:v>25 kg</c:v>
                  </c:pt>
                  <c:pt idx="1438">
                    <c:v>25 kg</c:v>
                  </c:pt>
                  <c:pt idx="1439">
                    <c:v>1 kg</c:v>
                  </c:pt>
                  <c:pt idx="1440">
                    <c:v>20 ml</c:v>
                  </c:pt>
                  <c:pt idx="1441">
                    <c:v>mtr</c:v>
                  </c:pt>
                  <c:pt idx="1442">
                    <c:v>mtr</c:v>
                  </c:pt>
                  <c:pt idx="1443">
                    <c:v>mtr</c:v>
                  </c:pt>
                  <c:pt idx="1444">
                    <c:v>2,1</c:v>
                  </c:pt>
                  <c:pt idx="1446">
                    <c:v>100 mts</c:v>
                  </c:pt>
                  <c:pt idx="1447">
                    <c:v>1 mt lineal</c:v>
                  </c:pt>
                  <c:pt idx="1448">
                    <c:v>mt cuadrado</c:v>
                  </c:pt>
                  <c:pt idx="1449">
                    <c:v>0</c:v>
                  </c:pt>
                  <c:pt idx="1452">
                    <c:v>50 pies</c:v>
                  </c:pt>
                  <c:pt idx="1453">
                    <c:v>3/4x100mtr</c:v>
                  </c:pt>
                  <c:pt idx="1454">
                    <c:v>0</c:v>
                  </c:pt>
                  <c:pt idx="1455">
                    <c:v>10 mt</c:v>
                  </c:pt>
                  <c:pt idx="1456">
                    <c:v>15 mt</c:v>
                  </c:pt>
                  <c:pt idx="1457">
                    <c:v>15 mt</c:v>
                  </c:pt>
                  <c:pt idx="1458">
                    <c:v>60 pies</c:v>
                  </c:pt>
                  <c:pt idx="1460">
                    <c:v>10 CM X 50 CM</c:v>
                  </c:pt>
                  <c:pt idx="1461">
                    <c:v>20 cn</c:v>
                  </c:pt>
                  <c:pt idx="1463">
                    <c:v>120maples</c:v>
                  </c:pt>
                  <c:pt idx="1464">
                    <c:v>c/u</c:v>
                  </c:pt>
                  <c:pt idx="1466">
                    <c:v>1,2 kg</c:v>
                  </c:pt>
                  <c:pt idx="1467">
                    <c:v>100gr</c:v>
                  </c:pt>
                  <c:pt idx="1468">
                    <c:v>360 c,c</c:v>
                  </c:pt>
                  <c:pt idx="1470">
                    <c:v>30x52</c:v>
                  </c:pt>
                  <c:pt idx="1471">
                    <c:v>24 blister</c:v>
                  </c:pt>
                  <c:pt idx="1472">
                    <c:v>pastilla</c:v>
                  </c:pt>
                  <c:pt idx="1473">
                    <c:v>blister</c:v>
                  </c:pt>
                  <c:pt idx="1474">
                    <c:v> 500 grs1 ltr</c:v>
                  </c:pt>
                  <c:pt idx="1475">
                    <c:v>125 grs(250cc)</c:v>
                  </c:pt>
                  <c:pt idx="1476">
                    <c:v>1 ltr</c:v>
                  </c:pt>
                  <c:pt idx="1477">
                    <c:v>50 ml</c:v>
                  </c:pt>
                  <c:pt idx="1478">
                    <c:v>30 ml</c:v>
                  </c:pt>
                  <c:pt idx="1479">
                    <c:v>15 gr</c:v>
                  </c:pt>
                  <c:pt idx="1481">
                    <c:v>c/u</c:v>
                  </c:pt>
                  <c:pt idx="1482">
                    <c:v>16 lt</c:v>
                  </c:pt>
                  <c:pt idx="1483">
                    <c:v>34x25x42</c:v>
                  </c:pt>
                  <c:pt idx="1484">
                    <c:v>0</c:v>
                  </c:pt>
                  <c:pt idx="1485">
                    <c:v>25 kg</c:v>
                  </c:pt>
                  <c:pt idx="1486">
                    <c:v>40 kg</c:v>
                  </c:pt>
                  <c:pt idx="1487">
                    <c:v>kgr</c:v>
                  </c:pt>
                  <c:pt idx="1493">
                    <c:v>c/u</c:v>
                  </c:pt>
                  <c:pt idx="1494">
                    <c:v>0</c:v>
                  </c:pt>
                  <c:pt idx="1495">
                    <c:v>0</c:v>
                  </c:pt>
                  <c:pt idx="1496">
                    <c:v>45 cn</c:v>
                  </c:pt>
                  <c:pt idx="1497">
                    <c:v>600 ml</c:v>
                  </c:pt>
                  <c:pt idx="1498">
                    <c:v>2 unidades</c:v>
                  </c:pt>
                  <c:pt idx="1499">
                    <c:v>50 mm</c:v>
                  </c:pt>
                  <c:pt idx="1500">
                    <c:v>70mm</c:v>
                  </c:pt>
                  <c:pt idx="1501">
                    <c:v>80 mm</c:v>
                  </c:pt>
                  <c:pt idx="1502">
                    <c:v>90 mm</c:v>
                  </c:pt>
                  <c:pt idx="1503">
                    <c:v>50 lt</c:v>
                  </c:pt>
                  <c:pt idx="1506">
                    <c:v>10 lt</c:v>
                  </c:pt>
                  <c:pt idx="1507">
                    <c:v>30 c.c.</c:v>
                  </c:pt>
                  <c:pt idx="1508">
                    <c:v>caja 12</c:v>
                  </c:pt>
                  <c:pt idx="1509">
                    <c:v>20c,c,</c:v>
                  </c:pt>
                  <c:pt idx="1510">
                    <c:v>24x10x10</c:v>
                  </c:pt>
                  <c:pt idx="1512">
                    <c:v>11,5X11,5X24</c:v>
                  </c:pt>
                  <c:pt idx="1513">
                    <c:v>0</c:v>
                  </c:pt>
                  <c:pt idx="1514">
                    <c:v>c/u</c:v>
                  </c:pt>
                  <c:pt idx="1515">
                    <c:v>c/u</c:v>
                  </c:pt>
                  <c:pt idx="1517">
                    <c:v>10x6</c:v>
                  </c:pt>
                  <c:pt idx="1518">
                    <c:v>c/u</c:v>
                  </c:pt>
                  <c:pt idx="1519">
                    <c:v>1 tr</c:v>
                  </c:pt>
                  <c:pt idx="1520">
                    <c:v>100 c,c</c:v>
                  </c:pt>
                  <c:pt idx="1522">
                    <c:v>450 grs,</c:v>
                  </c:pt>
                  <c:pt idx="1523">
                    <c:v>325 grs</c:v>
                  </c:pt>
                  <c:pt idx="1524">
                    <c:v>5 KG</c:v>
                  </c:pt>
                  <c:pt idx="1525">
                    <c:v>100 GRS</c:v>
                  </c:pt>
                  <c:pt idx="1527">
                    <c:v>c/u</c:v>
                  </c:pt>
                  <c:pt idx="1528">
                    <c:v>85 GRS</c:v>
                  </c:pt>
                  <c:pt idx="1529">
                    <c:v>850 gr</c:v>
                  </c:pt>
                  <c:pt idx="1530">
                    <c:v>kg</c:v>
                  </c:pt>
                  <c:pt idx="1531">
                    <c:v>100 gr</c:v>
                  </c:pt>
                  <c:pt idx="1532">
                    <c:v>c/u</c:v>
                  </c:pt>
                  <c:pt idx="1534">
                    <c:v>67 cn</c:v>
                  </c:pt>
                  <c:pt idx="1535">
                    <c:v>c/u</c:v>
                  </c:pt>
                  <c:pt idx="1536">
                    <c:v>30x8 cm</c:v>
                  </c:pt>
                  <c:pt idx="1537">
                    <c:v>26 cm</c:v>
                  </c:pt>
                  <c:pt idx="1538">
                    <c:v>12</c:v>
                  </c:pt>
                  <c:pt idx="1539">
                    <c:v>0</c:v>
                  </c:pt>
                  <c:pt idx="1541">
                    <c:v>35x8</c:v>
                  </c:pt>
                  <c:pt idx="1542">
                    <c:v>25 x9</c:v>
                  </c:pt>
                  <c:pt idx="1543">
                    <c:v>bolsita 5 gr</c:v>
                  </c:pt>
                  <c:pt idx="1546">
                    <c:v>0</c:v>
                  </c:pt>
                  <c:pt idx="1547">
                    <c:v>0</c:v>
                  </c:pt>
                  <c:pt idx="1548">
                    <c:v>kg</c:v>
                  </c:pt>
                  <c:pt idx="1549">
                    <c:v>160 gr</c:v>
                  </c:pt>
                  <c:pt idx="1550">
                    <c:v>600 grs</c:v>
                  </c:pt>
                  <c:pt idx="1551">
                    <c:v>160 ggr</c:v>
                  </c:pt>
                  <c:pt idx="1553">
                    <c:v>186 gr</c:v>
                  </c:pt>
                  <c:pt idx="1554">
                    <c:v>93 grs</c:v>
                  </c:pt>
                  <c:pt idx="1555">
                    <c:v>c/u</c:v>
                  </c:pt>
                  <c:pt idx="1556">
                    <c:v>10-25 kg</c:v>
                  </c:pt>
                  <c:pt idx="1557">
                    <c:v>25-50</c:v>
                  </c:pt>
                  <c:pt idx="1558">
                    <c:v>4-10kg</c:v>
                  </c:pt>
                  <c:pt idx="1559">
                    <c:v>2-4 kg</c:v>
                  </c:pt>
                  <c:pt idx="1560">
                    <c:v>150 grs</c:v>
                  </c:pt>
                  <c:pt idx="1561">
                    <c:v>80x40x25en 4 mm</c:v>
                  </c:pt>
                  <c:pt idx="1562">
                    <c:v>40x40x25 en 4 mm</c:v>
                  </c:pt>
                  <c:pt idx="1563">
                    <c:v>33x30x17</c:v>
                  </c:pt>
                  <c:pt idx="1564">
                    <c:v>38x20x16</c:v>
                  </c:pt>
                  <c:pt idx="1565">
                    <c:v>40x27x16</c:v>
                  </c:pt>
                  <c:pt idx="1566">
                    <c:v>80 x25x 40 h</c:v>
                  </c:pt>
                  <c:pt idx="1567">
                    <c:v>RS 380 C</c:v>
                  </c:pt>
                  <c:pt idx="1568">
                    <c:v>30 LTRS380A</c:v>
                  </c:pt>
                  <c:pt idx="1569">
                    <c:v>17x15</c:v>
                  </c:pt>
                  <c:pt idx="1570">
                    <c:v>8 kg</c:v>
                  </c:pt>
                  <c:pt idx="1571">
                    <c:v>21 kg</c:v>
                  </c:pt>
                  <c:pt idx="1572">
                    <c:v>19x26</c:v>
                  </c:pt>
                  <c:pt idx="1574">
                    <c:v>1*29cm</c:v>
                  </c:pt>
                  <c:pt idx="1575">
                    <c:v>caja 24 unidades</c:v>
                  </c:pt>
                  <c:pt idx="1577">
                    <c:v>3  u nidades</c:v>
                  </c:pt>
                  <c:pt idx="1582">
                    <c:v>35 cm</c:v>
                  </c:pt>
                  <c:pt idx="1584">
                    <c:v>125dm3</c:v>
                  </c:pt>
                  <c:pt idx="1585">
                    <c:v>50 lt-11kg</c:v>
                  </c:pt>
                  <c:pt idx="1586">
                    <c:v>200 gr</c:v>
                  </c:pt>
                  <c:pt idx="1587">
                    <c:v>50 ltr</c:v>
                  </c:pt>
                  <c:pt idx="1588">
                    <c:v>7 kgr</c:v>
                  </c:pt>
                  <c:pt idx="1589">
                    <c:v>15 kg</c:v>
                  </c:pt>
                  <c:pt idx="1590">
                    <c:v>7kg</c:v>
                  </c:pt>
                  <c:pt idx="1591">
                    <c:v>25 kg</c:v>
                  </c:pt>
                  <c:pt idx="1592">
                    <c:v>1 kg</c:v>
                  </c:pt>
                  <c:pt idx="1593">
                    <c:v>25 kg</c:v>
                  </c:pt>
                  <c:pt idx="1594">
                    <c:v>1 kg</c:v>
                  </c:pt>
                  <c:pt idx="1595">
                    <c:v>7 kg</c:v>
                  </c:pt>
                  <c:pt idx="1596">
                    <c:v>1 KG</c:v>
                  </c:pt>
                  <c:pt idx="1597">
                    <c:v>10,1 KG</c:v>
                  </c:pt>
                  <c:pt idx="1598">
                    <c:v>25kg</c:v>
                  </c:pt>
                  <c:pt idx="1599">
                    <c:v>18 kg</c:v>
                  </c:pt>
                  <c:pt idx="1600">
                    <c:v>1kg</c:v>
                  </c:pt>
                  <c:pt idx="1601">
                    <c:v>7kg</c:v>
                  </c:pt>
                  <c:pt idx="1602">
                    <c:v>18 kg</c:v>
                  </c:pt>
                  <c:pt idx="1603">
                    <c:v>1kg</c:v>
                  </c:pt>
                  <c:pt idx="1604">
                    <c:v>8kg</c:v>
                  </c:pt>
                  <c:pt idx="1605">
                    <c:v>22 kg</c:v>
                  </c:pt>
                  <c:pt idx="1606">
                    <c:v>1 kg</c:v>
                  </c:pt>
                  <c:pt idx="1607">
                    <c:v>8 KG</c:v>
                  </c:pt>
                  <c:pt idx="1608">
                    <c:v>8 kg</c:v>
                  </c:pt>
                  <c:pt idx="1609">
                    <c:v>7 KG</c:v>
                  </c:pt>
                  <c:pt idx="1610">
                    <c:v>8 kg</c:v>
                  </c:pt>
                  <c:pt idx="1611">
                    <c:v>24 kg</c:v>
                  </c:pt>
                  <c:pt idx="1612">
                    <c:v>1 kg</c:v>
                  </c:pt>
                  <c:pt idx="1613">
                    <c:v>24 kg</c:v>
                  </c:pt>
                  <c:pt idx="1614">
                    <c:v>kg</c:v>
                  </c:pt>
                  <c:pt idx="1615">
                    <c:v>7,5 KG</c:v>
                  </c:pt>
                  <c:pt idx="1616">
                    <c:v>1 kg</c:v>
                  </c:pt>
                  <c:pt idx="1617">
                    <c:v>15 kg</c:v>
                  </c:pt>
                  <c:pt idx="1618">
                    <c:v>7 kgr</c:v>
                  </c:pt>
                  <c:pt idx="1619">
                    <c:v>25 kgr</c:v>
                  </c:pt>
                  <c:pt idx="1620">
                    <c:v>15 kg</c:v>
                  </c:pt>
                  <c:pt idx="1621">
                    <c:v>22 kg</c:v>
                  </c:pt>
                  <c:pt idx="1622">
                    <c:v>10 kg</c:v>
                  </c:pt>
                  <c:pt idx="1623">
                    <c:v>1 kg</c:v>
                  </c:pt>
                  <c:pt idx="1624">
                    <c:v>21 kg</c:v>
                  </c:pt>
                  <c:pt idx="1625">
                    <c:v>8 kg</c:v>
                  </c:pt>
                  <c:pt idx="1626">
                    <c:v>25 kg</c:v>
                  </c:pt>
                  <c:pt idx="1627">
                    <c:v>8 kg</c:v>
                  </c:pt>
                  <c:pt idx="1628">
                    <c:v>21 kg</c:v>
                  </c:pt>
                  <c:pt idx="1629">
                    <c:v>21 kg</c:v>
                  </c:pt>
                  <c:pt idx="1630">
                    <c:v>8 kg</c:v>
                  </c:pt>
                  <c:pt idx="1631">
                    <c:v>1 kgr</c:v>
                  </c:pt>
                  <c:pt idx="1632">
                    <c:v>21 kg</c:v>
                  </c:pt>
                  <c:pt idx="1633">
                    <c:v>1 kg</c:v>
                  </c:pt>
                  <c:pt idx="1634">
                    <c:v>1 kg</c:v>
                  </c:pt>
                  <c:pt idx="1635">
                    <c:v>7 kg</c:v>
                  </c:pt>
                  <c:pt idx="1636">
                    <c:v>20</c:v>
                  </c:pt>
                  <c:pt idx="1637">
                    <c:v>1 kg</c:v>
                  </c:pt>
                  <c:pt idx="1638">
                    <c:v>1 kg</c:v>
                  </c:pt>
                  <c:pt idx="1639">
                    <c:v>20 kg</c:v>
                  </c:pt>
                  <c:pt idx="1640">
                    <c:v>20 kg</c:v>
                  </c:pt>
                  <c:pt idx="1641">
                    <c:v>8 kg</c:v>
                  </c:pt>
                  <c:pt idx="1642">
                    <c:v>15 kg</c:v>
                  </c:pt>
                  <c:pt idx="1643">
                    <c:v>25 kg</c:v>
                  </c:pt>
                  <c:pt idx="1644">
                    <c:v>5 kg</c:v>
                  </c:pt>
                  <c:pt idx="1645">
                    <c:v>15 kg</c:v>
                  </c:pt>
                  <c:pt idx="1646">
                    <c:v>25 kg</c:v>
                  </c:pt>
                  <c:pt idx="1647">
                    <c:v>8 kg</c:v>
                  </c:pt>
                  <c:pt idx="1648">
                    <c:v>8 kg</c:v>
                  </c:pt>
                  <c:pt idx="1651">
                    <c:v>50 gr</c:v>
                  </c:pt>
                  <c:pt idx="1654">
                    <c:v>8</c:v>
                  </c:pt>
                  <c:pt idx="1655">
                    <c:v>47 gr</c:v>
                  </c:pt>
                  <c:pt idx="1656">
                    <c:v>22 gr</c:v>
                  </c:pt>
                  <c:pt idx="1658">
                    <c:v>10"</c:v>
                  </c:pt>
                  <c:pt idx="1659">
                    <c:v>4"</c:v>
                  </c:pt>
                  <c:pt idx="1660">
                    <c:v>6"</c:v>
                  </c:pt>
                  <c:pt idx="1661">
                    <c:v>c/u</c:v>
                  </c:pt>
                  <c:pt idx="1662">
                    <c:v>2 kg</c:v>
                  </c:pt>
                  <c:pt idx="1663">
                    <c:v>4 kg</c:v>
                  </c:pt>
                  <c:pt idx="1664">
                    <c:v>1,7kg</c:v>
                  </c:pt>
                  <c:pt idx="1665">
                    <c:v>3,800 litros</c:v>
                  </c:pt>
                  <c:pt idx="1666">
                    <c:v>15 kg</c:v>
                  </c:pt>
                  <c:pt idx="1667">
                    <c:v>1 kg</c:v>
                  </c:pt>
                  <c:pt idx="1668">
                    <c:v>500 GR</c:v>
                  </c:pt>
                  <c:pt idx="1669">
                    <c:v>45x17</c:v>
                  </c:pt>
                  <c:pt idx="1670">
                    <c:v>0</c:v>
                  </c:pt>
                  <c:pt idx="1671">
                    <c:v>1835 cm</c:v>
                  </c:pt>
                  <c:pt idx="1672">
                    <c:v>100 cc</c:v>
                  </c:pt>
                  <c:pt idx="1673">
                    <c:v>50 grs</c:v>
                  </c:pt>
                  <c:pt idx="1674">
                    <c:v>10-20 kg</c:v>
                  </c:pt>
                  <c:pt idx="1675">
                    <c:v>hasta 10 kg</c:v>
                  </c:pt>
                  <c:pt idx="1676">
                    <c:v>2-10 kg</c:v>
                  </c:pt>
                  <c:pt idx="1677">
                    <c:v>10-20kg</c:v>
                  </c:pt>
                  <c:pt idx="1678">
                    <c:v>hasta 4 kg</c:v>
                  </c:pt>
                  <c:pt idx="1679">
                    <c:v>mas de 4 kg</c:v>
                  </c:pt>
                  <c:pt idx="1680">
                    <c:v>5A10 KG</c:v>
                  </c:pt>
                  <c:pt idx="1681">
                    <c:v>10-kg</c:v>
                  </c:pt>
                  <c:pt idx="1682">
                    <c:v>10-25 kg</c:v>
                  </c:pt>
                  <c:pt idx="1683">
                    <c:v>25-40 kg</c:v>
                  </c:pt>
                  <c:pt idx="1684">
                    <c:v>HASTA 5 KG</c:v>
                  </c:pt>
                  <c:pt idx="1685">
                    <c:v>mas de 4kg</c:v>
                  </c:pt>
                  <c:pt idx="1686">
                    <c:v>hasta 4 kg</c:v>
                  </c:pt>
                  <c:pt idx="1687">
                    <c:v>0</c:v>
                  </c:pt>
                  <c:pt idx="1688">
                    <c:v>20 a 40 kg</c:v>
                  </c:pt>
                  <c:pt idx="1689">
                    <c:v>gato</c:v>
                  </c:pt>
                  <c:pt idx="1690">
                    <c:v>3</c:v>
                  </c:pt>
                  <c:pt idx="1693">
                    <c:v>16*10*14</c:v>
                  </c:pt>
                  <c:pt idx="1694">
                    <c:v>12*5*28</c:v>
                  </c:pt>
                  <c:pt idx="1695">
                    <c:v>7*3*29</c:v>
                  </c:pt>
                  <c:pt idx="1697">
                    <c:v>12x11</c:v>
                  </c:pt>
                  <c:pt idx="1698">
                    <c:v>c/u</c:v>
                  </c:pt>
                  <c:pt idx="1699">
                    <c:v>0</c:v>
                  </c:pt>
                  <c:pt idx="1700">
                    <c:v>1221</c:v>
                  </c:pt>
                  <c:pt idx="1701">
                    <c:v>frondosa9x6x25</c:v>
                  </c:pt>
                  <c:pt idx="1702">
                    <c:v>30 cm</c:v>
                  </c:pt>
                  <c:pt idx="1704">
                    <c:v>c/u</c:v>
                  </c:pt>
                  <c:pt idx="1705">
                    <c:v>0</c:v>
                  </c:pt>
                  <c:pt idx="1709">
                    <c:v>c/u</c:v>
                  </c:pt>
                  <c:pt idx="1710">
                    <c:v>bolsa 20 cm x 2 unidades</c:v>
                  </c:pt>
                  <c:pt idx="1711">
                    <c:v>30 cm</c:v>
                  </c:pt>
                  <c:pt idx="1712">
                    <c:v>40 cm</c:v>
                  </c:pt>
                  <c:pt idx="1714">
                    <c:v>160 cc</c:v>
                  </c:pt>
                  <c:pt idx="1715">
                    <c:v>160 CC</c:v>
                  </c:pt>
                  <c:pt idx="1716">
                    <c:v>2 plat</c:v>
                  </c:pt>
                  <c:pt idx="1717">
                    <c:v>20</c:v>
                  </c:pt>
                  <c:pt idx="1718">
                    <c:v>25</c:v>
                  </c:pt>
                  <c:pt idx="1719">
                    <c:v>30</c:v>
                  </c:pt>
                  <c:pt idx="1720">
                    <c:v>15x15</c:v>
                  </c:pt>
                  <c:pt idx="1721">
                    <c:v>20x20</c:v>
                  </c:pt>
                  <c:pt idx="1722">
                    <c:v>27x27</c:v>
                  </c:pt>
                  <c:pt idx="1723">
                    <c:v>n 11</c:v>
                  </c:pt>
                  <c:pt idx="1724">
                    <c:v>n 14</c:v>
                  </c:pt>
                </c:lvl>
                <c:lvl>
                  <c:pt idx="0">
                    <c:v> pie sepelio mediano grde</c:v>
                  </c:pt>
                  <c:pt idx="1">
                    <c:v>abamectina100 c,c,</c:v>
                  </c:pt>
                  <c:pt idx="2">
                    <c:v>ABATOP(abamectina)</c:v>
                  </c:pt>
                  <c:pt idx="3">
                    <c:v>Abono de mar</c:v>
                  </c:pt>
                  <c:pt idx="4">
                    <c:v>Abono de mar </c:v>
                  </c:pt>
                  <c:pt idx="5">
                    <c:v>aceite</c:v>
                  </c:pt>
                  <c:pt idx="6">
                    <c:v>aceite</c:v>
                  </c:pt>
                  <c:pt idx="7">
                    <c:v>aceite</c:v>
                  </c:pt>
                  <c:pt idx="8">
                    <c:v>aceite de neem</c:v>
                  </c:pt>
                  <c:pt idx="9">
                    <c:v>ACEITE DE NEEM</c:v>
                  </c:pt>
                  <c:pt idx="10">
                    <c:v>acople para manguera</c:v>
                  </c:pt>
                  <c:pt idx="11">
                    <c:v>acoples para manguera 3 piezas</c:v>
                  </c:pt>
                  <c:pt idx="12">
                    <c:v>acoples plastico p/manguera</c:v>
                  </c:pt>
                  <c:pt idx="13">
                    <c:v>activador </c:v>
                  </c:pt>
                  <c:pt idx="14">
                    <c:v>activador de  flores</c:v>
                  </c:pt>
                  <c:pt idx="15">
                    <c:v>adaptador 1/2</c:v>
                  </c:pt>
                  <c:pt idx="16">
                    <c:v>adaptador 1/2a3/4</c:v>
                  </c:pt>
                  <c:pt idx="17">
                    <c:v>adorno de corazon</c:v>
                  </c:pt>
                  <c:pt idx="18">
                    <c:v>adorno mica</c:v>
                  </c:pt>
                  <c:pt idx="19">
                    <c:v>adorno pecera</c:v>
                  </c:pt>
                  <c:pt idx="20">
                    <c:v>adorno pecera</c:v>
                  </c:pt>
                  <c:pt idx="21">
                    <c:v>adorno pecera</c:v>
                  </c:pt>
                  <c:pt idx="22">
                    <c:v>adorno pecera</c:v>
                  </c:pt>
                  <c:pt idx="23">
                    <c:v>adorno pecera</c:v>
                  </c:pt>
                  <c:pt idx="24">
                    <c:v>afrechillo molido de trigo</c:v>
                  </c:pt>
                  <c:pt idx="25">
                    <c:v>afrechillo molido de trigo </c:v>
                  </c:pt>
                  <c:pt idx="26">
                    <c:v>ahuyentador perro y gatos</c:v>
                  </c:pt>
                  <c:pt idx="27">
                    <c:v>aireador 1 salida 3w</c:v>
                  </c:pt>
                  <c:pt idx="28">
                    <c:v>aireador 1 salida 3w</c:v>
                  </c:pt>
                  <c:pt idx="29">
                    <c:v>aireador 1 salida rs-160</c:v>
                  </c:pt>
                  <c:pt idx="30">
                    <c:v>aireador 2 salida 5w</c:v>
                  </c:pt>
                  <c:pt idx="31">
                    <c:v>aireador 2 salidas rs-360</c:v>
                  </c:pt>
                  <c:pt idx="32">
                    <c:v>aireador 2 salidas rs-390</c:v>
                  </c:pt>
                  <c:pt idx="33">
                    <c:v>aireador 2,5lm  sl-2800</c:v>
                  </c:pt>
                  <c:pt idx="34">
                    <c:v>AKITO</c:v>
                  </c:pt>
                  <c:pt idx="35">
                    <c:v>alicate p/mascota</c:v>
                  </c:pt>
                  <c:pt idx="36">
                    <c:v>alimemtos p/plantas</c:v>
                  </c:pt>
                  <c:pt idx="37">
                    <c:v>alimento de tortuga</c:v>
                  </c:pt>
                  <c:pt idx="38">
                    <c:v>alimento gammarus</c:v>
                  </c:pt>
                  <c:pt idx="39">
                    <c:v>alimento gammarus</c:v>
                  </c:pt>
                  <c:pt idx="40">
                    <c:v>alimento gammarus</c:v>
                  </c:pt>
                  <c:pt idx="41">
                    <c:v>alimento gammarus</c:v>
                  </c:pt>
                  <c:pt idx="42">
                    <c:v>alimento godlfish flakes</c:v>
                  </c:pt>
                  <c:pt idx="43">
                    <c:v>alimento goldfish colour bits</c:v>
                  </c:pt>
                  <c:pt idx="44">
                    <c:v>alimento goldfish flakes </c:v>
                  </c:pt>
                  <c:pt idx="45">
                    <c:v>alimento goldfish flakes </c:v>
                  </c:pt>
                  <c:pt idx="46">
                    <c:v>alimento golfish </c:v>
                  </c:pt>
                  <c:pt idx="47">
                    <c:v>alimento grano mediano marron-verde</c:v>
                  </c:pt>
                  <c:pt idx="48">
                    <c:v>alimento p/tortugas alcon</c:v>
                  </c:pt>
                  <c:pt idx="49">
                    <c:v>alimento para estanque</c:v>
                  </c:pt>
                  <c:pt idx="50">
                    <c:v>alimento peleteado floatin green p/peces</c:v>
                  </c:pt>
                  <c:pt idx="51">
                    <c:v>alimento peleteado floatin green p/peces</c:v>
                  </c:pt>
                  <c:pt idx="52">
                    <c:v>alimento peleteado floatin green p/peces</c:v>
                  </c:pt>
                  <c:pt idx="53">
                    <c:v>alimento peleteado floatin green p/peces</c:v>
                  </c:pt>
                  <c:pt idx="54">
                    <c:v>alimento tortuga reptolife balde1,100 kg</c:v>
                  </c:pt>
                  <c:pt idx="55">
                    <c:v>alimento tortugaalcon</c:v>
                  </c:pt>
                  <c:pt idx="56">
                    <c:v>alimento tortugas tartafood</c:v>
                  </c:pt>
                  <c:pt idx="57">
                    <c:v>alimento tortugas tartafood</c:v>
                  </c:pt>
                  <c:pt idx="58">
                    <c:v>alimento tortugas tartafood</c:v>
                  </c:pt>
                  <c:pt idx="59">
                    <c:v>alimentos p/plantas CRECE MAS</c:v>
                  </c:pt>
                  <c:pt idx="60">
                    <c:v>almaciguera</c:v>
                  </c:pt>
                  <c:pt idx="61">
                    <c:v>almaciguera</c:v>
                  </c:pt>
                  <c:pt idx="62">
                    <c:v>almaciguera</c:v>
                  </c:pt>
                  <c:pt idx="63">
                    <c:v>ALMACIGUERA </c:v>
                  </c:pt>
                  <c:pt idx="64">
                    <c:v>almaciguera 288 cavidades</c:v>
                  </c:pt>
                  <c:pt idx="65">
                    <c:v>almaciguera 50 cavidades </c:v>
                  </c:pt>
                  <c:pt idx="66">
                    <c:v>almacigueras</c:v>
                  </c:pt>
                  <c:pt idx="67">
                    <c:v>almacigueras x 106 espacios</c:v>
                  </c:pt>
                  <c:pt idx="68">
                    <c:v>almacigueras x 200 espacios</c:v>
                  </c:pt>
                  <c:pt idx="69">
                    <c:v>almacigueras x 21 espacios</c:v>
                  </c:pt>
                  <c:pt idx="70">
                    <c:v>almacigueras x 32 espacios</c:v>
                  </c:pt>
                  <c:pt idx="71">
                    <c:v>almohadon corazon</c:v>
                  </c:pt>
                  <c:pt idx="72">
                    <c:v>alpiste</c:v>
                  </c:pt>
                  <c:pt idx="73">
                    <c:v>alpiste</c:v>
                  </c:pt>
                  <c:pt idx="74">
                    <c:v>alpiste</c:v>
                  </c:pt>
                  <c:pt idx="75">
                    <c:v>alpiste</c:v>
                  </c:pt>
                  <c:pt idx="76">
                    <c:v>antorcha</c:v>
                  </c:pt>
                  <c:pt idx="77">
                    <c:v>antorcha</c:v>
                  </c:pt>
                  <c:pt idx="78">
                    <c:v>antorcha 120cc</c:v>
                  </c:pt>
                  <c:pt idx="79">
                    <c:v>antorcha 150cc</c:v>
                  </c:pt>
                  <c:pt idx="80">
                    <c:v>appril antiparasitario</c:v>
                  </c:pt>
                  <c:pt idx="81">
                    <c:v>appril antiparasitario</c:v>
                  </c:pt>
                  <c:pt idx="82">
                    <c:v>appril antiparasitario</c:v>
                  </c:pt>
                  <c:pt idx="83">
                    <c:v>ARO MIMBRE CHICO</c:v>
                  </c:pt>
                  <c:pt idx="84">
                    <c:v>ARO MIMBRE GRANDE</c:v>
                  </c:pt>
                  <c:pt idx="85">
                    <c:v>aros coronas</c:v>
                  </c:pt>
                  <c:pt idx="86">
                    <c:v>aros coronas</c:v>
                  </c:pt>
                  <c:pt idx="87">
                    <c:v>aros coronas</c:v>
                  </c:pt>
                  <c:pt idx="88">
                    <c:v>arrozin</c:v>
                  </c:pt>
                  <c:pt idx="89">
                    <c:v>arrozin</c:v>
                  </c:pt>
                  <c:pt idx="90">
                    <c:v>aspersor giratorio</c:v>
                  </c:pt>
                  <c:pt idx="91">
                    <c:v>ASPERSOR GIRATORIO</c:v>
                  </c:pt>
                  <c:pt idx="92">
                    <c:v>aspersor giratorio</c:v>
                  </c:pt>
                  <c:pt idx="93">
                    <c:v>ATADO FOLLAJE X 3 HOJAS VERDES</c:v>
                  </c:pt>
                  <c:pt idx="94">
                    <c:v>atado ilusion</c:v>
                  </c:pt>
                  <c:pt idx="95">
                    <c:v>atado rosa</c:v>
                  </c:pt>
                  <c:pt idx="96">
                    <c:v>atado x 6 cala</c:v>
                  </c:pt>
                  <c:pt idx="97">
                    <c:v>azomite</c:v>
                  </c:pt>
                  <c:pt idx="98">
                    <c:v>azufre en polvo industrial</c:v>
                  </c:pt>
                  <c:pt idx="99">
                    <c:v>azufre en polvo industrial</c:v>
                  </c:pt>
                  <c:pt idx="100">
                    <c:v>azufre mojable </c:v>
                  </c:pt>
                  <c:pt idx="101">
                    <c:v>azufre mojable sulfagro</c:v>
                  </c:pt>
                  <c:pt idx="102">
                    <c:v>azufre seco</c:v>
                  </c:pt>
                  <c:pt idx="103">
                    <c:v>babocol</c:v>
                  </c:pt>
                  <c:pt idx="104">
                    <c:v>baboxan organico pellet</c:v>
                  </c:pt>
                  <c:pt idx="105">
                    <c:v>baboxan pelets</c:v>
                  </c:pt>
                  <c:pt idx="106">
                    <c:v>baboxan pellets </c:v>
                  </c:pt>
                  <c:pt idx="107">
                    <c:v>baboxan polvo</c:v>
                  </c:pt>
                  <c:pt idx="108">
                    <c:v>baboxan polvo</c:v>
                  </c:pt>
                  <c:pt idx="109">
                    <c:v>BALDE ACERO INOX </c:v>
                  </c:pt>
                  <c:pt idx="110">
                    <c:v>bandeja plastico c/escamas</c:v>
                  </c:pt>
                  <c:pt idx="111">
                    <c:v>bandeja sanitaria</c:v>
                  </c:pt>
                  <c:pt idx="112">
                    <c:v>bandeja sanitaria</c:v>
                  </c:pt>
                  <c:pt idx="113">
                    <c:v>bandeja sanitaria alta luxo</c:v>
                  </c:pt>
                  <c:pt idx="114">
                    <c:v>bañera grande</c:v>
                  </c:pt>
                  <c:pt idx="115">
                    <c:v>bañera plastica chica</c:v>
                  </c:pt>
                  <c:pt idx="116">
                    <c:v>bañera plastica gigante</c:v>
                  </c:pt>
                  <c:pt idx="117">
                    <c:v>bañera plastica grande</c:v>
                  </c:pt>
                  <c:pt idx="118">
                    <c:v>bañera plastica mediada</c:v>
                  </c:pt>
                  <c:pt idx="119">
                    <c:v>barco galeon</c:v>
                  </c:pt>
                  <c:pt idx="120">
                    <c:v>barco hundido</c:v>
                  </c:pt>
                  <c:pt idx="121">
                    <c:v>barrera antihormigas</c:v>
                  </c:pt>
                  <c:pt idx="122">
                    <c:v>barricade </c:v>
                  </c:pt>
                  <c:pt idx="123">
                    <c:v>barricade 36 frascos</c:v>
                  </c:pt>
                  <c:pt idx="124">
                    <c:v>barrisan</c:v>
                  </c:pt>
                  <c:pt idx="125">
                    <c:v>Bat Guano</c:v>
                  </c:pt>
                  <c:pt idx="126">
                    <c:v>Bat Guano</c:v>
                  </c:pt>
                  <c:pt idx="127">
                    <c:v>bat guano</c:v>
                  </c:pt>
                  <c:pt idx="128">
                    <c:v>bat guano</c:v>
                  </c:pt>
                  <c:pt idx="129">
                    <c:v>BEBEDERO</c:v>
                  </c:pt>
                  <c:pt idx="130">
                    <c:v>bebedero </c:v>
                  </c:pt>
                  <c:pt idx="131">
                    <c:v>bebedero </c:v>
                  </c:pt>
                  <c:pt idx="132">
                    <c:v>bebedero con asa</c:v>
                  </c:pt>
                  <c:pt idx="133">
                    <c:v>bebedero con asa</c:v>
                  </c:pt>
                  <c:pt idx="134">
                    <c:v>BEBEDERO HAMSTER</c:v>
                  </c:pt>
                  <c:pt idx="135">
                    <c:v>bebedero hamster</c:v>
                  </c:pt>
                  <c:pt idx="136">
                    <c:v>bebedero jaula pajaro</c:v>
                  </c:pt>
                  <c:pt idx="137">
                    <c:v>bebedero nacional</c:v>
                  </c:pt>
                  <c:pt idx="138">
                    <c:v>bebedero p/pajaro grande</c:v>
                  </c:pt>
                  <c:pt idx="139">
                    <c:v>bebedero p/pajaro tubo</c:v>
                  </c:pt>
                  <c:pt idx="140">
                    <c:v>bebedero p/pajaros tubo</c:v>
                  </c:pt>
                  <c:pt idx="141">
                    <c:v>bebedero p/pajaros tubo</c:v>
                  </c:pt>
                  <c:pt idx="142">
                    <c:v>bebedero picaflor</c:v>
                  </c:pt>
                  <c:pt idx="143">
                    <c:v>bebedero picaflor 3 flores</c:v>
                  </c:pt>
                  <c:pt idx="144">
                    <c:v>bebedero picaflor beija flor gold</c:v>
                  </c:pt>
                  <c:pt idx="145">
                    <c:v>bebedero picaflor beija flor premium</c:v>
                  </c:pt>
                  <c:pt idx="146">
                    <c:v>bebedero picaflor chico</c:v>
                  </c:pt>
                  <c:pt idx="147">
                    <c:v>bebedero picaflor chico</c:v>
                  </c:pt>
                  <c:pt idx="148">
                    <c:v>bebedero picaflor especial</c:v>
                  </c:pt>
                  <c:pt idx="149">
                    <c:v>bebedero picaflor grande</c:v>
                  </c:pt>
                  <c:pt idx="150">
                    <c:v>bebedero picaflor mediano</c:v>
                  </c:pt>
                  <c:pt idx="151">
                    <c:v>bebedero picflor grande</c:v>
                  </c:pt>
                  <c:pt idx="152">
                    <c:v>bebedero picflor grande</c:v>
                  </c:pt>
                  <c:pt idx="153">
                    <c:v>bebedero plastico</c:v>
                  </c:pt>
                  <c:pt idx="154">
                    <c:v>bebedero plastico</c:v>
                  </c:pt>
                  <c:pt idx="155">
                    <c:v>bebedero plastico grande</c:v>
                  </c:pt>
                  <c:pt idx="156">
                    <c:v>bebedero plastico punta metal</c:v>
                  </c:pt>
                  <c:pt idx="157">
                    <c:v>bebedero plastico punta metal</c:v>
                  </c:pt>
                  <c:pt idx="158">
                    <c:v>bebedero plastico punta metal</c:v>
                  </c:pt>
                  <c:pt idx="159">
                    <c:v>bebedero plastico punta metal</c:v>
                  </c:pt>
                  <c:pt idx="160">
                    <c:v>bebedero plastico punta metal</c:v>
                  </c:pt>
                  <c:pt idx="161">
                    <c:v>bicarbonato de sodio</c:v>
                  </c:pt>
                  <c:pt idx="162">
                    <c:v>BICI METAL</c:v>
                  </c:pt>
                  <c:pt idx="163">
                    <c:v>BICI METAL GRANDE</c:v>
                  </c:pt>
                  <c:pt idx="164">
                    <c:v>BICI METAL MINI</c:v>
                  </c:pt>
                  <c:pt idx="165">
                    <c:v>bicicleta adorno</c:v>
                  </c:pt>
                  <c:pt idx="166">
                    <c:v>big one floraCION</c:v>
                  </c:pt>
                  <c:pt idx="167">
                    <c:v>bio funguicida</c:v>
                  </c:pt>
                  <c:pt idx="168">
                    <c:v>bio insecticida</c:v>
                  </c:pt>
                  <c:pt idx="169">
                    <c:v>bio-fertilizante</c:v>
                  </c:pt>
                  <c:pt idx="170">
                    <c:v>bio-fertilizante</c:v>
                  </c:pt>
                  <c:pt idx="171">
                    <c:v>bio-fertilizantes</c:v>
                  </c:pt>
                  <c:pt idx="172">
                    <c:v>biopellet compomite</c:v>
                  </c:pt>
                  <c:pt idx="173">
                    <c:v>biopellet componite</c:v>
                  </c:pt>
                  <c:pt idx="174">
                    <c:v>biorepelente</c:v>
                  </c:pt>
                  <c:pt idx="175">
                    <c:v>biosustrato</c:v>
                  </c:pt>
                  <c:pt idx="176">
                    <c:v>biosustrato</c:v>
                  </c:pt>
                  <c:pt idx="177">
                    <c:v>biscrok</c:v>
                  </c:pt>
                  <c:pt idx="178">
                    <c:v>biscrok</c:v>
                  </c:pt>
                  <c:pt idx="179">
                    <c:v>BLISTER COLLARES MASCOTAS /SONAJERO</c:v>
                  </c:pt>
                  <c:pt idx="180">
                    <c:v>BLISTER COLLARES MASCOTAS MOÑAC /SONAJERO</c:v>
                  </c:pt>
                  <c:pt idx="181">
                    <c:v>BOLS COCO 15</c:v>
                  </c:pt>
                  <c:pt idx="182">
                    <c:v>bols coco bols 20</c:v>
                  </c:pt>
                  <c:pt idx="183">
                    <c:v>bols coco bols 25</c:v>
                  </c:pt>
                  <c:pt idx="184">
                    <c:v>bols coco bols 30</c:v>
                  </c:pt>
                  <c:pt idx="185">
                    <c:v>bols coco bols 35</c:v>
                  </c:pt>
                  <c:pt idx="186">
                    <c:v>bols coco con plato y linga</c:v>
                  </c:pt>
                  <c:pt idx="187">
                    <c:v>bols coco con plato y linga</c:v>
                  </c:pt>
                  <c:pt idx="188">
                    <c:v>bols COLOR c/plato</c:v>
                  </c:pt>
                  <c:pt idx="189">
                    <c:v>bols COLOR c/plato</c:v>
                  </c:pt>
                  <c:pt idx="190">
                    <c:v>bols con cadena </c:v>
                  </c:pt>
                  <c:pt idx="191">
                    <c:v>bols con cadena </c:v>
                  </c:pt>
                  <c:pt idx="192">
                    <c:v>bols con cadena </c:v>
                  </c:pt>
                  <c:pt idx="193">
                    <c:v>bols con cadena chino</c:v>
                  </c:pt>
                  <c:pt idx="194">
                    <c:v>bols con cadena chino</c:v>
                  </c:pt>
                  <c:pt idx="195">
                    <c:v>BOLS RATAN</c:v>
                  </c:pt>
                  <c:pt idx="196">
                    <c:v>bols s/plato vicenza</c:v>
                  </c:pt>
                  <c:pt idx="197">
                    <c:v>bols s/plato VICENZA</c:v>
                  </c:pt>
                  <c:pt idx="198">
                    <c:v>bols s/plato VICENZA</c:v>
                  </c:pt>
                  <c:pt idx="199">
                    <c:v>bols s/plato VICENZA</c:v>
                  </c:pt>
                  <c:pt idx="200">
                    <c:v>bols s/plato VICENZA</c:v>
                  </c:pt>
                  <c:pt idx="201">
                    <c:v>BOLS TERRA</c:v>
                  </c:pt>
                  <c:pt idx="202">
                    <c:v>BOLS TERRA</c:v>
                  </c:pt>
                  <c:pt idx="203">
                    <c:v>bolsa 20x30</c:v>
                  </c:pt>
                  <c:pt idx="204">
                    <c:v>bolsa 28x40</c:v>
                  </c:pt>
                  <c:pt idx="205">
                    <c:v>bolsa 35x50</c:v>
                  </c:pt>
                  <c:pt idx="206">
                    <c:v>BOLSA CAMISETA-</c:v>
                  </c:pt>
                  <c:pt idx="207">
                    <c:v>bolsa camiseta con fuelle</c:v>
                  </c:pt>
                  <c:pt idx="208">
                    <c:v>bolsa camiseta recicble</c:v>
                  </c:pt>
                  <c:pt idx="209">
                    <c:v>bolsa camiseta recicble</c:v>
                  </c:pt>
                  <c:pt idx="210">
                    <c:v>bolsa p/ lavarropa</c:v>
                  </c:pt>
                  <c:pt idx="211">
                    <c:v>bolsa p/semilla p/p</c:v>
                  </c:pt>
                  <c:pt idx="212">
                    <c:v>bolsa papel n 3</c:v>
                  </c:pt>
                  <c:pt idx="213">
                    <c:v>bolsa vivero/kg</c:v>
                  </c:pt>
                  <c:pt idx="214">
                    <c:v>bolsa vivero/kg</c:v>
                  </c:pt>
                  <c:pt idx="215">
                    <c:v>bolsa vivero/kg</c:v>
                  </c:pt>
                  <c:pt idx="216">
                    <c:v>bolsa vivero/kg -1 LTR</c:v>
                  </c:pt>
                  <c:pt idx="217">
                    <c:v>bolsa vivero/kg-2 LTR</c:v>
                  </c:pt>
                  <c:pt idx="218">
                    <c:v>bolsoc/cierre</c:v>
                  </c:pt>
                  <c:pt idx="219">
                    <c:v>bolsos chicos</c:v>
                  </c:pt>
                  <c:pt idx="220">
                    <c:v>bolsos grande</c:v>
                  </c:pt>
                  <c:pt idx="221">
                    <c:v>bomba de agua</c:v>
                  </c:pt>
                  <c:pt idx="222">
                    <c:v>bomba de agua</c:v>
                  </c:pt>
                  <c:pt idx="223">
                    <c:v>Bomba de agua </c:v>
                  </c:pt>
                  <c:pt idx="224">
                    <c:v>bomba de agua 40 w 2000 ltr, hr 2 mtr h</c:v>
                  </c:pt>
                  <c:pt idx="225">
                    <c:v>bomba de agua 5 w350 ltr /h0,65 hrs-901</c:v>
                  </c:pt>
                  <c:pt idx="226">
                    <c:v>BOMBA DE AGUA AQUARIUM</c:v>
                  </c:pt>
                  <c:pt idx="227">
                    <c:v>botelle con rocedor</c:v>
                  </c:pt>
                  <c:pt idx="228">
                    <c:v>boyas con 3 tanzas</c:v>
                  </c:pt>
                  <c:pt idx="229">
                    <c:v>bozal cuero</c:v>
                  </c:pt>
                  <c:pt idx="230">
                    <c:v>bozal plastico</c:v>
                  </c:pt>
                  <c:pt idx="231">
                    <c:v>bozal plastico</c:v>
                  </c:pt>
                  <c:pt idx="232">
                    <c:v>bozal plastico</c:v>
                  </c:pt>
                  <c:pt idx="233">
                    <c:v>bozal plastico</c:v>
                  </c:pt>
                  <c:pt idx="234">
                    <c:v>brillo p/hojas</c:v>
                  </c:pt>
                  <c:pt idx="235">
                    <c:v>buche</c:v>
                  </c:pt>
                  <c:pt idx="236">
                    <c:v>BUD PACK top crop</c:v>
                  </c:pt>
                  <c:pt idx="237">
                    <c:v>cable alambre forrado de atar</c:v>
                  </c:pt>
                  <c:pt idx="238">
                    <c:v>cactus</c:v>
                  </c:pt>
                  <c:pt idx="239">
                    <c:v>cactus mix</c:v>
                  </c:pt>
                  <c:pt idx="240">
                    <c:v>cadena c/mauser y manija antides</c:v>
                  </c:pt>
                  <c:pt idx="241">
                    <c:v>cadena soldada para perro</c:v>
                  </c:pt>
                  <c:pt idx="242">
                    <c:v>cadena soldada para perro</c:v>
                  </c:pt>
                  <c:pt idx="243">
                    <c:v>cadena soldada para perro</c:v>
                  </c:pt>
                  <c:pt idx="244">
                    <c:v>cadena soldada para perro</c:v>
                  </c:pt>
                  <c:pt idx="245">
                    <c:v>cadena soldada para perro</c:v>
                  </c:pt>
                  <c:pt idx="246">
                    <c:v>cadena soldada para perro</c:v>
                  </c:pt>
                  <c:pt idx="247">
                    <c:v>caja anzuelos</c:v>
                  </c:pt>
                  <c:pt idx="248">
                    <c:v>CAJON AGROBOX</c:v>
                  </c:pt>
                  <c:pt idx="249">
                    <c:v>calcio p/tortuga</c:v>
                  </c:pt>
                  <c:pt idx="250">
                    <c:v>calcio-p/tortugas</c:v>
                  </c:pt>
                  <c:pt idx="251">
                    <c:v>caldo bordoles </c:v>
                  </c:pt>
                  <c:pt idx="252">
                    <c:v>calecfator30w</c:v>
                  </c:pt>
                  <c:pt idx="253">
                    <c:v>CALEFACTOR100 W</c:v>
                  </c:pt>
                  <c:pt idx="254">
                    <c:v>calefator </c:v>
                  </c:pt>
                  <c:pt idx="255">
                    <c:v>calefator 75w</c:v>
                  </c:pt>
                  <c:pt idx="256">
                    <c:v>cama mascota rayada</c:v>
                  </c:pt>
                  <c:pt idx="257">
                    <c:v>cama mascota rayada</c:v>
                  </c:pt>
                  <c:pt idx="258">
                    <c:v>CANASTO</c:v>
                  </c:pt>
                  <c:pt idx="259">
                    <c:v>CANTO RODADO</c:v>
                  </c:pt>
                  <c:pt idx="260">
                    <c:v>caño p/pecera</c:v>
                  </c:pt>
                  <c:pt idx="261">
                    <c:v>caracolicida</c:v>
                  </c:pt>
                  <c:pt idx="262">
                    <c:v>caracolicida + hormiguicida</c:v>
                  </c:pt>
                  <c:pt idx="263">
                    <c:v>caracolicida agrol granulado</c:v>
                  </c:pt>
                  <c:pt idx="264">
                    <c:v>caracolicida cara-ba pellets -caja de 24-</c:v>
                  </c:pt>
                  <c:pt idx="265">
                    <c:v>caracolicida metazon</c:v>
                  </c:pt>
                  <c:pt idx="266">
                    <c:v>caracolicida metazon</c:v>
                  </c:pt>
                  <c:pt idx="267">
                    <c:v>caracolicida metazon</c:v>
                  </c:pt>
                  <c:pt idx="268">
                    <c:v>caramelode miel</c:v>
                  </c:pt>
                  <c:pt idx="269">
                    <c:v>CARAMELOS DE MIEL</c:v>
                  </c:pt>
                  <c:pt idx="270">
                    <c:v>carbon activado</c:v>
                  </c:pt>
                  <c:pt idx="271">
                    <c:v>carbon activado polvo</c:v>
                  </c:pt>
                  <c:pt idx="272">
                    <c:v>cardina plastica</c:v>
                  </c:pt>
                  <c:pt idx="273">
                    <c:v>cascada </c:v>
                  </c:pt>
                  <c:pt idx="274">
                    <c:v>cascara de pino</c:v>
                  </c:pt>
                  <c:pt idx="275">
                    <c:v>casita trampa p/cucarachas</c:v>
                  </c:pt>
                  <c:pt idx="276">
                    <c:v>castillo</c:v>
                  </c:pt>
                  <c:pt idx="277">
                    <c:v>castillo 4 puntas y puente</c:v>
                  </c:pt>
                  <c:pt idx="278">
                    <c:v>cepillo silicona</c:v>
                  </c:pt>
                  <c:pt idx="279">
                    <c:v>CERAMICA CHICA</c:v>
                  </c:pt>
                  <c:pt idx="280">
                    <c:v>CERAMICA MEDIANA</c:v>
                  </c:pt>
                  <c:pt idx="281">
                    <c:v>CERAMICA OLLAS</c:v>
                  </c:pt>
                  <c:pt idx="282">
                    <c:v>cerca con hojas</c:v>
                  </c:pt>
                  <c:pt idx="283">
                    <c:v>CERCO PLASTICO COLONIAL</c:v>
                  </c:pt>
                  <c:pt idx="284">
                    <c:v>cerco plastico valla para jardin</c:v>
                  </c:pt>
                  <c:pt idx="285">
                    <c:v>cero plaga 3 en 1</c:v>
                  </c:pt>
                  <c:pt idx="286">
                    <c:v>CERO PLAGA BIO insc polvo diat</c:v>
                  </c:pt>
                  <c:pt idx="287">
                    <c:v>cero plaga brrera antihormigas</c:v>
                  </c:pt>
                  <c:pt idx="288">
                    <c:v>CERO PLAGA CARACOLICIDA</c:v>
                  </c:pt>
                  <c:pt idx="289">
                    <c:v>CERO PLAGA CARACOLICIDA</c:v>
                  </c:pt>
                  <c:pt idx="290">
                    <c:v>cero plaga epray recambio</c:v>
                  </c:pt>
                  <c:pt idx="291">
                    <c:v>cero plaga hormiguicida</c:v>
                  </c:pt>
                  <c:pt idx="292">
                    <c:v>cero plaga hormiguicida</c:v>
                  </c:pt>
                  <c:pt idx="293">
                    <c:v>CERO PLAGA ins org 4 en 1</c:v>
                  </c:pt>
                  <c:pt idx="294">
                    <c:v>CERO PLAGA INSECT ORG CONCENTRADO</c:v>
                  </c:pt>
                  <c:pt idx="295">
                    <c:v>cero plaga insecticida concentrado</c:v>
                  </c:pt>
                  <c:pt idx="296">
                    <c:v>cero plaga jabon potasico spray</c:v>
                  </c:pt>
                  <c:pt idx="297">
                    <c:v>CERO PLAGA RECAMBIO INSECTICIDA</c:v>
                  </c:pt>
                  <c:pt idx="298">
                    <c:v>CERO PLAGA spray organico</c:v>
                  </c:pt>
                  <c:pt idx="299">
                    <c:v>cesped axonopus</c:v>
                  </c:pt>
                  <c:pt idx="300">
                    <c:v>cesped axonopus</c:v>
                  </c:pt>
                  <c:pt idx="301">
                    <c:v>cesped inteligente</c:v>
                  </c:pt>
                  <c:pt idx="302">
                    <c:v>cesped inteligente</c:v>
                  </c:pt>
                  <c:pt idx="303">
                    <c:v>cesped loliumperenne esquire</c:v>
                  </c:pt>
                  <c:pt idx="304">
                    <c:v>cesped mezcla estándar bolsa</c:v>
                  </c:pt>
                  <c:pt idx="305">
                    <c:v>cesped mezcla estándar bolsa</c:v>
                  </c:pt>
                  <c:pt idx="306">
                    <c:v>cesped mezcla estándar disp caja</c:v>
                  </c:pt>
                  <c:pt idx="307">
                    <c:v>cesped premiun ultra rapido</c:v>
                  </c:pt>
                  <c:pt idx="308">
                    <c:v>CESPED SINTETICO</c:v>
                  </c:pt>
                  <c:pt idx="309">
                    <c:v>chip de coco</c:v>
                  </c:pt>
                  <c:pt idx="310">
                    <c:v>chip de pino</c:v>
                  </c:pt>
                  <c:pt idx="311">
                    <c:v>cinta aisladora</c:v>
                  </c:pt>
                  <c:pt idx="312">
                    <c:v>cinta aisladora</c:v>
                  </c:pt>
                  <c:pt idx="313">
                    <c:v>CINTA ATAR</c:v>
                  </c:pt>
                  <c:pt idx="314">
                    <c:v>cinta para insectos</c:v>
                  </c:pt>
                  <c:pt idx="315">
                    <c:v>cinta pegajosa moscas</c:v>
                  </c:pt>
                  <c:pt idx="316">
                    <c:v>cipermetrina</c:v>
                  </c:pt>
                  <c:pt idx="317">
                    <c:v>cipermetrina</c:v>
                  </c:pt>
                  <c:pt idx="318">
                    <c:v>cipermetrina ectosules</c:v>
                  </c:pt>
                  <c:pt idx="319">
                    <c:v>cipermic</c:v>
                  </c:pt>
                  <c:pt idx="320">
                    <c:v>CITRONELLA cero plaga</c:v>
                  </c:pt>
                  <c:pt idx="321">
                    <c:v>clavel grande</c:v>
                  </c:pt>
                  <c:pt idx="322">
                    <c:v>cloraqua liq anticloro</c:v>
                  </c:pt>
                  <c:pt idx="323">
                    <c:v>coco bols 15</c:v>
                  </c:pt>
                  <c:pt idx="324">
                    <c:v>coco bols 25</c:v>
                  </c:pt>
                  <c:pt idx="325">
                    <c:v>coco bols 35</c:v>
                  </c:pt>
                  <c:pt idx="326">
                    <c:v>coco bols 40</c:v>
                  </c:pt>
                  <c:pt idx="327">
                    <c:v>coco expandido</c:v>
                  </c:pt>
                  <c:pt idx="328">
                    <c:v>coigro coco cannablend</c:v>
                  </c:pt>
                  <c:pt idx="329">
                    <c:v>coigro coco cannablend</c:v>
                  </c:pt>
                  <c:pt idx="330">
                    <c:v>coigro coco cannablend</c:v>
                  </c:pt>
                  <c:pt idx="331">
                    <c:v>colchon sanitario ecologico</c:v>
                  </c:pt>
                  <c:pt idx="332">
                    <c:v>colgante n 1</c:v>
                  </c:pt>
                  <c:pt idx="333">
                    <c:v>colgante n 3</c:v>
                  </c:pt>
                  <c:pt idx="334">
                    <c:v>colgante n2</c:v>
                  </c:pt>
                  <c:pt idx="335">
                    <c:v>COLLAR</c:v>
                  </c:pt>
                  <c:pt idx="336">
                    <c:v>collar </c:v>
                  </c:pt>
                  <c:pt idx="337">
                    <c:v>collar ahorque </c:v>
                  </c:pt>
                  <c:pt idx="338">
                    <c:v>collar ahorque </c:v>
                  </c:pt>
                  <c:pt idx="339">
                    <c:v>collar ahorque </c:v>
                  </c:pt>
                  <c:pt idx="340">
                    <c:v>collar cinta lisa</c:v>
                  </c:pt>
                  <c:pt idx="341">
                    <c:v>collar cinta lisa</c:v>
                  </c:pt>
                  <c:pt idx="342">
                    <c:v>collar cinta lisa</c:v>
                  </c:pt>
                  <c:pt idx="343">
                    <c:v>collar cinta lisa</c:v>
                  </c:pt>
                  <c:pt idx="344">
                    <c:v>collar cinta lisa</c:v>
                  </c:pt>
                  <c:pt idx="345">
                    <c:v>collar cinta lisa</c:v>
                  </c:pt>
                  <c:pt idx="346">
                    <c:v>collar cinta lisa </c:v>
                  </c:pt>
                  <c:pt idx="347">
                    <c:v>collar cinta lisa </c:v>
                  </c:pt>
                  <c:pt idx="348">
                    <c:v>collar cinta lisa </c:v>
                  </c:pt>
                  <c:pt idx="349">
                    <c:v>collar cinta lisa 1,5 cm </c:v>
                  </c:pt>
                  <c:pt idx="350">
                    <c:v>collar cinta lisa 2 cm</c:v>
                  </c:pt>
                  <c:pt idx="351">
                    <c:v>collar cinta lisa doble cinta</c:v>
                  </c:pt>
                  <c:pt idx="352">
                    <c:v>COLLAR COLOR CUERO </c:v>
                  </c:pt>
                  <c:pt idx="353">
                    <c:v>collar con huellita</c:v>
                  </c:pt>
                  <c:pt idx="354">
                    <c:v>collar de perro</c:v>
                  </c:pt>
                  <c:pt idx="355">
                    <c:v>collar de perro</c:v>
                  </c:pt>
                  <c:pt idx="356">
                    <c:v>collar de perro</c:v>
                  </c:pt>
                  <c:pt idx="357">
                    <c:v>collar doble cocido</c:v>
                  </c:pt>
                  <c:pt idx="358">
                    <c:v>collar doble fila de ojales</c:v>
                  </c:pt>
                  <c:pt idx="359">
                    <c:v>collar doble ojalillo</c:v>
                  </c:pt>
                  <c:pt idx="360">
                    <c:v>collar doble ojalillo</c:v>
                  </c:pt>
                  <c:pt idx="361">
                    <c:v>collar dominal cachorro</c:v>
                  </c:pt>
                  <c:pt idx="362">
                    <c:v>collar dominal extra grande</c:v>
                  </c:pt>
                  <c:pt idx="363">
                    <c:v>collar dominal gato</c:v>
                  </c:pt>
                  <c:pt idx="364">
                    <c:v>collar dominal gato</c:v>
                  </c:pt>
                  <c:pt idx="365">
                    <c:v>collar dominal gatos</c:v>
                  </c:pt>
                  <c:pt idx="366">
                    <c:v>collar dominal grande</c:v>
                  </c:pt>
                  <c:pt idx="367">
                    <c:v>collar dominal mediano</c:v>
                  </c:pt>
                  <c:pt idx="368">
                    <c:v>collar domiunal mediano</c:v>
                  </c:pt>
                  <c:pt idx="369">
                    <c:v>collar galon </c:v>
                  </c:pt>
                  <c:pt idx="370">
                    <c:v>COLLAR GOM</c:v>
                  </c:pt>
                  <c:pt idx="371">
                    <c:v>collar jyg</c:v>
                  </c:pt>
                  <c:pt idx="372">
                    <c:v>collar jyg</c:v>
                  </c:pt>
                  <c:pt idx="373">
                    <c:v>collar lisoc/moña blister</c:v>
                  </c:pt>
                  <c:pt idx="374">
                    <c:v>collar nylondoble fila ojales</c:v>
                  </c:pt>
                  <c:pt idx="375">
                    <c:v>collar p/gatosperro chico</c:v>
                  </c:pt>
                  <c:pt idx="376">
                    <c:v>collar perro </c:v>
                  </c:pt>
                  <c:pt idx="377">
                    <c:v>collar perro doble filas de ojales</c:v>
                  </c:pt>
                  <c:pt idx="378">
                    <c:v>collar pincho s </c:v>
                  </c:pt>
                  <c:pt idx="379">
                    <c:v>collar pincho xl</c:v>
                  </c:pt>
                  <c:pt idx="380">
                    <c:v>COLLAR REGULABLE BANDANA</c:v>
                  </c:pt>
                  <c:pt idx="381">
                    <c:v>COLLAR REGULABLECON GALON</c:v>
                  </c:pt>
                  <c:pt idx="382">
                    <c:v>collar silicona p/gato</c:v>
                  </c:pt>
                  <c:pt idx="383">
                    <c:v>colza </c:v>
                  </c:pt>
                  <c:pt idx="384">
                    <c:v>colza </c:v>
                  </c:pt>
                  <c:pt idx="385">
                    <c:v>comeder doble</c:v>
                  </c:pt>
                  <c:pt idx="386">
                    <c:v>comedero</c:v>
                  </c:pt>
                  <c:pt idx="387">
                    <c:v>comedero </c:v>
                  </c:pt>
                  <c:pt idx="388">
                    <c:v>comedero acero inox</c:v>
                  </c:pt>
                  <c:pt idx="389">
                    <c:v>comedero acero inox loro  grande</c:v>
                  </c:pt>
                  <c:pt idx="390">
                    <c:v>comedero automatico pajaro</c:v>
                  </c:pt>
                  <c:pt idx="391">
                    <c:v>comedero automatico premier</c:v>
                  </c:pt>
                  <c:pt idx="392">
                    <c:v>COMEDERO BEBEDERO CERAMICA</c:v>
                  </c:pt>
                  <c:pt idx="393">
                    <c:v>COMEDERO BEBEDERO CERAMICA</c:v>
                  </c:pt>
                  <c:pt idx="394">
                    <c:v>comedero bebedero p/pajaro-resorte externo</c:v>
                  </c:pt>
                  <c:pt idx="395">
                    <c:v>COMEDERO CON PATITAS</c:v>
                  </c:pt>
                  <c:pt idx="396">
                    <c:v>COMEDERO CON PATITAS</c:v>
                  </c:pt>
                  <c:pt idx="397">
                    <c:v>comedero doble</c:v>
                  </c:pt>
                  <c:pt idx="398">
                    <c:v>comedero doble</c:v>
                  </c:pt>
                  <c:pt idx="399">
                    <c:v>comedero doble de melamina</c:v>
                  </c:pt>
                  <c:pt idx="400">
                    <c:v>comedero doble p/gato</c:v>
                  </c:pt>
                  <c:pt idx="401">
                    <c:v>comedero economico </c:v>
                  </c:pt>
                  <c:pt idx="402">
                    <c:v>comedero economico bowl</c:v>
                  </c:pt>
                  <c:pt idx="403">
                    <c:v>comedero exterior</c:v>
                  </c:pt>
                  <c:pt idx="404">
                    <c:v>comedero interior</c:v>
                  </c:pt>
                  <c:pt idx="405">
                    <c:v>comedero oval 2agujeros c/gancho</c:v>
                  </c:pt>
                  <c:pt idx="406">
                    <c:v>comedero oval 3 agujeros</c:v>
                  </c:pt>
                  <c:pt idx="407">
                    <c:v>comedero pajaro</c:v>
                  </c:pt>
                  <c:pt idx="408">
                    <c:v>comedero plastico</c:v>
                  </c:pt>
                  <c:pt idx="409">
                    <c:v>comedero rancho plastico</c:v>
                  </c:pt>
                  <c:pt idx="410">
                    <c:v>comedero rancho plastico</c:v>
                  </c:pt>
                  <c:pt idx="411">
                    <c:v>comedero rect,hamster</c:v>
                  </c:pt>
                  <c:pt idx="412">
                    <c:v>comedero silvestre automatico</c:v>
                  </c:pt>
                  <c:pt idx="413">
                    <c:v>comedero tipo rancho</c:v>
                  </c:pt>
                  <c:pt idx="414">
                    <c:v>comedero tubo tolva</c:v>
                  </c:pt>
                  <c:pt idx="415">
                    <c:v>comederoeconomico c/ dibujos</c:v>
                  </c:pt>
                  <c:pt idx="416">
                    <c:v>compost premiun</c:v>
                  </c:pt>
                  <c:pt idx="417">
                    <c:v>compost premiun</c:v>
                  </c:pt>
                  <c:pt idx="418">
                    <c:v>conector de manguera</c:v>
                  </c:pt>
                  <c:pt idx="419">
                    <c:v>conector de manguera</c:v>
                  </c:pt>
                  <c:pt idx="420">
                    <c:v>conector p manguera</c:v>
                  </c:pt>
                  <c:pt idx="421">
                    <c:v>conexiom t</c:v>
                  </c:pt>
                  <c:pt idx="422">
                    <c:v>coral naranja</c:v>
                  </c:pt>
                  <c:pt idx="423">
                    <c:v>corazon espuma</c:v>
                  </c:pt>
                  <c:pt idx="424">
                    <c:v>Corona chica</c:v>
                  </c:pt>
                  <c:pt idx="425">
                    <c:v>Corona extra grande  claveles rosas y lilium</c:v>
                  </c:pt>
                  <c:pt idx="426">
                    <c:v>Corona grande claveles</c:v>
                  </c:pt>
                  <c:pt idx="427">
                    <c:v>corona mediana</c:v>
                  </c:pt>
                  <c:pt idx="428">
                    <c:v>CORREA CINTA LISA GALV</c:v>
                  </c:pt>
                  <c:pt idx="429">
                    <c:v>CORREA CINTA LISA GALV</c:v>
                  </c:pt>
                  <c:pt idx="430">
                    <c:v>CORREA CINTA LISA GALV</c:v>
                  </c:pt>
                  <c:pt idx="431">
                    <c:v>CORREA CINTA LISA GALV</c:v>
                  </c:pt>
                  <c:pt idx="432">
                    <c:v>correa con arnes</c:v>
                  </c:pt>
                  <c:pt idx="433">
                    <c:v>CORREA CON MANIJA Y RESORTE</c:v>
                  </c:pt>
                  <c:pt idx="434">
                    <c:v>correa lisa</c:v>
                  </c:pt>
                  <c:pt idx="435">
                    <c:v>correa lisa</c:v>
                  </c:pt>
                  <c:pt idx="436">
                    <c:v>correa retractil 5mts</c:v>
                  </c:pt>
                  <c:pt idx="437">
                    <c:v>corteza pino</c:v>
                  </c:pt>
                  <c:pt idx="438">
                    <c:v>CRECE MAS ACTIVADOR de flores </c:v>
                  </c:pt>
                  <c:pt idx="439">
                    <c:v>CRECE MAS ACTIVADOR de flores sachet</c:v>
                  </c:pt>
                  <c:pt idx="440">
                    <c:v>crece mas alim p/ todas plantas</c:v>
                  </c:pt>
                  <c:pt idx="441">
                    <c:v>crece mas alimento para cactus</c:v>
                  </c:pt>
                  <c:pt idx="442">
                    <c:v>crece mas arboles y frutales</c:v>
                  </c:pt>
                  <c:pt idx="443">
                    <c:v>crece mas enraizador sachett</c:v>
                  </c:pt>
                  <c:pt idx="444">
                    <c:v>crece mas jardin y huerta</c:v>
                  </c:pt>
                  <c:pt idx="445">
                    <c:v>crece mas p/ todas las plantas</c:v>
                  </c:pt>
                  <c:pt idx="446">
                    <c:v>crece mas p/helechos</c:v>
                  </c:pt>
                  <c:pt idx="447">
                    <c:v>crece mas rosas y flores</c:v>
                  </c:pt>
                  <c:pt idx="448">
                    <c:v>crece mas todas plantas FOLIAR</c:v>
                  </c:pt>
                  <c:pt idx="449">
                    <c:v>crece ms organico p/plantas</c:v>
                  </c:pt>
                  <c:pt idx="450">
                    <c:v>crecemas cactus y suculentas</c:v>
                  </c:pt>
                  <c:pt idx="451">
                    <c:v>creolina</c:v>
                  </c:pt>
                  <c:pt idx="452">
                    <c:v>creolina aromas</c:v>
                  </c:pt>
                  <c:pt idx="453">
                    <c:v>creolina buena estrella</c:v>
                  </c:pt>
                  <c:pt idx="454">
                    <c:v>creolina buena estrella</c:v>
                  </c:pt>
                  <c:pt idx="455">
                    <c:v>creolina concentrada</c:v>
                  </c:pt>
                  <c:pt idx="456">
                    <c:v>creolina concentrada</c:v>
                  </c:pt>
                  <c:pt idx="457">
                    <c:v>creolina concentrada</c:v>
                  </c:pt>
                  <c:pt idx="458">
                    <c:v>creolinas aromas</c:v>
                  </c:pt>
                  <c:pt idx="459">
                    <c:v>CROTON 65 CM</c:v>
                  </c:pt>
                  <c:pt idx="460">
                    <c:v>cucarachicida fulmoline</c:v>
                  </c:pt>
                  <c:pt idx="461">
                    <c:v>cucarachicida fulmolini</c:v>
                  </c:pt>
                  <c:pt idx="462">
                    <c:v>cucarachicida green choice</c:v>
                  </c:pt>
                  <c:pt idx="463">
                    <c:v>cucarachicida talquera</c:v>
                  </c:pt>
                  <c:pt idx="464">
                    <c:v>cuerda</c:v>
                  </c:pt>
                  <c:pt idx="465">
                    <c:v>cuerda con agasrre</c:v>
                  </c:pt>
                  <c:pt idx="466">
                    <c:v>cuerde 3 nudos-pelotas de goma</c:v>
                  </c:pt>
                  <c:pt idx="467">
                    <c:v>cuna 3 piezas</c:v>
                  </c:pt>
                  <c:pt idx="468">
                    <c:v>cuna de tela</c:v>
                  </c:pt>
                  <c:pt idx="469">
                    <c:v>cuna de tela</c:v>
                  </c:pt>
                  <c:pt idx="470">
                    <c:v>cuna de tela</c:v>
                  </c:pt>
                  <c:pt idx="471">
                    <c:v>cuna oval</c:v>
                  </c:pt>
                  <c:pt idx="472">
                    <c:v>cuna oval desmontable chico</c:v>
                  </c:pt>
                  <c:pt idx="473">
                    <c:v>cuna oval desmontable mediano</c:v>
                  </c:pt>
                  <c:pt idx="474">
                    <c:v>curabichera fibrusules</c:v>
                  </c:pt>
                  <c:pt idx="475">
                    <c:v>curabichera fleant ag spray</c:v>
                  </c:pt>
                  <c:pt idx="476">
                    <c:v>d</c:v>
                  </c:pt>
                  <c:pt idx="477">
                    <c:v>deeper under groun</c:v>
                  </c:pt>
                  <c:pt idx="478">
                    <c:v>dentastix</c:v>
                  </c:pt>
                  <c:pt idx="479">
                    <c:v>des</c:v>
                  </c:pt>
                  <c:pt idx="480">
                    <c:v>des</c:v>
                  </c:pt>
                  <c:pt idx="481">
                    <c:v>des</c:v>
                  </c:pt>
                  <c:pt idx="482">
                    <c:v>des</c:v>
                  </c:pt>
                  <c:pt idx="483">
                    <c:v>des</c:v>
                  </c:pt>
                  <c:pt idx="484">
                    <c:v>des</c:v>
                  </c:pt>
                  <c:pt idx="485">
                    <c:v>DES</c:v>
                  </c:pt>
                  <c:pt idx="486">
                    <c:v>DES</c:v>
                  </c:pt>
                  <c:pt idx="487">
                    <c:v>DES</c:v>
                  </c:pt>
                  <c:pt idx="488">
                    <c:v>des</c:v>
                  </c:pt>
                  <c:pt idx="489">
                    <c:v>des</c:v>
                  </c:pt>
                  <c:pt idx="490">
                    <c:v>des</c:v>
                  </c:pt>
                  <c:pt idx="491">
                    <c:v>des</c:v>
                  </c:pt>
                  <c:pt idx="492">
                    <c:v>des</c:v>
                  </c:pt>
                  <c:pt idx="493">
                    <c:v>des</c:v>
                  </c:pt>
                  <c:pt idx="494">
                    <c:v>des</c:v>
                  </c:pt>
                  <c:pt idx="495">
                    <c:v>des</c:v>
                  </c:pt>
                  <c:pt idx="496">
                    <c:v>des</c:v>
                  </c:pt>
                  <c:pt idx="497">
                    <c:v>des</c:v>
                  </c:pt>
                  <c:pt idx="498">
                    <c:v>des</c:v>
                  </c:pt>
                  <c:pt idx="499">
                    <c:v>des</c:v>
                  </c:pt>
                  <c:pt idx="500">
                    <c:v>des</c:v>
                  </c:pt>
                  <c:pt idx="501">
                    <c:v>des</c:v>
                  </c:pt>
                  <c:pt idx="502">
                    <c:v>des</c:v>
                  </c:pt>
                  <c:pt idx="503">
                    <c:v>des</c:v>
                  </c:pt>
                  <c:pt idx="504">
                    <c:v>des</c:v>
                  </c:pt>
                  <c:pt idx="505">
                    <c:v>des</c:v>
                  </c:pt>
                  <c:pt idx="506">
                    <c:v>des</c:v>
                  </c:pt>
                  <c:pt idx="507">
                    <c:v>des</c:v>
                  </c:pt>
                  <c:pt idx="508">
                    <c:v>des</c:v>
                  </c:pt>
                  <c:pt idx="509">
                    <c:v>des</c:v>
                  </c:pt>
                  <c:pt idx="510">
                    <c:v>des</c:v>
                  </c:pt>
                  <c:pt idx="511">
                    <c:v>des</c:v>
                  </c:pt>
                  <c:pt idx="512">
                    <c:v>des</c:v>
                  </c:pt>
                  <c:pt idx="513">
                    <c:v>des</c:v>
                  </c:pt>
                  <c:pt idx="514">
                    <c:v>des</c:v>
                  </c:pt>
                  <c:pt idx="515">
                    <c:v>des</c:v>
                  </c:pt>
                  <c:pt idx="516">
                    <c:v>des</c:v>
                  </c:pt>
                  <c:pt idx="517">
                    <c:v>des</c:v>
                  </c:pt>
                  <c:pt idx="518">
                    <c:v>des</c:v>
                  </c:pt>
                  <c:pt idx="519">
                    <c:v>des</c:v>
                  </c:pt>
                  <c:pt idx="520">
                    <c:v>des</c:v>
                  </c:pt>
                  <c:pt idx="521">
                    <c:v>des</c:v>
                  </c:pt>
                  <c:pt idx="522">
                    <c:v>des</c:v>
                  </c:pt>
                  <c:pt idx="523">
                    <c:v>des</c:v>
                  </c:pt>
                  <c:pt idx="524">
                    <c:v>des</c:v>
                  </c:pt>
                  <c:pt idx="525">
                    <c:v>des</c:v>
                  </c:pt>
                  <c:pt idx="526">
                    <c:v>des</c:v>
                  </c:pt>
                  <c:pt idx="527">
                    <c:v>des</c:v>
                  </c:pt>
                  <c:pt idx="528">
                    <c:v>des</c:v>
                  </c:pt>
                  <c:pt idx="529">
                    <c:v>des</c:v>
                  </c:pt>
                  <c:pt idx="530">
                    <c:v>des</c:v>
                  </c:pt>
                  <c:pt idx="531">
                    <c:v>des</c:v>
                  </c:pt>
                  <c:pt idx="532">
                    <c:v>des</c:v>
                  </c:pt>
                  <c:pt idx="533">
                    <c:v>des</c:v>
                  </c:pt>
                  <c:pt idx="534">
                    <c:v>des</c:v>
                  </c:pt>
                  <c:pt idx="535">
                    <c:v>des</c:v>
                  </c:pt>
                  <c:pt idx="536">
                    <c:v>des</c:v>
                  </c:pt>
                  <c:pt idx="537">
                    <c:v>des</c:v>
                  </c:pt>
                  <c:pt idx="538">
                    <c:v>des</c:v>
                  </c:pt>
                  <c:pt idx="539">
                    <c:v>des</c:v>
                  </c:pt>
                  <c:pt idx="540">
                    <c:v>des</c:v>
                  </c:pt>
                  <c:pt idx="541">
                    <c:v>des</c:v>
                  </c:pt>
                  <c:pt idx="542">
                    <c:v>des</c:v>
                  </c:pt>
                  <c:pt idx="543">
                    <c:v>des</c:v>
                  </c:pt>
                  <c:pt idx="544">
                    <c:v>des</c:v>
                  </c:pt>
                  <c:pt idx="545">
                    <c:v>des</c:v>
                  </c:pt>
                  <c:pt idx="546">
                    <c:v>des</c:v>
                  </c:pt>
                  <c:pt idx="547">
                    <c:v>des</c:v>
                  </c:pt>
                  <c:pt idx="548">
                    <c:v>des</c:v>
                  </c:pt>
                  <c:pt idx="549">
                    <c:v>des</c:v>
                  </c:pt>
                  <c:pt idx="550">
                    <c:v>des</c:v>
                  </c:pt>
                  <c:pt idx="551">
                    <c:v>des</c:v>
                  </c:pt>
                  <c:pt idx="552">
                    <c:v>destorcedor galvanizado n4</c:v>
                  </c:pt>
                  <c:pt idx="553">
                    <c:v>destorcedor galvanizado n8</c:v>
                  </c:pt>
                  <c:pt idx="554">
                    <c:v>dimetoato</c:v>
                  </c:pt>
                  <c:pt idx="555">
                    <c:v>dispersona</c:v>
                  </c:pt>
                  <c:pt idx="556">
                    <c:v>dispersona</c:v>
                  </c:pt>
                  <c:pt idx="557">
                    <c:v>ecovaso con plato y linga</c:v>
                  </c:pt>
                  <c:pt idx="558">
                    <c:v>ectosules</c:v>
                  </c:pt>
                  <c:pt idx="559">
                    <c:v>educador y ahuyentador perro y gato</c:v>
                  </c:pt>
                  <c:pt idx="560">
                    <c:v>eliminador olores para pisos</c:v>
                  </c:pt>
                  <c:pt idx="561">
                    <c:v>embudo grande</c:v>
                  </c:pt>
                  <c:pt idx="562">
                    <c:v>embudo mediano chico</c:v>
                  </c:pt>
                  <c:pt idx="563">
                    <c:v>enraizador</c:v>
                  </c:pt>
                  <c:pt idx="564">
                    <c:v>enraizador 345</c:v>
                  </c:pt>
                  <c:pt idx="565">
                    <c:v>enraizaor</c:v>
                  </c:pt>
                  <c:pt idx="566">
                    <c:v>equipex</c:v>
                  </c:pt>
                  <c:pt idx="567">
                    <c:v>ESCARDILLA DOBLE </c:v>
                  </c:pt>
                  <c:pt idx="568">
                    <c:v>escardillo de mano</c:v>
                  </c:pt>
                  <c:pt idx="569">
                    <c:v>escardillo p/jardin</c:v>
                  </c:pt>
                  <c:pt idx="570">
                    <c:v>escardillo tridente de jardineria</c:v>
                  </c:pt>
                  <c:pt idx="571">
                    <c:v>escoba de jardin</c:v>
                  </c:pt>
                  <c:pt idx="572">
                    <c:v>escoba plastico c/mango</c:v>
                  </c:pt>
                  <c:pt idx="573">
                    <c:v>escobas paja</c:v>
                  </c:pt>
                  <c:pt idx="574">
                    <c:v>escobilla de plastico naranja</c:v>
                  </c:pt>
                  <c:pt idx="575">
                    <c:v>escobilla jardin</c:v>
                  </c:pt>
                  <c:pt idx="576">
                    <c:v>escobilla metal</c:v>
                  </c:pt>
                  <c:pt idx="577">
                    <c:v>escobilla plastica sin cabo</c:v>
                  </c:pt>
                  <c:pt idx="578">
                    <c:v>escobilla plastica sin cabo</c:v>
                  </c:pt>
                  <c:pt idx="579">
                    <c:v>esfera acrilica de hamster</c:v>
                  </c:pt>
                  <c:pt idx="580">
                    <c:v>esfera hamster mediana</c:v>
                  </c:pt>
                  <c:pt idx="581">
                    <c:v>espinillo</c:v>
                  </c:pt>
                  <c:pt idx="582">
                    <c:v>espirales jumo</c:v>
                  </c:pt>
                  <c:pt idx="583">
                    <c:v>estaca</c:v>
                  </c:pt>
                  <c:pt idx="584">
                    <c:v>esterilla</c:v>
                  </c:pt>
                  <c:pt idx="585">
                    <c:v>estrangulador</c:v>
                  </c:pt>
                  <c:pt idx="586">
                    <c:v>estrobal</c:v>
                  </c:pt>
                  <c:pt idx="587">
                    <c:v>estrobal comprimidos</c:v>
                  </c:pt>
                  <c:pt idx="588">
                    <c:v>estrobal inyectable</c:v>
                  </c:pt>
                  <c:pt idx="589">
                    <c:v>FERT FERROSO</c:v>
                  </c:pt>
                  <c:pt idx="590">
                    <c:v>fert hakaphos rojo 18x18x18</c:v>
                  </c:pt>
                  <c:pt idx="591">
                    <c:v>fert hakaphos rojo 18x18x18</c:v>
                  </c:pt>
                  <c:pt idx="592">
                    <c:v>fert urea</c:v>
                  </c:pt>
                  <c:pt idx="593">
                    <c:v>fert urea</c:v>
                  </c:pt>
                  <c:pt idx="594">
                    <c:v>fert urea</c:v>
                  </c:pt>
                  <c:pt idx="595">
                    <c:v>fertilizante 15-15-15</c:v>
                  </c:pt>
                  <c:pt idx="596">
                    <c:v>fertilizante 15-15-15-</c:v>
                  </c:pt>
                  <c:pt idx="597">
                    <c:v>fertilizante AKAFOS ROSADO 18-18-18</c:v>
                  </c:pt>
                  <c:pt idx="598">
                    <c:v>fertilizante blaukorn 12-8-16 azul</c:v>
                  </c:pt>
                  <c:pt idx="599">
                    <c:v>fertilizante blaukorn 12-8-16 azul</c:v>
                  </c:pt>
                  <c:pt idx="600">
                    <c:v>fertilizante blaukorn classic</c:v>
                  </c:pt>
                  <c:pt idx="601">
                    <c:v>fertilizante blaukorn classic</c:v>
                  </c:pt>
                  <c:pt idx="602">
                    <c:v>fertilizante bleu korn</c:v>
                  </c:pt>
                  <c:pt idx="603">
                    <c:v>fertilizante bleu korn</c:v>
                  </c:pt>
                  <c:pt idx="604">
                    <c:v>fertilizante granos azules act. Flores y frutos</c:v>
                  </c:pt>
                  <c:pt idx="605">
                    <c:v>fertilizante helecho</c:v>
                  </c:pt>
                  <c:pt idx="606">
                    <c:v>fertilizante helechos</c:v>
                  </c:pt>
                  <c:pt idx="607">
                    <c:v>fertilizante orquidea</c:v>
                  </c:pt>
                  <c:pt idx="608">
                    <c:v>fertilizante orquidea</c:v>
                  </c:pt>
                  <c:pt idx="609">
                    <c:v>fertilizante orquideas</c:v>
                  </c:pt>
                  <c:pt idx="610">
                    <c:v>fertilizante orquideas</c:v>
                  </c:pt>
                  <c:pt idx="611">
                    <c:v>fertilizante violetas</c:v>
                  </c:pt>
                  <c:pt idx="612">
                    <c:v>fertilizantes helechos samambaias </c:v>
                  </c:pt>
                  <c:pt idx="613">
                    <c:v>fetilizante cactus</c:v>
                  </c:pt>
                  <c:pt idx="614">
                    <c:v>fibra de coco</c:v>
                  </c:pt>
                  <c:pt idx="615">
                    <c:v>fibra de coco</c:v>
                  </c:pt>
                  <c:pt idx="616">
                    <c:v>fibra de coco</c:v>
                  </c:pt>
                  <c:pt idx="617">
                    <c:v>fibra de coco</c:v>
                  </c:pt>
                  <c:pt idx="618">
                    <c:v>fibra de coco expandido</c:v>
                  </c:pt>
                  <c:pt idx="619">
                    <c:v>filtro  638 b</c:v>
                  </c:pt>
                  <c:pt idx="620">
                    <c:v>filtro bioesponja</c:v>
                  </c:pt>
                  <c:pt idx="621">
                    <c:v>filtro bioesponja</c:v>
                  </c:pt>
                  <c:pt idx="622">
                    <c:v>filtro bioesponja</c:v>
                  </c:pt>
                  <c:pt idx="623">
                    <c:v>filtro bioesponja</c:v>
                  </c:pt>
                  <c:pt idx="624">
                    <c:v>filtro externo mochila</c:v>
                  </c:pt>
                  <c:pt idx="625">
                    <c:v>filtro humedo seco </c:v>
                  </c:pt>
                  <c:pt idx="626">
                    <c:v>filtro interno 3w  rs 072</c:v>
                  </c:pt>
                  <c:pt idx="627">
                    <c:v>filtro interno 6w450 rs 082A</c:v>
                  </c:pt>
                  <c:pt idx="628">
                    <c:v>filtro interno rs 2001 8 W</c:v>
                  </c:pt>
                  <c:pt idx="629">
                    <c:v>filtro interno rs 201 8W</c:v>
                  </c:pt>
                  <c:pt idx="630">
                    <c:v>filtro interno rs-062A2W </c:v>
                  </c:pt>
                  <c:pt idx="631">
                    <c:v>filtro mochila 3000</c:v>
                  </c:pt>
                  <c:pt idx="632">
                    <c:v>filtro-cabeza de poder</c:v>
                  </c:pt>
                  <c:pt idx="633">
                    <c:v>flit derribador</c:v>
                  </c:pt>
                  <c:pt idx="634">
                    <c:v>flit dezenur </c:v>
                  </c:pt>
                  <c:pt idx="635">
                    <c:v>flit dezenur 1/4250 c,c</c:v>
                  </c:pt>
                  <c:pt idx="636">
                    <c:v>flit dezenur envasado</c:v>
                  </c:pt>
                  <c:pt idx="637">
                    <c:v>flor artificial</c:v>
                  </c:pt>
                  <c:pt idx="638">
                    <c:v>flor artificial</c:v>
                  </c:pt>
                  <c:pt idx="639">
                    <c:v>flor de pajarito </c:v>
                  </c:pt>
                  <c:pt idx="640">
                    <c:v>FLOR DE REGADERA PARA BOTELLA</c:v>
                  </c:pt>
                  <c:pt idx="641">
                    <c:v>flor goma eva</c:v>
                  </c:pt>
                  <c:pt idx="642">
                    <c:v>FLORERO</c:v>
                  </c:pt>
                  <c:pt idx="643">
                    <c:v>FLORERO</c:v>
                  </c:pt>
                  <c:pt idx="644">
                    <c:v>FLORERO</c:v>
                  </c:pt>
                  <c:pt idx="645">
                    <c:v>florero labrado</c:v>
                  </c:pt>
                  <c:pt idx="646">
                    <c:v>FLORERO PECERA</c:v>
                  </c:pt>
                  <c:pt idx="647">
                    <c:v>florero vidrio</c:v>
                  </c:pt>
                  <c:pt idx="648">
                    <c:v>florero vidrio</c:v>
                  </c:pt>
                  <c:pt idx="649">
                    <c:v>florero vidrio</c:v>
                  </c:pt>
                  <c:pt idx="650">
                    <c:v>florero vidrio</c:v>
                  </c:pt>
                  <c:pt idx="651">
                    <c:v>florero vidrio caja</c:v>
                  </c:pt>
                  <c:pt idx="652">
                    <c:v>FLORERO VIDRIO LABRADO</c:v>
                  </c:pt>
                  <c:pt idx="653">
                    <c:v>FLORERO VIDRIO LABRADO</c:v>
                  </c:pt>
                  <c:pt idx="654">
                    <c:v>FLORERO VIDRIO LABRADO</c:v>
                  </c:pt>
                  <c:pt idx="655">
                    <c:v>FLORERO VIDRIO LABRADO</c:v>
                  </c:pt>
                  <c:pt idx="656">
                    <c:v>florero vidrio labrado</c:v>
                  </c:pt>
                  <c:pt idx="657">
                    <c:v>flores aleli</c:v>
                  </c:pt>
                  <c:pt idx="658">
                    <c:v>flores astromelias</c:v>
                  </c:pt>
                  <c:pt idx="659">
                    <c:v>flores astromelias c/arreglo</c:v>
                  </c:pt>
                  <c:pt idx="660">
                    <c:v>FOLLAJE  CASPIA FLOR SECA CON CELOFAN</c:v>
                  </c:pt>
                  <c:pt idx="661">
                    <c:v>FOLLAJE COLITA DE RATON</c:v>
                  </c:pt>
                  <c:pt idx="662">
                    <c:v>FOLLAJE FLOR SECA</c:v>
                  </c:pt>
                  <c:pt idx="663">
                    <c:v>FOLLAJE SECO</c:v>
                  </c:pt>
                  <c:pt idx="664">
                    <c:v>FOLLAJE SECO</c:v>
                  </c:pt>
                  <c:pt idx="665">
                    <c:v>FOLLAJE SECO</c:v>
                  </c:pt>
                  <c:pt idx="666">
                    <c:v>franela micro fibra</c:v>
                  </c:pt>
                  <c:pt idx="667">
                    <c:v>frascos</c:v>
                  </c:pt>
                  <c:pt idx="668">
                    <c:v>frascos</c:v>
                  </c:pt>
                  <c:pt idx="669">
                    <c:v>fuente cascada</c:v>
                  </c:pt>
                  <c:pt idx="670">
                    <c:v>fumigador</c:v>
                  </c:pt>
                  <c:pt idx="671">
                    <c:v>fumigador</c:v>
                  </c:pt>
                  <c:pt idx="672">
                    <c:v>fumigator</c:v>
                  </c:pt>
                  <c:pt idx="673">
                    <c:v>FUNGOXAN</c:v>
                  </c:pt>
                  <c:pt idx="674">
                    <c:v>fungoxan mixto-caja  36 fc,</c:v>
                  </c:pt>
                  <c:pt idx="675">
                    <c:v>gallinol</c:v>
                  </c:pt>
                  <c:pt idx="676">
                    <c:v>gallinol</c:v>
                  </c:pt>
                  <c:pt idx="677">
                    <c:v>gancho hierro</c:v>
                  </c:pt>
                  <c:pt idx="678">
                    <c:v>gatillos</c:v>
                  </c:pt>
                  <c:pt idx="679">
                    <c:v>gato  castrado wiskas</c:v>
                  </c:pt>
                  <c:pt idx="680">
                    <c:v>gato 7 vidas</c:v>
                  </c:pt>
                  <c:pt idx="681">
                    <c:v>gato adulto equilibrio</c:v>
                  </c:pt>
                  <c:pt idx="682">
                    <c:v>gato adulto equilibrio </c:v>
                  </c:pt>
                  <c:pt idx="683">
                    <c:v>gato beny</c:v>
                  </c:pt>
                  <c:pt idx="684">
                    <c:v>gato beny</c:v>
                  </c:pt>
                  <c:pt idx="685">
                    <c:v>gato birbo</c:v>
                  </c:pt>
                  <c:pt idx="686">
                    <c:v>gato birbo</c:v>
                  </c:pt>
                  <c:pt idx="687">
                    <c:v>gato castrado</c:v>
                  </c:pt>
                  <c:pt idx="688">
                    <c:v>gato castrado RAZA carne y pollo</c:v>
                  </c:pt>
                  <c:pt idx="689">
                    <c:v>gato castrados wiskas</c:v>
                  </c:pt>
                  <c:pt idx="690">
                    <c:v>gato cat chow </c:v>
                  </c:pt>
                  <c:pt idx="691">
                    <c:v>gato cat chow </c:v>
                  </c:pt>
                  <c:pt idx="692">
                    <c:v>gato cat chow adulto</c:v>
                  </c:pt>
                  <c:pt idx="693">
                    <c:v>gato cat chow gatito</c:v>
                  </c:pt>
                  <c:pt idx="694">
                    <c:v>gato catrado-carne y pollo</c:v>
                  </c:pt>
                  <c:pt idx="695">
                    <c:v>GATO CHARRUA ADULTO</c:v>
                  </c:pt>
                  <c:pt idx="696">
                    <c:v>GATO CHARRUA ADULTO</c:v>
                  </c:pt>
                  <c:pt idx="697">
                    <c:v>GATO CRIOLLA ADULTO</c:v>
                  </c:pt>
                  <c:pt idx="698">
                    <c:v>GATO CRIOLLA ADULTO</c:v>
                  </c:pt>
                  <c:pt idx="699">
                    <c:v>gato equilibrio filote</c:v>
                  </c:pt>
                  <c:pt idx="700">
                    <c:v>gato equilibrio filote</c:v>
                  </c:pt>
                  <c:pt idx="701">
                    <c:v>gato gati</c:v>
                  </c:pt>
                  <c:pt idx="702">
                    <c:v>gato gati</c:v>
                  </c:pt>
                  <c:pt idx="703">
                    <c:v>GATO LE ROY COCKTAIL</c:v>
                  </c:pt>
                  <c:pt idx="704">
                    <c:v>gato pelusa</c:v>
                  </c:pt>
                  <c:pt idx="705">
                    <c:v>gato pelusa</c:v>
                  </c:pt>
                  <c:pt idx="706">
                    <c:v>gato primogato</c:v>
                  </c:pt>
                  <c:pt idx="707">
                    <c:v>gato primogato  blend</c:v>
                  </c:pt>
                  <c:pt idx="708">
                    <c:v>gato primogato  blend</c:v>
                  </c:pt>
                  <c:pt idx="709">
                    <c:v>gato primogato castrado</c:v>
                  </c:pt>
                  <c:pt idx="710">
                    <c:v>gato primogato castrado</c:v>
                  </c:pt>
                  <c:pt idx="711">
                    <c:v>gato primogato premiun filhotes</c:v>
                  </c:pt>
                  <c:pt idx="712">
                    <c:v>gato primogato premiun filhotes</c:v>
                  </c:pt>
                  <c:pt idx="713">
                    <c:v>gato prot cat</c:v>
                  </c:pt>
                  <c:pt idx="714">
                    <c:v>gato prot cat</c:v>
                  </c:pt>
                  <c:pt idx="715">
                    <c:v>gato salmon</c:v>
                  </c:pt>
                  <c:pt idx="716">
                    <c:v>gato salmon</c:v>
                  </c:pt>
                  <c:pt idx="717">
                    <c:v>gato salsa whiskas carne</c:v>
                  </c:pt>
                  <c:pt idx="718">
                    <c:v>gato whiskas</c:v>
                  </c:pt>
                  <c:pt idx="719">
                    <c:v>gato whiskas gatitos</c:v>
                  </c:pt>
                  <c:pt idx="720">
                    <c:v>gato whiskas gatitos</c:v>
                  </c:pt>
                  <c:pt idx="721">
                    <c:v>gato whiskas pescado-pollo y leche-carne</c:v>
                  </c:pt>
                  <c:pt idx="722">
                    <c:v>GATO-sushi cat</c:v>
                  </c:pt>
                  <c:pt idx="723">
                    <c:v>GEL REFRESCANTE RELAJANTE</c:v>
                  </c:pt>
                  <c:pt idx="724">
                    <c:v>girasol</c:v>
                  </c:pt>
                  <c:pt idx="725">
                    <c:v>girasol</c:v>
                  </c:pt>
                  <c:pt idx="726">
                    <c:v>girasol confitero</c:v>
                  </c:pt>
                  <c:pt idx="727">
                    <c:v>girasol confitero</c:v>
                  </c:pt>
                  <c:pt idx="728">
                    <c:v>girasol pelado</c:v>
                  </c:pt>
                  <c:pt idx="729">
                    <c:v>girasol pelado</c:v>
                  </c:pt>
                  <c:pt idx="730">
                    <c:v>glifosato improsate</c:v>
                  </c:pt>
                  <c:pt idx="731">
                    <c:v>glifosato improsate</c:v>
                  </c:pt>
                  <c:pt idx="732">
                    <c:v>gr1287</c:v>
                  </c:pt>
                  <c:pt idx="733">
                    <c:v>GRAN AMOR cannabis abono organico</c:v>
                  </c:pt>
                  <c:pt idx="734">
                    <c:v>gran amor educador</c:v>
                  </c:pt>
                  <c:pt idx="735">
                    <c:v>green explosion</c:v>
                  </c:pt>
                  <c:pt idx="736">
                    <c:v>guano-rojoo</c:v>
                  </c:pt>
                  <c:pt idx="737">
                    <c:v>guante </c:v>
                  </c:pt>
                  <c:pt idx="738">
                    <c:v>guante de descarne</c:v>
                  </c:pt>
                  <c:pt idx="739">
                    <c:v>GUANTE DE TRABAJO</c:v>
                  </c:pt>
                  <c:pt idx="740">
                    <c:v>guante de trabajo</c:v>
                  </c:pt>
                  <c:pt idx="741">
                    <c:v>guante de trabajo tela y cuero</c:v>
                  </c:pt>
                  <c:pt idx="742">
                    <c:v>guante multiuso</c:v>
                  </c:pt>
                  <c:pt idx="743">
                    <c:v>guia de flores</c:v>
                  </c:pt>
                  <c:pt idx="744">
                    <c:v>guia de hojas</c:v>
                  </c:pt>
                  <c:pt idx="745">
                    <c:v>guia hojas x 12</c:v>
                  </c:pt>
                  <c:pt idx="746">
                    <c:v>guia hojas x2</c:v>
                  </c:pt>
                  <c:pt idx="747">
                    <c:v>hacha mango fibra</c:v>
                  </c:pt>
                  <c:pt idx="748">
                    <c:v>hacha mango madera</c:v>
                  </c:pt>
                  <c:pt idx="749">
                    <c:v>harina de hueso</c:v>
                  </c:pt>
                  <c:pt idx="750">
                    <c:v>harina de hueso </c:v>
                  </c:pt>
                  <c:pt idx="751">
                    <c:v>herbicida</c:v>
                  </c:pt>
                  <c:pt idx="752">
                    <c:v>herbicida</c:v>
                  </c:pt>
                  <c:pt idx="753">
                    <c:v>herbicida</c:v>
                  </c:pt>
                  <c:pt idx="754">
                    <c:v>herbicida fluidamina -hoja ancha</c:v>
                  </c:pt>
                  <c:pt idx="755">
                    <c:v>herbicida glifosol  envasado</c:v>
                  </c:pt>
                  <c:pt idx="756">
                    <c:v>herbicida glifosol suelta</c:v>
                  </c:pt>
                  <c:pt idx="757">
                    <c:v>herbicida gliseb sum</c:v>
                  </c:pt>
                  <c:pt idx="758">
                    <c:v>herramienta de jardin</c:v>
                  </c:pt>
                  <c:pt idx="759">
                    <c:v>herramienta de jardin</c:v>
                  </c:pt>
                  <c:pt idx="760">
                    <c:v>hierba gatuna</c:v>
                  </c:pt>
                  <c:pt idx="761">
                    <c:v>hiploclorito</c:v>
                  </c:pt>
                  <c:pt idx="762">
                    <c:v>hiploclorito</c:v>
                  </c:pt>
                  <c:pt idx="763">
                    <c:v>hoja jazmin</c:v>
                  </c:pt>
                  <c:pt idx="764">
                    <c:v>hormiguicida en grano</c:v>
                  </c:pt>
                  <c:pt idx="765">
                    <c:v>hormiguicida folimur polvo60</c:v>
                  </c:pt>
                  <c:pt idx="766">
                    <c:v>hormiguicida fomilur 40</c:v>
                  </c:pt>
                  <c:pt idx="767">
                    <c:v>hormiguicida grano lampo30</c:v>
                  </c:pt>
                  <c:pt idx="768">
                    <c:v>hormiguicida grano lampo40</c:v>
                  </c:pt>
                  <c:pt idx="769">
                    <c:v>hormiguicida grano lampo65</c:v>
                  </c:pt>
                  <c:pt idx="770">
                    <c:v>hormiguicida grano lampo-caja 15 pte,</c:v>
                  </c:pt>
                  <c:pt idx="771">
                    <c:v>hormiguicida polvo</c:v>
                  </c:pt>
                  <c:pt idx="772">
                    <c:v>hormiguicida polvo folimur-caja20 pte</c:v>
                  </c:pt>
                  <c:pt idx="773">
                    <c:v>hormiguicida polvo-caja 120,precio x50</c:v>
                  </c:pt>
                  <c:pt idx="774">
                    <c:v>hormiguicida talquera </c:v>
                  </c:pt>
                  <c:pt idx="775">
                    <c:v>hornito chico</c:v>
                  </c:pt>
                  <c:pt idx="776">
                    <c:v>hueso con chifle</c:v>
                  </c:pt>
                  <c:pt idx="777">
                    <c:v>hueso digerible</c:v>
                  </c:pt>
                  <c:pt idx="778">
                    <c:v>hueso digerible</c:v>
                  </c:pt>
                  <c:pt idx="779">
                    <c:v>huevos juguete</c:v>
                  </c:pt>
                  <c:pt idx="780">
                    <c:v>huevos juguete</c:v>
                  </c:pt>
                  <c:pt idx="781">
                    <c:v>huevos p/canarios</c:v>
                  </c:pt>
                  <c:pt idx="782">
                    <c:v>humus</c:v>
                  </c:pt>
                  <c:pt idx="783">
                    <c:v>humus</c:v>
                  </c:pt>
                  <c:pt idx="784">
                    <c:v>humus de lombriz</c:v>
                  </c:pt>
                  <c:pt idx="785">
                    <c:v>humus de lombriz</c:v>
                  </c:pt>
                  <c:pt idx="786">
                    <c:v>ibnsecticida mata cucaracha sapolio</c:v>
                  </c:pt>
                  <c:pt idx="787">
                    <c:v>ICTIO ML LABCON</c:v>
                  </c:pt>
                  <c:pt idx="788">
                    <c:v>identificadores c/marco</c:v>
                  </c:pt>
                  <c:pt idx="789">
                    <c:v>igloo casa chico</c:v>
                  </c:pt>
                  <c:pt idx="790">
                    <c:v>igloo casa mediano</c:v>
                  </c:pt>
                  <c:pt idx="791">
                    <c:v>IGLOO con orejas</c:v>
                  </c:pt>
                  <c:pt idx="792">
                    <c:v>incectisida dezenurCE</c:v>
                  </c:pt>
                  <c:pt idx="793">
                    <c:v>incesan oil</c:v>
                  </c:pt>
                  <c:pt idx="794">
                    <c:v>incienso</c:v>
                  </c:pt>
                  <c:pt idx="795">
                    <c:v>insecticida</c:v>
                  </c:pt>
                  <c:pt idx="796">
                    <c:v>insecticida dezenur CE(rogor)</c:v>
                  </c:pt>
                  <c:pt idx="797">
                    <c:v>insecticida dezenur(rogor)</c:v>
                  </c:pt>
                  <c:pt idx="798">
                    <c:v>insecticida mata mosca</c:v>
                  </c:pt>
                  <c:pt idx="799">
                    <c:v>insecticida mata pulgas</c:v>
                  </c:pt>
                  <c:pt idx="800">
                    <c:v>insecticida mata todo</c:v>
                  </c:pt>
                  <c:pt idx="801">
                    <c:v>jabon potasico</c:v>
                  </c:pt>
                  <c:pt idx="802">
                    <c:v>jabon potasico</c:v>
                  </c:pt>
                  <c:pt idx="803">
                    <c:v>jabon potasico</c:v>
                  </c:pt>
                  <c:pt idx="804">
                    <c:v>jabon potasico</c:v>
                  </c:pt>
                  <c:pt idx="805">
                    <c:v>jardinera</c:v>
                  </c:pt>
                  <c:pt idx="806">
                    <c:v>JARDINERA</c:v>
                  </c:pt>
                  <c:pt idx="807">
                    <c:v>JARDINERA</c:v>
                  </c:pt>
                  <c:pt idx="808">
                    <c:v>JARDINERA</c:v>
                  </c:pt>
                  <c:pt idx="809">
                    <c:v>JARDINERA</c:v>
                  </c:pt>
                  <c:pt idx="810">
                    <c:v>JARDINERA BULCANICA</c:v>
                  </c:pt>
                  <c:pt idx="811">
                    <c:v>jardinera c/plat</c:v>
                  </c:pt>
                  <c:pt idx="812">
                    <c:v>jardinera c/plato</c:v>
                  </c:pt>
                  <c:pt idx="813">
                    <c:v>jardinera chica</c:v>
                  </c:pt>
                  <c:pt idx="814">
                    <c:v>jardinera de colores</c:v>
                  </c:pt>
                  <c:pt idx="815">
                    <c:v>jardinera de colores</c:v>
                  </c:pt>
                  <c:pt idx="816">
                    <c:v>jardinera de colores</c:v>
                  </c:pt>
                  <c:pt idx="817">
                    <c:v>jardinera de colores</c:v>
                  </c:pt>
                  <c:pt idx="818">
                    <c:v>jardinera de colores</c:v>
                  </c:pt>
                  <c:pt idx="819">
                    <c:v>jardinera ecovaso</c:v>
                  </c:pt>
                  <c:pt idx="820">
                    <c:v>jardinera ecovaso</c:v>
                  </c:pt>
                  <c:pt idx="821">
                    <c:v>JARDINERA MINI</c:v>
                  </c:pt>
                  <c:pt idx="822">
                    <c:v>JARDINERA MINI</c:v>
                  </c:pt>
                  <c:pt idx="823">
                    <c:v>JARDINERA NEGRA</c:v>
                  </c:pt>
                  <c:pt idx="824">
                    <c:v>JARDINERA NEGRA</c:v>
                  </c:pt>
                  <c:pt idx="825">
                    <c:v>JARDINERA NEGRA</c:v>
                  </c:pt>
                  <c:pt idx="826">
                    <c:v>JARDINERA NEGRA</c:v>
                  </c:pt>
                  <c:pt idx="827">
                    <c:v>jardinera nutriplant c/plato</c:v>
                  </c:pt>
                  <c:pt idx="828">
                    <c:v>JARDINERA OCRE</c:v>
                  </c:pt>
                  <c:pt idx="829">
                    <c:v>jardinera plastico s/plato</c:v>
                  </c:pt>
                  <c:pt idx="830">
                    <c:v>JARDINERA PREMIUN</c:v>
                  </c:pt>
                  <c:pt idx="831">
                    <c:v>JARDINERA PUNTO</c:v>
                  </c:pt>
                  <c:pt idx="832">
                    <c:v>jardinera retomoldeada JFQM780</c:v>
                  </c:pt>
                  <c:pt idx="833">
                    <c:v>jardinera rocio</c:v>
                  </c:pt>
                  <c:pt idx="834">
                    <c:v>jardinera rocio</c:v>
                  </c:pt>
                  <c:pt idx="835">
                    <c:v>jardinera rocio</c:v>
                  </c:pt>
                  <c:pt idx="836">
                    <c:v>jardinera rotomoldeada</c:v>
                  </c:pt>
                  <c:pt idx="837">
                    <c:v>jardinera rotomoldeada</c:v>
                  </c:pt>
                  <c:pt idx="838">
                    <c:v>jardinera s/´lat</c:v>
                  </c:pt>
                  <c:pt idx="839">
                    <c:v>jardinera sampa</c:v>
                  </c:pt>
                  <c:pt idx="840">
                    <c:v>jardinera s-plato</c:v>
                  </c:pt>
                  <c:pt idx="841">
                    <c:v>jardineras</c:v>
                  </c:pt>
                  <c:pt idx="842">
                    <c:v>jaula </c:v>
                  </c:pt>
                  <c:pt idx="843">
                    <c:v>jaula conejo mediana</c:v>
                  </c:pt>
                  <c:pt idx="844">
                    <c:v>jaula conejos grande</c:v>
                  </c:pt>
                  <c:pt idx="845">
                    <c:v>jaula conejos grande</c:v>
                  </c:pt>
                  <c:pt idx="846">
                    <c:v>jaula hamster grande</c:v>
                  </c:pt>
                  <c:pt idx="847">
                    <c:v>jaula hamster R/ beb/ com</c:v>
                  </c:pt>
                  <c:pt idx="848">
                    <c:v>jaula hamster rued/cas/beb 2 pisos</c:v>
                  </c:pt>
                  <c:pt idx="849">
                    <c:v>vitamina alcon</c:v>
                  </c:pt>
                  <c:pt idx="850">
                    <c:v>jaula loro alambre</c:v>
                  </c:pt>
                  <c:pt idx="851">
                    <c:v>jaula p/australiabno </c:v>
                  </c:pt>
                  <c:pt idx="852">
                    <c:v>jaula p/cria</c:v>
                  </c:pt>
                  <c:pt idx="853">
                    <c:v>jaula pagoda</c:v>
                  </c:pt>
                  <c:pt idx="854">
                    <c:v>jaula pajarera median</c:v>
                  </c:pt>
                  <c:pt idx="855">
                    <c:v>jaula pajarera median</c:v>
                  </c:pt>
                  <c:pt idx="856">
                    <c:v>jaula pajaro alta doble campanario</c:v>
                  </c:pt>
                  <c:pt idx="857">
                    <c:v>Jaula pajaro curva chica</c:v>
                  </c:pt>
                  <c:pt idx="858">
                    <c:v>Jaula pajaro rancho chica</c:v>
                  </c:pt>
                  <c:pt idx="859">
                    <c:v>jaula para conejo</c:v>
                  </c:pt>
                  <c:pt idx="860">
                    <c:v>jaula techo recto</c:v>
                  </c:pt>
                  <c:pt idx="861">
                    <c:v>jaula volado</c:v>
                  </c:pt>
                  <c:pt idx="862">
                    <c:v>jaulas p/australianos</c:v>
                  </c:pt>
                  <c:pt idx="863">
                    <c:v>jeringa cucarachicida vigilante</c:v>
                  </c:pt>
                  <c:pt idx="864">
                    <c:v>jeringa fulmoline p/cucaracha</c:v>
                  </c:pt>
                  <c:pt idx="865">
                    <c:v>jeringa p/cucaracha</c:v>
                  </c:pt>
                  <c:pt idx="866">
                    <c:v>jeringa p/cucaracha raid max</c:v>
                  </c:pt>
                  <c:pt idx="867">
                    <c:v>jeringa p/hormiga</c:v>
                  </c:pt>
                  <c:pt idx="868">
                    <c:v>jeringa para cucaracha</c:v>
                  </c:pt>
                  <c:pt idx="869">
                    <c:v>jhaula hamster</c:v>
                  </c:pt>
                  <c:pt idx="870">
                    <c:v>jimo mata cucaracha</c:v>
                  </c:pt>
                  <c:pt idx="871">
                    <c:v>jimo mata cucarachas aerosol</c:v>
                  </c:pt>
                  <c:pt idx="872">
                    <c:v>jimo-gas</c:v>
                  </c:pt>
                  <c:pt idx="873">
                    <c:v>juego ceramica n12</c:v>
                  </c:pt>
                  <c:pt idx="874">
                    <c:v>juego ceramica n23</c:v>
                  </c:pt>
                  <c:pt idx="875">
                    <c:v>juego ceramica n6</c:v>
                  </c:pt>
                  <c:pt idx="876">
                    <c:v>juego collar correa multicolor</c:v>
                  </c:pt>
                  <c:pt idx="877">
                    <c:v>juego collar correa multicolor</c:v>
                  </c:pt>
                  <c:pt idx="878">
                    <c:v>juego collar correa multicolor</c:v>
                  </c:pt>
                  <c:pt idx="879">
                    <c:v>juego collar y correa</c:v>
                  </c:pt>
                  <c:pt idx="880">
                    <c:v>juego de jardin</c:v>
                  </c:pt>
                  <c:pt idx="881">
                    <c:v>juego de jardin 3 piezas</c:v>
                  </c:pt>
                  <c:pt idx="882">
                    <c:v>juego de jardin 3 piezas-wantok</c:v>
                  </c:pt>
                  <c:pt idx="883">
                    <c:v>juego jardin</c:v>
                  </c:pt>
                  <c:pt idx="884">
                    <c:v>juego palitas mini </c:v>
                  </c:pt>
                  <c:pt idx="885">
                    <c:v>juego palitas mini acero inox</c:v>
                  </c:pt>
                  <c:pt idx="886">
                    <c:v>juego pretal c/correa</c:v>
                  </c:pt>
                  <c:pt idx="887">
                    <c:v>juego pretal c/correa </c:v>
                  </c:pt>
                  <c:pt idx="888">
                    <c:v>juego pretal c/correa poliester</c:v>
                  </c:pt>
                  <c:pt idx="889">
                    <c:v>juegos con pinchitos</c:v>
                  </c:pt>
                  <c:pt idx="890">
                    <c:v>juguerte pata polloc/chifle</c:v>
                  </c:pt>
                  <c:pt idx="891">
                    <c:v>juguete 2 salchichas c/cuerda</c:v>
                  </c:pt>
                  <c:pt idx="892">
                    <c:v>juguete chuleta c/chifle</c:v>
                  </c:pt>
                  <c:pt idx="893">
                    <c:v>JUGUETE GATO PELOTA CON RATON</c:v>
                  </c:pt>
                  <c:pt idx="894">
                    <c:v>JUGUETE MASCOTA</c:v>
                  </c:pt>
                  <c:pt idx="895">
                    <c:v>juguete mascota pelota con pinchos</c:v>
                  </c:pt>
                  <c:pt idx="896">
                    <c:v>juguete para mascota pelota con chifle</c:v>
                  </c:pt>
                  <c:pt idx="897">
                    <c:v>juguete para mascota pelota tenis por 3 unid</c:v>
                  </c:pt>
                  <c:pt idx="898">
                    <c:v>JUGUETE PATA DE POLLO</c:v>
                  </c:pt>
                  <c:pt idx="899">
                    <c:v>juguete pelota c/chifle</c:v>
                  </c:pt>
                  <c:pt idx="900">
                    <c:v>juguete pelota cuerda</c:v>
                  </c:pt>
                  <c:pt idx="901">
                    <c:v>juguete pelota de goma c/pincho</c:v>
                  </c:pt>
                  <c:pt idx="902">
                    <c:v>juguete pollo</c:v>
                  </c:pt>
                  <c:pt idx="903">
                    <c:v>JUGUETE POLLO AMARILLO MED</c:v>
                  </c:pt>
                  <c:pt idx="904">
                    <c:v>juguete raton sisal con plumas</c:v>
                  </c:pt>
                  <c:pt idx="905">
                    <c:v>jupiter-bomba de gas</c:v>
                  </c:pt>
                  <c:pt idx="906">
                    <c:v>kit de jardinero</c:v>
                  </c:pt>
                  <c:pt idx="907">
                    <c:v>ladrillo de coco</c:v>
                  </c:pt>
                  <c:pt idx="908">
                    <c:v>Lamina 40cm ancho simple faz</c:v>
                  </c:pt>
                  <c:pt idx="909">
                    <c:v>Lamina 40cm ancho simple faz</c:v>
                  </c:pt>
                  <c:pt idx="910">
                    <c:v>lamina 40cm doble faz</c:v>
                  </c:pt>
                  <c:pt idx="911">
                    <c:v>lamina 40cm doble faz</c:v>
                  </c:pt>
                  <c:pt idx="912">
                    <c:v>lamina doble faz 50 cm</c:v>
                  </c:pt>
                  <c:pt idx="913">
                    <c:v>lampara 400 led</c:v>
                  </c:pt>
                  <c:pt idx="914">
                    <c:v>lampara 42 led 4w</c:v>
                  </c:pt>
                  <c:pt idx="915">
                    <c:v>lampara 500 led</c:v>
                  </c:pt>
                  <c:pt idx="916">
                    <c:v>lampara rs306 7w 20 </c:v>
                  </c:pt>
                  <c:pt idx="917">
                    <c:v>lampara rs-308 13w largo 40-50 cm</c:v>
                  </c:pt>
                  <c:pt idx="918">
                    <c:v>lata cobre</c:v>
                  </c:pt>
                  <c:pt idx="919">
                    <c:v>lingas</c:v>
                  </c:pt>
                  <c:pt idx="920">
                    <c:v>maceta</c:v>
                  </c:pt>
                  <c:pt idx="921">
                    <c:v>maceta </c:v>
                  </c:pt>
                  <c:pt idx="922">
                    <c:v>maceta </c:v>
                  </c:pt>
                  <c:pt idx="923">
                    <c:v>maceta </c:v>
                  </c:pt>
                  <c:pt idx="924">
                    <c:v>maceta  plastica</c:v>
                  </c:pt>
                  <c:pt idx="925">
                    <c:v>maceta 32 espacios</c:v>
                  </c:pt>
                  <c:pt idx="926">
                    <c:v>maceta A teja </c:v>
                  </c:pt>
                  <c:pt idx="927">
                    <c:v>maceta aquinop barro</c:v>
                  </c:pt>
                  <c:pt idx="928">
                    <c:v>maceta aquinop barro</c:v>
                  </c:pt>
                  <c:pt idx="929">
                    <c:v>maceta aquinop barro</c:v>
                  </c:pt>
                  <c:pt idx="930">
                    <c:v>maceta aquinop barro</c:v>
                  </c:pt>
                  <c:pt idx="931">
                    <c:v>maceta atractive</c:v>
                  </c:pt>
                  <c:pt idx="932">
                    <c:v>maceta atractive</c:v>
                  </c:pt>
                  <c:pt idx="933">
                    <c:v>maceta atractive</c:v>
                  </c:pt>
                  <c:pt idx="934">
                    <c:v>maceta atractive</c:v>
                  </c:pt>
                  <c:pt idx="935">
                    <c:v>maceta atractive</c:v>
                  </c:pt>
                  <c:pt idx="936">
                    <c:v>maceta atractive</c:v>
                  </c:pt>
                  <c:pt idx="937">
                    <c:v>maceta atractive</c:v>
                  </c:pt>
                  <c:pt idx="938">
                    <c:v>maceta bage</c:v>
                  </c:pt>
                  <c:pt idx="939">
                    <c:v>MACETA BARRIL</c:v>
                  </c:pt>
                  <c:pt idx="940">
                    <c:v>MACETA BARRIL</c:v>
                  </c:pt>
                  <c:pt idx="941">
                    <c:v>MACETA BARRIL NEGRA</c:v>
                  </c:pt>
                  <c:pt idx="942">
                    <c:v>MACETA BARRIL NEGRA</c:v>
                  </c:pt>
                  <c:pt idx="943">
                    <c:v>MACETA BARRIL NEGRA</c:v>
                  </c:pt>
                  <c:pt idx="944">
                    <c:v>maceta barro</c:v>
                  </c:pt>
                  <c:pt idx="945">
                    <c:v>maceta barro</c:v>
                  </c:pt>
                  <c:pt idx="946">
                    <c:v>maceta barro</c:v>
                  </c:pt>
                  <c:pt idx="947">
                    <c:v>maceta barro</c:v>
                  </c:pt>
                  <c:pt idx="948">
                    <c:v>maceta barro</c:v>
                  </c:pt>
                  <c:pt idx="949">
                    <c:v>maceta barro</c:v>
                  </c:pt>
                  <c:pt idx="950">
                    <c:v>maceta barro</c:v>
                  </c:pt>
                  <c:pt idx="951">
                    <c:v>maceta barro</c:v>
                  </c:pt>
                  <c:pt idx="952">
                    <c:v>maceta barro</c:v>
                  </c:pt>
                  <c:pt idx="953">
                    <c:v>maceta barro</c:v>
                  </c:pt>
                  <c:pt idx="954">
                    <c:v>maceta barro</c:v>
                  </c:pt>
                  <c:pt idx="955">
                    <c:v>maceta barro acuarium</c:v>
                  </c:pt>
                  <c:pt idx="956">
                    <c:v>maceta barro americana</c:v>
                  </c:pt>
                  <c:pt idx="957">
                    <c:v>maceta barro americana</c:v>
                  </c:pt>
                  <c:pt idx="958">
                    <c:v>maceta barro americana</c:v>
                  </c:pt>
                  <c:pt idx="959">
                    <c:v>Maceta barro aquario n5</c:v>
                  </c:pt>
                  <c:pt idx="960">
                    <c:v>maceta barro cilindro bajo</c:v>
                  </c:pt>
                  <c:pt idx="961">
                    <c:v>Maceta barro COIMBRA</c:v>
                  </c:pt>
                  <c:pt idx="962">
                    <c:v>maceta barro comun</c:v>
                  </c:pt>
                  <c:pt idx="963">
                    <c:v>maceta barro comun</c:v>
                  </c:pt>
                  <c:pt idx="964">
                    <c:v>maceta barro comun</c:v>
                  </c:pt>
                  <c:pt idx="965">
                    <c:v>maceta barro comun</c:v>
                  </c:pt>
                  <c:pt idx="966">
                    <c:v>maceta barro comun</c:v>
                  </c:pt>
                  <c:pt idx="967">
                    <c:v>maceta barro comun</c:v>
                  </c:pt>
                  <c:pt idx="968">
                    <c:v>maceta barro icono</c:v>
                  </c:pt>
                  <c:pt idx="969">
                    <c:v>maceta barro icono</c:v>
                  </c:pt>
                  <c:pt idx="970">
                    <c:v>maceta barro icono</c:v>
                  </c:pt>
                  <c:pt idx="971">
                    <c:v>maceta barro italiana</c:v>
                  </c:pt>
                  <c:pt idx="972">
                    <c:v>maceta barro italiana</c:v>
                  </c:pt>
                  <c:pt idx="973">
                    <c:v>maceta barro italiana</c:v>
                  </c:pt>
                  <c:pt idx="974">
                    <c:v>maceta barro lebrillo</c:v>
                  </c:pt>
                  <c:pt idx="975">
                    <c:v>maceta barro legsino</c:v>
                  </c:pt>
                  <c:pt idx="976">
                    <c:v>maceta barro nido paloma</c:v>
                  </c:pt>
                  <c:pt idx="977">
                    <c:v>maceta barro porteña</c:v>
                  </c:pt>
                  <c:pt idx="978">
                    <c:v>maceta barro porteña</c:v>
                  </c:pt>
                  <c:pt idx="979">
                    <c:v>maceta barro porteña</c:v>
                  </c:pt>
                  <c:pt idx="980">
                    <c:v>maceta barro redentor</c:v>
                  </c:pt>
                  <c:pt idx="981">
                    <c:v>maceta barro redentor</c:v>
                  </c:pt>
                  <c:pt idx="982">
                    <c:v>Maceta barro SAO PAULO</c:v>
                  </c:pt>
                  <c:pt idx="983">
                    <c:v>maceta barro suculkenta</c:v>
                  </c:pt>
                  <c:pt idx="984">
                    <c:v>maceta biodegradable</c:v>
                  </c:pt>
                  <c:pt idx="985">
                    <c:v>maceta biodegradable</c:v>
                  </c:pt>
                  <c:pt idx="986">
                    <c:v>maceta biodegradable (120maceta)</c:v>
                  </c:pt>
                  <c:pt idx="987">
                    <c:v>maceta biodegradable (300 maceta)</c:v>
                  </c:pt>
                  <c:pt idx="988">
                    <c:v>maceta biodegradable 4,5 x4,5</c:v>
                  </c:pt>
                  <c:pt idx="989">
                    <c:v>maceta biodegradable olivo</c:v>
                  </c:pt>
                  <c:pt idx="990">
                    <c:v>maceta biodegradable olivos-</c:v>
                  </c:pt>
                  <c:pt idx="991">
                    <c:v>maceta biodegradable-( 600 macetas)</c:v>
                  </c:pt>
                  <c:pt idx="992">
                    <c:v>maceta blanca cilindrica</c:v>
                  </c:pt>
                  <c:pt idx="993">
                    <c:v>MACETA BLANCA CUADRADA</c:v>
                  </c:pt>
                  <c:pt idx="994">
                    <c:v>maceta blanca cuadrada</c:v>
                  </c:pt>
                  <c:pt idx="995">
                    <c:v>maceta blanca rayas horizontales</c:v>
                  </c:pt>
                  <c:pt idx="996">
                    <c:v>MACETA BLANXA CILINDRICA</c:v>
                  </c:pt>
                  <c:pt idx="997">
                    <c:v>maceta bonsai elegance</c:v>
                  </c:pt>
                  <c:pt idx="998">
                    <c:v>maceta bonsai ovalada</c:v>
                  </c:pt>
                  <c:pt idx="999">
                    <c:v>maceta bonsai ovalada</c:v>
                  </c:pt>
                  <c:pt idx="1000">
                    <c:v>maceta bonsai rectangular</c:v>
                  </c:pt>
                  <c:pt idx="1001">
                    <c:v>maceta bonsai rectangular</c:v>
                  </c:pt>
                  <c:pt idx="1002">
                    <c:v>maceta bonsai terracota</c:v>
                  </c:pt>
                  <c:pt idx="1003">
                    <c:v>maceta campana color con plato</c:v>
                  </c:pt>
                  <c:pt idx="1004">
                    <c:v>maceta campana con plato</c:v>
                  </c:pt>
                  <c:pt idx="1005">
                    <c:v>maceta campana con plato</c:v>
                  </c:pt>
                  <c:pt idx="1006">
                    <c:v>maceta campana con plato</c:v>
                  </c:pt>
                  <c:pt idx="1007">
                    <c:v>maceta campana con plato</c:v>
                  </c:pt>
                  <c:pt idx="1008">
                    <c:v>maceta campana con plato</c:v>
                  </c:pt>
                  <c:pt idx="1009">
                    <c:v>maceta campana con plato</c:v>
                  </c:pt>
                  <c:pt idx="1010">
                    <c:v>maceta campana con plato</c:v>
                  </c:pt>
                  <c:pt idx="1011">
                    <c:v>maceta campana negra sin plato</c:v>
                  </c:pt>
                  <c:pt idx="1012">
                    <c:v>maceta ceramica</c:v>
                  </c:pt>
                  <c:pt idx="1013">
                    <c:v>maceta ceramica blanca</c:v>
                  </c:pt>
                  <c:pt idx="1014">
                    <c:v>maceta ceramica blanca</c:v>
                  </c:pt>
                  <c:pt idx="1015">
                    <c:v>maceta ceramica cruda</c:v>
                  </c:pt>
                  <c:pt idx="1016">
                    <c:v>maceta ceramica cruda</c:v>
                  </c:pt>
                  <c:pt idx="1017">
                    <c:v>maceta cerramica chata azul</c:v>
                  </c:pt>
                  <c:pt idx="1018">
                    <c:v>maceta cilindrica barro</c:v>
                  </c:pt>
                  <c:pt idx="1019">
                    <c:v>maceta cilindrica barro</c:v>
                  </c:pt>
                  <c:pt idx="1020">
                    <c:v>maceta cilindrica barro</c:v>
                  </c:pt>
                  <c:pt idx="1021">
                    <c:v>maceta cilindrica barro</c:v>
                  </c:pt>
                  <c:pt idx="1022">
                    <c:v>maceta cilindrica negra</c:v>
                  </c:pt>
                  <c:pt idx="1023">
                    <c:v>maceta cilindrica negra</c:v>
                  </c:pt>
                  <c:pt idx="1024">
                    <c:v>maceta cilindrica negra </c:v>
                  </c:pt>
                  <c:pt idx="1025">
                    <c:v>maceta cilindrica S/plato</c:v>
                  </c:pt>
                  <c:pt idx="1026">
                    <c:v>maceta cilindrica TEJA con plato</c:v>
                  </c:pt>
                  <c:pt idx="1027">
                    <c:v>maceta cilindrica TEJA con plato</c:v>
                  </c:pt>
                  <c:pt idx="1028">
                    <c:v>maceta cilindrica TEJA con plato</c:v>
                  </c:pt>
                  <c:pt idx="1029">
                    <c:v>maceta cilindrica TEJA con plato</c:v>
                  </c:pt>
                  <c:pt idx="1030">
                    <c:v>MACETA CIOTOLA</c:v>
                  </c:pt>
                  <c:pt idx="1031">
                    <c:v>MACETA CIOTOLA</c:v>
                  </c:pt>
                  <c:pt idx="1032">
                    <c:v>MACETA CIOTOLA</c:v>
                  </c:pt>
                  <c:pt idx="1033">
                    <c:v>maceta clasic ecovaso</c:v>
                  </c:pt>
                  <c:pt idx="1034">
                    <c:v>maceta clasic ecovaso</c:v>
                  </c:pt>
                  <c:pt idx="1035">
                    <c:v>maceta clasic ecovaso</c:v>
                  </c:pt>
                  <c:pt idx="1036">
                    <c:v>maceta clasica barro</c:v>
                  </c:pt>
                  <c:pt idx="1037">
                    <c:v>maceta clasica barro</c:v>
                  </c:pt>
                  <c:pt idx="1038">
                    <c:v>maceta clasica barro</c:v>
                  </c:pt>
                  <c:pt idx="1039">
                    <c:v>maceta clasica barro</c:v>
                  </c:pt>
                  <c:pt idx="1040">
                    <c:v>maceta clasica barro</c:v>
                  </c:pt>
                  <c:pt idx="1041">
                    <c:v>maceta clasica barro</c:v>
                  </c:pt>
                  <c:pt idx="1042">
                    <c:v>maceta clasica barro</c:v>
                  </c:pt>
                  <c:pt idx="1043">
                    <c:v>maceta clasica barro</c:v>
                  </c:pt>
                  <c:pt idx="1044">
                    <c:v>maceta clasica barro</c:v>
                  </c:pt>
                  <c:pt idx="1045">
                    <c:v>maceta clasica barro</c:v>
                  </c:pt>
                  <c:pt idx="1046">
                    <c:v>maceta clasica barro</c:v>
                  </c:pt>
                  <c:pt idx="1047">
                    <c:v>maceta clasica c/plato</c:v>
                  </c:pt>
                  <c:pt idx="1048">
                    <c:v>maceta clasica c/plato</c:v>
                  </c:pt>
                  <c:pt idx="1049">
                    <c:v>maceta clasica c/plato</c:v>
                  </c:pt>
                  <c:pt idx="1050">
                    <c:v>maceta clasica ecovaso</c:v>
                  </c:pt>
                  <c:pt idx="1051">
                    <c:v>maceta clasica ecovaso</c:v>
                  </c:pt>
                  <c:pt idx="1052">
                    <c:v>MACETA COCO CUADRADA COLGAR</c:v>
                  </c:pt>
                  <c:pt idx="1053">
                    <c:v>maceta colgante</c:v>
                  </c:pt>
                  <c:pt idx="1054">
                    <c:v>maceta colgar</c:v>
                  </c:pt>
                  <c:pt idx="1055">
                    <c:v>maceta colgar</c:v>
                  </c:pt>
                  <c:pt idx="1056">
                    <c:v>maceta colgar</c:v>
                  </c:pt>
                  <c:pt idx="1057">
                    <c:v>maceta colgar</c:v>
                  </c:pt>
                  <c:pt idx="1058">
                    <c:v>maceta colgar</c:v>
                  </c:pt>
                  <c:pt idx="1059">
                    <c:v>maceta colgar </c:v>
                  </c:pt>
                  <c:pt idx="1060">
                    <c:v>MACETA COLGAR C/CADENA </c:v>
                  </c:pt>
                  <c:pt idx="1061">
                    <c:v>maceta colgar cadena</c:v>
                  </c:pt>
                  <c:pt idx="1062">
                    <c:v>MACETA COLGAR CON CADENA</c:v>
                  </c:pt>
                  <c:pt idx="1063">
                    <c:v>MACETA COLGAR CON CADENA</c:v>
                  </c:pt>
                  <c:pt idx="1064">
                    <c:v>MACETA COLGAR CON CADENA</c:v>
                  </c:pt>
                  <c:pt idx="1065">
                    <c:v>maceta colgar simil ratan</c:v>
                  </c:pt>
                  <c:pt idx="1066">
                    <c:v>maceta colgar simil ratan</c:v>
                  </c:pt>
                  <c:pt idx="1067">
                    <c:v>maceta con planta</c:v>
                  </c:pt>
                  <c:pt idx="1068">
                    <c:v>maceta copa</c:v>
                  </c:pt>
                  <c:pt idx="1069">
                    <c:v>maceta copa</c:v>
                  </c:pt>
                  <c:pt idx="1070">
                    <c:v>maceta copa</c:v>
                  </c:pt>
                  <c:pt idx="1071">
                    <c:v>maceta copa</c:v>
                  </c:pt>
                  <c:pt idx="1072">
                    <c:v>MACETA CRAQUELADA</c:v>
                  </c:pt>
                  <c:pt idx="1073">
                    <c:v>MACETA CRAQUELADA</c:v>
                  </c:pt>
                  <c:pt idx="1074">
                    <c:v>MACETA CRAQUELADA</c:v>
                  </c:pt>
                  <c:pt idx="1075">
                    <c:v>MACETA CRAQUELADA</c:v>
                  </c:pt>
                  <c:pt idx="1076">
                    <c:v>MACETA CRAQUELADA</c:v>
                  </c:pt>
                  <c:pt idx="1077">
                    <c:v>maceta cua</c:v>
                  </c:pt>
                  <c:pt idx="1078">
                    <c:v>maceta cuadrada c/plat</c:v>
                  </c:pt>
                  <c:pt idx="1079">
                    <c:v>maceta cuadrada c/plat</c:v>
                  </c:pt>
                  <c:pt idx="1080">
                    <c:v>Maceta cuadrada chica plas garden</c:v>
                  </c:pt>
                  <c:pt idx="1081">
                    <c:v>maceta cuadrada N23</c:v>
                  </c:pt>
                  <c:pt idx="1082">
                    <c:v>maceta cuadrada N28</c:v>
                  </c:pt>
                  <c:pt idx="1083">
                    <c:v>maceta cuadrada N33</c:v>
                  </c:pt>
                  <c:pt idx="1084">
                    <c:v>maceta cuadrada N35</c:v>
                  </c:pt>
                  <c:pt idx="1085">
                    <c:v>maceta cuia</c:v>
                  </c:pt>
                  <c:pt idx="1086">
                    <c:v>maceta cuia</c:v>
                  </c:pt>
                  <c:pt idx="1087">
                    <c:v>maceta cuia 1,5</c:v>
                  </c:pt>
                  <c:pt idx="1088">
                    <c:v>maceta cuia 2</c:v>
                  </c:pt>
                  <c:pt idx="1089">
                    <c:v>maceta cuia 3</c:v>
                  </c:pt>
                  <c:pt idx="1090">
                    <c:v>maceta cuia 4</c:v>
                  </c:pt>
                  <c:pt idx="1091">
                    <c:v>maceta de barro</c:v>
                  </c:pt>
                  <c:pt idx="1092">
                    <c:v>maceta de barro</c:v>
                  </c:pt>
                  <c:pt idx="1093">
                    <c:v>maceta de barro</c:v>
                  </c:pt>
                  <c:pt idx="1094">
                    <c:v>maceta de barro aerea</c:v>
                  </c:pt>
                  <c:pt idx="1095">
                    <c:v>Maceta de barro FARAO</c:v>
                  </c:pt>
                  <c:pt idx="1096">
                    <c:v>Maceta de cococ/ plato</c:v>
                  </c:pt>
                  <c:pt idx="1097">
                    <c:v>Maceta de cococ/ plato</c:v>
                  </c:pt>
                  <c:pt idx="1098">
                    <c:v>maceta de colgar c/ cadena</c:v>
                  </c:pt>
                  <c:pt idx="1099">
                    <c:v>MACETA DE COLGAR C/ CADENA</c:v>
                  </c:pt>
                  <c:pt idx="1100">
                    <c:v>maceta de colgar c/cadena</c:v>
                  </c:pt>
                  <c:pt idx="1101">
                    <c:v>MACETA DE COLGAR CON CADENA</c:v>
                  </c:pt>
                  <c:pt idx="1102">
                    <c:v>MACETA DE COLGAR CON CADENA</c:v>
                  </c:pt>
                  <c:pt idx="1103">
                    <c:v>MACETA DE COLGAR CON CADENA</c:v>
                  </c:pt>
                  <c:pt idx="1104">
                    <c:v>MACETA DE COLGAR CON CADENA</c:v>
                  </c:pt>
                  <c:pt idx="1105">
                    <c:v>MACETA DE COLGAR CON CADENA</c:v>
                  </c:pt>
                  <c:pt idx="1106">
                    <c:v>maceta de orquidea</c:v>
                  </c:pt>
                  <c:pt idx="1107">
                    <c:v>MACETA DE PLASTICO DE PARED</c:v>
                  </c:pt>
                  <c:pt idx="1108">
                    <c:v>maceta decorada</c:v>
                  </c:pt>
                  <c:pt idx="1109">
                    <c:v>maceta descartable</c:v>
                  </c:pt>
                  <c:pt idx="1110">
                    <c:v>maceta descartable canadience</c:v>
                  </c:pt>
                  <c:pt idx="1111">
                    <c:v>maceta descartable canadience</c:v>
                  </c:pt>
                  <c:pt idx="1112">
                    <c:v>maceta descartable canadience</c:v>
                  </c:pt>
                  <c:pt idx="1113">
                    <c:v>maceta descartable canadience</c:v>
                  </c:pt>
                  <c:pt idx="1114">
                    <c:v>maceta descartable canadience</c:v>
                  </c:pt>
                  <c:pt idx="1115">
                    <c:v>maceta descartable vivero</c:v>
                  </c:pt>
                  <c:pt idx="1116">
                    <c:v>maceta descartable vivero-1000 maceta</c:v>
                  </c:pt>
                  <c:pt idx="1117">
                    <c:v>maceta descartable vivero-2000 maceta</c:v>
                  </c:pt>
                  <c:pt idx="1118">
                    <c:v>maceta descatable canadience</c:v>
                  </c:pt>
                  <c:pt idx="1119">
                    <c:v>maceta diamante</c:v>
                  </c:pt>
                  <c:pt idx="1120">
                    <c:v>maceta diamante</c:v>
                  </c:pt>
                  <c:pt idx="1121">
                    <c:v>MACETA DIAMANTE</c:v>
                  </c:pt>
                  <c:pt idx="1122">
                    <c:v>MACETA DIAMANTE</c:v>
                  </c:pt>
                  <c:pt idx="1123">
                    <c:v>MACETA DIAMANTE</c:v>
                  </c:pt>
                  <c:pt idx="1124">
                    <c:v>maceta duo</c:v>
                  </c:pt>
                  <c:pt idx="1125">
                    <c:v>maceta duo</c:v>
                  </c:pt>
                  <c:pt idx="1126">
                    <c:v>maceta duo</c:v>
                  </c:pt>
                  <c:pt idx="1127">
                    <c:v>maceta ecologica n 2</c:v>
                  </c:pt>
                  <c:pt idx="1128">
                    <c:v>maceta elegant S/plato</c:v>
                  </c:pt>
                  <c:pt idx="1129">
                    <c:v>maceta elegant S/plato</c:v>
                  </c:pt>
                  <c:pt idx="1130">
                    <c:v>maceta elegant S/plato</c:v>
                  </c:pt>
                  <c:pt idx="1131">
                    <c:v>maceta elegant S/plato</c:v>
                  </c:pt>
                  <c:pt idx="1132">
                    <c:v>maceta elegant S/plato</c:v>
                  </c:pt>
                  <c:pt idx="1133">
                    <c:v>maceta elegant S/plato</c:v>
                  </c:pt>
                  <c:pt idx="1134">
                    <c:v>maceta elegant S/plato</c:v>
                  </c:pt>
                  <c:pt idx="1135">
                    <c:v>maceta elegant S/plato</c:v>
                  </c:pt>
                  <c:pt idx="1136">
                    <c:v>maceta estampada blanca lineasc/p</c:v>
                  </c:pt>
                  <c:pt idx="1137">
                    <c:v>maceta estampada blanca lineasc/p</c:v>
                  </c:pt>
                  <c:pt idx="1138">
                    <c:v>maceta estampada blanca lineasc/p</c:v>
                  </c:pt>
                  <c:pt idx="1139">
                    <c:v>maceta estampada blanca lineasc/p</c:v>
                  </c:pt>
                  <c:pt idx="1140">
                    <c:v>maceta estampada blanca lineasc/p</c:v>
                  </c:pt>
                  <c:pt idx="1141">
                    <c:v>maceta estampada blanca lineasc/p</c:v>
                  </c:pt>
                  <c:pt idx="1142">
                    <c:v>maceta facetada</c:v>
                  </c:pt>
                  <c:pt idx="1143">
                    <c:v>maceta flor c/plato</c:v>
                  </c:pt>
                  <c:pt idx="1144">
                    <c:v>maceta guia ecovaso</c:v>
                  </c:pt>
                  <c:pt idx="1145">
                    <c:v>maceta hexagonal</c:v>
                  </c:pt>
                  <c:pt idx="1146">
                    <c:v>maceta holambra</c:v>
                  </c:pt>
                  <c:pt idx="1147">
                    <c:v>MACETA JARDINERA CON PLATO</c:v>
                  </c:pt>
                  <c:pt idx="1148">
                    <c:v>maceta jardinera de pared</c:v>
                  </c:pt>
                  <c:pt idx="1149">
                    <c:v>maceta jardinera plasticos/plato</c:v>
                  </c:pt>
                  <c:pt idx="1150">
                    <c:v>maceta jardinera plstico s/plato</c:v>
                  </c:pt>
                  <c:pt idx="1151">
                    <c:v>MACETA JARDINERA S/PLATO</c:v>
                  </c:pt>
                  <c:pt idx="1152">
                    <c:v>MACETA JARDINERA S/PLATO</c:v>
                  </c:pt>
                  <c:pt idx="1153">
                    <c:v>MACETA JARDINERA TERRACOTA</c:v>
                  </c:pt>
                  <c:pt idx="1154">
                    <c:v>MACETA JARDINERA TERRACOTA</c:v>
                  </c:pt>
                  <c:pt idx="1155">
                    <c:v>maceta lebrillo</c:v>
                  </c:pt>
                  <c:pt idx="1156">
                    <c:v>MACETA MARRON CUADRADA</c:v>
                  </c:pt>
                  <c:pt idx="1157">
                    <c:v>MACETA MARRON CUADRADA</c:v>
                  </c:pt>
                  <c:pt idx="1158">
                    <c:v>maceta marron lisa c/plato</c:v>
                  </c:pt>
                  <c:pt idx="1159">
                    <c:v>maceta marron lisa c/plato</c:v>
                  </c:pt>
                  <c:pt idx="1160">
                    <c:v>MACETA marron lisa c/plato</c:v>
                  </c:pt>
                  <c:pt idx="1161">
                    <c:v>maceta marron lisa c/plato</c:v>
                  </c:pt>
                  <c:pt idx="1162">
                    <c:v>MACETA marron lisa redonda</c:v>
                  </c:pt>
                  <c:pt idx="1163">
                    <c:v>MACETA marrron lisac/plato</c:v>
                  </c:pt>
                  <c:pt idx="1164">
                    <c:v>maceta milan</c:v>
                  </c:pt>
                  <c:pt idx="1165">
                    <c:v>maceta milan</c:v>
                  </c:pt>
                  <c:pt idx="1166">
                    <c:v>maceta mini c/plat</c:v>
                  </c:pt>
                  <c:pt idx="1167">
                    <c:v>maceta N3 color c/plato</c:v>
                  </c:pt>
                  <c:pt idx="1168">
                    <c:v>maceta N4 color c/plato</c:v>
                  </c:pt>
                  <c:pt idx="1169">
                    <c:v>maceta N5 color c/plato</c:v>
                  </c:pt>
                  <c:pt idx="1170">
                    <c:v>maceta nacional </c:v>
                  </c:pt>
                  <c:pt idx="1171">
                    <c:v>maceta nacional A</c:v>
                  </c:pt>
                  <c:pt idx="1172">
                    <c:v>maceta nacional A</c:v>
                  </c:pt>
                  <c:pt idx="1173">
                    <c:v>maceta nacional A</c:v>
                  </c:pt>
                  <c:pt idx="1174">
                    <c:v>maceta nacional A</c:v>
                  </c:pt>
                  <c:pt idx="1175">
                    <c:v>maceta nacional A</c:v>
                  </c:pt>
                  <c:pt idx="1176">
                    <c:v>maceta nacional A</c:v>
                  </c:pt>
                  <c:pt idx="1177">
                    <c:v>maceta nacional A </c:v>
                  </c:pt>
                  <c:pt idx="1178">
                    <c:v>maceta nacional A negra</c:v>
                  </c:pt>
                  <c:pt idx="1179">
                    <c:v>maceta nacional A negra</c:v>
                  </c:pt>
                  <c:pt idx="1180">
                    <c:v>maceta nacional A negra</c:v>
                  </c:pt>
                  <c:pt idx="1181">
                    <c:v>maceta nacional A NEGRA</c:v>
                  </c:pt>
                  <c:pt idx="1182">
                    <c:v>maceta negra c/blanco</c:v>
                  </c:pt>
                  <c:pt idx="1183">
                    <c:v>maceta negra c/blanco</c:v>
                  </c:pt>
                  <c:pt idx="1184">
                    <c:v>maceta negra cilindrica</c:v>
                  </c:pt>
                  <c:pt idx="1185">
                    <c:v>maceta negra cilindrica</c:v>
                  </c:pt>
                  <c:pt idx="1186">
                    <c:v>maceta negra cilindricaC/PLATO</c:v>
                  </c:pt>
                  <c:pt idx="1187">
                    <c:v>MACETA NEGRA CUADRADA RALLADA</c:v>
                  </c:pt>
                  <c:pt idx="1188">
                    <c:v>MACETA NEGRA FLOR C/ PLATO</c:v>
                  </c:pt>
                  <c:pt idx="1189">
                    <c:v>MACETA NEGRA FLOR C/ PLATO</c:v>
                  </c:pt>
                  <c:pt idx="1190">
                    <c:v>MACETA NEGRA FLOR C/ PLATO</c:v>
                  </c:pt>
                  <c:pt idx="1191">
                    <c:v>MACETA NEGRA FLOR C/ PLATO</c:v>
                  </c:pt>
                  <c:pt idx="1192">
                    <c:v>MACETA NEGRA LABRADA</c:v>
                  </c:pt>
                  <c:pt idx="1193">
                    <c:v>MACETA NEGRA LABRADA</c:v>
                  </c:pt>
                  <c:pt idx="1194">
                    <c:v>maceta negra labrada c/plato</c:v>
                  </c:pt>
                  <c:pt idx="1195">
                    <c:v>MACETA NEGRA LABRADA CON PLATO</c:v>
                  </c:pt>
                  <c:pt idx="1196">
                    <c:v>MACETA NEGRA+B1896 CUADRADA RALLADA</c:v>
                  </c:pt>
                  <c:pt idx="1197">
                    <c:v>maceta negto c/blanco</c:v>
                  </c:pt>
                  <c:pt idx="1198">
                    <c:v>maceta nutriplant</c:v>
                  </c:pt>
                  <c:pt idx="1199">
                    <c:v>maceta orquidea</c:v>
                  </c:pt>
                  <c:pt idx="1200">
                    <c:v>maceta orquidea</c:v>
                  </c:pt>
                  <c:pt idx="1201">
                    <c:v>MACETA ORQUIDEA COLOR FLUOR</c:v>
                  </c:pt>
                  <c:pt idx="1202">
                    <c:v>maceta orquidea grande</c:v>
                  </c:pt>
                  <c:pt idx="1203">
                    <c:v>MACETA ORQUIDEA TRANSPARENTE</c:v>
                  </c:pt>
                  <c:pt idx="1204">
                    <c:v>MACETA ORQUIDEA TRANSPARENTE</c:v>
                  </c:pt>
                  <c:pt idx="1205">
                    <c:v>MACETA ORQUIDEA TRANSPARENTE</c:v>
                  </c:pt>
                  <c:pt idx="1206">
                    <c:v>MACETA ORQUIDEA TRANSPARENTE</c:v>
                  </c:pt>
                  <c:pt idx="1207">
                    <c:v>maceta paila 35</c:v>
                  </c:pt>
                  <c:pt idx="1208">
                    <c:v>maceta paila c/p</c:v>
                  </c:pt>
                  <c:pt idx="1209">
                    <c:v>maceta pared</c:v>
                  </c:pt>
                  <c:pt idx="1210">
                    <c:v>maceta pared</c:v>
                  </c:pt>
                  <c:pt idx="1211">
                    <c:v>maceta pared</c:v>
                  </c:pt>
                  <c:pt idx="1212">
                    <c:v>maceta pared</c:v>
                  </c:pt>
                  <c:pt idx="1213">
                    <c:v>maceta pared</c:v>
                  </c:pt>
                  <c:pt idx="1214">
                    <c:v>maceta pared plastico</c:v>
                  </c:pt>
                  <c:pt idx="1215">
                    <c:v>maceta paris</c:v>
                  </c:pt>
                  <c:pt idx="1216">
                    <c:v>maceta paris</c:v>
                  </c:pt>
                  <c:pt idx="1217">
                    <c:v>maceta paris</c:v>
                  </c:pt>
                  <c:pt idx="1218">
                    <c:v>maceta paula  c/plato</c:v>
                  </c:pt>
                  <c:pt idx="1219">
                    <c:v>maceta paula c/plato</c:v>
                  </c:pt>
                  <c:pt idx="1220">
                    <c:v>maceta paula c/plato</c:v>
                  </c:pt>
                  <c:pt idx="1221">
                    <c:v>maceta paula c/plato</c:v>
                  </c:pt>
                  <c:pt idx="1222">
                    <c:v>maceta paula c/plato</c:v>
                  </c:pt>
                  <c:pt idx="1223">
                    <c:v>maceta piramidal con luz  N67</c:v>
                  </c:pt>
                  <c:pt idx="1224">
                    <c:v>maceta piso c/ PLATO</c:v>
                  </c:pt>
                  <c:pt idx="1225">
                    <c:v>MACETA PISO C/ PLATO</c:v>
                  </c:pt>
                  <c:pt idx="1226">
                    <c:v>MACETA PISO C/ PLATO</c:v>
                  </c:pt>
                  <c:pt idx="1227">
                    <c:v>maceta piso con plato</c:v>
                  </c:pt>
                  <c:pt idx="1228">
                    <c:v>maceta piso con plato</c:v>
                  </c:pt>
                  <c:pt idx="1229">
                    <c:v>maceta piso con plato</c:v>
                  </c:pt>
                  <c:pt idx="1230">
                    <c:v>maceta piso cuadradacon plato</c:v>
                  </c:pt>
                  <c:pt idx="1231">
                    <c:v>maceta piso cuadradacon plato</c:v>
                  </c:pt>
                  <c:pt idx="1232">
                    <c:v>maceta piso cuadradacon plato</c:v>
                  </c:pt>
                  <c:pt idx="1233">
                    <c:v>MACETA piso MARRON c/plat</c:v>
                  </c:pt>
                  <c:pt idx="1234">
                    <c:v>maceta piza</c:v>
                  </c:pt>
                  <c:pt idx="1235">
                    <c:v>maceta pl</c:v>
                  </c:pt>
                  <c:pt idx="1236">
                    <c:v>maceta pl</c:v>
                  </c:pt>
                  <c:pt idx="1237">
                    <c:v>maceta pl COLOR</c:v>
                  </c:pt>
                  <c:pt idx="1238">
                    <c:v>maceta pl COLOR</c:v>
                  </c:pt>
                  <c:pt idx="1239">
                    <c:v>maceta pl COLOR</c:v>
                  </c:pt>
                  <c:pt idx="1240">
                    <c:v>maceta pl COLOR</c:v>
                  </c:pt>
                  <c:pt idx="1241">
                    <c:v>MACETA PL NEGRA</c:v>
                  </c:pt>
                  <c:pt idx="1242">
                    <c:v>MACETA PL NEGRA</c:v>
                  </c:pt>
                  <c:pt idx="1243">
                    <c:v>MACETA PL NEGRA</c:v>
                  </c:pt>
                  <c:pt idx="1244">
                    <c:v>MACETA PL NEGRA</c:v>
                  </c:pt>
                  <c:pt idx="1245">
                    <c:v>maceta plastica</c:v>
                  </c:pt>
                  <c:pt idx="1246">
                    <c:v>maceta plastica</c:v>
                  </c:pt>
                  <c:pt idx="1247">
                    <c:v>maceta plastica</c:v>
                  </c:pt>
                  <c:pt idx="1248">
                    <c:v>maceta plastica</c:v>
                  </c:pt>
                  <c:pt idx="1249">
                    <c:v>maceta plastica</c:v>
                  </c:pt>
                  <c:pt idx="1250">
                    <c:v>maceta plastica</c:v>
                  </c:pt>
                  <c:pt idx="1251">
                    <c:v>maceta plastica </c:v>
                  </c:pt>
                  <c:pt idx="1252">
                    <c:v>maceta plastica blanca</c:v>
                  </c:pt>
                  <c:pt idx="1253">
                    <c:v>MACETA PLASTICA COPA</c:v>
                  </c:pt>
                  <c:pt idx="1254">
                    <c:v>maceta plastica gris</c:v>
                  </c:pt>
                  <c:pt idx="1255">
                    <c:v>maceta plastico cuadrada</c:v>
                  </c:pt>
                  <c:pt idx="1256">
                    <c:v>maceta plastico cuadrada</c:v>
                  </c:pt>
                  <c:pt idx="1257">
                    <c:v>maceta plastico cuadrada</c:v>
                  </c:pt>
                  <c:pt idx="1258">
                    <c:v>maceta plastico cuadrada</c:v>
                  </c:pt>
                  <c:pt idx="1259">
                    <c:v>maceta plastico cuadrada</c:v>
                  </c:pt>
                  <c:pt idx="1260">
                    <c:v>maceta plastico cuadrada</c:v>
                  </c:pt>
                  <c:pt idx="1261">
                    <c:v>maceta plastico jardinera s/</c:v>
                  </c:pt>
                  <c:pt idx="1262">
                    <c:v>maceta plastico labrada</c:v>
                  </c:pt>
                  <c:pt idx="1263">
                    <c:v>maceta plastico labrada</c:v>
                  </c:pt>
                  <c:pt idx="1264">
                    <c:v>maceta plastico n11</c:v>
                  </c:pt>
                  <c:pt idx="1265">
                    <c:v>maceta plastico n8</c:v>
                  </c:pt>
                  <c:pt idx="1266">
                    <c:v>maceta porteña </c:v>
                  </c:pt>
                  <c:pt idx="1267">
                    <c:v>MACETA PREMIUN clasica</c:v>
                  </c:pt>
                  <c:pt idx="1268">
                    <c:v>MACETA PREMIUN clasica</c:v>
                  </c:pt>
                  <c:pt idx="1269">
                    <c:v>MACETA PREMIUN clasica</c:v>
                  </c:pt>
                  <c:pt idx="1270">
                    <c:v>MACETA PREMIUN clasica</c:v>
                  </c:pt>
                  <c:pt idx="1271">
                    <c:v>MACETA PREMIUN clasica</c:v>
                  </c:pt>
                  <c:pt idx="1272">
                    <c:v>maceta premiun redonda blanca </c:v>
                  </c:pt>
                  <c:pt idx="1273">
                    <c:v>MACETA PRISMA CODIGO</c:v>
                  </c:pt>
                  <c:pt idx="1274">
                    <c:v>MACETA PUNTO 1</c:v>
                  </c:pt>
                  <c:pt idx="1275">
                    <c:v>MACETA PUNTO 2</c:v>
                  </c:pt>
                  <c:pt idx="1276">
                    <c:v>MACETA PUNTO 3</c:v>
                  </c:pt>
                  <c:pt idx="1277">
                    <c:v>MACETA PUNTO 4</c:v>
                  </c:pt>
                  <c:pt idx="1278">
                    <c:v>MACETA RAYADA PLASTICO</c:v>
                  </c:pt>
                  <c:pt idx="1279">
                    <c:v>MACETA RAYADA TERRACOTA</c:v>
                  </c:pt>
                  <c:pt idx="1280">
                    <c:v>MACETA RAYADA TERRACOTA</c:v>
                  </c:pt>
                  <c:pt idx="1281">
                    <c:v>MACETA RAYADA TERRACOTA</c:v>
                  </c:pt>
                  <c:pt idx="1282">
                    <c:v>MACETA RAYADA TERRACOTA</c:v>
                  </c:pt>
                  <c:pt idx="1283">
                    <c:v>maceta rayadaterracota</c:v>
                  </c:pt>
                  <c:pt idx="1284">
                    <c:v>maceta redonda decorada c/plato</c:v>
                  </c:pt>
                  <c:pt idx="1285">
                    <c:v>maceta redonda decorada c/plato</c:v>
                  </c:pt>
                  <c:pt idx="1286">
                    <c:v>maceta redonda decorada c/plato</c:v>
                  </c:pt>
                  <c:pt idx="1287">
                    <c:v>maceta redonda decorada c/plato</c:v>
                  </c:pt>
                  <c:pt idx="1288">
                    <c:v>maceta redonda europea</c:v>
                  </c:pt>
                  <c:pt idx="1289">
                    <c:v>MACETA REDONDA SIMIL PETRE 10 CM</c:v>
                  </c:pt>
                  <c:pt idx="1290">
                    <c:v>maceta relevo</c:v>
                  </c:pt>
                  <c:pt idx="1291">
                    <c:v>maceta relevo</c:v>
                  </c:pt>
                  <c:pt idx="1292">
                    <c:v>maceta rio</c:v>
                  </c:pt>
                  <c:pt idx="1293">
                    <c:v>maceta rocio </c:v>
                  </c:pt>
                  <c:pt idx="1294">
                    <c:v>maceta rocio </c:v>
                  </c:pt>
                  <c:pt idx="1295">
                    <c:v>maceta rocio </c:v>
                  </c:pt>
                  <c:pt idx="1296">
                    <c:v>maceta rocio </c:v>
                  </c:pt>
                  <c:pt idx="1297">
                    <c:v>maceta rocio de colores</c:v>
                  </c:pt>
                  <c:pt idx="1298">
                    <c:v>maceta rocio de colores</c:v>
                  </c:pt>
                  <c:pt idx="1299">
                    <c:v>maceta rocio de colores</c:v>
                  </c:pt>
                  <c:pt idx="1300">
                    <c:v>maceta rocio de colores</c:v>
                  </c:pt>
                  <c:pt idx="1301">
                    <c:v>maceta rocio de colores</c:v>
                  </c:pt>
                  <c:pt idx="1302">
                    <c:v>maceta rotomoldeada</c:v>
                  </c:pt>
                  <c:pt idx="1303">
                    <c:v>maceta rotomoldeada</c:v>
                  </c:pt>
                  <c:pt idx="1304">
                    <c:v>maceta rotomoldeada</c:v>
                  </c:pt>
                  <c:pt idx="1305">
                    <c:v>maceta rotomoldeada</c:v>
                  </c:pt>
                  <c:pt idx="1306">
                    <c:v>maceta rotomoldeada</c:v>
                  </c:pt>
                  <c:pt idx="1307">
                    <c:v>maceta rotomoldeada</c:v>
                  </c:pt>
                  <c:pt idx="1308">
                    <c:v>maceta rotomoldeada</c:v>
                  </c:pt>
                  <c:pt idx="1309">
                    <c:v>maceta rotomoldeada</c:v>
                  </c:pt>
                  <c:pt idx="1310">
                    <c:v>maceta rotomoldeada</c:v>
                  </c:pt>
                  <c:pt idx="1311">
                    <c:v>maceta rotomoldeada</c:v>
                  </c:pt>
                  <c:pt idx="1312">
                    <c:v>maceta rotomoldeada</c:v>
                  </c:pt>
                  <c:pt idx="1313">
                    <c:v>maceta rotomoldeada</c:v>
                  </c:pt>
                  <c:pt idx="1314">
                    <c:v>maceta rotomoldeada</c:v>
                  </c:pt>
                  <c:pt idx="1315">
                    <c:v>MACETA ROTOMOLDEADA</c:v>
                  </c:pt>
                  <c:pt idx="1316">
                    <c:v>MACETA ROTOMOLDEADA</c:v>
                  </c:pt>
                  <c:pt idx="1317">
                    <c:v>MACETA ROTOMOLDEADA</c:v>
                  </c:pt>
                  <c:pt idx="1318">
                    <c:v>MACETA ROTOMOLDEADA</c:v>
                  </c:pt>
                  <c:pt idx="1319">
                    <c:v>MACETA ROTOMOLDEADA</c:v>
                  </c:pt>
                  <c:pt idx="1320">
                    <c:v>MACETA ROTOMOLDEADA</c:v>
                  </c:pt>
                  <c:pt idx="1321">
                    <c:v>MACETA ROTOMOLDEADA</c:v>
                  </c:pt>
                  <c:pt idx="1322">
                    <c:v>maceta rotomoldeada</c:v>
                  </c:pt>
                  <c:pt idx="1323">
                    <c:v>MACETA ROTOMOLDEADA</c:v>
                  </c:pt>
                  <c:pt idx="1324">
                    <c:v>MACETA ROTOMOLDEADA</c:v>
                  </c:pt>
                  <c:pt idx="1325">
                    <c:v>MACETA ROTOMOLDEADA</c:v>
                  </c:pt>
                  <c:pt idx="1326">
                    <c:v>MACETA ROTOMOLDEADA</c:v>
                  </c:pt>
                  <c:pt idx="1327">
                    <c:v>MACETA ROTOMOLDEADA</c:v>
                  </c:pt>
                  <c:pt idx="1328">
                    <c:v>MACETA ROTOMOLDEADA</c:v>
                  </c:pt>
                  <c:pt idx="1329">
                    <c:v>MACETA ROTOMOLDEADA</c:v>
                  </c:pt>
                  <c:pt idx="1330">
                    <c:v>MACETA ROTOMOLDEADA</c:v>
                  </c:pt>
                  <c:pt idx="1331">
                    <c:v>MACETA ROTOMOLDEADA</c:v>
                  </c:pt>
                  <c:pt idx="1332">
                    <c:v>MACETA ROTOMOLDEADA</c:v>
                  </c:pt>
                  <c:pt idx="1333">
                    <c:v>MACETA ROTOMOLDEADA</c:v>
                  </c:pt>
                  <c:pt idx="1334">
                    <c:v>MACETA ROTOMOLDEADA</c:v>
                  </c:pt>
                  <c:pt idx="1335">
                    <c:v>MACETA ROTOMOLDEADA</c:v>
                  </c:pt>
                  <c:pt idx="1336">
                    <c:v>MACETA ROTOMOLDEADA</c:v>
                  </c:pt>
                  <c:pt idx="1337">
                    <c:v>MACETA ROTOMOLDEADA</c:v>
                  </c:pt>
                  <c:pt idx="1338">
                    <c:v>MACETA ROTOMOLDEADA</c:v>
                  </c:pt>
                  <c:pt idx="1339">
                    <c:v>MACETA ROTOMOLDEADA</c:v>
                  </c:pt>
                  <c:pt idx="1340">
                    <c:v>MACETA ROTOMOLDEADA</c:v>
                  </c:pt>
                  <c:pt idx="1341">
                    <c:v>MACETA ROTOMOLDEADA</c:v>
                  </c:pt>
                  <c:pt idx="1342">
                    <c:v>MACETA ROTOMOLDEADA</c:v>
                  </c:pt>
                  <c:pt idx="1343">
                    <c:v>MACETA ROTOMOLDEADA</c:v>
                  </c:pt>
                  <c:pt idx="1344">
                    <c:v>MACETA ROTOMOLDEADA</c:v>
                  </c:pt>
                  <c:pt idx="1345">
                    <c:v>MACETA ROTOMOLDEADA</c:v>
                  </c:pt>
                  <c:pt idx="1346">
                    <c:v>MACETA ROTOMOLDEADA </c:v>
                  </c:pt>
                  <c:pt idx="1347">
                    <c:v>maceta rotomoldeada </c:v>
                  </c:pt>
                  <c:pt idx="1348">
                    <c:v>maceta rotomoldeada </c:v>
                  </c:pt>
                  <c:pt idx="1349">
                    <c:v>maceta rotomoldeada </c:v>
                  </c:pt>
                  <c:pt idx="1350">
                    <c:v>MACETA ROTOMOLDEADA </c:v>
                  </c:pt>
                  <c:pt idx="1351">
                    <c:v>MACETA ROTOMOLDEADA </c:v>
                  </c:pt>
                  <c:pt idx="1352">
                    <c:v>MACETA ROTOMOLDEADA </c:v>
                  </c:pt>
                  <c:pt idx="1353">
                    <c:v>MACETA ROTOMOLDEADA </c:v>
                  </c:pt>
                  <c:pt idx="1354">
                    <c:v>maceta rotomoldeada </c:v>
                  </c:pt>
                  <c:pt idx="1355">
                    <c:v>MACETA ROTOMOLDEADA OCRE</c:v>
                  </c:pt>
                  <c:pt idx="1356">
                    <c:v>MACETA ROTOMOLDEADA OCRE</c:v>
                  </c:pt>
                  <c:pt idx="1357">
                    <c:v>MACETA ROTOMOLDEADA OCRE</c:v>
                  </c:pt>
                  <c:pt idx="1358">
                    <c:v>MACETA ROTOMOLDEADA OCRE</c:v>
                  </c:pt>
                  <c:pt idx="1359">
                    <c:v>maceta rotomoldeada vogue mini beta mini</c:v>
                  </c:pt>
                  <c:pt idx="1360">
                    <c:v>MACETA ROTOMOLDEALA</c:v>
                  </c:pt>
                  <c:pt idx="1361">
                    <c:v>maceta sampa</c:v>
                  </c:pt>
                  <c:pt idx="1362">
                    <c:v>maceta sampa</c:v>
                  </c:pt>
                  <c:pt idx="1363">
                    <c:v>maceta sampa</c:v>
                  </c:pt>
                  <c:pt idx="1364">
                    <c:v>maceta sampa</c:v>
                  </c:pt>
                  <c:pt idx="1365">
                    <c:v>maceta sampa</c:v>
                  </c:pt>
                  <c:pt idx="1366">
                    <c:v>maceta sampa</c:v>
                  </c:pt>
                  <c:pt idx="1367">
                    <c:v>maceta sampa</c:v>
                  </c:pt>
                  <c:pt idx="1368">
                    <c:v>maceta sampa</c:v>
                  </c:pt>
                  <c:pt idx="1369">
                    <c:v>maceta sampa</c:v>
                  </c:pt>
                  <c:pt idx="1370">
                    <c:v>maceta SURA</c:v>
                  </c:pt>
                  <c:pt idx="1371">
                    <c:v>maceta SURA</c:v>
                  </c:pt>
                  <c:pt idx="1372">
                    <c:v>maceta SURA</c:v>
                  </c:pt>
                  <c:pt idx="1373">
                    <c:v>maceta SURA</c:v>
                  </c:pt>
                  <c:pt idx="1374">
                    <c:v>maceta terra</c:v>
                  </c:pt>
                  <c:pt idx="1375">
                    <c:v>MACETA TERRACOTA</c:v>
                  </c:pt>
                  <c:pt idx="1376">
                    <c:v>maceta terracota</c:v>
                  </c:pt>
                  <c:pt idx="1377">
                    <c:v>maceta terracota</c:v>
                  </c:pt>
                  <c:pt idx="1378">
                    <c:v>maceta terracota</c:v>
                  </c:pt>
                  <c:pt idx="1379">
                    <c:v>MACETA TERRACOTA</c:v>
                  </c:pt>
                  <c:pt idx="1380">
                    <c:v>maceta transparente p/orquidia</c:v>
                  </c:pt>
                  <c:pt idx="1381">
                    <c:v>maceta transparente p/orquidia</c:v>
                  </c:pt>
                  <c:pt idx="1382">
                    <c:v>maceta tuna cuadrada</c:v>
                  </c:pt>
                  <c:pt idx="1383">
                    <c:v>maceta tuna cuadrada</c:v>
                  </c:pt>
                  <c:pt idx="1384">
                    <c:v>maceta tuna redonda</c:v>
                  </c:pt>
                  <c:pt idx="1385">
                    <c:v>maceta tuna redonda</c:v>
                  </c:pt>
                  <c:pt idx="1386">
                    <c:v>maceta vaso acuarela</c:v>
                  </c:pt>
                  <c:pt idx="1387">
                    <c:v>maceta vaso duo brancografiti</c:v>
                  </c:pt>
                  <c:pt idx="1388">
                    <c:v>maceta vaso negro</c:v>
                  </c:pt>
                  <c:pt idx="1389">
                    <c:v>maceta vaso negro</c:v>
                  </c:pt>
                  <c:pt idx="1390">
                    <c:v>maceta vaso negro</c:v>
                  </c:pt>
                  <c:pt idx="1391">
                    <c:v>maceta vaso negro</c:v>
                  </c:pt>
                  <c:pt idx="1392">
                    <c:v>maceta vaso redondo</c:v>
                  </c:pt>
                  <c:pt idx="1393">
                    <c:v>maceta vaso redondo</c:v>
                  </c:pt>
                  <c:pt idx="1394">
                    <c:v>maceta vechio americano N°1</c:v>
                  </c:pt>
                  <c:pt idx="1395">
                    <c:v>maceta vechio americano N°3</c:v>
                  </c:pt>
                  <c:pt idx="1396">
                    <c:v>maceta vechio cachepo bally N°1</c:v>
                  </c:pt>
                  <c:pt idx="1397">
                    <c:v>maceta vechio cachepo bola N°1</c:v>
                  </c:pt>
                  <c:pt idx="1398">
                    <c:v>maceta verona con plato set x 5</c:v>
                  </c:pt>
                  <c:pt idx="1399">
                    <c:v>maceta vivero</c:v>
                  </c:pt>
                  <c:pt idx="1400">
                    <c:v>maceta xaxim con cadena ch</c:v>
                  </c:pt>
                  <c:pt idx="1401">
                    <c:v>maceta xaxim con cadena med</c:v>
                  </c:pt>
                  <c:pt idx="1402">
                    <c:v>macetacui nobleproductor</c:v>
                  </c:pt>
                  <c:pt idx="1403">
                    <c:v>MACETAlisa</c:v>
                  </c:pt>
                  <c:pt idx="1404">
                    <c:v>MACETAlisa</c:v>
                  </c:pt>
                  <c:pt idx="1405">
                    <c:v>macetas barro cilindro alto</c:v>
                  </c:pt>
                  <c:pt idx="1406">
                    <c:v>macetas barro cilindro alto</c:v>
                  </c:pt>
                  <c:pt idx="1407">
                    <c:v>macetas bombe c/ plato</c:v>
                  </c:pt>
                  <c:pt idx="1408">
                    <c:v>macetas clasicas blancas</c:v>
                  </c:pt>
                  <c:pt idx="1409">
                    <c:v>macetas clasicas blancas</c:v>
                  </c:pt>
                  <c:pt idx="1410">
                    <c:v>macetas clasicas blancas</c:v>
                  </c:pt>
                  <c:pt idx="1411">
                    <c:v>macetas clasicas blancas</c:v>
                  </c:pt>
                  <c:pt idx="1412">
                    <c:v>macetas clasicas blancas</c:v>
                  </c:pt>
                  <c:pt idx="1413">
                    <c:v>macetas clasicas blancas</c:v>
                  </c:pt>
                  <c:pt idx="1414">
                    <c:v>macetas clasicas blancas</c:v>
                  </c:pt>
                  <c:pt idx="1415">
                    <c:v>macetas clasicas blancas</c:v>
                  </c:pt>
                  <c:pt idx="1416">
                    <c:v>macetas clasicas blancas</c:v>
                  </c:pt>
                  <c:pt idx="1417">
                    <c:v>macetas clasicas blancas</c:v>
                  </c:pt>
                  <c:pt idx="1418">
                    <c:v>macetas clasicas blancas</c:v>
                  </c:pt>
                  <c:pt idx="1419">
                    <c:v>macetas nutriplant negra</c:v>
                  </c:pt>
                  <c:pt idx="1420">
                    <c:v>macetas nutriplant negra</c:v>
                  </c:pt>
                  <c:pt idx="1421">
                    <c:v>macetas nutriplant negra</c:v>
                  </c:pt>
                  <c:pt idx="1422">
                    <c:v>macetas nutriplant negra</c:v>
                  </c:pt>
                  <c:pt idx="1423">
                    <c:v>macetas nutriplant negra</c:v>
                  </c:pt>
                  <c:pt idx="1424">
                    <c:v>macetas nutriplant negra</c:v>
                  </c:pt>
                  <c:pt idx="1425">
                    <c:v>macetas nutriplant negra</c:v>
                  </c:pt>
                  <c:pt idx="1426">
                    <c:v>macetas nutriplant negra</c:v>
                  </c:pt>
                  <c:pt idx="1427">
                    <c:v>macetas nutriplant negra</c:v>
                  </c:pt>
                  <c:pt idx="1428">
                    <c:v>macetas nutriplant negra</c:v>
                  </c:pt>
                  <c:pt idx="1429">
                    <c:v>macetas nutriplant negra</c:v>
                  </c:pt>
                  <c:pt idx="1430">
                    <c:v>MACETERO COLGAR RATAN CH</c:v>
                  </c:pt>
                  <c:pt idx="1431">
                    <c:v>MACETERO COLGAR RATAN GDE</c:v>
                  </c:pt>
                  <c:pt idx="1432">
                    <c:v>MACETERO COLGAR RATAN MED</c:v>
                  </c:pt>
                  <c:pt idx="1433">
                    <c:v>macetta plastico pared</c:v>
                  </c:pt>
                  <c:pt idx="1434">
                    <c:v>macetta plastico pared</c:v>
                  </c:pt>
                  <c:pt idx="1435">
                    <c:v>machete tramontina</c:v>
                  </c:pt>
                  <c:pt idx="1436">
                    <c:v>maiz entero</c:v>
                  </c:pt>
                  <c:pt idx="1437">
                    <c:v>maiz entero</c:v>
                  </c:pt>
                  <c:pt idx="1438">
                    <c:v>maiz quebrado</c:v>
                  </c:pt>
                  <c:pt idx="1439">
                    <c:v>maiz quebrado</c:v>
                  </c:pt>
                  <c:pt idx="1440">
                    <c:v>malbitraz</c:v>
                  </c:pt>
                  <c:pt idx="1441">
                    <c:v>malla negra n 4</c:v>
                  </c:pt>
                  <c:pt idx="1442">
                    <c:v>malla negra n2</c:v>
                  </c:pt>
                  <c:pt idx="1443">
                    <c:v>malla para helada</c:v>
                  </c:pt>
                  <c:pt idx="1444">
                    <c:v>malla sombra 50 %</c:v>
                  </c:pt>
                  <c:pt idx="1445">
                    <c:v>malla sombra 50 %</c:v>
                  </c:pt>
                  <c:pt idx="1446">
                    <c:v>malla sombra 80 % 4 mts ancho</c:v>
                  </c:pt>
                  <c:pt idx="1447">
                    <c:v>malla sombra 80 % 4 mts ancho</c:v>
                  </c:pt>
                  <c:pt idx="1448">
                    <c:v>malla sombra 80 % 4 mts ancho</c:v>
                  </c:pt>
                  <c:pt idx="1449">
                    <c:v>mancoceb</c:v>
                  </c:pt>
                  <c:pt idx="1450">
                    <c:v>mancozeb</c:v>
                  </c:pt>
                  <c:pt idx="1451">
                    <c:v>mancozeb</c:v>
                  </c:pt>
                  <c:pt idx="1452">
                    <c:v>manguer extensible </c:v>
                  </c:pt>
                  <c:pt idx="1453">
                    <c:v>manguera</c:v>
                  </c:pt>
                  <c:pt idx="1454">
                    <c:v>manguera</c:v>
                  </c:pt>
                  <c:pt idx="1455">
                    <c:v>manguera de tela</c:v>
                  </c:pt>
                  <c:pt idx="1456">
                    <c:v>manguera extensible</c:v>
                  </c:pt>
                  <c:pt idx="1457">
                    <c:v>manguera extensible</c:v>
                  </c:pt>
                  <c:pt idx="1458">
                    <c:v>manguera extensiblo</c:v>
                  </c:pt>
                  <c:pt idx="1459">
                    <c:v>MANTA DE COCO</c:v>
                  </c:pt>
                  <c:pt idx="1460">
                    <c:v>MANTA DE COCO</c:v>
                  </c:pt>
                  <c:pt idx="1461">
                    <c:v>manta de coco</c:v>
                  </c:pt>
                  <c:pt idx="1462">
                    <c:v>MANZANILLA</c:v>
                  </c:pt>
                  <c:pt idx="1463">
                    <c:v>maple de huevo-</c:v>
                  </c:pt>
                  <c:pt idx="1464">
                    <c:v>maples de huevo</c:v>
                  </c:pt>
                  <c:pt idx="1465">
                    <c:v>maquina de flit</c:v>
                  </c:pt>
                  <c:pt idx="1466">
                    <c:v>marmolina </c:v>
                  </c:pt>
                  <c:pt idx="1467">
                    <c:v>mata polillas </c:v>
                  </c:pt>
                  <c:pt idx="1468">
                    <c:v>mata todo</c:v>
                  </c:pt>
                  <c:pt idx="1469">
                    <c:v>MATAMOSCAS</c:v>
                  </c:pt>
                  <c:pt idx="1470">
                    <c:v>mcetero colgante</c:v>
                  </c:pt>
                  <c:pt idx="1471">
                    <c:v>medroxi</c:v>
                  </c:pt>
                  <c:pt idx="1472">
                    <c:v>medroxi</c:v>
                  </c:pt>
                  <c:pt idx="1473">
                    <c:v>medroxi</c:v>
                  </c:pt>
                  <c:pt idx="1474">
                    <c:v>melaza</c:v>
                  </c:pt>
                  <c:pt idx="1475">
                    <c:v>Melaza</c:v>
                  </c:pt>
                  <c:pt idx="1476">
                    <c:v>mercaptathion</c:v>
                  </c:pt>
                  <c:pt idx="1477">
                    <c:v>mercaptothion</c:v>
                  </c:pt>
                  <c:pt idx="1478">
                    <c:v>metilaqua azul</c:v>
                  </c:pt>
                  <c:pt idx="1479">
                    <c:v>microvita</c:v>
                  </c:pt>
                  <c:pt idx="1480">
                    <c:v>mini bola</c:v>
                  </c:pt>
                  <c:pt idx="1481">
                    <c:v>mixtos</c:v>
                  </c:pt>
                  <c:pt idx="1482">
                    <c:v>mochila fumigadora</c:v>
                  </c:pt>
                  <c:pt idx="1483">
                    <c:v>mochila plastico</c:v>
                  </c:pt>
                  <c:pt idx="1484">
                    <c:v>mochila roceador</c:v>
                  </c:pt>
                  <c:pt idx="1485">
                    <c:v>moha</c:v>
                  </c:pt>
                  <c:pt idx="1486">
                    <c:v>moha</c:v>
                  </c:pt>
                  <c:pt idx="1487">
                    <c:v>moha</c:v>
                  </c:pt>
                  <c:pt idx="1488">
                    <c:v>MOLINETE CHICO</c:v>
                  </c:pt>
                  <c:pt idx="1489">
                    <c:v>molinete flor</c:v>
                  </c:pt>
                  <c:pt idx="1490">
                    <c:v>MOLINETE GRANDE</c:v>
                  </c:pt>
                  <c:pt idx="1491">
                    <c:v>molino</c:v>
                  </c:pt>
                  <c:pt idx="1492">
                    <c:v>molino</c:v>
                  </c:pt>
                  <c:pt idx="1493">
                    <c:v>molino</c:v>
                  </c:pt>
                  <c:pt idx="1494">
                    <c:v>molino</c:v>
                  </c:pt>
                  <c:pt idx="1495">
                    <c:v>molino</c:v>
                  </c:pt>
                  <c:pt idx="1496">
                    <c:v>molino</c:v>
                  </c:pt>
                  <c:pt idx="1497">
                    <c:v>moscaxan</c:v>
                  </c:pt>
                  <c:pt idx="1498">
                    <c:v>moscaxan platillos</c:v>
                  </c:pt>
                  <c:pt idx="1499">
                    <c:v>mosqueton c/destorcedor</c:v>
                  </c:pt>
                  <c:pt idx="1500">
                    <c:v>mosqueton c/destorcedor</c:v>
                  </c:pt>
                  <c:pt idx="1501">
                    <c:v>mosqueton c/destorcedor</c:v>
                  </c:pt>
                  <c:pt idx="1502">
                    <c:v>mosqueton c/destorcedor</c:v>
                  </c:pt>
                  <c:pt idx="1503">
                    <c:v>mulch </c:v>
                  </c:pt>
                  <c:pt idx="1504">
                    <c:v>Mulch sol</c:v>
                  </c:pt>
                  <c:pt idx="1505">
                    <c:v>musgo</c:v>
                  </c:pt>
                  <c:pt idx="1506">
                    <c:v>musgo natural</c:v>
                  </c:pt>
                  <c:pt idx="1507">
                    <c:v>neen super</c:v>
                  </c:pt>
                  <c:pt idx="1508">
                    <c:v>neodip</c:v>
                  </c:pt>
                  <c:pt idx="1509">
                    <c:v>neodip</c:v>
                  </c:pt>
                  <c:pt idx="1510">
                    <c:v>nido cotorra australiana</c:v>
                  </c:pt>
                  <c:pt idx="1511">
                    <c:v>nido de canario alambre y cuerda</c:v>
                  </c:pt>
                  <c:pt idx="1512">
                    <c:v>NIDO JUNCO</c:v>
                  </c:pt>
                  <c:pt idx="1513">
                    <c:v>NIDO jute CANARIO</c:v>
                  </c:pt>
                  <c:pt idx="1514">
                    <c:v>nido loro australiano</c:v>
                  </c:pt>
                  <c:pt idx="1515">
                    <c:v>nido p/pajaro grande</c:v>
                  </c:pt>
                  <c:pt idx="1516">
                    <c:v>nido para canario piola</c:v>
                  </c:pt>
                  <c:pt idx="1517">
                    <c:v>nido yute p/canario</c:v>
                  </c:pt>
                  <c:pt idx="1518">
                    <c:v>nido yute p/canarios</c:v>
                  </c:pt>
                  <c:pt idx="1519">
                    <c:v>nitro sulfa aviar</c:v>
                  </c:pt>
                  <c:pt idx="1520">
                    <c:v>nitro sulfa aviar</c:v>
                  </c:pt>
                  <c:pt idx="1521">
                    <c:v>nogales europeo</c:v>
                  </c:pt>
                  <c:pt idx="1522">
                    <c:v>nutricion p/canarios</c:v>
                  </c:pt>
                  <c:pt idx="1523">
                    <c:v>nutricion p/canarios</c:v>
                  </c:pt>
                  <c:pt idx="1524">
                    <c:v>nutricion p/canarios</c:v>
                  </c:pt>
                  <c:pt idx="1525">
                    <c:v>nutricion p/canarios</c:v>
                  </c:pt>
                  <c:pt idx="1526">
                    <c:v>oasis biodegradable</c:v>
                  </c:pt>
                  <c:pt idx="1527">
                    <c:v>oasis-ladrillo de espuma floral</c:v>
                  </c:pt>
                  <c:pt idx="1528">
                    <c:v>OPTIMUN GATOS CASTRADOS</c:v>
                  </c:pt>
                  <c:pt idx="1529">
                    <c:v>OSMOCOTE fertilizante</c:v>
                  </c:pt>
                  <c:pt idx="1530">
                    <c:v>oxicloruro de cobre-fanavid</c:v>
                  </c:pt>
                  <c:pt idx="1531">
                    <c:v>oxicloruro de cobre-fanavid</c:v>
                  </c:pt>
                  <c:pt idx="1532">
                    <c:v>pala ancha</c:v>
                  </c:pt>
                  <c:pt idx="1533">
                    <c:v>pala ancha /fina de jardineria</c:v>
                  </c:pt>
                  <c:pt idx="1534">
                    <c:v>pala anchamango de madera</c:v>
                  </c:pt>
                  <c:pt idx="1535">
                    <c:v>pala de jardin</c:v>
                  </c:pt>
                  <c:pt idx="1536">
                    <c:v>pala plastico para jardin</c:v>
                  </c:pt>
                  <c:pt idx="1537">
                    <c:v>pala sanitaria</c:v>
                  </c:pt>
                  <c:pt idx="1538">
                    <c:v>palillos de ropa</c:v>
                  </c:pt>
                  <c:pt idx="1539">
                    <c:v>palita angosta cabo de madera</c:v>
                  </c:pt>
                  <c:pt idx="1540">
                    <c:v>PALITA METALICA</c:v>
                  </c:pt>
                  <c:pt idx="1541">
                    <c:v>palita p/jardin mango madera</c:v>
                  </c:pt>
                  <c:pt idx="1542">
                    <c:v>palita sanitaria c/cara de gato</c:v>
                  </c:pt>
                  <c:pt idx="1543">
                    <c:v>palo santo </c:v>
                  </c:pt>
                  <c:pt idx="1544">
                    <c:v>panel pasto hoja larga</c:v>
                  </c:pt>
                  <c:pt idx="1545">
                    <c:v>panel pasto trebol</c:v>
                  </c:pt>
                  <c:pt idx="1546">
                    <c:v>pantalla luz blanca</c:v>
                  </c:pt>
                  <c:pt idx="1547">
                    <c:v>pantalla luz blanca</c:v>
                  </c:pt>
                  <c:pt idx="1548">
                    <c:v>papel pino 50 /25 cm</c:v>
                  </c:pt>
                  <c:pt idx="1549">
                    <c:v>papilla p/ pajaros</c:v>
                  </c:pt>
                  <c:pt idx="1550">
                    <c:v>papilla p/pajaros</c:v>
                  </c:pt>
                  <c:pt idx="1551">
                    <c:v>papillap/psitacidos-tarro azul</c:v>
                  </c:pt>
                  <c:pt idx="1552">
                    <c:v>paquette semilla aromatica</c:v>
                  </c:pt>
                  <c:pt idx="1553">
                    <c:v>paradicloro</c:v>
                  </c:pt>
                  <c:pt idx="1554">
                    <c:v>paradicloro</c:v>
                  </c:pt>
                  <c:pt idx="1555">
                    <c:v>parrilleros</c:v>
                  </c:pt>
                  <c:pt idx="1556">
                    <c:v>pastilla nexgard dog L c/u</c:v>
                  </c:pt>
                  <c:pt idx="1557">
                    <c:v>pastilla nexgard dog XL C/U</c:v>
                  </c:pt>
                  <c:pt idx="1558">
                    <c:v>pastillas nexgard dog M c/u</c:v>
                  </c:pt>
                  <c:pt idx="1559">
                    <c:v>pastillas nexgard dog S C/U</c:v>
                  </c:pt>
                  <c:pt idx="1560">
                    <c:v>pate de carne</c:v>
                  </c:pt>
                  <c:pt idx="1561">
                    <c:v>pecera</c:v>
                  </c:pt>
                  <c:pt idx="1562">
                    <c:v>pecera</c:v>
                  </c:pt>
                  <c:pt idx="1563">
                    <c:v>pecera</c:v>
                  </c:pt>
                  <c:pt idx="1564">
                    <c:v>pecera</c:v>
                  </c:pt>
                  <c:pt idx="1565">
                    <c:v>pecera</c:v>
                  </c:pt>
                  <c:pt idx="1566">
                    <c:v>pecera</c:v>
                  </c:pt>
                  <c:pt idx="1567">
                    <c:v>PECERA ACRILICO 39X26X49</c:v>
                  </c:pt>
                  <c:pt idx="1568">
                    <c:v>PECERA ACRILICO38X22X41</c:v>
                  </c:pt>
                  <c:pt idx="1569">
                    <c:v>pecera de vidrio</c:v>
                  </c:pt>
                  <c:pt idx="1570">
                    <c:v>pedigree razas pequeñas</c:v>
                  </c:pt>
                  <c:pt idx="1571">
                    <c:v>pedigree razas pequeñas</c:v>
                  </c:pt>
                  <c:pt idx="1572">
                    <c:v>pegamento p/rata</c:v>
                  </c:pt>
                  <c:pt idx="1573">
                    <c:v>pelones</c:v>
                  </c:pt>
                  <c:pt idx="1574">
                    <c:v>pelota de tenis</c:v>
                  </c:pt>
                  <c:pt idx="1575">
                    <c:v>pelota maciza</c:v>
                  </c:pt>
                  <c:pt idx="1576">
                    <c:v>pelota soga</c:v>
                  </c:pt>
                  <c:pt idx="1577">
                    <c:v>pelota tenis goma</c:v>
                  </c:pt>
                  <c:pt idx="1578">
                    <c:v>pelota vinilo erizo con luz</c:v>
                  </c:pt>
                  <c:pt idx="1579">
                    <c:v>peluche conejo con corazon</c:v>
                  </c:pt>
                  <c:pt idx="1580">
                    <c:v>peluche oso c/enterito smile 70 cm-4 colores </c:v>
                  </c:pt>
                  <c:pt idx="1581">
                    <c:v>peluche oso corazon te amo grande</c:v>
                  </c:pt>
                  <c:pt idx="1582">
                    <c:v>peluche perro corazon te amo</c:v>
                  </c:pt>
                  <c:pt idx="1583">
                    <c:v>PERCHAS</c:v>
                  </c:pt>
                  <c:pt idx="1584">
                    <c:v>perlita</c:v>
                  </c:pt>
                  <c:pt idx="1585">
                    <c:v>perlita</c:v>
                  </c:pt>
                  <c:pt idx="1586">
                    <c:v>perlita</c:v>
                  </c:pt>
                  <c:pt idx="1587">
                    <c:v>perlita</c:v>
                  </c:pt>
                  <c:pt idx="1588">
                    <c:v>perro bandido</c:v>
                  </c:pt>
                  <c:pt idx="1589">
                    <c:v>perro bandido</c:v>
                  </c:pt>
                  <c:pt idx="1590">
                    <c:v>perro bandido</c:v>
                  </c:pt>
                  <c:pt idx="1591">
                    <c:v>perro beny</c:v>
                  </c:pt>
                  <c:pt idx="1592">
                    <c:v>perro beny</c:v>
                  </c:pt>
                  <c:pt idx="1593">
                    <c:v>perro beny</c:v>
                  </c:pt>
                  <c:pt idx="1594">
                    <c:v>perro birbo cachorro</c:v>
                  </c:pt>
                  <c:pt idx="1595">
                    <c:v>perro birbo cachorro</c:v>
                  </c:pt>
                  <c:pt idx="1596">
                    <c:v>PERRO BRABO BABY</c:v>
                  </c:pt>
                  <c:pt idx="1597">
                    <c:v>PERRO BRAVO FRANGO E LEGUMES</c:v>
                  </c:pt>
                  <c:pt idx="1598">
                    <c:v>perro burny</c:v>
                  </c:pt>
                  <c:pt idx="1599">
                    <c:v>perro cannel</c:v>
                  </c:pt>
                  <c:pt idx="1600">
                    <c:v>perro cannel</c:v>
                  </c:pt>
                  <c:pt idx="1601">
                    <c:v>perro cannel</c:v>
                  </c:pt>
                  <c:pt idx="1602">
                    <c:v>perro cannel mix</c:v>
                  </c:pt>
                  <c:pt idx="1603">
                    <c:v>perro cannel mix</c:v>
                  </c:pt>
                  <c:pt idx="1604">
                    <c:v>perro cannel mix</c:v>
                  </c:pt>
                  <c:pt idx="1605">
                    <c:v>perro champmix de carne</c:v>
                  </c:pt>
                  <c:pt idx="1606">
                    <c:v>perro champmix de carne</c:v>
                  </c:pt>
                  <c:pt idx="1607">
                    <c:v>PERRO CHARRUA ADULTO</c:v>
                  </c:pt>
                  <c:pt idx="1608">
                    <c:v>perro conni adulto </c:v>
                  </c:pt>
                  <c:pt idx="1609">
                    <c:v>PERRO CRIOLLA ADULTO</c:v>
                  </c:pt>
                  <c:pt idx="1610">
                    <c:v>perro dogui cachorro</c:v>
                  </c:pt>
                  <c:pt idx="1611">
                    <c:v>perro dogui cachorro</c:v>
                  </c:pt>
                  <c:pt idx="1612">
                    <c:v>perro dogui cachorro</c:v>
                  </c:pt>
                  <c:pt idx="1613">
                    <c:v>perro dogui cer,car,arroz</c:v>
                  </c:pt>
                  <c:pt idx="1614">
                    <c:v>perro dogui cer,car,arroz</c:v>
                  </c:pt>
                  <c:pt idx="1615">
                    <c:v>perro equilibrio raza pequeña</c:v>
                  </c:pt>
                  <c:pt idx="1616">
                    <c:v>perro equilibrio raza pequeña</c:v>
                  </c:pt>
                  <c:pt idx="1617">
                    <c:v>perro especial dog</c:v>
                  </c:pt>
                  <c:pt idx="1618">
                    <c:v>perro fridy</c:v>
                  </c:pt>
                  <c:pt idx="1619">
                    <c:v>perro fridy</c:v>
                  </c:pt>
                  <c:pt idx="1620">
                    <c:v>perro intor cachorro</c:v>
                  </c:pt>
                  <c:pt idx="1621">
                    <c:v>perro lager</c:v>
                  </c:pt>
                  <c:pt idx="1622">
                    <c:v>perro lager</c:v>
                  </c:pt>
                  <c:pt idx="1623">
                    <c:v>perro lager</c:v>
                  </c:pt>
                  <c:pt idx="1624">
                    <c:v>perro mimos plus</c:v>
                  </c:pt>
                  <c:pt idx="1625">
                    <c:v>perro ny dog</c:v>
                  </c:pt>
                  <c:pt idx="1626">
                    <c:v>perro ny dog</c:v>
                  </c:pt>
                  <c:pt idx="1627">
                    <c:v>perro pedrighe cachorro</c:v>
                  </c:pt>
                  <c:pt idx="1628">
                    <c:v>perro pedrighe cachorro</c:v>
                  </c:pt>
                  <c:pt idx="1629">
                    <c:v>perro pedrigree</c:v>
                  </c:pt>
                  <c:pt idx="1630">
                    <c:v>perro pedrigree carne pollos y cereales</c:v>
                  </c:pt>
                  <c:pt idx="1631">
                    <c:v>perro pedrigree raza pequeña</c:v>
                  </c:pt>
                  <c:pt idx="1632">
                    <c:v>perro pedrigue razas pequeñas</c:v>
                  </c:pt>
                  <c:pt idx="1633">
                    <c:v>perro pedrigue razas pequeñas</c:v>
                  </c:pt>
                  <c:pt idx="1634">
                    <c:v>perro primocao filhotes</c:v>
                  </c:pt>
                  <c:pt idx="1635">
                    <c:v>perro primocao original negra</c:v>
                  </c:pt>
                  <c:pt idx="1636">
                    <c:v>perro primocao original negro </c:v>
                  </c:pt>
                  <c:pt idx="1637">
                    <c:v>perro primocao original negro </c:v>
                  </c:pt>
                  <c:pt idx="1638">
                    <c:v>perro primocao premiun filohotes</c:v>
                  </c:pt>
                  <c:pt idx="1639">
                    <c:v>perro primocao premiun filohotes</c:v>
                  </c:pt>
                  <c:pt idx="1640">
                    <c:v>perro primocao premiun raza pequeña</c:v>
                  </c:pt>
                  <c:pt idx="1641">
                    <c:v>perro pro 21</c:v>
                  </c:pt>
                  <c:pt idx="1642">
                    <c:v>perro pro 21 </c:v>
                  </c:pt>
                  <c:pt idx="1643">
                    <c:v>perro pro 21 </c:v>
                  </c:pt>
                  <c:pt idx="1644">
                    <c:v>perro pro 27</c:v>
                  </c:pt>
                  <c:pt idx="1645">
                    <c:v>perro pro 27</c:v>
                  </c:pt>
                  <c:pt idx="1646">
                    <c:v>perro urupet</c:v>
                  </c:pt>
                  <c:pt idx="1647">
                    <c:v>perro urupet</c:v>
                  </c:pt>
                  <c:pt idx="1648">
                    <c:v>perro wits</c:v>
                  </c:pt>
                  <c:pt idx="1649">
                    <c:v>pez doris</c:v>
                  </c:pt>
                  <c:pt idx="1650">
                    <c:v>pez payaso con cartel</c:v>
                  </c:pt>
                  <c:pt idx="1651">
                    <c:v>phaltan 80 wdg</c:v>
                  </c:pt>
                  <c:pt idx="1652">
                    <c:v>pico de placa nacional</c:v>
                  </c:pt>
                  <c:pt idx="1653">
                    <c:v>pie sepelio chica</c:v>
                  </c:pt>
                  <c:pt idx="1654">
                    <c:v>piedra  porosa </c:v>
                  </c:pt>
                  <c:pt idx="1655">
                    <c:v>piedra de calcio</c:v>
                  </c:pt>
                  <c:pt idx="1656">
                    <c:v>piedra de calcio</c:v>
                  </c:pt>
                  <c:pt idx="1657">
                    <c:v>PIEDRA DE CALCIO</c:v>
                  </c:pt>
                  <c:pt idx="1658">
                    <c:v>piedra porosa azul</c:v>
                  </c:pt>
                  <c:pt idx="1659">
                    <c:v>piedra porosa azul</c:v>
                  </c:pt>
                  <c:pt idx="1660">
                    <c:v>piedra porosa azul</c:v>
                  </c:pt>
                  <c:pt idx="1661">
                    <c:v>piedra porosa redonda</c:v>
                  </c:pt>
                  <c:pt idx="1662">
                    <c:v>piedra sanitaria</c:v>
                  </c:pt>
                  <c:pt idx="1663">
                    <c:v>piedra sanitaria</c:v>
                  </c:pt>
                  <c:pt idx="1664">
                    <c:v>piedra sanitaria animalitos sanipel</c:v>
                  </c:pt>
                  <c:pt idx="1665">
                    <c:v>piedra sanitaria c/gel silica</c:v>
                  </c:pt>
                  <c:pt idx="1666">
                    <c:v>piedras blancas</c:v>
                  </c:pt>
                  <c:pt idx="1667">
                    <c:v>piedras blancas</c:v>
                  </c:pt>
                  <c:pt idx="1668">
                    <c:v>PIEDRAS COLORES</c:v>
                  </c:pt>
                  <c:pt idx="1669">
                    <c:v>piedras de calcio</c:v>
                  </c:pt>
                  <c:pt idx="1670">
                    <c:v>pinza </c:v>
                  </c:pt>
                  <c:pt idx="1671">
                    <c:v>pinza de corte</c:v>
                  </c:pt>
                  <c:pt idx="1672">
                    <c:v>pioner</c:v>
                  </c:pt>
                  <c:pt idx="1673">
                    <c:v>piperacina</c:v>
                  </c:pt>
                  <c:pt idx="1674">
                    <c:v>pipeta efinol</c:v>
                  </c:pt>
                  <c:pt idx="1675">
                    <c:v>pipeta efinol</c:v>
                  </c:pt>
                  <c:pt idx="1676">
                    <c:v>pipeta frontline plus</c:v>
                  </c:pt>
                  <c:pt idx="1677">
                    <c:v>pipeta frontline plus</c:v>
                  </c:pt>
                  <c:pt idx="1678">
                    <c:v>pipeta gato  pulgout</c:v>
                  </c:pt>
                  <c:pt idx="1679">
                    <c:v>pipeta gato  pulgout</c:v>
                  </c:pt>
                  <c:pt idx="1680">
                    <c:v>PIPETA PERRO</c:v>
                  </c:pt>
                  <c:pt idx="1681">
                    <c:v>pipeta perro pulgout</c:v>
                  </c:pt>
                  <c:pt idx="1682">
                    <c:v>pipeta perro pulgout</c:v>
                  </c:pt>
                  <c:pt idx="1683">
                    <c:v>pipeta perro pulgout</c:v>
                  </c:pt>
                  <c:pt idx="1684">
                    <c:v>pipeta perro pulgout</c:v>
                  </c:pt>
                  <c:pt idx="1685">
                    <c:v>pipeta pipeton gato</c:v>
                  </c:pt>
                  <c:pt idx="1686">
                    <c:v>pipeta pipeton gato</c:v>
                  </c:pt>
                  <c:pt idx="1687">
                    <c:v>pipetas efinol gato</c:v>
                  </c:pt>
                  <c:pt idx="1688">
                    <c:v>pipetas frontline</c:v>
                  </c:pt>
                  <c:pt idx="1689">
                    <c:v>pipete frontline</c:v>
                  </c:pt>
                  <c:pt idx="1690">
                    <c:v>pistola naranja puntero de bronce</c:v>
                  </c:pt>
                  <c:pt idx="1691">
                    <c:v>placa nacional</c:v>
                  </c:pt>
                  <c:pt idx="1692">
                    <c:v>planta</c:v>
                  </c:pt>
                  <c:pt idx="1693">
                    <c:v>planta</c:v>
                  </c:pt>
                  <c:pt idx="1694">
                    <c:v>planta</c:v>
                  </c:pt>
                  <c:pt idx="1695">
                    <c:v>planta</c:v>
                  </c:pt>
                  <c:pt idx="1696">
                    <c:v>planta adorno arbol amarillo</c:v>
                  </c:pt>
                  <c:pt idx="1697">
                    <c:v>planta adorno arbol violeta</c:v>
                  </c:pt>
                  <c:pt idx="1698">
                    <c:v>planta adornoarbol amarillo</c:v>
                  </c:pt>
                  <c:pt idx="1699">
                    <c:v>planta artificial </c:v>
                  </c:pt>
                  <c:pt idx="1700">
                    <c:v>planta artificial pecera</c:v>
                  </c:pt>
                  <c:pt idx="1701">
                    <c:v>planta artificial pecera</c:v>
                  </c:pt>
                  <c:pt idx="1702">
                    <c:v>planta artificial pecera</c:v>
                  </c:pt>
                  <c:pt idx="1703">
                    <c:v>planta chica x 2 unidades</c:v>
                  </c:pt>
                  <c:pt idx="1704">
                    <c:v>planta colgante</c:v>
                  </c:pt>
                  <c:pt idx="1705">
                    <c:v>planta colgante</c:v>
                  </c:pt>
                  <c:pt idx="1706">
                    <c:v>PLANTA PHILODENDRO 90 CM</c:v>
                  </c:pt>
                  <c:pt idx="1707">
                    <c:v>PLANTA PIMPOLLO COLGAR</c:v>
                  </c:pt>
                  <c:pt idx="1708">
                    <c:v>planta pincho</c:v>
                  </c:pt>
                  <c:pt idx="1709">
                    <c:v>plantas</c:v>
                  </c:pt>
                  <c:pt idx="1710">
                    <c:v>plantas artf plasticas</c:v>
                  </c:pt>
                  <c:pt idx="1711">
                    <c:v>plantas artf plasticas</c:v>
                  </c:pt>
                  <c:pt idx="1712">
                    <c:v>plantas artf plasticas</c:v>
                  </c:pt>
                  <c:pt idx="1713">
                    <c:v>plantas artf. chicas</c:v>
                  </c:pt>
                  <c:pt idx="1714">
                    <c:v>plantiflor</c:v>
                  </c:pt>
                  <c:pt idx="1715">
                    <c:v>PLANTIFLOR</c:v>
                  </c:pt>
                  <c:pt idx="1716">
                    <c:v>platillos cebo nosca</c:v>
                  </c:pt>
                  <c:pt idx="1717">
                    <c:v>plato cuadrado gris</c:v>
                  </c:pt>
                  <c:pt idx="1718">
                    <c:v>plato cuadrado gris</c:v>
                  </c:pt>
                  <c:pt idx="1719">
                    <c:v>plato cuadrado gris</c:v>
                  </c:pt>
                  <c:pt idx="1720">
                    <c:v>plato cuadrado negro</c:v>
                  </c:pt>
                  <c:pt idx="1721">
                    <c:v>plato cuadrado negro</c:v>
                  </c:pt>
                  <c:pt idx="1722">
                    <c:v>plato cuadrado negro</c:v>
                  </c:pt>
                  <c:pt idx="1723">
                    <c:v>plato de barro</c:v>
                  </c:pt>
                  <c:pt idx="1724">
                    <c:v>plato de barro</c:v>
                  </c:pt>
                </c:lvl>
                <c:lvl>
                  <c:pt idx="1">
                    <c:v>10</c:v>
                  </c:pt>
                  <c:pt idx="3">
                    <c:v>-</c:v>
                  </c:pt>
                  <c:pt idx="5">
                    <c:v>320</c:v>
                  </c:pt>
                  <c:pt idx="6">
                    <c:v>320</c:v>
                  </c:pt>
                  <c:pt idx="9">
                    <c:v>magric</c:v>
                  </c:pt>
                  <c:pt idx="10">
                    <c:v>gr9675</c:v>
                  </c:pt>
                  <c:pt idx="11">
                    <c:v>gr 9675</c:v>
                  </c:pt>
                  <c:pt idx="12">
                    <c:v>GR11371</c:v>
                  </c:pt>
                  <c:pt idx="13">
                    <c:v>act600d</c:v>
                  </c:pt>
                  <c:pt idx="14">
                    <c:v>3120</c:v>
                  </c:pt>
                  <c:pt idx="15">
                    <c:v>cgt00074</c:v>
                  </c:pt>
                  <c:pt idx="17">
                    <c:v>cgf00710</c:v>
                  </c:pt>
                  <c:pt idx="18">
                    <c:v>33963</c:v>
                  </c:pt>
                  <c:pt idx="19">
                    <c:v>86984</c:v>
                  </c:pt>
                  <c:pt idx="20">
                    <c:v>6982</c:v>
                  </c:pt>
                  <c:pt idx="21">
                    <c:v>6986</c:v>
                  </c:pt>
                  <c:pt idx="22">
                    <c:v>6981</c:v>
                  </c:pt>
                  <c:pt idx="26">
                    <c:v>2,12fgc223</c:v>
                  </c:pt>
                  <c:pt idx="27">
                    <c:v>V1300</c:v>
                  </c:pt>
                  <c:pt idx="28">
                    <c:v>V1309</c:v>
                  </c:pt>
                  <c:pt idx="29">
                    <c:v>v1313</c:v>
                  </c:pt>
                  <c:pt idx="30">
                    <c:v>v1301</c:v>
                  </c:pt>
                  <c:pt idx="31">
                    <c:v>v1314</c:v>
                  </c:pt>
                  <c:pt idx="32">
                    <c:v>v1310</c:v>
                  </c:pt>
                  <c:pt idx="33">
                    <c:v>v1304</c:v>
                  </c:pt>
                  <c:pt idx="34">
                    <c:v>81</c:v>
                  </c:pt>
                  <c:pt idx="35">
                    <c:v>gr2884</c:v>
                  </c:pt>
                  <c:pt idx="36">
                    <c:v>3110</c:v>
                  </c:pt>
                  <c:pt idx="37">
                    <c:v>se500</c:v>
                  </c:pt>
                  <c:pt idx="38">
                    <c:v>v5313</c:v>
                  </c:pt>
                  <c:pt idx="39">
                    <c:v>v5312</c:v>
                  </c:pt>
                  <c:pt idx="40">
                    <c:v>v5312</c:v>
                  </c:pt>
                  <c:pt idx="41">
                    <c:v>v5312</c:v>
                  </c:pt>
                  <c:pt idx="42">
                    <c:v>P014A</c:v>
                  </c:pt>
                  <c:pt idx="43">
                    <c:v>v0891</c:v>
                  </c:pt>
                  <c:pt idx="44">
                    <c:v>p014a</c:v>
                  </c:pt>
                  <c:pt idx="45">
                    <c:v>p014a</c:v>
                  </c:pt>
                  <c:pt idx="46">
                    <c:v>po14</c:v>
                  </c:pt>
                  <c:pt idx="47">
                    <c:v>v0844</c:v>
                  </c:pt>
                  <c:pt idx="48">
                    <c:v>V5303</c:v>
                  </c:pt>
                  <c:pt idx="49">
                    <c:v>vo851</c:v>
                  </c:pt>
                  <c:pt idx="50">
                    <c:v>v0845</c:v>
                  </c:pt>
                  <c:pt idx="51">
                    <c:v>v0845</c:v>
                  </c:pt>
                  <c:pt idx="52">
                    <c:v>v0845</c:v>
                  </c:pt>
                  <c:pt idx="53">
                    <c:v>v0845</c:v>
                  </c:pt>
                  <c:pt idx="54">
                    <c:v>v5304</c:v>
                  </c:pt>
                  <c:pt idx="55">
                    <c:v>v5302</c:v>
                  </c:pt>
                  <c:pt idx="56">
                    <c:v>p037</c:v>
                  </c:pt>
                  <c:pt idx="57">
                    <c:v>p037</c:v>
                  </c:pt>
                  <c:pt idx="58">
                    <c:v>p037</c:v>
                  </c:pt>
                  <c:pt idx="59">
                    <c:v>3104</c:v>
                  </c:pt>
                  <c:pt idx="60">
                    <c:v>506614</c:v>
                  </c:pt>
                  <c:pt idx="64">
                    <c:v>cfl00004</c:v>
                  </c:pt>
                  <c:pt idx="67">
                    <c:v>CGT00085</c:v>
                  </c:pt>
                  <c:pt idx="68">
                    <c:v>CGT00088</c:v>
                  </c:pt>
                  <c:pt idx="69">
                    <c:v>CGT00089</c:v>
                  </c:pt>
                  <c:pt idx="70">
                    <c:v>CGT00090</c:v>
                  </c:pt>
                  <c:pt idx="78">
                    <c:v>hw70731</c:v>
                  </c:pt>
                  <c:pt idx="79">
                    <c:v>hw70732</c:v>
                  </c:pt>
                  <c:pt idx="82">
                    <c:v>232</c:v>
                  </c:pt>
                  <c:pt idx="83">
                    <c:v>DC2840</c:v>
                  </c:pt>
                  <c:pt idx="84">
                    <c:v>DC2839</c:v>
                  </c:pt>
                  <c:pt idx="89">
                    <c:v>444</c:v>
                  </c:pt>
                  <c:pt idx="90">
                    <c:v>cgt00002</c:v>
                  </c:pt>
                  <c:pt idx="91">
                    <c:v>CGTOOOO2</c:v>
                  </c:pt>
                  <c:pt idx="92">
                    <c:v>cgt00002</c:v>
                  </c:pt>
                  <c:pt idx="93">
                    <c:v>T2905</c:v>
                  </c:pt>
                  <c:pt idx="98">
                    <c:v>1010297</c:v>
                  </c:pt>
                  <c:pt idx="99">
                    <c:v>1010297</c:v>
                  </c:pt>
                  <c:pt idx="103">
                    <c:v>221000</c:v>
                  </c:pt>
                  <c:pt idx="105">
                    <c:v>1006</c:v>
                  </c:pt>
                  <c:pt idx="106">
                    <c:v>508</c:v>
                  </c:pt>
                  <c:pt idx="107">
                    <c:v>404</c:v>
                  </c:pt>
                  <c:pt idx="108">
                    <c:v>3004</c:v>
                  </c:pt>
                  <c:pt idx="111">
                    <c:v>v3965</c:v>
                  </c:pt>
                  <c:pt idx="112">
                    <c:v>pe649</c:v>
                  </c:pt>
                  <c:pt idx="113">
                    <c:v>pe210</c:v>
                  </c:pt>
                  <c:pt idx="114">
                    <c:v>v4164</c:v>
                  </c:pt>
                  <c:pt idx="115">
                    <c:v>v4162</c:v>
                  </c:pt>
                  <c:pt idx="116">
                    <c:v>v4226</c:v>
                  </c:pt>
                  <c:pt idx="117">
                    <c:v>al1018</c:v>
                  </c:pt>
                  <c:pt idx="118">
                    <c:v>al1028</c:v>
                  </c:pt>
                  <c:pt idx="119">
                    <c:v>nhsz06</c:v>
                  </c:pt>
                  <c:pt idx="120">
                    <c:v>nhsz05</c:v>
                  </c:pt>
                  <c:pt idx="121">
                    <c:v>200155</c:v>
                  </c:pt>
                  <c:pt idx="122">
                    <c:v>2230</c:v>
                  </c:pt>
                  <c:pt idx="123">
                    <c:v>1</c:v>
                  </c:pt>
                  <c:pt idx="129">
                    <c:v>V2691A</c:v>
                  </c:pt>
                  <c:pt idx="130">
                    <c:v>514224</c:v>
                  </c:pt>
                  <c:pt idx="131">
                    <c:v>514223</c:v>
                  </c:pt>
                  <c:pt idx="134">
                    <c:v>BE125</c:v>
                  </c:pt>
                  <c:pt idx="135">
                    <c:v>be03</c:v>
                  </c:pt>
                  <c:pt idx="136">
                    <c:v>V4652</c:v>
                  </c:pt>
                  <c:pt idx="137">
                    <c:v>518800</c:v>
                  </c:pt>
                  <c:pt idx="138">
                    <c:v>a28003</c:v>
                  </c:pt>
                  <c:pt idx="139">
                    <c:v>pe359</c:v>
                  </c:pt>
                  <c:pt idx="140">
                    <c:v>pe359</c:v>
                  </c:pt>
                  <c:pt idx="141">
                    <c:v>pe358</c:v>
                  </c:pt>
                  <c:pt idx="142">
                    <c:v>al1114</c:v>
                  </c:pt>
                  <c:pt idx="143">
                    <c:v>al1030</c:v>
                  </c:pt>
                  <c:pt idx="144">
                    <c:v>V4631</c:v>
                  </c:pt>
                  <c:pt idx="145">
                    <c:v>V4632</c:v>
                  </c:pt>
                  <c:pt idx="146">
                    <c:v>eh400</c:v>
                  </c:pt>
                  <c:pt idx="148">
                    <c:v>al1116</c:v>
                  </c:pt>
                  <c:pt idx="149">
                    <c:v>al1030</c:v>
                  </c:pt>
                  <c:pt idx="150">
                    <c:v>al1114</c:v>
                  </c:pt>
                  <c:pt idx="151">
                    <c:v>eh400</c:v>
                  </c:pt>
                  <c:pt idx="153">
                    <c:v>v4606</c:v>
                  </c:pt>
                  <c:pt idx="154">
                    <c:v>v4607</c:v>
                  </c:pt>
                  <c:pt idx="155">
                    <c:v>v4608</c:v>
                  </c:pt>
                  <c:pt idx="156">
                    <c:v>v5025</c:v>
                  </c:pt>
                  <c:pt idx="157">
                    <c:v>v5028</c:v>
                  </c:pt>
                  <c:pt idx="158">
                    <c:v>v5027</c:v>
                  </c:pt>
                  <c:pt idx="159">
                    <c:v>v5029a</c:v>
                  </c:pt>
                  <c:pt idx="160">
                    <c:v>v5029A</c:v>
                  </c:pt>
                  <c:pt idx="161">
                    <c:v>1011008</c:v>
                  </c:pt>
                  <c:pt idx="167">
                    <c:v>fum600d</c:v>
                  </c:pt>
                  <c:pt idx="168">
                    <c:v>ins600d</c:v>
                  </c:pt>
                  <c:pt idx="169">
                    <c:v>fer10d</c:v>
                  </c:pt>
                  <c:pt idx="170">
                    <c:v>fer10d</c:v>
                  </c:pt>
                  <c:pt idx="171">
                    <c:v>fer10d</c:v>
                  </c:pt>
                  <c:pt idx="175">
                    <c:v>sus7dav</c:v>
                  </c:pt>
                  <c:pt idx="176">
                    <c:v>sus20dav</c:v>
                  </c:pt>
                  <c:pt idx="177">
                    <c:v>2501</c:v>
                  </c:pt>
                  <c:pt idx="178">
                    <c:v>2505</c:v>
                  </c:pt>
                  <c:pt idx="179">
                    <c:v>gr19202</c:v>
                  </c:pt>
                  <c:pt idx="180">
                    <c:v>GR19204</c:v>
                  </c:pt>
                  <c:pt idx="203">
                    <c:v>0</c:v>
                  </c:pt>
                  <c:pt idx="204">
                    <c:v>0</c:v>
                  </c:pt>
                  <c:pt idx="205">
                    <c:v>0</c:v>
                  </c:pt>
                  <c:pt idx="206">
                    <c:v>472-37492</c:v>
                  </c:pt>
                  <c:pt idx="208">
                    <c:v>0</c:v>
                  </c:pt>
                  <c:pt idx="209">
                    <c:v>0</c:v>
                  </c:pt>
                  <c:pt idx="210">
                    <c:v>hw73198</c:v>
                  </c:pt>
                  <c:pt idx="216">
                    <c:v>184070</c:v>
                  </c:pt>
                  <c:pt idx="217">
                    <c:v>184008</c:v>
                  </c:pt>
                  <c:pt idx="218">
                    <c:v>1800</c:v>
                  </c:pt>
                  <c:pt idx="219">
                    <c:v>0</c:v>
                  </c:pt>
                  <c:pt idx="220">
                    <c:v>0</c:v>
                  </c:pt>
                  <c:pt idx="221">
                    <c:v>v1320</c:v>
                  </c:pt>
                  <c:pt idx="222">
                    <c:v>v1321</c:v>
                  </c:pt>
                  <c:pt idx="223">
                    <c:v>V1326</c:v>
                  </c:pt>
                  <c:pt idx="224">
                    <c:v>v1327</c:v>
                  </c:pt>
                  <c:pt idx="225">
                    <c:v>v1323</c:v>
                  </c:pt>
                  <c:pt idx="226">
                    <c:v>V13356</c:v>
                  </c:pt>
                  <c:pt idx="227">
                    <c:v>cgt00048</c:v>
                  </c:pt>
                  <c:pt idx="229">
                    <c:v>he702</c:v>
                  </c:pt>
                  <c:pt idx="230">
                    <c:v>207</c:v>
                  </c:pt>
                  <c:pt idx="231">
                    <c:v>208</c:v>
                  </c:pt>
                  <c:pt idx="232">
                    <c:v>209</c:v>
                  </c:pt>
                  <c:pt idx="233">
                    <c:v>211</c:v>
                  </c:pt>
                  <c:pt idx="234">
                    <c:v>6403</c:v>
                  </c:pt>
                  <c:pt idx="237">
                    <c:v>gr3287</c:v>
                  </c:pt>
                  <c:pt idx="238">
                    <c:v>3232</c:v>
                  </c:pt>
                  <c:pt idx="239">
                    <c:v>cac7DB</c:v>
                  </c:pt>
                  <c:pt idx="240">
                    <c:v>HE1920</c:v>
                  </c:pt>
                  <c:pt idx="241">
                    <c:v>z174</c:v>
                  </c:pt>
                  <c:pt idx="242">
                    <c:v>he356</c:v>
                  </c:pt>
                  <c:pt idx="243">
                    <c:v>Z175</c:v>
                  </c:pt>
                  <c:pt idx="244">
                    <c:v>Z174</c:v>
                  </c:pt>
                  <c:pt idx="245">
                    <c:v>Z173</c:v>
                  </c:pt>
                  <c:pt idx="246">
                    <c:v>z172</c:v>
                  </c:pt>
                  <c:pt idx="249">
                    <c:v>f-113</c:v>
                  </c:pt>
                  <c:pt idx="250">
                    <c:v>v5325</c:v>
                  </c:pt>
                  <c:pt idx="252">
                    <c:v>v1411</c:v>
                  </c:pt>
                  <c:pt idx="253">
                    <c:v>v1419a</c:v>
                  </c:pt>
                  <c:pt idx="254">
                    <c:v>ht-3300</c:v>
                  </c:pt>
                  <c:pt idx="255">
                    <c:v>v1419a</c:v>
                  </c:pt>
                  <c:pt idx="260">
                    <c:v>V0614</c:v>
                  </c:pt>
                  <c:pt idx="261">
                    <c:v>1221</c:v>
                  </c:pt>
                  <c:pt idx="262">
                    <c:v>11222</c:v>
                  </c:pt>
                  <c:pt idx="264">
                    <c:v>222000</c:v>
                  </c:pt>
                  <c:pt idx="266">
                    <c:v>0</c:v>
                  </c:pt>
                  <c:pt idx="267">
                    <c:v>0</c:v>
                  </c:pt>
                  <c:pt idx="268">
                    <c:v>213</c:v>
                  </c:pt>
                  <c:pt idx="269">
                    <c:v>213</c:v>
                  </c:pt>
                  <c:pt idx="270">
                    <c:v>ac21</c:v>
                  </c:pt>
                  <c:pt idx="271">
                    <c:v>1011849</c:v>
                  </c:pt>
                  <c:pt idx="272">
                    <c:v>mt200s</c:v>
                  </c:pt>
                  <c:pt idx="273">
                    <c:v>DW97065</c:v>
                  </c:pt>
                  <c:pt idx="275">
                    <c:v>278</c:v>
                  </c:pt>
                  <c:pt idx="276">
                    <c:v>v1166a</c:v>
                  </c:pt>
                  <c:pt idx="277">
                    <c:v>v1166a</c:v>
                  </c:pt>
                  <c:pt idx="278">
                    <c:v>kc59216</c:v>
                  </c:pt>
                  <c:pt idx="282">
                    <c:v>cgf00669</c:v>
                  </c:pt>
                  <c:pt idx="283">
                    <c:v>GR19309</c:v>
                  </c:pt>
                  <c:pt idx="284">
                    <c:v>gr19307</c:v>
                  </c:pt>
                  <c:pt idx="285">
                    <c:v>3755</c:v>
                  </c:pt>
                  <c:pt idx="286">
                    <c:v>3607</c:v>
                  </c:pt>
                  <c:pt idx="287">
                    <c:v>3237</c:v>
                  </c:pt>
                  <c:pt idx="288">
                    <c:v>3300</c:v>
                  </c:pt>
                  <c:pt idx="289">
                    <c:v>3306</c:v>
                  </c:pt>
                  <c:pt idx="290">
                    <c:v>3758</c:v>
                  </c:pt>
                  <c:pt idx="291">
                    <c:v>3204</c:v>
                  </c:pt>
                  <c:pt idx="292">
                    <c:v>3202</c:v>
                  </c:pt>
                  <c:pt idx="293">
                    <c:v>3236</c:v>
                  </c:pt>
                  <c:pt idx="294">
                    <c:v>3200</c:v>
                  </c:pt>
                  <c:pt idx="295">
                    <c:v>3206</c:v>
                  </c:pt>
                  <c:pt idx="296">
                    <c:v>3235</c:v>
                  </c:pt>
                  <c:pt idx="297">
                    <c:v>3205</c:v>
                  </c:pt>
                  <c:pt idx="298">
                    <c:v>3603</c:v>
                  </c:pt>
                  <c:pt idx="299">
                    <c:v>99320</c:v>
                  </c:pt>
                  <c:pt idx="300">
                    <c:v>99325</c:v>
                  </c:pt>
                  <c:pt idx="303">
                    <c:v>788780</c:v>
                  </c:pt>
                  <c:pt idx="304">
                    <c:v>99200</c:v>
                  </c:pt>
                  <c:pt idx="307">
                    <c:v>99116</c:v>
                  </c:pt>
                  <c:pt idx="310">
                    <c:v>218</c:v>
                  </c:pt>
                  <c:pt idx="312">
                    <c:v>gr25486</c:v>
                  </c:pt>
                  <c:pt idx="314">
                    <c:v>hw66622</c:v>
                  </c:pt>
                  <c:pt idx="315">
                    <c:v>bhw72004</c:v>
                  </c:pt>
                  <c:pt idx="316">
                    <c:v>1</c:v>
                  </c:pt>
                  <c:pt idx="317">
                    <c:v>430</c:v>
                  </c:pt>
                  <c:pt idx="320">
                    <c:v>3751</c:v>
                  </c:pt>
                  <c:pt idx="322">
                    <c:v>V0694</c:v>
                  </c:pt>
                  <c:pt idx="331">
                    <c:v>sg2</c:v>
                  </c:pt>
                  <c:pt idx="335">
                    <c:v>MT925</c:v>
                  </c:pt>
                  <c:pt idx="336">
                    <c:v>2166</c:v>
                  </c:pt>
                  <c:pt idx="337">
                    <c:v>sl2103</c:v>
                  </c:pt>
                  <c:pt idx="338">
                    <c:v>sl2102</c:v>
                  </c:pt>
                  <c:pt idx="339">
                    <c:v>sl2104</c:v>
                  </c:pt>
                  <c:pt idx="340">
                    <c:v>830</c:v>
                  </c:pt>
                  <c:pt idx="341">
                    <c:v>831</c:v>
                  </c:pt>
                  <c:pt idx="342">
                    <c:v>821</c:v>
                  </c:pt>
                  <c:pt idx="343">
                    <c:v>841d</c:v>
                  </c:pt>
                  <c:pt idx="344">
                    <c:v>851</c:v>
                  </c:pt>
                  <c:pt idx="345">
                    <c:v>800</c:v>
                  </c:pt>
                  <c:pt idx="346">
                    <c:v>840</c:v>
                  </c:pt>
                  <c:pt idx="347">
                    <c:v>840D</c:v>
                  </c:pt>
                  <c:pt idx="348">
                    <c:v>799</c:v>
                  </c:pt>
                  <c:pt idx="349">
                    <c:v>810</c:v>
                  </c:pt>
                  <c:pt idx="350">
                    <c:v>820</c:v>
                  </c:pt>
                  <c:pt idx="351">
                    <c:v>850D</c:v>
                  </c:pt>
                  <c:pt idx="352">
                    <c:v>A14506</c:v>
                  </c:pt>
                  <c:pt idx="353">
                    <c:v>2404</c:v>
                  </c:pt>
                  <c:pt idx="354">
                    <c:v>gr14027</c:v>
                  </c:pt>
                  <c:pt idx="355">
                    <c:v>gr14026</c:v>
                  </c:pt>
                  <c:pt idx="356">
                    <c:v>gr14018</c:v>
                  </c:pt>
                  <c:pt idx="357">
                    <c:v>18</c:v>
                  </c:pt>
                  <c:pt idx="358">
                    <c:v>gr14027</c:v>
                  </c:pt>
                  <c:pt idx="359">
                    <c:v>he7110</c:v>
                  </c:pt>
                  <c:pt idx="360">
                    <c:v>he7150</c:v>
                  </c:pt>
                  <c:pt idx="361">
                    <c:v>2,03,dom2</c:v>
                  </c:pt>
                  <c:pt idx="362">
                    <c:v>2,03,dom5</c:v>
                  </c:pt>
                  <c:pt idx="363">
                    <c:v>d7051</c:v>
                  </c:pt>
                  <c:pt idx="364">
                    <c:v>2,03,dom1</c:v>
                  </c:pt>
                  <c:pt idx="366">
                    <c:v>2,03,dom4</c:v>
                  </c:pt>
                  <c:pt idx="367">
                    <c:v>2,03,dom3</c:v>
                  </c:pt>
                  <c:pt idx="369">
                    <c:v>mt93</c:v>
                  </c:pt>
                  <c:pt idx="370">
                    <c:v>HE4715</c:v>
                  </c:pt>
                  <c:pt idx="371">
                    <c:v>gr16176</c:v>
                  </c:pt>
                  <c:pt idx="372">
                    <c:v>gr12846</c:v>
                  </c:pt>
                  <c:pt idx="373">
                    <c:v>he1932</c:v>
                  </c:pt>
                  <c:pt idx="374">
                    <c:v>gr14026</c:v>
                  </c:pt>
                  <c:pt idx="375">
                    <c:v>2</c:v>
                  </c:pt>
                  <c:pt idx="376">
                    <c:v>gr14020</c:v>
                  </c:pt>
                  <c:pt idx="377">
                    <c:v>gr14027</c:v>
                  </c:pt>
                  <c:pt idx="378">
                    <c:v>he2545</c:v>
                  </c:pt>
                  <c:pt idx="379">
                    <c:v>he4560</c:v>
                  </c:pt>
                  <c:pt idx="380">
                    <c:v>MT1002</c:v>
                  </c:pt>
                  <c:pt idx="381">
                    <c:v>MT104</c:v>
                  </c:pt>
                  <c:pt idx="382">
                    <c:v>mt477</c:v>
                  </c:pt>
                  <c:pt idx="385">
                    <c:v>he3301</c:v>
                  </c:pt>
                  <c:pt idx="386">
                    <c:v>2029</c:v>
                  </c:pt>
                  <c:pt idx="387">
                    <c:v>pe1003</c:v>
                  </c:pt>
                  <c:pt idx="388">
                    <c:v>v4103</c:v>
                  </c:pt>
                  <c:pt idx="389">
                    <c:v>v4096</c:v>
                  </c:pt>
                  <c:pt idx="390">
                    <c:v>v4227</c:v>
                  </c:pt>
                  <c:pt idx="391">
                    <c:v>v4227</c:v>
                  </c:pt>
                  <c:pt idx="392">
                    <c:v>A17973</c:v>
                  </c:pt>
                  <c:pt idx="393">
                    <c:v>A17974</c:v>
                  </c:pt>
                  <c:pt idx="394">
                    <c:v>v4060</c:v>
                  </c:pt>
                  <c:pt idx="395">
                    <c:v>pe109</c:v>
                  </c:pt>
                  <c:pt idx="396">
                    <c:v>pe300</c:v>
                  </c:pt>
                  <c:pt idx="397">
                    <c:v>c f211</c:v>
                  </c:pt>
                  <c:pt idx="398">
                    <c:v>he3301</c:v>
                  </c:pt>
                  <c:pt idx="399">
                    <c:v>he0202</c:v>
                  </c:pt>
                  <c:pt idx="400">
                    <c:v>476</c:v>
                  </c:pt>
                  <c:pt idx="401">
                    <c:v>mt860</c:v>
                  </c:pt>
                  <c:pt idx="402">
                    <c:v>cf109</c:v>
                  </c:pt>
                  <c:pt idx="403">
                    <c:v>V4118</c:v>
                  </c:pt>
                  <c:pt idx="404">
                    <c:v>1583</c:v>
                  </c:pt>
                  <c:pt idx="405">
                    <c:v>v4610a</c:v>
                  </c:pt>
                  <c:pt idx="406">
                    <c:v>v4322</c:v>
                  </c:pt>
                  <c:pt idx="408">
                    <c:v>462</c:v>
                  </c:pt>
                  <c:pt idx="409">
                    <c:v>513550</c:v>
                  </c:pt>
                  <c:pt idx="410">
                    <c:v>513550</c:v>
                  </c:pt>
                  <c:pt idx="411">
                    <c:v>BE21</c:v>
                  </c:pt>
                  <c:pt idx="412">
                    <c:v>v4623</c:v>
                  </c:pt>
                  <c:pt idx="413">
                    <c:v>513600</c:v>
                  </c:pt>
                  <c:pt idx="414">
                    <c:v>1585</c:v>
                  </c:pt>
                  <c:pt idx="415">
                    <c:v>mt856</c:v>
                  </c:pt>
                  <c:pt idx="416">
                    <c:v>com20db</c:v>
                  </c:pt>
                  <c:pt idx="417">
                    <c:v>com7DB</c:v>
                  </c:pt>
                  <c:pt idx="418">
                    <c:v>gt2603</c:v>
                  </c:pt>
                  <c:pt idx="419">
                    <c:v>gt 2605</c:v>
                  </c:pt>
                  <c:pt idx="420">
                    <c:v>tl32987</c:v>
                  </c:pt>
                  <c:pt idx="422">
                    <c:v>nhsz79</c:v>
                  </c:pt>
                  <c:pt idx="428">
                    <c:v>600</c:v>
                  </c:pt>
                  <c:pt idx="429">
                    <c:v>610</c:v>
                  </c:pt>
                  <c:pt idx="430">
                    <c:v>620</c:v>
                  </c:pt>
                  <c:pt idx="431">
                    <c:v>630</c:v>
                  </c:pt>
                  <c:pt idx="432">
                    <c:v>ggr11295</c:v>
                  </c:pt>
                  <c:pt idx="433">
                    <c:v>MT720</c:v>
                  </c:pt>
                  <c:pt idx="434">
                    <c:v>651</c:v>
                  </c:pt>
                  <c:pt idx="435">
                    <c:v>640</c:v>
                  </c:pt>
                  <c:pt idx="436">
                    <c:v>mt444</c:v>
                  </c:pt>
                  <c:pt idx="438">
                    <c:v>3113</c:v>
                  </c:pt>
                  <c:pt idx="439">
                    <c:v>3118</c:v>
                  </c:pt>
                  <c:pt idx="440">
                    <c:v>3103</c:v>
                  </c:pt>
                  <c:pt idx="441">
                    <c:v>3130</c:v>
                  </c:pt>
                  <c:pt idx="442">
                    <c:v>3131</c:v>
                  </c:pt>
                  <c:pt idx="443">
                    <c:v>3128</c:v>
                  </c:pt>
                  <c:pt idx="444">
                    <c:v>3126</c:v>
                  </c:pt>
                  <c:pt idx="445">
                    <c:v>3117</c:v>
                  </c:pt>
                  <c:pt idx="446">
                    <c:v>3109</c:v>
                  </c:pt>
                  <c:pt idx="447">
                    <c:v>3129</c:v>
                  </c:pt>
                  <c:pt idx="448">
                    <c:v>3127</c:v>
                  </c:pt>
                  <c:pt idx="449">
                    <c:v>3124</c:v>
                  </c:pt>
                  <c:pt idx="450">
                    <c:v>3132</c:v>
                  </c:pt>
                  <c:pt idx="451">
                    <c:v>4,01,fgc515</c:v>
                  </c:pt>
                  <c:pt idx="452">
                    <c:v>v4093</c:v>
                  </c:pt>
                  <c:pt idx="455">
                    <c:v>v5011</c:v>
                  </c:pt>
                  <c:pt idx="456">
                    <c:v>127</c:v>
                  </c:pt>
                  <c:pt idx="457">
                    <c:v>1108</c:v>
                  </c:pt>
                  <c:pt idx="458">
                    <c:v>0</c:v>
                  </c:pt>
                  <c:pt idx="459">
                    <c:v>W2651</c:v>
                  </c:pt>
                  <c:pt idx="460">
                    <c:v>1311</c:v>
                  </c:pt>
                  <c:pt idx="461">
                    <c:v>1313</c:v>
                  </c:pt>
                  <c:pt idx="462">
                    <c:v>4,02,fgc224</c:v>
                  </c:pt>
                  <c:pt idx="463">
                    <c:v>44</c:v>
                  </c:pt>
                  <c:pt idx="464">
                    <c:v>2999</c:v>
                  </c:pt>
                  <c:pt idx="465">
                    <c:v>3236</c:v>
                  </c:pt>
                  <c:pt idx="466">
                    <c:v>he189</c:v>
                  </c:pt>
                  <c:pt idx="467">
                    <c:v>B2936</c:v>
                  </c:pt>
                  <c:pt idx="468">
                    <c:v>he453</c:v>
                  </c:pt>
                  <c:pt idx="469">
                    <c:v>he453</c:v>
                  </c:pt>
                  <c:pt idx="470">
                    <c:v>he453</c:v>
                  </c:pt>
                  <c:pt idx="471">
                    <c:v>100</c:v>
                  </c:pt>
                  <c:pt idx="472">
                    <c:v>100</c:v>
                  </c:pt>
                  <c:pt idx="473">
                    <c:v>101</c:v>
                  </c:pt>
                  <c:pt idx="475">
                    <c:v>5,03,dor400</c:v>
                  </c:pt>
                  <c:pt idx="476">
                    <c:v>T51</c:v>
                  </c:pt>
                  <c:pt idx="477">
                    <c:v>tcdu1</c:v>
                  </c:pt>
                  <c:pt idx="479">
                    <c:v>288</c:v>
                  </c:pt>
                  <c:pt idx="480">
                    <c:v>cgt00075</c:v>
                  </c:pt>
                  <c:pt idx="482">
                    <c:v>0</c:v>
                  </c:pt>
                  <c:pt idx="488">
                    <c:v>223</c:v>
                  </c:pt>
                  <c:pt idx="489">
                    <c:v>GR10530</c:v>
                  </c:pt>
                  <c:pt idx="491">
                    <c:v>CR 1344</c:v>
                  </c:pt>
                  <c:pt idx="493">
                    <c:v>202148</c:v>
                  </c:pt>
                  <c:pt idx="495">
                    <c:v>314100</c:v>
                  </c:pt>
                  <c:pt idx="497">
                    <c:v>1523</c:v>
                  </c:pt>
                  <c:pt idx="498">
                    <c:v>v4167</c:v>
                  </c:pt>
                  <c:pt idx="499">
                    <c:v>A13181</c:v>
                  </c:pt>
                  <c:pt idx="500">
                    <c:v>1547</c:v>
                  </c:pt>
                  <c:pt idx="501">
                    <c:v>B232</c:v>
                  </c:pt>
                  <c:pt idx="502">
                    <c:v>0</c:v>
                  </c:pt>
                  <c:pt idx="503">
                    <c:v>V4175</c:v>
                  </c:pt>
                  <c:pt idx="504">
                    <c:v>v0455</c:v>
                  </c:pt>
                  <c:pt idx="506">
                    <c:v>tl10466</c:v>
                  </c:pt>
                  <c:pt idx="507">
                    <c:v>3236</c:v>
                  </c:pt>
                  <c:pt idx="508">
                    <c:v>T61</c:v>
                  </c:pt>
                  <c:pt idx="509">
                    <c:v>gr16107</c:v>
                  </c:pt>
                  <c:pt idx="510">
                    <c:v>D122 </c:v>
                  </c:pt>
                  <c:pt idx="511">
                    <c:v>V5047</c:v>
                  </c:pt>
                  <c:pt idx="512">
                    <c:v>V5045</c:v>
                  </c:pt>
                  <c:pt idx="513">
                    <c:v>v5099</c:v>
                  </c:pt>
                  <c:pt idx="514">
                    <c:v>W2045-1</c:v>
                  </c:pt>
                  <c:pt idx="515">
                    <c:v>W2045</c:v>
                  </c:pt>
                  <c:pt idx="516">
                    <c:v>1323</c:v>
                  </c:pt>
                  <c:pt idx="517">
                    <c:v>1321</c:v>
                  </c:pt>
                  <c:pt idx="518">
                    <c:v>658570</c:v>
                  </c:pt>
                  <c:pt idx="520">
                    <c:v>0</c:v>
                  </c:pt>
                  <c:pt idx="522">
                    <c:v>3119</c:v>
                  </c:pt>
                  <c:pt idx="536">
                    <c:v>6411</c:v>
                  </c:pt>
                  <c:pt idx="537">
                    <c:v>2271</c:v>
                  </c:pt>
                  <c:pt idx="538">
                    <c:v>V5098</c:v>
                  </c:pt>
                  <c:pt idx="542">
                    <c:v>15988</c:v>
                  </c:pt>
                  <c:pt idx="543">
                    <c:v>15989</c:v>
                  </c:pt>
                  <c:pt idx="544">
                    <c:v>gr6284</c:v>
                  </c:pt>
                  <c:pt idx="545">
                    <c:v>322</c:v>
                  </c:pt>
                  <c:pt idx="552">
                    <c:v>pb33</c:v>
                  </c:pt>
                  <c:pt idx="553">
                    <c:v>pb35</c:v>
                  </c:pt>
                  <c:pt idx="555">
                    <c:v>11</c:v>
                  </c:pt>
                  <c:pt idx="558">
                    <c:v>443190</c:v>
                  </c:pt>
                  <c:pt idx="559">
                    <c:v>800</c:v>
                  </c:pt>
                  <c:pt idx="560">
                    <c:v>2324</c:v>
                  </c:pt>
                  <c:pt idx="561">
                    <c:v>201</c:v>
                  </c:pt>
                  <c:pt idx="562">
                    <c:v>200</c:v>
                  </c:pt>
                  <c:pt idx="563">
                    <c:v>391190</c:v>
                  </c:pt>
                  <c:pt idx="564">
                    <c:v>3108</c:v>
                  </c:pt>
                  <c:pt idx="565">
                    <c:v>6425</c:v>
                  </c:pt>
                  <c:pt idx="567">
                    <c:v>246</c:v>
                  </c:pt>
                  <c:pt idx="568">
                    <c:v>gr10306</c:v>
                  </c:pt>
                  <c:pt idx="569">
                    <c:v>15201</c:v>
                  </c:pt>
                  <c:pt idx="570">
                    <c:v>324</c:v>
                  </c:pt>
                  <c:pt idx="571">
                    <c:v>tl31172</c:v>
                  </c:pt>
                  <c:pt idx="572">
                    <c:v>725038</c:v>
                  </c:pt>
                  <c:pt idx="577">
                    <c:v>220</c:v>
                  </c:pt>
                  <c:pt idx="578">
                    <c:v>220</c:v>
                  </c:pt>
                  <c:pt idx="579">
                    <c:v>4236-18</c:v>
                  </c:pt>
                  <c:pt idx="580">
                    <c:v>V5098</c:v>
                  </c:pt>
                  <c:pt idx="585">
                    <c:v>v0609</c:v>
                  </c:pt>
                  <c:pt idx="586">
                    <c:v>0</c:v>
                  </c:pt>
                  <c:pt idx="588">
                    <c:v>2,07,2305b</c:v>
                  </c:pt>
                  <c:pt idx="589">
                    <c:v>50</c:v>
                  </c:pt>
                  <c:pt idx="592">
                    <c:v>472-22178</c:v>
                  </c:pt>
                  <c:pt idx="607">
                    <c:v>v4121b</c:v>
                  </c:pt>
                  <c:pt idx="610">
                    <c:v>0</c:v>
                  </c:pt>
                  <c:pt idx="614">
                    <c:v>fc50DB</c:v>
                  </c:pt>
                  <c:pt idx="617">
                    <c:v>100151</c:v>
                  </c:pt>
                  <c:pt idx="619">
                    <c:v>638b</c:v>
                  </c:pt>
                  <c:pt idx="620">
                    <c:v>v1455</c:v>
                  </c:pt>
                  <c:pt idx="621">
                    <c:v>v1456</c:v>
                  </c:pt>
                  <c:pt idx="622">
                    <c:v>v1457</c:v>
                  </c:pt>
                  <c:pt idx="623">
                    <c:v>v1458</c:v>
                  </c:pt>
                  <c:pt idx="624">
                    <c:v>v1347</c:v>
                  </c:pt>
                  <c:pt idx="625">
                    <c:v>V1370</c:v>
                  </c:pt>
                  <c:pt idx="626">
                    <c:v>V1341</c:v>
                  </c:pt>
                  <c:pt idx="627">
                    <c:v>v1340</c:v>
                  </c:pt>
                  <c:pt idx="628">
                    <c:v>v1343</c:v>
                  </c:pt>
                  <c:pt idx="629">
                    <c:v>v1341</c:v>
                  </c:pt>
                  <c:pt idx="630">
                    <c:v>v1342</c:v>
                  </c:pt>
                  <c:pt idx="631">
                    <c:v>0</c:v>
                  </c:pt>
                  <c:pt idx="632">
                    <c:v>v1389</c:v>
                  </c:pt>
                  <c:pt idx="633">
                    <c:v>61011</c:v>
                  </c:pt>
                  <c:pt idx="634">
                    <c:v>113</c:v>
                  </c:pt>
                  <c:pt idx="636">
                    <c:v>110</c:v>
                  </c:pt>
                  <c:pt idx="637">
                    <c:v>33946</c:v>
                  </c:pt>
                  <c:pt idx="638">
                    <c:v>cgf00663</c:v>
                  </c:pt>
                  <c:pt idx="640">
                    <c:v>232</c:v>
                  </c:pt>
                  <c:pt idx="641">
                    <c:v>fl11430</c:v>
                  </c:pt>
                  <c:pt idx="642">
                    <c:v>GF34012</c:v>
                  </c:pt>
                  <c:pt idx="643">
                    <c:v>GF34013</c:v>
                  </c:pt>
                  <c:pt idx="644">
                    <c:v>GF34009</c:v>
                  </c:pt>
                  <c:pt idx="645">
                    <c:v>552</c:v>
                  </c:pt>
                  <c:pt idx="647">
                    <c:v>hw72926</c:v>
                  </c:pt>
                  <c:pt idx="651">
                    <c:v>22497</c:v>
                  </c:pt>
                  <c:pt idx="652">
                    <c:v>26828</c:v>
                  </c:pt>
                  <c:pt idx="653">
                    <c:v>28427</c:v>
                  </c:pt>
                  <c:pt idx="654">
                    <c:v>26827</c:v>
                  </c:pt>
                  <c:pt idx="655">
                    <c:v>28422</c:v>
                  </c:pt>
                  <c:pt idx="656">
                    <c:v>gr 25119</c:v>
                  </c:pt>
                  <c:pt idx="658">
                    <c:v>322</c:v>
                  </c:pt>
                  <c:pt idx="660">
                    <c:v>FS2726</c:v>
                  </c:pt>
                  <c:pt idx="661">
                    <c:v>FS2733</c:v>
                  </c:pt>
                  <c:pt idx="662">
                    <c:v>FS2730</c:v>
                  </c:pt>
                  <c:pt idx="663">
                    <c:v>FS2944</c:v>
                  </c:pt>
                  <c:pt idx="664">
                    <c:v>FS2943</c:v>
                  </c:pt>
                  <c:pt idx="665">
                    <c:v>FS2936</c:v>
                  </c:pt>
                  <c:pt idx="666">
                    <c:v>0</c:v>
                  </c:pt>
                  <c:pt idx="667">
                    <c:v>0</c:v>
                  </c:pt>
                  <c:pt idx="668">
                    <c:v>0</c:v>
                  </c:pt>
                  <c:pt idx="670">
                    <c:v>23837</c:v>
                  </c:pt>
                  <c:pt idx="671">
                    <c:v>28763</c:v>
                  </c:pt>
                  <c:pt idx="674">
                    <c:v>313</c:v>
                  </c:pt>
                  <c:pt idx="677">
                    <c:v>gr19302</c:v>
                  </c:pt>
                  <c:pt idx="680">
                    <c:v>120105</c:v>
                  </c:pt>
                  <c:pt idx="681">
                    <c:v>e128</c:v>
                  </c:pt>
                  <c:pt idx="682">
                    <c:v>e128</c:v>
                  </c:pt>
                  <c:pt idx="683">
                    <c:v>127176</c:v>
                  </c:pt>
                  <c:pt idx="684">
                    <c:v>127176</c:v>
                  </c:pt>
                  <c:pt idx="687">
                    <c:v>GR1346</c:v>
                  </c:pt>
                  <c:pt idx="692">
                    <c:v>9552</c:v>
                  </c:pt>
                  <c:pt idx="694">
                    <c:v>1,104rgc1</c:v>
                  </c:pt>
                  <c:pt idx="695">
                    <c:v>CHARGT001</c:v>
                  </c:pt>
                  <c:pt idx="696">
                    <c:v>CHARGT008</c:v>
                  </c:pt>
                  <c:pt idx="697">
                    <c:v>CRIOGT001</c:v>
                  </c:pt>
                  <c:pt idx="698">
                    <c:v>CRIOGT001</c:v>
                  </c:pt>
                  <c:pt idx="699">
                    <c:v>e125</c:v>
                  </c:pt>
                  <c:pt idx="700">
                    <c:v>e125</c:v>
                  </c:pt>
                  <c:pt idx="703">
                    <c:v>ILRCM005</c:v>
                  </c:pt>
                  <c:pt idx="707">
                    <c:v>121575</c:v>
                  </c:pt>
                  <c:pt idx="708">
                    <c:v>121575</c:v>
                  </c:pt>
                  <c:pt idx="709">
                    <c:v>121557</c:v>
                  </c:pt>
                  <c:pt idx="710">
                    <c:v>121557</c:v>
                  </c:pt>
                  <c:pt idx="712">
                    <c:v>v0505</c:v>
                  </c:pt>
                  <c:pt idx="714">
                    <c:v>1202</c:v>
                  </c:pt>
                  <c:pt idx="715">
                    <c:v>12</c:v>
                  </c:pt>
                  <c:pt idx="716">
                    <c:v>0</c:v>
                  </c:pt>
                  <c:pt idx="717">
                    <c:v>53,1</c:v>
                  </c:pt>
                  <c:pt idx="718">
                    <c:v>0</c:v>
                  </c:pt>
                  <c:pt idx="719">
                    <c:v>77</c:v>
                  </c:pt>
                  <c:pt idx="721">
                    <c:v>38,1</c:v>
                  </c:pt>
                  <c:pt idx="726">
                    <c:v>M235</c:v>
                  </c:pt>
                  <c:pt idx="727">
                    <c:v>M245</c:v>
                  </c:pt>
                  <c:pt idx="730">
                    <c:v>1</c:v>
                  </c:pt>
                  <c:pt idx="732">
                    <c:v>0</c:v>
                  </c:pt>
                  <c:pt idx="733">
                    <c:v>6710</c:v>
                  </c:pt>
                  <c:pt idx="734">
                    <c:v>6222</c:v>
                  </c:pt>
                  <c:pt idx="736">
                    <c:v>gua500d</c:v>
                  </c:pt>
                  <c:pt idx="737">
                    <c:v>tl33029</c:v>
                  </c:pt>
                  <c:pt idx="738">
                    <c:v>tl36395</c:v>
                  </c:pt>
                  <c:pt idx="739">
                    <c:v>GR5270</c:v>
                  </c:pt>
                  <c:pt idx="740">
                    <c:v>gr270</c:v>
                  </c:pt>
                  <c:pt idx="741">
                    <c:v>gr16171</c:v>
                  </c:pt>
                  <c:pt idx="742">
                    <c:v>gr920</c:v>
                  </c:pt>
                  <c:pt idx="744">
                    <c:v>0</c:v>
                  </c:pt>
                  <c:pt idx="747">
                    <c:v>tl35454</c:v>
                  </c:pt>
                  <c:pt idx="748">
                    <c:v>tl36456</c:v>
                  </c:pt>
                  <c:pt idx="750">
                    <c:v>0</c:v>
                  </c:pt>
                  <c:pt idx="758">
                    <c:v>cgt00091</c:v>
                  </c:pt>
                  <c:pt idx="759">
                    <c:v>cgt00092</c:v>
                  </c:pt>
                  <c:pt idx="760">
                    <c:v>z181</c:v>
                  </c:pt>
                  <c:pt idx="761">
                    <c:v>1010683</c:v>
                  </c:pt>
                  <c:pt idx="762">
                    <c:v>631247</c:v>
                  </c:pt>
                  <c:pt idx="764">
                    <c:v>412</c:v>
                  </c:pt>
                  <c:pt idx="765">
                    <c:v>204200</c:v>
                  </c:pt>
                  <c:pt idx="766">
                    <c:v>260800</c:v>
                  </c:pt>
                  <c:pt idx="767">
                    <c:v>206910</c:v>
                  </c:pt>
                  <c:pt idx="768">
                    <c:v>206890</c:v>
                  </c:pt>
                  <c:pt idx="769">
                    <c:v>206880</c:v>
                  </c:pt>
                  <c:pt idx="773">
                    <c:v>500</c:v>
                  </c:pt>
                  <c:pt idx="774">
                    <c:v>1321</c:v>
                  </c:pt>
                  <c:pt idx="776">
                    <c:v>3830</c:v>
                  </c:pt>
                  <c:pt idx="777">
                    <c:v>mh5</c:v>
                  </c:pt>
                  <c:pt idx="778">
                    <c:v>mh10</c:v>
                  </c:pt>
                  <c:pt idx="779">
                    <c:v>mt904</c:v>
                  </c:pt>
                  <c:pt idx="780">
                    <c:v>mt904</c:v>
                  </c:pt>
                  <c:pt idx="781">
                    <c:v>v4180</c:v>
                  </c:pt>
                  <c:pt idx="782">
                    <c:v>53</c:v>
                  </c:pt>
                  <c:pt idx="787">
                    <c:v>V0953</c:v>
                  </c:pt>
                  <c:pt idx="788">
                    <c:v>469</c:v>
                  </c:pt>
                  <c:pt idx="789">
                    <c:v>130</c:v>
                  </c:pt>
                  <c:pt idx="790">
                    <c:v>131</c:v>
                  </c:pt>
                  <c:pt idx="791">
                    <c:v>HE353</c:v>
                  </c:pt>
                  <c:pt idx="792">
                    <c:v>125</c:v>
                  </c:pt>
                  <c:pt idx="796">
                    <c:v>122</c:v>
                  </c:pt>
                  <c:pt idx="798">
                    <c:v>150702</c:v>
                  </c:pt>
                  <c:pt idx="805">
                    <c:v>0</c:v>
                  </c:pt>
                  <c:pt idx="806">
                    <c:v>GR 3852</c:v>
                  </c:pt>
                  <c:pt idx="811">
                    <c:v>100092</c:v>
                  </c:pt>
                  <c:pt idx="812">
                    <c:v>100112</c:v>
                  </c:pt>
                  <c:pt idx="813">
                    <c:v>22072</c:v>
                  </c:pt>
                  <c:pt idx="819">
                    <c:v>100046</c:v>
                  </c:pt>
                  <c:pt idx="820">
                    <c:v>100046</c:v>
                  </c:pt>
                  <c:pt idx="827">
                    <c:v>100092</c:v>
                  </c:pt>
                  <c:pt idx="828">
                    <c:v>JFQF</c:v>
                  </c:pt>
                  <c:pt idx="829">
                    <c:v>gr3853</c:v>
                  </c:pt>
                  <c:pt idx="831">
                    <c:v>449</c:v>
                  </c:pt>
                  <c:pt idx="832">
                    <c:v>jfqm78</c:v>
                  </c:pt>
                  <c:pt idx="836">
                    <c:v>JVPM 50</c:v>
                  </c:pt>
                  <c:pt idx="837">
                    <c:v>JVPM 25</c:v>
                  </c:pt>
                  <c:pt idx="838">
                    <c:v>gr284</c:v>
                  </c:pt>
                  <c:pt idx="842">
                    <c:v>v4008</c:v>
                  </c:pt>
                  <c:pt idx="843">
                    <c:v>v5066</c:v>
                  </c:pt>
                  <c:pt idx="844">
                    <c:v>v5067</c:v>
                  </c:pt>
                  <c:pt idx="845">
                    <c:v>v5065</c:v>
                  </c:pt>
                  <c:pt idx="846">
                    <c:v>v5007</c:v>
                  </c:pt>
                  <c:pt idx="847">
                    <c:v>v5009</c:v>
                  </c:pt>
                  <c:pt idx="848">
                    <c:v>V5004</c:v>
                  </c:pt>
                  <c:pt idx="849">
                    <c:v>0</c:v>
                  </c:pt>
                  <c:pt idx="853">
                    <c:v>V4003</c:v>
                  </c:pt>
                  <c:pt idx="854">
                    <c:v>v4010</c:v>
                  </c:pt>
                  <c:pt idx="855">
                    <c:v>v4010</c:v>
                  </c:pt>
                  <c:pt idx="856">
                    <c:v>V4017</c:v>
                  </c:pt>
                  <c:pt idx="857">
                    <c:v>V4001</c:v>
                  </c:pt>
                  <c:pt idx="858">
                    <c:v>V4002</c:v>
                  </c:pt>
                  <c:pt idx="859">
                    <c:v>771</c:v>
                  </c:pt>
                  <c:pt idx="860">
                    <c:v>V4000</c:v>
                  </c:pt>
                  <c:pt idx="861">
                    <c:v>V4004</c:v>
                  </c:pt>
                  <c:pt idx="864">
                    <c:v>1055</c:v>
                  </c:pt>
                  <c:pt idx="865">
                    <c:v>132</c:v>
                  </c:pt>
                  <c:pt idx="867">
                    <c:v>82</c:v>
                  </c:pt>
                  <c:pt idx="868">
                    <c:v>131</c:v>
                  </c:pt>
                  <c:pt idx="869">
                    <c:v>3296</c:v>
                  </c:pt>
                  <c:pt idx="870">
                    <c:v>402</c:v>
                  </c:pt>
                  <c:pt idx="876">
                    <c:v>he215</c:v>
                  </c:pt>
                  <c:pt idx="877">
                    <c:v>HE220</c:v>
                  </c:pt>
                  <c:pt idx="878">
                    <c:v>HE210</c:v>
                  </c:pt>
                  <c:pt idx="879">
                    <c:v>he215</c:v>
                  </c:pt>
                  <c:pt idx="880">
                    <c:v>TL33990SH</c:v>
                  </c:pt>
                  <c:pt idx="881">
                    <c:v>gr113758</c:v>
                  </c:pt>
                  <c:pt idx="882">
                    <c:v>910118</c:v>
                  </c:pt>
                  <c:pt idx="883">
                    <c:v>910118</c:v>
                  </c:pt>
                  <c:pt idx="884">
                    <c:v>267</c:v>
                  </c:pt>
                  <c:pt idx="885">
                    <c:v>270</c:v>
                  </c:pt>
                  <c:pt idx="886">
                    <c:v>HE6420</c:v>
                  </c:pt>
                  <c:pt idx="887">
                    <c:v>HE6415</c:v>
                  </c:pt>
                  <c:pt idx="888">
                    <c:v>HE6410</c:v>
                  </c:pt>
                  <c:pt idx="890">
                    <c:v>gr2891</c:v>
                  </c:pt>
                  <c:pt idx="891">
                    <c:v>gr4804</c:v>
                  </c:pt>
                  <c:pt idx="892">
                    <c:v>gr2873</c:v>
                  </c:pt>
                  <c:pt idx="893">
                    <c:v>MT459</c:v>
                  </c:pt>
                  <c:pt idx="894">
                    <c:v>CPSO1151</c:v>
                  </c:pt>
                  <c:pt idx="895">
                    <c:v>gr 19205</c:v>
                  </c:pt>
                  <c:pt idx="896">
                    <c:v>gr2871</c:v>
                  </c:pt>
                  <c:pt idx="897">
                    <c:v>gr2881</c:v>
                  </c:pt>
                  <c:pt idx="898">
                    <c:v>CK4</c:v>
                  </c:pt>
                  <c:pt idx="899">
                    <c:v>gr2871</c:v>
                  </c:pt>
                  <c:pt idx="900">
                    <c:v>gr4820</c:v>
                  </c:pt>
                  <c:pt idx="901">
                    <c:v>gr2868</c:v>
                  </c:pt>
                  <c:pt idx="902">
                    <c:v>3200</c:v>
                  </c:pt>
                  <c:pt idx="903">
                    <c:v>HE1111</c:v>
                  </c:pt>
                  <c:pt idx="904">
                    <c:v>he99</c:v>
                  </c:pt>
                  <c:pt idx="905">
                    <c:v>6632</c:v>
                  </c:pt>
                  <c:pt idx="906">
                    <c:v>mt362</c:v>
                  </c:pt>
                  <c:pt idx="908">
                    <c:v>V0647</c:v>
                  </c:pt>
                  <c:pt idx="909">
                    <c:v>V0647</c:v>
                  </c:pt>
                  <c:pt idx="910">
                    <c:v>v0648</c:v>
                  </c:pt>
                  <c:pt idx="911">
                    <c:v>v0648</c:v>
                  </c:pt>
                  <c:pt idx="912">
                    <c:v>v0652</c:v>
                  </c:pt>
                  <c:pt idx="913">
                    <c:v>rs-s400</c:v>
                  </c:pt>
                  <c:pt idx="914">
                    <c:v>V1428</c:v>
                  </c:pt>
                  <c:pt idx="915">
                    <c:v>re-s 500</c:v>
                  </c:pt>
                  <c:pt idx="916">
                    <c:v>v1430</c:v>
                  </c:pt>
                  <c:pt idx="917">
                    <c:v>v1431</c:v>
                  </c:pt>
                  <c:pt idx="918">
                    <c:v>0</c:v>
                  </c:pt>
                  <c:pt idx="920">
                    <c:v>chw00937</c:v>
                  </c:pt>
                  <c:pt idx="921">
                    <c:v>jvrh 44</c:v>
                  </c:pt>
                  <c:pt idx="922">
                    <c:v>chw00945</c:v>
                  </c:pt>
                  <c:pt idx="923">
                    <c:v>hw54082</c:v>
                  </c:pt>
                  <c:pt idx="924">
                    <c:v>jgt88003</c:v>
                  </c:pt>
                  <c:pt idx="925">
                    <c:v>cgt00090</c:v>
                  </c:pt>
                  <c:pt idx="931">
                    <c:v>lb-311</c:v>
                  </c:pt>
                  <c:pt idx="932">
                    <c:v>he4012</c:v>
                  </c:pt>
                  <c:pt idx="935">
                    <c:v>gr2538</c:v>
                  </c:pt>
                  <c:pt idx="936">
                    <c:v>269</c:v>
                  </c:pt>
                  <c:pt idx="939">
                    <c:v>GR21753</c:v>
                  </c:pt>
                  <c:pt idx="940">
                    <c:v>GR21752</c:v>
                  </c:pt>
                  <c:pt idx="941">
                    <c:v>GR1328</c:v>
                  </c:pt>
                  <c:pt idx="942">
                    <c:v>GR1327</c:v>
                  </c:pt>
                  <c:pt idx="943">
                    <c:v>GR1326</c:v>
                  </c:pt>
                  <c:pt idx="959">
                    <c:v>100171</c:v>
                  </c:pt>
                  <c:pt idx="961">
                    <c:v>100172</c:v>
                  </c:pt>
                  <c:pt idx="962">
                    <c:v>0</c:v>
                  </c:pt>
                  <c:pt idx="963">
                    <c:v>0</c:v>
                  </c:pt>
                  <c:pt idx="982">
                    <c:v>100219</c:v>
                  </c:pt>
                  <c:pt idx="988">
                    <c:v>41</c:v>
                  </c:pt>
                  <c:pt idx="990">
                    <c:v>40</c:v>
                  </c:pt>
                  <c:pt idx="992">
                    <c:v>22914</c:v>
                  </c:pt>
                  <c:pt idx="993">
                    <c:v>22912</c:v>
                  </c:pt>
                  <c:pt idx="994">
                    <c:v>22912</c:v>
                  </c:pt>
                  <c:pt idx="995">
                    <c:v>22917</c:v>
                  </c:pt>
                  <c:pt idx="996">
                    <c:v>22914</c:v>
                  </c:pt>
                  <c:pt idx="1012">
                    <c:v>12848</c:v>
                  </c:pt>
                  <c:pt idx="1013">
                    <c:v>16664</c:v>
                  </c:pt>
                  <c:pt idx="1033">
                    <c:v>35002</c:v>
                  </c:pt>
                  <c:pt idx="1034">
                    <c:v>210002</c:v>
                  </c:pt>
                  <c:pt idx="1035">
                    <c:v>35001</c:v>
                  </c:pt>
                  <c:pt idx="1038">
                    <c:v>0</c:v>
                  </c:pt>
                  <c:pt idx="1050">
                    <c:v>210000</c:v>
                  </c:pt>
                  <c:pt idx="1051">
                    <c:v>210001</c:v>
                  </c:pt>
                  <c:pt idx="1052">
                    <c:v>27896</c:v>
                  </c:pt>
                  <c:pt idx="1053">
                    <c:v>31033</c:v>
                  </c:pt>
                  <c:pt idx="1057">
                    <c:v>gr21124</c:v>
                  </c:pt>
                  <c:pt idx="1058">
                    <c:v>gr21123</c:v>
                  </c:pt>
                  <c:pt idx="1059">
                    <c:v>gr10513</c:v>
                  </c:pt>
                  <c:pt idx="1060">
                    <c:v>GR283</c:v>
                  </c:pt>
                  <c:pt idx="1061">
                    <c:v>gr10512</c:v>
                  </c:pt>
                  <c:pt idx="1062">
                    <c:v>GR280</c:v>
                  </c:pt>
                  <c:pt idx="1063">
                    <c:v>GR281</c:v>
                  </c:pt>
                  <c:pt idx="1064">
                    <c:v>GR10512</c:v>
                  </c:pt>
                  <c:pt idx="1065">
                    <c:v>gr21099</c:v>
                  </c:pt>
                  <c:pt idx="1066">
                    <c:v>gr 21098</c:v>
                  </c:pt>
                  <c:pt idx="1067">
                    <c:v>jhw80102</c:v>
                  </c:pt>
                  <c:pt idx="1068">
                    <c:v>gr1346</c:v>
                  </c:pt>
                  <c:pt idx="1069">
                    <c:v>22078</c:v>
                  </c:pt>
                  <c:pt idx="1070">
                    <c:v>22077</c:v>
                  </c:pt>
                  <c:pt idx="1071">
                    <c:v>gr1343</c:v>
                  </c:pt>
                  <c:pt idx="1072">
                    <c:v>2403</c:v>
                  </c:pt>
                  <c:pt idx="1073">
                    <c:v>2404</c:v>
                  </c:pt>
                  <c:pt idx="1074">
                    <c:v>2405</c:v>
                  </c:pt>
                  <c:pt idx="1075">
                    <c:v>2406</c:v>
                  </c:pt>
                  <c:pt idx="1076">
                    <c:v>2407</c:v>
                  </c:pt>
                  <c:pt idx="1078">
                    <c:v>gr1339</c:v>
                  </c:pt>
                  <c:pt idx="1079">
                    <c:v>gr1338</c:v>
                  </c:pt>
                  <c:pt idx="1080">
                    <c:v>25123</c:v>
                  </c:pt>
                  <c:pt idx="1084">
                    <c:v>M835</c:v>
                  </c:pt>
                  <c:pt idx="1091">
                    <c:v>100173</c:v>
                  </c:pt>
                  <c:pt idx="1095">
                    <c:v>100174</c:v>
                  </c:pt>
                  <c:pt idx="1098">
                    <c:v>gr283</c:v>
                  </c:pt>
                  <c:pt idx="1099">
                    <c:v>GR282</c:v>
                  </c:pt>
                  <c:pt idx="1100">
                    <c:v>GR279</c:v>
                  </c:pt>
                  <c:pt idx="1101">
                    <c:v>GR282</c:v>
                  </c:pt>
                  <c:pt idx="1102">
                    <c:v>GR281</c:v>
                  </c:pt>
                  <c:pt idx="1103">
                    <c:v>GR279</c:v>
                  </c:pt>
                  <c:pt idx="1104">
                    <c:v>BR280</c:v>
                  </c:pt>
                  <c:pt idx="1105">
                    <c:v>GR10528</c:v>
                  </c:pt>
                  <c:pt idx="1107">
                    <c:v>GR285</c:v>
                  </c:pt>
                  <c:pt idx="1108">
                    <c:v>chw00566</c:v>
                  </c:pt>
                  <c:pt idx="1109">
                    <c:v>468</c:v>
                  </c:pt>
                  <c:pt idx="1116">
                    <c:v>126</c:v>
                  </c:pt>
                  <c:pt idx="1117">
                    <c:v>122</c:v>
                  </c:pt>
                  <c:pt idx="1143">
                    <c:v>gr1308</c:v>
                  </c:pt>
                  <c:pt idx="1144">
                    <c:v>100194</c:v>
                  </c:pt>
                  <c:pt idx="1146">
                    <c:v>100120</c:v>
                  </c:pt>
                  <c:pt idx="1147">
                    <c:v>GR10545</c:v>
                  </c:pt>
                  <c:pt idx="1148">
                    <c:v>gr21126</c:v>
                  </c:pt>
                  <c:pt idx="1149">
                    <c:v>gr3852</c:v>
                  </c:pt>
                  <c:pt idx="1150">
                    <c:v>gr3852</c:v>
                  </c:pt>
                  <c:pt idx="1151">
                    <c:v>GR294</c:v>
                  </c:pt>
                  <c:pt idx="1152">
                    <c:v>GR1312</c:v>
                  </c:pt>
                  <c:pt idx="1153">
                    <c:v>gr1313</c:v>
                  </c:pt>
                  <c:pt idx="1154">
                    <c:v>gr1311</c:v>
                  </c:pt>
                  <c:pt idx="1156">
                    <c:v>G1339</c:v>
                  </c:pt>
                  <c:pt idx="1157">
                    <c:v>G1338</c:v>
                  </c:pt>
                  <c:pt idx="1158">
                    <c:v>gr1283</c:v>
                  </c:pt>
                  <c:pt idx="1159">
                    <c:v>gr1284</c:v>
                  </c:pt>
                  <c:pt idx="1160">
                    <c:v>GR1289</c:v>
                  </c:pt>
                  <c:pt idx="1161">
                    <c:v>gr1284</c:v>
                  </c:pt>
                  <c:pt idx="1162">
                    <c:v>GR1287</c:v>
                  </c:pt>
                  <c:pt idx="1163">
                    <c:v>GR1285</c:v>
                  </c:pt>
                  <c:pt idx="1182">
                    <c:v>2159</c:v>
                  </c:pt>
                  <c:pt idx="1183">
                    <c:v>20</c:v>
                  </c:pt>
                  <c:pt idx="1187">
                    <c:v>GR1332</c:v>
                  </c:pt>
                  <c:pt idx="1188">
                    <c:v>gr1310</c:v>
                  </c:pt>
                  <c:pt idx="1189">
                    <c:v>gr1308</c:v>
                  </c:pt>
                  <c:pt idx="1190">
                    <c:v>gr1306</c:v>
                  </c:pt>
                  <c:pt idx="1191">
                    <c:v>GR 1307</c:v>
                  </c:pt>
                  <c:pt idx="1192">
                    <c:v>GR1325</c:v>
                  </c:pt>
                  <c:pt idx="1193">
                    <c:v>GR1323</c:v>
                  </c:pt>
                  <c:pt idx="1194">
                    <c:v>gr1324</c:v>
                  </c:pt>
                  <c:pt idx="1195">
                    <c:v>GR1324</c:v>
                  </c:pt>
                  <c:pt idx="1196">
                    <c:v>gr1331</c:v>
                  </c:pt>
                  <c:pt idx="1197">
                    <c:v>21</c:v>
                  </c:pt>
                  <c:pt idx="1198">
                    <c:v>100095</c:v>
                  </c:pt>
                  <c:pt idx="1209">
                    <c:v>gr21121</c:v>
                  </c:pt>
                  <c:pt idx="1213">
                    <c:v>GR1321</c:v>
                  </c:pt>
                  <c:pt idx="1214">
                    <c:v>GR286</c:v>
                  </c:pt>
                  <c:pt idx="1218">
                    <c:v>706770</c:v>
                  </c:pt>
                  <c:pt idx="1219">
                    <c:v>704647</c:v>
                  </c:pt>
                  <c:pt idx="1220">
                    <c:v>706732</c:v>
                  </c:pt>
                  <c:pt idx="1221">
                    <c:v>706740</c:v>
                  </c:pt>
                  <c:pt idx="1222">
                    <c:v>704648</c:v>
                  </c:pt>
                  <c:pt idx="1224">
                    <c:v>gr1295</c:v>
                  </c:pt>
                  <c:pt idx="1225">
                    <c:v>GR1294</c:v>
                  </c:pt>
                  <c:pt idx="1226">
                    <c:v>GR1293</c:v>
                  </c:pt>
                  <c:pt idx="1227">
                    <c:v>gr21102</c:v>
                  </c:pt>
                  <c:pt idx="1228">
                    <c:v>gr21101</c:v>
                  </c:pt>
                  <c:pt idx="1229">
                    <c:v>gr2110</c:v>
                  </c:pt>
                  <c:pt idx="1230">
                    <c:v>gr21105</c:v>
                  </c:pt>
                  <c:pt idx="1231">
                    <c:v>gr21104</c:v>
                  </c:pt>
                  <c:pt idx="1232">
                    <c:v>gr21103</c:v>
                  </c:pt>
                  <c:pt idx="1233">
                    <c:v>gr1290</c:v>
                  </c:pt>
                  <c:pt idx="1245">
                    <c:v>jgt88003</c:v>
                  </c:pt>
                  <c:pt idx="1247">
                    <c:v>chw00946</c:v>
                  </c:pt>
                  <c:pt idx="1248">
                    <c:v>jgt88002</c:v>
                  </c:pt>
                  <c:pt idx="1249">
                    <c:v>27419</c:v>
                  </c:pt>
                  <c:pt idx="1250">
                    <c:v>27432</c:v>
                  </c:pt>
                  <c:pt idx="1251">
                    <c:v>27045</c:v>
                  </c:pt>
                  <c:pt idx="1252">
                    <c:v>27424</c:v>
                  </c:pt>
                  <c:pt idx="1253">
                    <c:v>gr1343</c:v>
                  </c:pt>
                  <c:pt idx="1254">
                    <c:v>chw01890</c:v>
                  </c:pt>
                  <c:pt idx="1255">
                    <c:v>mac 20</c:v>
                  </c:pt>
                  <c:pt idx="1257">
                    <c:v>mac11</c:v>
                  </c:pt>
                  <c:pt idx="1258">
                    <c:v>mac 7</c:v>
                  </c:pt>
                  <c:pt idx="1260">
                    <c:v>mac 3</c:v>
                  </c:pt>
                  <c:pt idx="1261">
                    <c:v>GR284</c:v>
                  </c:pt>
                  <c:pt idx="1262">
                    <c:v>gr21750</c:v>
                  </c:pt>
                  <c:pt idx="1263">
                    <c:v>gr21749-1</c:v>
                  </c:pt>
                  <c:pt idx="1264">
                    <c:v>1246</c:v>
                  </c:pt>
                  <c:pt idx="1274">
                    <c:v>446</c:v>
                  </c:pt>
                  <c:pt idx="1275">
                    <c:v>447</c:v>
                  </c:pt>
                  <c:pt idx="1276">
                    <c:v>448</c:v>
                  </c:pt>
                  <c:pt idx="1277">
                    <c:v>450</c:v>
                  </c:pt>
                  <c:pt idx="1278">
                    <c:v>GR1291</c:v>
                  </c:pt>
                  <c:pt idx="1279">
                    <c:v>GR1298</c:v>
                  </c:pt>
                  <c:pt idx="1280">
                    <c:v>GR1297</c:v>
                  </c:pt>
                  <c:pt idx="1281">
                    <c:v>GR1296</c:v>
                  </c:pt>
                  <c:pt idx="1282">
                    <c:v>GR1292</c:v>
                  </c:pt>
                  <c:pt idx="1283">
                    <c:v>gr1299</c:v>
                  </c:pt>
                  <c:pt idx="1284">
                    <c:v>22076</c:v>
                  </c:pt>
                  <c:pt idx="1285">
                    <c:v>22071</c:v>
                  </c:pt>
                  <c:pt idx="1286">
                    <c:v>22074</c:v>
                  </c:pt>
                  <c:pt idx="1287">
                    <c:v>22075</c:v>
                  </c:pt>
                  <c:pt idx="1289">
                    <c:v>B376</c:v>
                  </c:pt>
                  <c:pt idx="1302">
                    <c:v>DX1</c:v>
                  </c:pt>
                  <c:pt idx="1303">
                    <c:v>DX2</c:v>
                  </c:pt>
                  <c:pt idx="1304">
                    <c:v>DX3</c:v>
                  </c:pt>
                  <c:pt idx="1305">
                    <c:v>DX4</c:v>
                  </c:pt>
                  <c:pt idx="1306">
                    <c:v>7S2</c:v>
                  </c:pt>
                  <c:pt idx="1307">
                    <c:v>7S3</c:v>
                  </c:pt>
                  <c:pt idx="1308">
                    <c:v>7F2</c:v>
                  </c:pt>
                  <c:pt idx="1309">
                    <c:v>YT2</c:v>
                  </c:pt>
                  <c:pt idx="1310">
                    <c:v>YT3</c:v>
                  </c:pt>
                  <c:pt idx="1311">
                    <c:v>WLI</c:v>
                  </c:pt>
                  <c:pt idx="1312">
                    <c:v>GP3</c:v>
                  </c:pt>
                  <c:pt idx="1313">
                    <c:v>GP4</c:v>
                  </c:pt>
                  <c:pt idx="1314">
                    <c:v>X0</c:v>
                  </c:pt>
                  <c:pt idx="1315">
                    <c:v>JVER 24</c:v>
                  </c:pt>
                  <c:pt idx="1316">
                    <c:v>JVER 33</c:v>
                  </c:pt>
                  <c:pt idx="1317">
                    <c:v>JVER 42</c:v>
                  </c:pt>
                  <c:pt idx="1318">
                    <c:v>JVOM 30</c:v>
                  </c:pt>
                  <c:pt idx="1319">
                    <c:v>IVOM 38</c:v>
                  </c:pt>
                  <c:pt idx="1320">
                    <c:v>IVPM 25</c:v>
                  </c:pt>
                  <c:pt idx="1321">
                    <c:v>IVQM20</c:v>
                  </c:pt>
                  <c:pt idx="1322">
                    <c:v>JVEO 41</c:v>
                  </c:pt>
                  <c:pt idx="1323">
                    <c:v>JVEF 34</c:v>
                  </c:pt>
                  <c:pt idx="1324">
                    <c:v>JVEF 42</c:v>
                  </c:pt>
                  <c:pt idx="1325">
                    <c:v>JVEC 33</c:v>
                  </c:pt>
                  <c:pt idx="1326">
                    <c:v>JVEO 55</c:v>
                  </c:pt>
                  <c:pt idx="1327">
                    <c:v>JVHR 42</c:v>
                  </c:pt>
                  <c:pt idx="1328">
                    <c:v>JVHR33</c:v>
                  </c:pt>
                  <c:pt idx="1329">
                    <c:v>JVUM 30 S</c:v>
                  </c:pt>
                  <c:pt idx="1330">
                    <c:v>JVUM 38</c:v>
                  </c:pt>
                  <c:pt idx="1331">
                    <c:v>JFQF 67</c:v>
                  </c:pt>
                  <c:pt idx="1332">
                    <c:v>JFQF 77</c:v>
                  </c:pt>
                  <c:pt idx="1333">
                    <c:v>JVQM20</c:v>
                  </c:pt>
                  <c:pt idx="1334">
                    <c:v>JURT 45</c:v>
                  </c:pt>
                  <c:pt idx="1335">
                    <c:v>JUMB 34</c:v>
                  </c:pt>
                  <c:pt idx="1336">
                    <c:v>JPRD 25</c:v>
                  </c:pt>
                  <c:pt idx="1337">
                    <c:v>JVRH33</c:v>
                  </c:pt>
                  <c:pt idx="1338">
                    <c:v>JVOM 38</c:v>
                  </c:pt>
                  <c:pt idx="1339">
                    <c:v>JVSR</c:v>
                  </c:pt>
                  <c:pt idx="1340">
                    <c:v>JCMC 35</c:v>
                  </c:pt>
                  <c:pt idx="1341">
                    <c:v>JCMC 45</c:v>
                  </c:pt>
                  <c:pt idx="1342">
                    <c:v>JVERH 33</c:v>
                  </c:pt>
                  <c:pt idx="1343">
                    <c:v>JURH 33</c:v>
                  </c:pt>
                  <c:pt idx="1344">
                    <c:v>JVLL45</c:v>
                  </c:pt>
                  <c:pt idx="1345">
                    <c:v>JFQM 45</c:v>
                  </c:pt>
                  <c:pt idx="1346">
                    <c:v>JVIP 34</c:v>
                  </c:pt>
                  <c:pt idx="1347">
                    <c:v>JVQM30</c:v>
                  </c:pt>
                  <c:pt idx="1348">
                    <c:v>IVQM36</c:v>
                  </c:pt>
                  <c:pt idx="1349">
                    <c:v>JVMO38C</c:v>
                  </c:pt>
                  <c:pt idx="1350">
                    <c:v>JVAQ44</c:v>
                  </c:pt>
                  <c:pt idx="1351">
                    <c:v>JVAQ55</c:v>
                  </c:pt>
                  <c:pt idx="1352">
                    <c:v>JVAQ56</c:v>
                  </c:pt>
                  <c:pt idx="1353">
                    <c:v>JVCB 30</c:v>
                  </c:pt>
                  <c:pt idx="1354">
                    <c:v>JVQM36</c:v>
                  </c:pt>
                  <c:pt idx="1355">
                    <c:v>JVRE 37</c:v>
                  </c:pt>
                  <c:pt idx="1356">
                    <c:v>JVRE 46</c:v>
                  </c:pt>
                  <c:pt idx="1357">
                    <c:v>JVRE 57</c:v>
                  </c:pt>
                  <c:pt idx="1358">
                    <c:v>JVRE 34</c:v>
                  </c:pt>
                  <c:pt idx="1359">
                    <c:v>100199</c:v>
                  </c:pt>
                  <c:pt idx="1360">
                    <c:v>IVIP 43</c:v>
                  </c:pt>
                  <c:pt idx="1375">
                    <c:v>GR1288</c:v>
                  </c:pt>
                  <c:pt idx="1376">
                    <c:v>100161</c:v>
                  </c:pt>
                  <c:pt idx="1377">
                    <c:v>100161</c:v>
                  </c:pt>
                  <c:pt idx="1378">
                    <c:v>100162</c:v>
                  </c:pt>
                  <c:pt idx="1379">
                    <c:v>GR1283</c:v>
                  </c:pt>
                  <c:pt idx="1380">
                    <c:v>0</c:v>
                  </c:pt>
                  <c:pt idx="1381">
                    <c:v>0</c:v>
                  </c:pt>
                  <c:pt idx="1386">
                    <c:v>100152</c:v>
                  </c:pt>
                  <c:pt idx="1388">
                    <c:v>52044</c:v>
                  </c:pt>
                  <c:pt idx="1391">
                    <c:v>gt3235</c:v>
                  </c:pt>
                  <c:pt idx="1394">
                    <c:v>100231</c:v>
                  </c:pt>
                  <c:pt idx="1395">
                    <c:v>100232</c:v>
                  </c:pt>
                  <c:pt idx="1396">
                    <c:v>100189</c:v>
                  </c:pt>
                  <c:pt idx="1397">
                    <c:v>100190</c:v>
                  </c:pt>
                  <c:pt idx="1398">
                    <c:v>100228</c:v>
                  </c:pt>
                  <c:pt idx="1399">
                    <c:v>PE439</c:v>
                  </c:pt>
                  <c:pt idx="1402">
                    <c:v>100096</c:v>
                  </c:pt>
                  <c:pt idx="1403">
                    <c:v>GR1287</c:v>
                  </c:pt>
                  <c:pt idx="1404">
                    <c:v>gr1286</c:v>
                  </c:pt>
                  <c:pt idx="1420">
                    <c:v>100095</c:v>
                  </c:pt>
                  <c:pt idx="1421">
                    <c:v>100131</c:v>
                  </c:pt>
                  <c:pt idx="1423">
                    <c:v>100186</c:v>
                  </c:pt>
                  <c:pt idx="1426">
                    <c:v>100113</c:v>
                  </c:pt>
                  <c:pt idx="1427">
                    <c:v>100131</c:v>
                  </c:pt>
                  <c:pt idx="1429">
                    <c:v>100133</c:v>
                  </c:pt>
                  <c:pt idx="1430">
                    <c:v>M1980</c:v>
                  </c:pt>
                  <c:pt idx="1431">
                    <c:v>M1982</c:v>
                  </c:pt>
                  <c:pt idx="1432">
                    <c:v>M1981</c:v>
                  </c:pt>
                  <c:pt idx="1433">
                    <c:v>gr21119</c:v>
                  </c:pt>
                  <c:pt idx="1434">
                    <c:v>gr21118</c:v>
                  </c:pt>
                  <c:pt idx="1435">
                    <c:v>26600018</c:v>
                  </c:pt>
                  <c:pt idx="1436">
                    <c:v>1463</c:v>
                  </c:pt>
                  <c:pt idx="1437">
                    <c:v>1463</c:v>
                  </c:pt>
                  <c:pt idx="1438">
                    <c:v>24/7/</c:v>
                  </c:pt>
                  <c:pt idx="1439">
                    <c:v>1464</c:v>
                  </c:pt>
                  <c:pt idx="1441">
                    <c:v>642004</c:v>
                  </c:pt>
                  <c:pt idx="1442">
                    <c:v>642001</c:v>
                  </c:pt>
                  <c:pt idx="1443">
                    <c:v>0</c:v>
                  </c:pt>
                  <c:pt idx="1446">
                    <c:v>107</c:v>
                  </c:pt>
                  <c:pt idx="1449">
                    <c:v>28</c:v>
                  </c:pt>
                  <c:pt idx="1452">
                    <c:v>cgt00081</c:v>
                  </c:pt>
                  <c:pt idx="1453">
                    <c:v>cgt00080</c:v>
                  </c:pt>
                  <c:pt idx="1454">
                    <c:v>gt2961</c:v>
                  </c:pt>
                  <c:pt idx="1455">
                    <c:v>gt2961</c:v>
                  </c:pt>
                  <c:pt idx="1456">
                    <c:v>gt3045</c:v>
                  </c:pt>
                  <c:pt idx="1458">
                    <c:v>cgt0081</c:v>
                  </c:pt>
                  <c:pt idx="1462">
                    <c:v>A1847</c:v>
                  </c:pt>
                  <c:pt idx="1464">
                    <c:v>590</c:v>
                  </c:pt>
                  <c:pt idx="1465">
                    <c:v>31109</c:v>
                  </c:pt>
                  <c:pt idx="1466">
                    <c:v>2126</c:v>
                  </c:pt>
                  <c:pt idx="1468">
                    <c:v>108001</c:v>
                  </c:pt>
                  <c:pt idx="1470">
                    <c:v>31036</c:v>
                  </c:pt>
                  <c:pt idx="1476">
                    <c:v>0</c:v>
                  </c:pt>
                  <c:pt idx="1477">
                    <c:v>260500</c:v>
                  </c:pt>
                  <c:pt idx="1478">
                    <c:v>V0690</c:v>
                  </c:pt>
                  <c:pt idx="1481">
                    <c:v>0</c:v>
                  </c:pt>
                  <c:pt idx="1482">
                    <c:v>gt3380</c:v>
                  </c:pt>
                  <c:pt idx="1483">
                    <c:v>mt97</c:v>
                  </c:pt>
                  <c:pt idx="1484">
                    <c:v>cgt00051</c:v>
                  </c:pt>
                  <c:pt idx="1485">
                    <c:v>22079</c:v>
                  </c:pt>
                  <c:pt idx="1486">
                    <c:v>22080</c:v>
                  </c:pt>
                  <c:pt idx="1488">
                    <c:v>MO273</c:v>
                  </c:pt>
                  <c:pt idx="1490">
                    <c:v>MO274</c:v>
                  </c:pt>
                  <c:pt idx="1491">
                    <c:v>gt4414</c:v>
                  </c:pt>
                  <c:pt idx="1492">
                    <c:v>gt3611</c:v>
                  </c:pt>
                  <c:pt idx="1493">
                    <c:v>gt4412</c:v>
                  </c:pt>
                  <c:pt idx="1494">
                    <c:v>gt3618</c:v>
                  </c:pt>
                  <c:pt idx="1495">
                    <c:v>gt4407</c:v>
                  </c:pt>
                  <c:pt idx="1496">
                    <c:v>gt3616</c:v>
                  </c:pt>
                  <c:pt idx="1499">
                    <c:v>271</c:v>
                  </c:pt>
                  <c:pt idx="1500">
                    <c:v>273</c:v>
                  </c:pt>
                  <c:pt idx="1501">
                    <c:v>274</c:v>
                  </c:pt>
                  <c:pt idx="1502">
                    <c:v>275</c:v>
                  </c:pt>
                  <c:pt idx="1508">
                    <c:v>310003</c:v>
                  </c:pt>
                  <c:pt idx="1510">
                    <c:v>2047</c:v>
                  </c:pt>
                  <c:pt idx="1511">
                    <c:v>v4168</c:v>
                  </c:pt>
                  <c:pt idx="1512">
                    <c:v>HE103</c:v>
                  </c:pt>
                  <c:pt idx="1513">
                    <c:v>a11269</c:v>
                  </c:pt>
                  <c:pt idx="1514">
                    <c:v>v4167</c:v>
                  </c:pt>
                  <c:pt idx="1515">
                    <c:v>a13182</c:v>
                  </c:pt>
                  <c:pt idx="1516">
                    <c:v>a13181</c:v>
                  </c:pt>
                  <c:pt idx="1517">
                    <c:v>cl31</c:v>
                  </c:pt>
                  <c:pt idx="1518">
                    <c:v>cl42</c:v>
                  </c:pt>
                  <c:pt idx="1522">
                    <c:v>v4554b</c:v>
                  </c:pt>
                  <c:pt idx="1523">
                    <c:v>v4555</c:v>
                  </c:pt>
                  <c:pt idx="1524">
                    <c:v>v4555a</c:v>
                  </c:pt>
                  <c:pt idx="1525">
                    <c:v>v4554</c:v>
                  </c:pt>
                  <c:pt idx="1530">
                    <c:v>315600</c:v>
                  </c:pt>
                  <c:pt idx="1532">
                    <c:v>100200</c:v>
                  </c:pt>
                  <c:pt idx="1533">
                    <c:v>244</c:v>
                  </c:pt>
                  <c:pt idx="1534">
                    <c:v>gr10308</c:v>
                  </c:pt>
                  <c:pt idx="1535">
                    <c:v>15199</c:v>
                  </c:pt>
                  <c:pt idx="1536">
                    <c:v>gr18765</c:v>
                  </c:pt>
                  <c:pt idx="1537">
                    <c:v>B0070</c:v>
                  </c:pt>
                  <c:pt idx="1538">
                    <c:v>2,13,491758</c:v>
                  </c:pt>
                  <c:pt idx="1539">
                    <c:v>910121</c:v>
                  </c:pt>
                  <c:pt idx="1540">
                    <c:v>271</c:v>
                  </c:pt>
                  <c:pt idx="1541">
                    <c:v>mt1350</c:v>
                  </c:pt>
                  <c:pt idx="1542">
                    <c:v>he0522</c:v>
                  </c:pt>
                  <c:pt idx="1546">
                    <c:v>gf31234</c:v>
                  </c:pt>
                  <c:pt idx="1547">
                    <c:v>gf31235</c:v>
                  </c:pt>
                  <c:pt idx="1549">
                    <c:v>v4550</c:v>
                  </c:pt>
                  <c:pt idx="1550">
                    <c:v>v4551</c:v>
                  </c:pt>
                  <c:pt idx="1551">
                    <c:v>v4570a</c:v>
                  </c:pt>
                  <c:pt idx="1553">
                    <c:v>198</c:v>
                  </c:pt>
                  <c:pt idx="1554">
                    <c:v>199</c:v>
                  </c:pt>
                  <c:pt idx="1555">
                    <c:v>0</c:v>
                  </c:pt>
                  <c:pt idx="1556">
                    <c:v>s142</c:v>
                  </c:pt>
                  <c:pt idx="1557">
                    <c:v>s143</c:v>
                  </c:pt>
                  <c:pt idx="1558">
                    <c:v>s141</c:v>
                  </c:pt>
                  <c:pt idx="1559">
                    <c:v>s140</c:v>
                  </c:pt>
                  <c:pt idx="1560">
                    <c:v>1780</c:v>
                  </c:pt>
                  <c:pt idx="1561">
                    <c:v>0</c:v>
                  </c:pt>
                  <c:pt idx="1562">
                    <c:v>0</c:v>
                  </c:pt>
                  <c:pt idx="1563">
                    <c:v>0</c:v>
                  </c:pt>
                  <c:pt idx="1566">
                    <c:v>0</c:v>
                  </c:pt>
                  <c:pt idx="1567">
                    <c:v>V1476</c:v>
                  </c:pt>
                  <c:pt idx="1568">
                    <c:v>V1468A</c:v>
                  </c:pt>
                  <c:pt idx="1569">
                    <c:v>gr1909</c:v>
                  </c:pt>
                  <c:pt idx="1572">
                    <c:v>72003</c:v>
                  </c:pt>
                  <c:pt idx="1574">
                    <c:v>mt180</c:v>
                  </c:pt>
                  <c:pt idx="1575">
                    <c:v>mt620</c:v>
                  </c:pt>
                  <c:pt idx="1577">
                    <c:v>gr2881</c:v>
                  </c:pt>
                  <c:pt idx="1579">
                    <c:v>15990</c:v>
                  </c:pt>
                  <c:pt idx="1580">
                    <c:v>20033</c:v>
                  </c:pt>
                  <c:pt idx="1581">
                    <c:v>15984</c:v>
                  </c:pt>
                  <c:pt idx="1582">
                    <c:v>14223</c:v>
                  </c:pt>
                  <c:pt idx="1588">
                    <c:v>111507</c:v>
                  </c:pt>
                  <c:pt idx="1590">
                    <c:v>1106</c:v>
                  </c:pt>
                  <c:pt idx="1591">
                    <c:v>117175</c:v>
                  </c:pt>
                  <c:pt idx="1592">
                    <c:v>117175</c:v>
                  </c:pt>
                  <c:pt idx="1593">
                    <c:v>117175</c:v>
                  </c:pt>
                  <c:pt idx="1594">
                    <c:v>201</c:v>
                  </c:pt>
                  <c:pt idx="1596">
                    <c:v>IBRBY01</c:v>
                  </c:pt>
                  <c:pt idx="1597">
                    <c:v>IBRFL101</c:v>
                  </c:pt>
                  <c:pt idx="1600">
                    <c:v>133</c:v>
                  </c:pt>
                  <c:pt idx="1601">
                    <c:v>108</c:v>
                  </c:pt>
                  <c:pt idx="1603">
                    <c:v>140</c:v>
                  </c:pt>
                  <c:pt idx="1604">
                    <c:v>140</c:v>
                  </c:pt>
                  <c:pt idx="1607">
                    <c:v>CHARAD08</c:v>
                  </c:pt>
                  <c:pt idx="1609">
                    <c:v>CRIOAD07</c:v>
                  </c:pt>
                  <c:pt idx="1613">
                    <c:v>9789</c:v>
                  </c:pt>
                  <c:pt idx="1615">
                    <c:v>e120</c:v>
                  </c:pt>
                  <c:pt idx="1616">
                    <c:v>e120</c:v>
                  </c:pt>
                  <c:pt idx="1617">
                    <c:v>4</c:v>
                  </c:pt>
                  <c:pt idx="1621">
                    <c:v>gt2961</c:v>
                  </c:pt>
                  <c:pt idx="1624">
                    <c:v>90</c:v>
                  </c:pt>
                  <c:pt idx="1627">
                    <c:v>14,08</c:v>
                  </c:pt>
                  <c:pt idx="1629">
                    <c:v>16,21</c:v>
                  </c:pt>
                  <c:pt idx="1630">
                    <c:v>0</c:v>
                  </c:pt>
                  <c:pt idx="1631">
                    <c:v>9236</c:v>
                  </c:pt>
                  <c:pt idx="1632">
                    <c:v>0</c:v>
                  </c:pt>
                  <c:pt idx="1634">
                    <c:v>111547</c:v>
                  </c:pt>
                  <c:pt idx="1635">
                    <c:v>10040</c:v>
                  </c:pt>
                  <c:pt idx="1636">
                    <c:v>10050</c:v>
                  </c:pt>
                  <c:pt idx="1637">
                    <c:v>111655</c:v>
                  </c:pt>
                  <c:pt idx="1638">
                    <c:v>111547</c:v>
                  </c:pt>
                  <c:pt idx="1639">
                    <c:v>111547</c:v>
                  </c:pt>
                  <c:pt idx="1640">
                    <c:v>111547</c:v>
                  </c:pt>
                  <c:pt idx="1643">
                    <c:v>5758</c:v>
                  </c:pt>
                  <c:pt idx="1649">
                    <c:v>sz350</c:v>
                  </c:pt>
                  <c:pt idx="1650">
                    <c:v>sz513</c:v>
                  </c:pt>
                  <c:pt idx="1651">
                    <c:v>324740</c:v>
                  </c:pt>
                  <c:pt idx="1652">
                    <c:v>v0605</c:v>
                  </c:pt>
                  <c:pt idx="1654">
                    <c:v>v0452</c:v>
                  </c:pt>
                  <c:pt idx="1655">
                    <c:v>v4582</c:v>
                  </c:pt>
                  <c:pt idx="1656">
                    <c:v>2058</c:v>
                  </c:pt>
                  <c:pt idx="1658">
                    <c:v>v0451</c:v>
                  </c:pt>
                  <c:pt idx="1659">
                    <c:v>v0454</c:v>
                  </c:pt>
                  <c:pt idx="1660">
                    <c:v>v0453</c:v>
                  </c:pt>
                  <c:pt idx="1661">
                    <c:v>v0456</c:v>
                  </c:pt>
                  <c:pt idx="1662">
                    <c:v>2,12ps2</c:v>
                  </c:pt>
                  <c:pt idx="1663">
                    <c:v>2,12ps4</c:v>
                  </c:pt>
                  <c:pt idx="1666">
                    <c:v>0</c:v>
                  </c:pt>
                  <c:pt idx="1667">
                    <c:v>133</c:v>
                  </c:pt>
                  <c:pt idx="1668">
                    <c:v>19141</c:v>
                  </c:pt>
                  <c:pt idx="1669">
                    <c:v>k-310</c:v>
                  </c:pt>
                  <c:pt idx="1670">
                    <c:v>gr24751</c:v>
                  </c:pt>
                  <c:pt idx="1671">
                    <c:v>gr5296</c:v>
                  </c:pt>
                  <c:pt idx="1672">
                    <c:v>6</c:v>
                  </c:pt>
                  <c:pt idx="1674">
                    <c:v>k003</c:v>
                  </c:pt>
                  <c:pt idx="1675">
                    <c:v>k002</c:v>
                  </c:pt>
                  <c:pt idx="1676">
                    <c:v>s145</c:v>
                  </c:pt>
                  <c:pt idx="1677">
                    <c:v>s146</c:v>
                  </c:pt>
                  <c:pt idx="1678">
                    <c:v>203pg44</c:v>
                  </c:pt>
                  <c:pt idx="1681">
                    <c:v>k002</c:v>
                  </c:pt>
                  <c:pt idx="1682">
                    <c:v>k003</c:v>
                  </c:pt>
                  <c:pt idx="1683">
                    <c:v>k004</c:v>
                  </c:pt>
                  <c:pt idx="1689">
                    <c:v>s144</c:v>
                  </c:pt>
                  <c:pt idx="1690">
                    <c:v>236</c:v>
                  </c:pt>
                  <c:pt idx="1691">
                    <c:v>v0601</c:v>
                  </c:pt>
                  <c:pt idx="1692">
                    <c:v>cfl00007</c:v>
                  </c:pt>
                  <c:pt idx="1693">
                    <c:v>sc816</c:v>
                  </c:pt>
                  <c:pt idx="1694">
                    <c:v>sc642</c:v>
                  </c:pt>
                  <c:pt idx="1695">
                    <c:v>sc1129</c:v>
                  </c:pt>
                  <c:pt idx="1696">
                    <c:v>sc-12a </c:v>
                  </c:pt>
                  <c:pt idx="1697">
                    <c:v>sc-12b</c:v>
                  </c:pt>
                  <c:pt idx="1698">
                    <c:v>sc-12</c:v>
                  </c:pt>
                  <c:pt idx="1699">
                    <c:v>cfl00004</c:v>
                  </c:pt>
                  <c:pt idx="1700">
                    <c:v>v1221</c:v>
                  </c:pt>
                  <c:pt idx="1701">
                    <c:v>v1224</c:v>
                  </c:pt>
                  <c:pt idx="1702">
                    <c:v>v0632</c:v>
                  </c:pt>
                  <c:pt idx="1703">
                    <c:v>sc-01</c:v>
                  </c:pt>
                  <c:pt idx="1704">
                    <c:v>cfl00018</c:v>
                  </c:pt>
                  <c:pt idx="1705">
                    <c:v>cfl00014</c:v>
                  </c:pt>
                  <c:pt idx="1706">
                    <c:v>W2896</c:v>
                  </c:pt>
                  <c:pt idx="1707">
                    <c:v>PC2519</c:v>
                  </c:pt>
                  <c:pt idx="1709">
                    <c:v>sc-643</c:v>
                  </c:pt>
                  <c:pt idx="1710">
                    <c:v>v0631-2</c:v>
                  </c:pt>
                  <c:pt idx="1711">
                    <c:v>v0632</c:v>
                  </c:pt>
                  <c:pt idx="1712">
                    <c:v>v0633</c:v>
                  </c:pt>
                  <c:pt idx="1713">
                    <c:v>v0634</c:v>
                  </c:pt>
                  <c:pt idx="1715">
                    <c:v>14</c:v>
                  </c:pt>
                  <c:pt idx="1716">
                    <c:v>139</c:v>
                  </c:pt>
                  <c:pt idx="1720">
                    <c:v>pcn15</c:v>
                  </c:pt>
                  <c:pt idx="1721">
                    <c:v>pcn20</c:v>
                  </c:pt>
                </c:lvl>
              </c:multiLvlStrCache>
            </c:multiLvlStrRef>
          </c:cat>
          <c:val>
            <c:numRef>
              <c:f>PRECIO!$L$3:$L$1802</c:f>
              <c:numCache>
                <c:formatCode>0</c:formatCode>
                <c:ptCount val="1725"/>
                <c:pt idx="363">
                  <c:v>0</c:v>
                </c:pt>
                <c:pt idx="596">
                  <c:v>1193.92</c:v>
                </c:pt>
                <c:pt idx="1057">
                  <c:v>128</c:v>
                </c:pt>
                <c:pt idx="1391">
                  <c:v>0</c:v>
                </c:pt>
                <c:pt idx="1396">
                  <c:v>10.132000000000001</c:v>
                </c:pt>
                <c:pt idx="1621">
                  <c:v>0</c:v>
                </c:pt>
                <c:pt idx="1622">
                  <c:v>0</c:v>
                </c:pt>
              </c:numCache>
            </c:numRef>
          </c:val>
        </c:ser>
        <c:ser>
          <c:idx val="2"/>
          <c:order val="2"/>
          <c:tx>
            <c:strRef>
              <c:f>PRECIO!$M$1:$M$2</c:f>
              <c:strCache>
                <c:ptCount val="2"/>
                <c:pt idx="0">
                  <c:v>VALOR</c:v>
                </c:pt>
                <c:pt idx="1">
                  <c:v>iva si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PRECIO!$A$3:$J$1802</c:f>
              <c:multiLvlStrCache>
                <c:ptCount val="1725"/>
                <c:lvl>
                  <c:pt idx="0">
                    <c:v>23/09/2024</c:v>
                  </c:pt>
                  <c:pt idx="1">
                    <c:v>16/03/2022</c:v>
                  </c:pt>
                  <c:pt idx="2">
                    <c:v>25/04/2025</c:v>
                  </c:pt>
                  <c:pt idx="3">
                    <c:v>03/03/2020</c:v>
                  </c:pt>
                  <c:pt idx="4">
                    <c:v>03/03/2020</c:v>
                  </c:pt>
                  <c:pt idx="5">
                    <c:v>14/08/2020</c:v>
                  </c:pt>
                  <c:pt idx="6">
                    <c:v>14/08/2020</c:v>
                  </c:pt>
                  <c:pt idx="7">
                    <c:v>14/08/2020</c:v>
                  </c:pt>
                  <c:pt idx="8">
                    <c:v>07/08/2021</c:v>
                  </c:pt>
                  <c:pt idx="9">
                    <c:v>25/04/2025</c:v>
                  </c:pt>
                  <c:pt idx="10">
                    <c:v>18/12/2025</c:v>
                  </c:pt>
                  <c:pt idx="11">
                    <c:v>10/12/2024</c:v>
                  </c:pt>
                  <c:pt idx="12">
                    <c:v>18/12/2025</c:v>
                  </c:pt>
                  <c:pt idx="13">
                    <c:v>07/03/2023</c:v>
                  </c:pt>
                  <c:pt idx="14">
                    <c:v>30/10/2025</c:v>
                  </c:pt>
                  <c:pt idx="15">
                    <c:v>21/11/2025</c:v>
                  </c:pt>
                  <c:pt idx="16">
                    <c:v>10/01/2025</c:v>
                  </c:pt>
                  <c:pt idx="17">
                    <c:v>13/02/2025</c:v>
                  </c:pt>
                  <c:pt idx="18">
                    <c:v>18/01/2023</c:v>
                  </c:pt>
                  <c:pt idx="19">
                    <c:v>18/01/2023</c:v>
                  </c:pt>
                  <c:pt idx="20">
                    <c:v>18/01/2023</c:v>
                  </c:pt>
                  <c:pt idx="21">
                    <c:v>18/01/2023</c:v>
                  </c:pt>
                  <c:pt idx="22">
                    <c:v>28/08/2024</c:v>
                  </c:pt>
                  <c:pt idx="24">
                    <c:v>06/12/2023</c:v>
                  </c:pt>
                  <c:pt idx="25">
                    <c:v>21/01/2025</c:v>
                  </c:pt>
                  <c:pt idx="26">
                    <c:v>10/09/2024</c:v>
                  </c:pt>
                  <c:pt idx="27">
                    <c:v>30/12/2025</c:v>
                  </c:pt>
                  <c:pt idx="28">
                    <c:v>15/01/2025</c:v>
                  </c:pt>
                  <c:pt idx="29">
                    <c:v>03/01/2023</c:v>
                  </c:pt>
                  <c:pt idx="30">
                    <c:v>09/10/2025</c:v>
                  </c:pt>
                  <c:pt idx="31">
                    <c:v>15/01/2025</c:v>
                  </c:pt>
                  <c:pt idx="32">
                    <c:v>26/09/2024</c:v>
                  </c:pt>
                  <c:pt idx="33">
                    <c:v>09/10/2025</c:v>
                  </c:pt>
                  <c:pt idx="34">
                    <c:v>12/12/2023</c:v>
                  </c:pt>
                  <c:pt idx="35">
                    <c:v>11/06/2025</c:v>
                  </c:pt>
                  <c:pt idx="36">
                    <c:v>12/03/2025</c:v>
                  </c:pt>
                  <c:pt idx="37">
                    <c:v>22/06/2022</c:v>
                  </c:pt>
                  <c:pt idx="38">
                    <c:v>21/11/2023</c:v>
                  </c:pt>
                  <c:pt idx="39">
                    <c:v>30/12/2025</c:v>
                  </c:pt>
                  <c:pt idx="40">
                    <c:v>30/12/2025</c:v>
                  </c:pt>
                  <c:pt idx="41">
                    <c:v>30/12/2025</c:v>
                  </c:pt>
                  <c:pt idx="42">
                    <c:v>30/12/2025</c:v>
                  </c:pt>
                  <c:pt idx="43">
                    <c:v>23/03/2025</c:v>
                  </c:pt>
                  <c:pt idx="44">
                    <c:v>30/12/2025</c:v>
                  </c:pt>
                  <c:pt idx="45">
                    <c:v>30/12/2025</c:v>
                  </c:pt>
                  <c:pt idx="46">
                    <c:v>19/06/2025</c:v>
                  </c:pt>
                  <c:pt idx="47">
                    <c:v>14/08/2025</c:v>
                  </c:pt>
                  <c:pt idx="48">
                    <c:v>09/10/2025</c:v>
                  </c:pt>
                  <c:pt idx="49">
                    <c:v>09/03/2023</c:v>
                  </c:pt>
                  <c:pt idx="50">
                    <c:v>09/10/2025</c:v>
                  </c:pt>
                  <c:pt idx="51">
                    <c:v>14/08/2025</c:v>
                  </c:pt>
                  <c:pt idx="52">
                    <c:v>14/08/2025</c:v>
                  </c:pt>
                  <c:pt idx="53">
                    <c:v>14/08/2025</c:v>
                  </c:pt>
                  <c:pt idx="54">
                    <c:v>09/03/2023</c:v>
                  </c:pt>
                  <c:pt idx="55">
                    <c:v>29/09/2022</c:v>
                  </c:pt>
                  <c:pt idx="56">
                    <c:v>02/01/2024</c:v>
                  </c:pt>
                  <c:pt idx="57">
                    <c:v>02/01/2024</c:v>
                  </c:pt>
                  <c:pt idx="58">
                    <c:v>02/01/2024</c:v>
                  </c:pt>
                  <c:pt idx="59">
                    <c:v>12/03/2025</c:v>
                  </c:pt>
                  <c:pt idx="60">
                    <c:v>02/09/2024</c:v>
                  </c:pt>
                  <c:pt idx="61">
                    <c:v>14/11/2024</c:v>
                  </c:pt>
                  <c:pt idx="62">
                    <c:v>31/07/2024</c:v>
                  </c:pt>
                  <c:pt idx="63">
                    <c:v>08/03/2022</c:v>
                  </c:pt>
                  <c:pt idx="64">
                    <c:v>08/06/2020</c:v>
                  </c:pt>
                  <c:pt idx="65">
                    <c:v>14/11/2024</c:v>
                  </c:pt>
                  <c:pt idx="66">
                    <c:v>29/04/2025</c:v>
                  </c:pt>
                  <c:pt idx="67">
                    <c:v>10/01/2025</c:v>
                  </c:pt>
                  <c:pt idx="68">
                    <c:v>10/01/2025</c:v>
                  </c:pt>
                  <c:pt idx="69">
                    <c:v>10/01/2025</c:v>
                  </c:pt>
                  <c:pt idx="70">
                    <c:v>10/01/2025</c:v>
                  </c:pt>
                  <c:pt idx="71">
                    <c:v>20/03/2023</c:v>
                  </c:pt>
                  <c:pt idx="72">
                    <c:v>22/12/2025</c:v>
                  </c:pt>
                  <c:pt idx="73">
                    <c:v>22/12/2025</c:v>
                  </c:pt>
                  <c:pt idx="74">
                    <c:v>11/10/2025</c:v>
                  </c:pt>
                  <c:pt idx="75">
                    <c:v>11/10/2025</c:v>
                  </c:pt>
                  <c:pt idx="76">
                    <c:v>18/01/2023</c:v>
                  </c:pt>
                  <c:pt idx="77">
                    <c:v>18/01/2023</c:v>
                  </c:pt>
                  <c:pt idx="78">
                    <c:v>07/10/2024</c:v>
                  </c:pt>
                  <c:pt idx="79">
                    <c:v>13/02/2025</c:v>
                  </c:pt>
                  <c:pt idx="80">
                    <c:v>16/10/2025</c:v>
                  </c:pt>
                  <c:pt idx="81">
                    <c:v>16/10/2025</c:v>
                  </c:pt>
                  <c:pt idx="82">
                    <c:v>16/10/2025</c:v>
                  </c:pt>
                  <c:pt idx="83">
                    <c:v>02/10/2024</c:v>
                  </c:pt>
                  <c:pt idx="84">
                    <c:v>02/10/2024</c:v>
                  </c:pt>
                  <c:pt idx="85">
                    <c:v>20/07/2024</c:v>
                  </c:pt>
                  <c:pt idx="86">
                    <c:v>20/07/2024</c:v>
                  </c:pt>
                  <c:pt idx="87">
                    <c:v>20/07/2024</c:v>
                  </c:pt>
                  <c:pt idx="88">
                    <c:v>03/07/2025</c:v>
                  </c:pt>
                  <c:pt idx="89">
                    <c:v>03/07/2025</c:v>
                  </c:pt>
                  <c:pt idx="90">
                    <c:v>07/10/2024</c:v>
                  </c:pt>
                  <c:pt idx="91">
                    <c:v>07/10/2024</c:v>
                  </c:pt>
                  <c:pt idx="93">
                    <c:v>02/10/2024</c:v>
                  </c:pt>
                  <c:pt idx="94">
                    <c:v>05/12/2023</c:v>
                  </c:pt>
                  <c:pt idx="95">
                    <c:v>12/03/2021</c:v>
                  </c:pt>
                  <c:pt idx="96">
                    <c:v>10/01/2024</c:v>
                  </c:pt>
                  <c:pt idx="97">
                    <c:v>23/10/2023</c:v>
                  </c:pt>
                  <c:pt idx="98">
                    <c:v>10/05/2025</c:v>
                  </c:pt>
                  <c:pt idx="99">
                    <c:v>10/05/2025</c:v>
                  </c:pt>
                  <c:pt idx="100">
                    <c:v>10/05/2023</c:v>
                  </c:pt>
                  <c:pt idx="101">
                    <c:v>09/12/2024</c:v>
                  </c:pt>
                  <c:pt idx="102">
                    <c:v>04/11/2025</c:v>
                  </c:pt>
                  <c:pt idx="103">
                    <c:v>08/12/2025</c:v>
                  </c:pt>
                  <c:pt idx="104">
                    <c:v>16/03/2020</c:v>
                  </c:pt>
                  <c:pt idx="105">
                    <c:v>30/09/2025</c:v>
                  </c:pt>
                  <c:pt idx="106">
                    <c:v>15/11/2023</c:v>
                  </c:pt>
                  <c:pt idx="107">
                    <c:v>10/08/2023</c:v>
                  </c:pt>
                  <c:pt idx="108">
                    <c:v>30/09/2025</c:v>
                  </c:pt>
                  <c:pt idx="109">
                    <c:v>19/09/2020</c:v>
                  </c:pt>
                  <c:pt idx="110">
                    <c:v>20/05/2025</c:v>
                  </c:pt>
                  <c:pt idx="111">
                    <c:v>21/11/2023</c:v>
                  </c:pt>
                  <c:pt idx="112">
                    <c:v>21/11/2025</c:v>
                  </c:pt>
                  <c:pt idx="113">
                    <c:v>21/11/2025</c:v>
                  </c:pt>
                  <c:pt idx="114">
                    <c:v>17/08/2025</c:v>
                  </c:pt>
                  <c:pt idx="115">
                    <c:v>17/08/2025</c:v>
                  </c:pt>
                  <c:pt idx="116">
                    <c:v>26/07/2024</c:v>
                  </c:pt>
                  <c:pt idx="117">
                    <c:v>21/08/2025</c:v>
                  </c:pt>
                  <c:pt idx="118">
                    <c:v>21/08/2025</c:v>
                  </c:pt>
                  <c:pt idx="119">
                    <c:v>30/04/2025</c:v>
                  </c:pt>
                  <c:pt idx="120">
                    <c:v>18/08/2025</c:v>
                  </c:pt>
                  <c:pt idx="121">
                    <c:v>20/02/2024</c:v>
                  </c:pt>
                  <c:pt idx="122">
                    <c:v>27/12/2024</c:v>
                  </c:pt>
                  <c:pt idx="123">
                    <c:v>27/12/2024</c:v>
                  </c:pt>
                  <c:pt idx="124">
                    <c:v>03/05/2024</c:v>
                  </c:pt>
                  <c:pt idx="125">
                    <c:v>08/08/2021</c:v>
                  </c:pt>
                  <c:pt idx="126">
                    <c:v>08/08/2021</c:v>
                  </c:pt>
                  <c:pt idx="127">
                    <c:v>08/08/2021</c:v>
                  </c:pt>
                  <c:pt idx="128">
                    <c:v>08/08/2021</c:v>
                  </c:pt>
                  <c:pt idx="129">
                    <c:v>07/06/2023</c:v>
                  </c:pt>
                  <c:pt idx="130">
                    <c:v>19/11/2025</c:v>
                  </c:pt>
                  <c:pt idx="131">
                    <c:v>19/11/2025</c:v>
                  </c:pt>
                  <c:pt idx="132">
                    <c:v>30/09/2025</c:v>
                  </c:pt>
                  <c:pt idx="133">
                    <c:v>27/07/2025</c:v>
                  </c:pt>
                  <c:pt idx="134">
                    <c:v>31/05/2025</c:v>
                  </c:pt>
                  <c:pt idx="135">
                    <c:v>31/05/2025</c:v>
                  </c:pt>
                  <c:pt idx="136">
                    <c:v>20/06/2024</c:v>
                  </c:pt>
                  <c:pt idx="137">
                    <c:v>27/03/2025</c:v>
                  </c:pt>
                  <c:pt idx="138">
                    <c:v>23/12/2024</c:v>
                  </c:pt>
                  <c:pt idx="139">
                    <c:v>21/11/2025</c:v>
                  </c:pt>
                  <c:pt idx="140">
                    <c:v>23/12/2024</c:v>
                  </c:pt>
                  <c:pt idx="141">
                    <c:v>21/11/2025</c:v>
                  </c:pt>
                  <c:pt idx="142">
                    <c:v>19/08/2024</c:v>
                  </c:pt>
                  <c:pt idx="143">
                    <c:v>23/12/2024</c:v>
                  </c:pt>
                  <c:pt idx="144">
                    <c:v>02/09/2023</c:v>
                  </c:pt>
                  <c:pt idx="145">
                    <c:v>02/09/2023</c:v>
                  </c:pt>
                  <c:pt idx="146">
                    <c:v>09/10/2025</c:v>
                  </c:pt>
                  <c:pt idx="147">
                    <c:v>30/10/2025</c:v>
                  </c:pt>
                  <c:pt idx="148">
                    <c:v>17/08/2025</c:v>
                  </c:pt>
                  <c:pt idx="149">
                    <c:v>09/01/2025</c:v>
                  </c:pt>
                  <c:pt idx="150">
                    <c:v>03/08/1900</c:v>
                  </c:pt>
                  <c:pt idx="151">
                    <c:v>23/12/2024</c:v>
                  </c:pt>
                  <c:pt idx="152">
                    <c:v>30/10/2025</c:v>
                  </c:pt>
                  <c:pt idx="153">
                    <c:v>29/09/2022</c:v>
                  </c:pt>
                  <c:pt idx="154">
                    <c:v>25/04/2023</c:v>
                  </c:pt>
                  <c:pt idx="155">
                    <c:v>29/09/2022</c:v>
                  </c:pt>
                  <c:pt idx="156">
                    <c:v>27/07/2024</c:v>
                  </c:pt>
                  <c:pt idx="157">
                    <c:v>09/10/2025</c:v>
                  </c:pt>
                  <c:pt idx="158">
                    <c:v>09/10/2025</c:v>
                  </c:pt>
                  <c:pt idx="159">
                    <c:v>20/06/2024</c:v>
                  </c:pt>
                  <c:pt idx="160">
                    <c:v>17/08/2025</c:v>
                  </c:pt>
                  <c:pt idx="161">
                    <c:v>16/09/2023</c:v>
                  </c:pt>
                  <c:pt idx="162">
                    <c:v>20/03/2023</c:v>
                  </c:pt>
                  <c:pt idx="163">
                    <c:v>20/03/2023</c:v>
                  </c:pt>
                  <c:pt idx="164">
                    <c:v>20/03/2023</c:v>
                  </c:pt>
                  <c:pt idx="165">
                    <c:v>10/03/2020</c:v>
                  </c:pt>
                  <c:pt idx="166">
                    <c:v>19/09/2020</c:v>
                  </c:pt>
                  <c:pt idx="167">
                    <c:v>27/12/2023</c:v>
                  </c:pt>
                  <c:pt idx="168">
                    <c:v>25/09/2025</c:v>
                  </c:pt>
                  <c:pt idx="169">
                    <c:v>27/07/2022</c:v>
                  </c:pt>
                  <c:pt idx="170">
                    <c:v>27/07/2022</c:v>
                  </c:pt>
                  <c:pt idx="171">
                    <c:v>27/07/2022</c:v>
                  </c:pt>
                  <c:pt idx="172">
                    <c:v>02/04/2024</c:v>
                  </c:pt>
                  <c:pt idx="173">
                    <c:v>05/05/2020</c:v>
                  </c:pt>
                  <c:pt idx="174">
                    <c:v>07/03/2023</c:v>
                  </c:pt>
                  <c:pt idx="175">
                    <c:v>30/08/2023</c:v>
                  </c:pt>
                  <c:pt idx="176">
                    <c:v>25/09/2025</c:v>
                  </c:pt>
                  <c:pt idx="177">
                    <c:v>15/11/2024</c:v>
                  </c:pt>
                  <c:pt idx="178">
                    <c:v>23/07/2025</c:v>
                  </c:pt>
                  <c:pt idx="179">
                    <c:v>18/09/2025</c:v>
                  </c:pt>
                  <c:pt idx="180">
                    <c:v>18/09/2025</c:v>
                  </c:pt>
                  <c:pt idx="181">
                    <c:v>30/10/2025</c:v>
                  </c:pt>
                  <c:pt idx="182">
                    <c:v>30/10/2025</c:v>
                  </c:pt>
                  <c:pt idx="183">
                    <c:v>30/10/2025</c:v>
                  </c:pt>
                  <c:pt idx="184">
                    <c:v>30/10/2025</c:v>
                  </c:pt>
                  <c:pt idx="185">
                    <c:v>25/04/2025</c:v>
                  </c:pt>
                  <c:pt idx="186">
                    <c:v>25/04/2024</c:v>
                  </c:pt>
                  <c:pt idx="187">
                    <c:v>25/04/2024</c:v>
                  </c:pt>
                  <c:pt idx="188">
                    <c:v>21/10/2023</c:v>
                  </c:pt>
                  <c:pt idx="189">
                    <c:v>10/05/2023</c:v>
                  </c:pt>
                  <c:pt idx="190">
                    <c:v>15/03/2024</c:v>
                  </c:pt>
                  <c:pt idx="191">
                    <c:v>15/03/2024</c:v>
                  </c:pt>
                  <c:pt idx="192">
                    <c:v>15/03/2024</c:v>
                  </c:pt>
                  <c:pt idx="193">
                    <c:v>09/09/2025</c:v>
                  </c:pt>
                  <c:pt idx="194">
                    <c:v>09/09/2025</c:v>
                  </c:pt>
                  <c:pt idx="195">
                    <c:v>30/10/2025</c:v>
                  </c:pt>
                  <c:pt idx="196">
                    <c:v>30/10/2025</c:v>
                  </c:pt>
                  <c:pt idx="197">
                    <c:v>30/10/2025</c:v>
                  </c:pt>
                  <c:pt idx="198">
                    <c:v>30/10/2025</c:v>
                  </c:pt>
                  <c:pt idx="199">
                    <c:v>30/10/2025</c:v>
                  </c:pt>
                  <c:pt idx="200">
                    <c:v>30/10/2025</c:v>
                  </c:pt>
                  <c:pt idx="201">
                    <c:v>04/06/2025</c:v>
                  </c:pt>
                  <c:pt idx="202">
                    <c:v>04/06/2025</c:v>
                  </c:pt>
                  <c:pt idx="203">
                    <c:v>04/12/2024</c:v>
                  </c:pt>
                  <c:pt idx="204">
                    <c:v>15/11/2024</c:v>
                  </c:pt>
                  <c:pt idx="205">
                    <c:v>15/11/2024</c:v>
                  </c:pt>
                  <c:pt idx="206">
                    <c:v>02/09/2022</c:v>
                  </c:pt>
                  <c:pt idx="207">
                    <c:v>19/12/2024</c:v>
                  </c:pt>
                  <c:pt idx="208">
                    <c:v>04/12/2024</c:v>
                  </c:pt>
                  <c:pt idx="209">
                    <c:v>04/12/2024</c:v>
                  </c:pt>
                  <c:pt idx="210">
                    <c:v>20/11/2025</c:v>
                  </c:pt>
                  <c:pt idx="211">
                    <c:v>20/05/2025</c:v>
                  </c:pt>
                  <c:pt idx="212">
                    <c:v>20/05/2025</c:v>
                  </c:pt>
                  <c:pt idx="213">
                    <c:v>08/07/2024</c:v>
                  </c:pt>
                  <c:pt idx="214">
                    <c:v>08/07/2024</c:v>
                  </c:pt>
                  <c:pt idx="215">
                    <c:v>08/07/2024</c:v>
                  </c:pt>
                  <c:pt idx="216">
                    <c:v>18/08/2025</c:v>
                  </c:pt>
                  <c:pt idx="217">
                    <c:v>08/05/2025</c:v>
                  </c:pt>
                  <c:pt idx="218">
                    <c:v>06/11/2024</c:v>
                  </c:pt>
                  <c:pt idx="219">
                    <c:v>18/10/2024</c:v>
                  </c:pt>
                  <c:pt idx="220">
                    <c:v>18/10/2024</c:v>
                  </c:pt>
                  <c:pt idx="221">
                    <c:v>19/06/2025</c:v>
                  </c:pt>
                  <c:pt idx="222">
                    <c:v>19/10/2022</c:v>
                  </c:pt>
                  <c:pt idx="223">
                    <c:v>03/12/2024</c:v>
                  </c:pt>
                  <c:pt idx="224">
                    <c:v>07/06/2023</c:v>
                  </c:pt>
                  <c:pt idx="225">
                    <c:v>19/06/2025</c:v>
                  </c:pt>
                  <c:pt idx="226">
                    <c:v>26/07/2024</c:v>
                  </c:pt>
                  <c:pt idx="227">
                    <c:v>20/11/2025</c:v>
                  </c:pt>
                  <c:pt idx="228">
                    <c:v>10/03/2020</c:v>
                  </c:pt>
                  <c:pt idx="229">
                    <c:v>31/05/2025</c:v>
                  </c:pt>
                  <c:pt idx="230">
                    <c:v>31/01/2021</c:v>
                  </c:pt>
                  <c:pt idx="231">
                    <c:v>31/01/2021</c:v>
                  </c:pt>
                  <c:pt idx="232">
                    <c:v>31/01/2021</c:v>
                  </c:pt>
                  <c:pt idx="233">
                    <c:v>29/09/2025</c:v>
                  </c:pt>
                  <c:pt idx="234">
                    <c:v>30/10/2025</c:v>
                  </c:pt>
                  <c:pt idx="235">
                    <c:v>20/07/2024</c:v>
                  </c:pt>
                  <c:pt idx="236">
                    <c:v>03/11/2020</c:v>
                  </c:pt>
                  <c:pt idx="237">
                    <c:v>07/03/2024</c:v>
                  </c:pt>
                  <c:pt idx="238">
                    <c:v>04/07/2024</c:v>
                  </c:pt>
                  <c:pt idx="239">
                    <c:v>27/12/2023</c:v>
                  </c:pt>
                  <c:pt idx="240">
                    <c:v>29/10/2021</c:v>
                  </c:pt>
                  <c:pt idx="241">
                    <c:v>05/12/2022</c:v>
                  </c:pt>
                  <c:pt idx="242">
                    <c:v>15/03/2022</c:v>
                  </c:pt>
                  <c:pt idx="243">
                    <c:v>05/12/2022</c:v>
                  </c:pt>
                  <c:pt idx="244">
                    <c:v>21/09/2023</c:v>
                  </c:pt>
                  <c:pt idx="245">
                    <c:v>21/09/2023</c:v>
                  </c:pt>
                  <c:pt idx="246">
                    <c:v>21/09/2023</c:v>
                  </c:pt>
                  <c:pt idx="247">
                    <c:v>10/03/2020</c:v>
                  </c:pt>
                  <c:pt idx="248">
                    <c:v>06/09/2024</c:v>
                  </c:pt>
                  <c:pt idx="249">
                    <c:v>15/03/2022</c:v>
                  </c:pt>
                  <c:pt idx="250">
                    <c:v>30/04/2025</c:v>
                  </c:pt>
                  <c:pt idx="251">
                    <c:v>10/07/2025</c:v>
                  </c:pt>
                  <c:pt idx="252">
                    <c:v>12/07/2024</c:v>
                  </c:pt>
                  <c:pt idx="253">
                    <c:v>03/04/2024</c:v>
                  </c:pt>
                  <c:pt idx="254">
                    <c:v>19/08/2024</c:v>
                  </c:pt>
                  <c:pt idx="255">
                    <c:v>12/07/2024</c:v>
                  </c:pt>
                  <c:pt idx="256">
                    <c:v>20/03/2023</c:v>
                  </c:pt>
                  <c:pt idx="257">
                    <c:v>20/03/2023</c:v>
                  </c:pt>
                  <c:pt idx="258">
                    <c:v>06/09/2024</c:v>
                  </c:pt>
                  <c:pt idx="259">
                    <c:v>21/09/2023</c:v>
                  </c:pt>
                  <c:pt idx="260">
                    <c:v>24/03/2025</c:v>
                  </c:pt>
                  <c:pt idx="261">
                    <c:v>23/10/2025</c:v>
                  </c:pt>
                  <c:pt idx="262">
                    <c:v>23/10/2025</c:v>
                  </c:pt>
                  <c:pt idx="263">
                    <c:v>09/12/2024</c:v>
                  </c:pt>
                  <c:pt idx="264">
                    <c:v>15/10/2025</c:v>
                  </c:pt>
                  <c:pt idx="265">
                    <c:v>26/11/2025</c:v>
                  </c:pt>
                  <c:pt idx="266">
                    <c:v>24/10/2024</c:v>
                  </c:pt>
                  <c:pt idx="267">
                    <c:v>24/10/2024</c:v>
                  </c:pt>
                  <c:pt idx="268">
                    <c:v>13/09/2022</c:v>
                  </c:pt>
                  <c:pt idx="269">
                    <c:v>26/07/2024</c:v>
                  </c:pt>
                  <c:pt idx="270">
                    <c:v>21/09/2023</c:v>
                  </c:pt>
                  <c:pt idx="271">
                    <c:v>16/09/2023</c:v>
                  </c:pt>
                  <c:pt idx="272">
                    <c:v>21/11/2025</c:v>
                  </c:pt>
                  <c:pt idx="273">
                    <c:v>03/10/2016</c:v>
                  </c:pt>
                  <c:pt idx="274">
                    <c:v>13/10/2022</c:v>
                  </c:pt>
                  <c:pt idx="275">
                    <c:v>30/12/2025</c:v>
                  </c:pt>
                  <c:pt idx="276">
                    <c:v>30/04/2025</c:v>
                  </c:pt>
                  <c:pt idx="277">
                    <c:v>20/11/2025</c:v>
                  </c:pt>
                  <c:pt idx="278">
                    <c:v>20/11/2025</c:v>
                  </c:pt>
                  <c:pt idx="279">
                    <c:v>06/06/2025</c:v>
                  </c:pt>
                  <c:pt idx="280">
                    <c:v>06/06/2025</c:v>
                  </c:pt>
                  <c:pt idx="281">
                    <c:v>10/09/2024</c:v>
                  </c:pt>
                  <c:pt idx="283">
                    <c:v>18/12/2025</c:v>
                  </c:pt>
                  <c:pt idx="284">
                    <c:v>18/12/2025</c:v>
                  </c:pt>
                  <c:pt idx="285">
                    <c:v>30/10/2025</c:v>
                  </c:pt>
                  <c:pt idx="286">
                    <c:v>21/12/2023</c:v>
                  </c:pt>
                  <c:pt idx="287">
                    <c:v>30/10/2025</c:v>
                  </c:pt>
                  <c:pt idx="288">
                    <c:v>01/11/2021</c:v>
                  </c:pt>
                  <c:pt idx="289">
                    <c:v>06/09/2023</c:v>
                  </c:pt>
                  <c:pt idx="290">
                    <c:v>30/10/2025</c:v>
                  </c:pt>
                  <c:pt idx="291">
                    <c:v>06/09/2023</c:v>
                  </c:pt>
                  <c:pt idx="292">
                    <c:v>16/06/2022</c:v>
                  </c:pt>
                  <c:pt idx="293">
                    <c:v>21/12/2023</c:v>
                  </c:pt>
                  <c:pt idx="294">
                    <c:v>06/09/2023</c:v>
                  </c:pt>
                  <c:pt idx="295">
                    <c:v>12/03/2025</c:v>
                  </c:pt>
                  <c:pt idx="296">
                    <c:v>01/11/2021</c:v>
                  </c:pt>
                  <c:pt idx="297">
                    <c:v>01/11/2021</c:v>
                  </c:pt>
                  <c:pt idx="298">
                    <c:v>01/11/2021</c:v>
                  </c:pt>
                  <c:pt idx="299">
                    <c:v>08/03/2024</c:v>
                  </c:pt>
                  <c:pt idx="300">
                    <c:v>08/03/2024</c:v>
                  </c:pt>
                  <c:pt idx="301">
                    <c:v>23/10/2024</c:v>
                  </c:pt>
                  <c:pt idx="302">
                    <c:v>23/10/2024</c:v>
                  </c:pt>
                  <c:pt idx="303">
                    <c:v>13/06/2024</c:v>
                  </c:pt>
                  <c:pt idx="304">
                    <c:v>23/12/2025</c:v>
                  </c:pt>
                  <c:pt idx="305">
                    <c:v>26/09/2025</c:v>
                  </c:pt>
                  <c:pt idx="306">
                    <c:v>30/04/2024</c:v>
                  </c:pt>
                  <c:pt idx="307">
                    <c:v>30/09/2025</c:v>
                  </c:pt>
                  <c:pt idx="308">
                    <c:v>15/08/2025</c:v>
                  </c:pt>
                  <c:pt idx="309">
                    <c:v>20/11/2025</c:v>
                  </c:pt>
                  <c:pt idx="310">
                    <c:v>25/04/2024</c:v>
                  </c:pt>
                  <c:pt idx="311">
                    <c:v>01/06/2020</c:v>
                  </c:pt>
                  <c:pt idx="312">
                    <c:v>18/12/2025</c:v>
                  </c:pt>
                  <c:pt idx="313">
                    <c:v>07/05/2021</c:v>
                  </c:pt>
                  <c:pt idx="314">
                    <c:v>17/06/2021</c:v>
                  </c:pt>
                  <c:pt idx="315">
                    <c:v>11/01/2025</c:v>
                  </c:pt>
                  <c:pt idx="316">
                    <c:v>04/10/2025</c:v>
                  </c:pt>
                  <c:pt idx="317">
                    <c:v>04/10/2025</c:v>
                  </c:pt>
                  <c:pt idx="318">
                    <c:v>12/04/2025</c:v>
                  </c:pt>
                  <c:pt idx="319">
                    <c:v>27/12/2024</c:v>
                  </c:pt>
                  <c:pt idx="320">
                    <c:v>01/11/2021</c:v>
                  </c:pt>
                  <c:pt idx="321">
                    <c:v>10/01/2024</c:v>
                  </c:pt>
                  <c:pt idx="322">
                    <c:v>19/06/2025</c:v>
                  </c:pt>
                  <c:pt idx="323">
                    <c:v>15/03/2024</c:v>
                  </c:pt>
                  <c:pt idx="324">
                    <c:v>27/12/2024</c:v>
                  </c:pt>
                  <c:pt idx="325">
                    <c:v>15/03/2024</c:v>
                  </c:pt>
                  <c:pt idx="326">
                    <c:v>15/03/2024</c:v>
                  </c:pt>
                  <c:pt idx="327">
                    <c:v>21/01/2025</c:v>
                  </c:pt>
                  <c:pt idx="328">
                    <c:v>28/08/2024</c:v>
                  </c:pt>
                  <c:pt idx="329">
                    <c:v>28/08/2024</c:v>
                  </c:pt>
                  <c:pt idx="330">
                    <c:v>28/08/2024</c:v>
                  </c:pt>
                  <c:pt idx="331">
                    <c:v>21/11/2024</c:v>
                  </c:pt>
                  <c:pt idx="332">
                    <c:v>02/06/2022</c:v>
                  </c:pt>
                  <c:pt idx="333">
                    <c:v>02/06/2022</c:v>
                  </c:pt>
                  <c:pt idx="334">
                    <c:v>02/06/2022</c:v>
                  </c:pt>
                  <c:pt idx="335">
                    <c:v>31/05/2025</c:v>
                  </c:pt>
                  <c:pt idx="336">
                    <c:v>05/05/2020</c:v>
                  </c:pt>
                  <c:pt idx="337">
                    <c:v>18/05/2022</c:v>
                  </c:pt>
                  <c:pt idx="338">
                    <c:v>29/09/2025</c:v>
                  </c:pt>
                  <c:pt idx="339">
                    <c:v>29/09/2025</c:v>
                  </c:pt>
                  <c:pt idx="340">
                    <c:v>21/11/2025</c:v>
                  </c:pt>
                  <c:pt idx="341">
                    <c:v>21/11/2025</c:v>
                  </c:pt>
                  <c:pt idx="342">
                    <c:v>21/11/2025</c:v>
                  </c:pt>
                  <c:pt idx="343">
                    <c:v>21/11/2025</c:v>
                  </c:pt>
                  <c:pt idx="344">
                    <c:v>09/05/2023</c:v>
                  </c:pt>
                  <c:pt idx="345">
                    <c:v>21/11/2025</c:v>
                  </c:pt>
                  <c:pt idx="346">
                    <c:v>21/11/2025</c:v>
                  </c:pt>
                  <c:pt idx="347">
                    <c:v>18/08/2024</c:v>
                  </c:pt>
                  <c:pt idx="348">
                    <c:v>30/09/2024</c:v>
                  </c:pt>
                  <c:pt idx="349">
                    <c:v>21/11/2025</c:v>
                  </c:pt>
                  <c:pt idx="350">
                    <c:v>30/05/2025</c:v>
                  </c:pt>
                  <c:pt idx="351">
                    <c:v>30/09/2024</c:v>
                  </c:pt>
                  <c:pt idx="352">
                    <c:v>30/09/2024</c:v>
                  </c:pt>
                  <c:pt idx="353">
                    <c:v>05/05/2020</c:v>
                  </c:pt>
                  <c:pt idx="354">
                    <c:v>05/03/2025</c:v>
                  </c:pt>
                  <c:pt idx="355">
                    <c:v>05/03/2025</c:v>
                  </c:pt>
                  <c:pt idx="356">
                    <c:v>05/03/2025</c:v>
                  </c:pt>
                  <c:pt idx="357">
                    <c:v>01/10/2020</c:v>
                  </c:pt>
                  <c:pt idx="358">
                    <c:v>06/04/2022</c:v>
                  </c:pt>
                  <c:pt idx="359">
                    <c:v>18/05/2022</c:v>
                  </c:pt>
                  <c:pt idx="360">
                    <c:v>18/05/2022</c:v>
                  </c:pt>
                  <c:pt idx="361">
                    <c:v>19/02/2025</c:v>
                  </c:pt>
                  <c:pt idx="362">
                    <c:v>10/09/2024</c:v>
                  </c:pt>
                  <c:pt idx="363">
                    <c:v>16/10/2025</c:v>
                  </c:pt>
                  <c:pt idx="364">
                    <c:v>19/02/2025</c:v>
                  </c:pt>
                  <c:pt idx="365">
                    <c:v>03/01/2024</c:v>
                  </c:pt>
                  <c:pt idx="366">
                    <c:v>10/12/2024</c:v>
                  </c:pt>
                  <c:pt idx="367">
                    <c:v>19/02/2025</c:v>
                  </c:pt>
                  <c:pt idx="368">
                    <c:v>03/01/2024</c:v>
                  </c:pt>
                  <c:pt idx="369">
                    <c:v>30/09/2024</c:v>
                  </c:pt>
                  <c:pt idx="370">
                    <c:v>31/05/2025</c:v>
                  </c:pt>
                  <c:pt idx="371">
                    <c:v>18/09/2025</c:v>
                  </c:pt>
                  <c:pt idx="372">
                    <c:v>30/10/2025</c:v>
                  </c:pt>
                  <c:pt idx="373">
                    <c:v>21/11/2025</c:v>
                  </c:pt>
                  <c:pt idx="374">
                    <c:v>06/04/2022</c:v>
                  </c:pt>
                  <c:pt idx="375">
                    <c:v>04/05/2020</c:v>
                  </c:pt>
                  <c:pt idx="376">
                    <c:v>30/10/2025</c:v>
                  </c:pt>
                  <c:pt idx="377">
                    <c:v>16/02/2022</c:v>
                  </c:pt>
                  <c:pt idx="378">
                    <c:v>29/08/2025</c:v>
                  </c:pt>
                  <c:pt idx="379">
                    <c:v>29/09/2025</c:v>
                  </c:pt>
                  <c:pt idx="380">
                    <c:v>30/09/2024</c:v>
                  </c:pt>
                  <c:pt idx="381">
                    <c:v>10/04/2023</c:v>
                  </c:pt>
                  <c:pt idx="382">
                    <c:v>30/09/2024</c:v>
                  </c:pt>
                  <c:pt idx="383">
                    <c:v>22/12/2025</c:v>
                  </c:pt>
                  <c:pt idx="384">
                    <c:v>22/12/2025</c:v>
                  </c:pt>
                  <c:pt idx="385">
                    <c:v>18/05/2022</c:v>
                  </c:pt>
                  <c:pt idx="386">
                    <c:v>27/12/2024</c:v>
                  </c:pt>
                  <c:pt idx="387">
                    <c:v>25/04/2022</c:v>
                  </c:pt>
                  <c:pt idx="388">
                    <c:v>30/12/2021</c:v>
                  </c:pt>
                  <c:pt idx="389">
                    <c:v>30/12/2021</c:v>
                  </c:pt>
                  <c:pt idx="390">
                    <c:v>23/10/2024</c:v>
                  </c:pt>
                  <c:pt idx="391">
                    <c:v>21/11/2023</c:v>
                  </c:pt>
                  <c:pt idx="392">
                    <c:v>30/05/2025</c:v>
                  </c:pt>
                  <c:pt idx="393">
                    <c:v>30/05/2025</c:v>
                  </c:pt>
                  <c:pt idx="394">
                    <c:v>21/02/2022</c:v>
                  </c:pt>
                  <c:pt idx="395">
                    <c:v>07/06/2024</c:v>
                  </c:pt>
                  <c:pt idx="396">
                    <c:v>07/06/2024</c:v>
                  </c:pt>
                  <c:pt idx="397">
                    <c:v>18/05/2022</c:v>
                  </c:pt>
                  <c:pt idx="398">
                    <c:v>07/06/2024</c:v>
                  </c:pt>
                  <c:pt idx="399">
                    <c:v>07/06/2024</c:v>
                  </c:pt>
                  <c:pt idx="401">
                    <c:v>21/11/2025</c:v>
                  </c:pt>
                  <c:pt idx="402">
                    <c:v>07/06/2024</c:v>
                  </c:pt>
                  <c:pt idx="403">
                    <c:v>30/12/2021</c:v>
                  </c:pt>
                  <c:pt idx="405">
                    <c:v>16/08/2021</c:v>
                  </c:pt>
                  <c:pt idx="406">
                    <c:v>26/09/2024</c:v>
                  </c:pt>
                  <c:pt idx="407">
                    <c:v>20/11/2025</c:v>
                  </c:pt>
                  <c:pt idx="408">
                    <c:v>01/10/2020</c:v>
                  </c:pt>
                  <c:pt idx="409">
                    <c:v>19/11/2025</c:v>
                  </c:pt>
                  <c:pt idx="410">
                    <c:v>12/10/2023</c:v>
                  </c:pt>
                  <c:pt idx="411">
                    <c:v>16/07/2022</c:v>
                  </c:pt>
                  <c:pt idx="412">
                    <c:v>26/06/2020</c:v>
                  </c:pt>
                  <c:pt idx="413">
                    <c:v>25/04/2020</c:v>
                  </c:pt>
                  <c:pt idx="415">
                    <c:v>21/1125</c:v>
                  </c:pt>
                  <c:pt idx="416">
                    <c:v>23/09/2025</c:v>
                  </c:pt>
                  <c:pt idx="417">
                    <c:v>23/09/2025</c:v>
                  </c:pt>
                  <c:pt idx="418">
                    <c:v>28/08/2024</c:v>
                  </c:pt>
                  <c:pt idx="419">
                    <c:v>10/03/2020</c:v>
                  </c:pt>
                  <c:pt idx="420">
                    <c:v>18/01/2023</c:v>
                  </c:pt>
                  <c:pt idx="422">
                    <c:v>18/08/2025</c:v>
                  </c:pt>
                  <c:pt idx="423">
                    <c:v>10/01/2024</c:v>
                  </c:pt>
                  <c:pt idx="424">
                    <c:v>23/09/2024</c:v>
                  </c:pt>
                  <c:pt idx="425">
                    <c:v>23/09/2024</c:v>
                  </c:pt>
                  <c:pt idx="426">
                    <c:v>23/09/2024</c:v>
                  </c:pt>
                  <c:pt idx="427">
                    <c:v>23/09/2024</c:v>
                  </c:pt>
                  <c:pt idx="428">
                    <c:v>02/06/2025</c:v>
                  </c:pt>
                  <c:pt idx="429">
                    <c:v>10/04/2023</c:v>
                  </c:pt>
                  <c:pt idx="430">
                    <c:v>21/11025</c:v>
                  </c:pt>
                  <c:pt idx="431">
                    <c:v>24/07/2024</c:v>
                  </c:pt>
                  <c:pt idx="432">
                    <c:v>18/09/2025</c:v>
                  </c:pt>
                  <c:pt idx="433">
                    <c:v>24/05/2021</c:v>
                  </c:pt>
                  <c:pt idx="434">
                    <c:v>02/06/2025</c:v>
                  </c:pt>
                  <c:pt idx="435">
                    <c:v>30/05/2025</c:v>
                  </c:pt>
                  <c:pt idx="436">
                    <c:v>21/09/2023</c:v>
                  </c:pt>
                  <c:pt idx="437">
                    <c:v>16/08/2023</c:v>
                  </c:pt>
                  <c:pt idx="438">
                    <c:v>30/10/2025</c:v>
                  </c:pt>
                  <c:pt idx="439">
                    <c:v>30/10/2025</c:v>
                  </c:pt>
                  <c:pt idx="440">
                    <c:v>12/03/2025</c:v>
                  </c:pt>
                  <c:pt idx="441">
                    <c:v>21/12/2023</c:v>
                  </c:pt>
                  <c:pt idx="442">
                    <c:v>20/11/2024</c:v>
                  </c:pt>
                  <c:pt idx="443">
                    <c:v>30/10/2025</c:v>
                  </c:pt>
                  <c:pt idx="444">
                    <c:v>20/11/2024</c:v>
                  </c:pt>
                  <c:pt idx="445">
                    <c:v>01/11/2021</c:v>
                  </c:pt>
                  <c:pt idx="446">
                    <c:v>20/11/2024</c:v>
                  </c:pt>
                  <c:pt idx="447">
                    <c:v>20/11/2024</c:v>
                  </c:pt>
                  <c:pt idx="448">
                    <c:v>12/03/2025</c:v>
                  </c:pt>
                  <c:pt idx="449">
                    <c:v>21/12/2023</c:v>
                  </c:pt>
                  <c:pt idx="450">
                    <c:v>20/11/2024</c:v>
                  </c:pt>
                  <c:pt idx="451">
                    <c:v>10/09/2024</c:v>
                  </c:pt>
                  <c:pt idx="452">
                    <c:v>18/11/2024</c:v>
                  </c:pt>
                  <c:pt idx="453">
                    <c:v>13/05/2025</c:v>
                  </c:pt>
                  <c:pt idx="454">
                    <c:v>13/05/2025</c:v>
                  </c:pt>
                  <c:pt idx="455">
                    <c:v>06/06/2024</c:v>
                  </c:pt>
                  <c:pt idx="456">
                    <c:v>06/06/2024</c:v>
                  </c:pt>
                  <c:pt idx="457">
                    <c:v>31/07/2024</c:v>
                  </c:pt>
                  <c:pt idx="458">
                    <c:v>18/11/2024</c:v>
                  </c:pt>
                  <c:pt idx="459">
                    <c:v>10/03/2020</c:v>
                  </c:pt>
                  <c:pt idx="460">
                    <c:v>21/01/2025</c:v>
                  </c:pt>
                  <c:pt idx="461">
                    <c:v>21/03/2023</c:v>
                  </c:pt>
                  <c:pt idx="462">
                    <c:v>10/09/2024</c:v>
                  </c:pt>
                  <c:pt idx="463">
                    <c:v>23/01/2025</c:v>
                  </c:pt>
                  <c:pt idx="464">
                    <c:v>05/05/2020</c:v>
                  </c:pt>
                  <c:pt idx="465">
                    <c:v>05/05/2020</c:v>
                  </c:pt>
                  <c:pt idx="466">
                    <c:v>09/05/2023</c:v>
                  </c:pt>
                  <c:pt idx="467">
                    <c:v>12/02/2021</c:v>
                  </c:pt>
                  <c:pt idx="468">
                    <c:v>09/05/2023</c:v>
                  </c:pt>
                  <c:pt idx="469">
                    <c:v>09/05/2023</c:v>
                  </c:pt>
                  <c:pt idx="470">
                    <c:v>09/05/2023</c:v>
                  </c:pt>
                  <c:pt idx="471">
                    <c:v>22/06/2022</c:v>
                  </c:pt>
                  <c:pt idx="472">
                    <c:v>07/06/2024</c:v>
                  </c:pt>
                  <c:pt idx="473">
                    <c:v>07/06/2024</c:v>
                  </c:pt>
                  <c:pt idx="474">
                    <c:v>10/03/2025</c:v>
                  </c:pt>
                  <c:pt idx="475">
                    <c:v>12/12/2025</c:v>
                  </c:pt>
                  <c:pt idx="476">
                    <c:v>10/03/2020</c:v>
                  </c:pt>
                  <c:pt idx="477">
                    <c:v>27/07/2023</c:v>
                  </c:pt>
                  <c:pt idx="478">
                    <c:v>18/02/2025</c:v>
                  </c:pt>
                  <c:pt idx="479">
                    <c:v>20/02/2020</c:v>
                  </c:pt>
                  <c:pt idx="480">
                    <c:v>20/11/2021</c:v>
                  </c:pt>
                  <c:pt idx="481">
                    <c:v>09/12/2024</c:v>
                  </c:pt>
                  <c:pt idx="482">
                    <c:v>12/12/2022</c:v>
                  </c:pt>
                  <c:pt idx="483">
                    <c:v>23/09/2021</c:v>
                  </c:pt>
                  <c:pt idx="484">
                    <c:v>12/12/2020</c:v>
                  </c:pt>
                  <c:pt idx="485">
                    <c:v>04/12/2024</c:v>
                  </c:pt>
                  <c:pt idx="486">
                    <c:v>20/03/2023</c:v>
                  </c:pt>
                  <c:pt idx="487">
                    <c:v>10/01/2024</c:v>
                  </c:pt>
                  <c:pt idx="488">
                    <c:v>15/03/2021</c:v>
                  </c:pt>
                  <c:pt idx="489">
                    <c:v>14/01/2021</c:v>
                  </c:pt>
                  <c:pt idx="490">
                    <c:v>20/03/2023</c:v>
                  </c:pt>
                  <c:pt idx="491">
                    <c:v>14/01/2021</c:v>
                  </c:pt>
                  <c:pt idx="492">
                    <c:v>02/04/2020</c:v>
                  </c:pt>
                  <c:pt idx="493">
                    <c:v>13/01/2023</c:v>
                  </c:pt>
                  <c:pt idx="495">
                    <c:v>13/11/2020</c:v>
                  </c:pt>
                  <c:pt idx="496">
                    <c:v>28/10/2023</c:v>
                  </c:pt>
                  <c:pt idx="497">
                    <c:v>05/05/2020</c:v>
                  </c:pt>
                  <c:pt idx="498">
                    <c:v>01/07/2021</c:v>
                  </c:pt>
                  <c:pt idx="499">
                    <c:v>22/02/2021</c:v>
                  </c:pt>
                  <c:pt idx="500">
                    <c:v>31/01/2021</c:v>
                  </c:pt>
                  <c:pt idx="501">
                    <c:v>10/03/2020</c:v>
                  </c:pt>
                  <c:pt idx="502">
                    <c:v>11/11/2023</c:v>
                  </c:pt>
                  <c:pt idx="503">
                    <c:v>19/10/2022</c:v>
                  </c:pt>
                  <c:pt idx="504">
                    <c:v>20/09/2021</c:v>
                  </c:pt>
                  <c:pt idx="505">
                    <c:v>21/10/2020</c:v>
                  </c:pt>
                  <c:pt idx="506">
                    <c:v>01/06/2020</c:v>
                  </c:pt>
                  <c:pt idx="507">
                    <c:v>18/01/2023</c:v>
                  </c:pt>
                  <c:pt idx="508">
                    <c:v>10/03/2020</c:v>
                  </c:pt>
                  <c:pt idx="509">
                    <c:v>19/09/2020</c:v>
                  </c:pt>
                  <c:pt idx="510">
                    <c:v>10/03/2020</c:v>
                  </c:pt>
                  <c:pt idx="511">
                    <c:v>16/08/2021</c:v>
                  </c:pt>
                  <c:pt idx="512">
                    <c:v>09/04/2021</c:v>
                  </c:pt>
                  <c:pt idx="513">
                    <c:v>16/08/2021</c:v>
                  </c:pt>
                  <c:pt idx="514">
                    <c:v>10/03/2020</c:v>
                  </c:pt>
                  <c:pt idx="515">
                    <c:v>10/03/2020</c:v>
                  </c:pt>
                  <c:pt idx="516">
                    <c:v>21/03/2023</c:v>
                  </c:pt>
                  <c:pt idx="517">
                    <c:v>23/11/2023</c:v>
                  </c:pt>
                  <c:pt idx="518">
                    <c:v>04/02/2021</c:v>
                  </c:pt>
                  <c:pt idx="519">
                    <c:v>09/12/2024</c:v>
                  </c:pt>
                  <c:pt idx="520">
                    <c:v>21/04/2021</c:v>
                  </c:pt>
                  <c:pt idx="521">
                    <c:v>10/09/2024</c:v>
                  </c:pt>
                  <c:pt idx="522">
                    <c:v>01/11/2021</c:v>
                  </c:pt>
                  <c:pt idx="526">
                    <c:v>19/12/2020</c:v>
                  </c:pt>
                  <c:pt idx="527">
                    <c:v>19/12/2020</c:v>
                  </c:pt>
                  <c:pt idx="528">
                    <c:v>19/12/2020</c:v>
                  </c:pt>
                  <c:pt idx="529">
                    <c:v>19/12/2020</c:v>
                  </c:pt>
                  <c:pt idx="530">
                    <c:v>11/05/2023</c:v>
                  </c:pt>
                  <c:pt idx="531">
                    <c:v>07/12/2021</c:v>
                  </c:pt>
                  <c:pt idx="532">
                    <c:v>05/05/2023</c:v>
                  </c:pt>
                  <c:pt idx="534">
                    <c:v>20/04/2022</c:v>
                  </c:pt>
                  <c:pt idx="535">
                    <c:v>13/07/2023</c:v>
                  </c:pt>
                  <c:pt idx="536">
                    <c:v>01/11/2021</c:v>
                  </c:pt>
                  <c:pt idx="537">
                    <c:v>01/11/2021</c:v>
                  </c:pt>
                  <c:pt idx="538">
                    <c:v>25/07/2020</c:v>
                  </c:pt>
                  <c:pt idx="539">
                    <c:v>13/07/2023</c:v>
                  </c:pt>
                  <c:pt idx="540">
                    <c:v>20/11/2024</c:v>
                  </c:pt>
                  <c:pt idx="541">
                    <c:v>13/07/2023</c:v>
                  </c:pt>
                  <c:pt idx="542">
                    <c:v>20/03/2023</c:v>
                  </c:pt>
                  <c:pt idx="543">
                    <c:v>18/01/2023</c:v>
                  </c:pt>
                  <c:pt idx="544">
                    <c:v>16/02/2022</c:v>
                  </c:pt>
                  <c:pt idx="545">
                    <c:v>24/12/2009</c:v>
                  </c:pt>
                  <c:pt idx="546">
                    <c:v>28/06/2014</c:v>
                  </c:pt>
                  <c:pt idx="547">
                    <c:v>28/06/2014</c:v>
                  </c:pt>
                  <c:pt idx="548">
                    <c:v>29/10/2016</c:v>
                  </c:pt>
                  <c:pt idx="549">
                    <c:v>16/06/2014</c:v>
                  </c:pt>
                  <c:pt idx="550">
                    <c:v>01/12/2021</c:v>
                  </c:pt>
                  <c:pt idx="551">
                    <c:v>01/12/2021</c:v>
                  </c:pt>
                  <c:pt idx="552">
                    <c:v>15/03/2022</c:v>
                  </c:pt>
                  <c:pt idx="553">
                    <c:v>15/03/2022</c:v>
                  </c:pt>
                  <c:pt idx="554">
                    <c:v>12/02/2025</c:v>
                  </c:pt>
                  <c:pt idx="555">
                    <c:v>17/11/2023</c:v>
                  </c:pt>
                  <c:pt idx="556">
                    <c:v>17/11/2023</c:v>
                  </c:pt>
                  <c:pt idx="557">
                    <c:v>15/03/2024</c:v>
                  </c:pt>
                  <c:pt idx="558">
                    <c:v>19/11/2025</c:v>
                  </c:pt>
                  <c:pt idx="559">
                    <c:v>12/12/2025</c:v>
                  </c:pt>
                  <c:pt idx="560">
                    <c:v>12/03/2025</c:v>
                  </c:pt>
                  <c:pt idx="561">
                    <c:v>19/03/2021</c:v>
                  </c:pt>
                  <c:pt idx="562">
                    <c:v>19/03/2021</c:v>
                  </c:pt>
                  <c:pt idx="563">
                    <c:v>02/10/2025</c:v>
                  </c:pt>
                  <c:pt idx="564">
                    <c:v>21/12/2023</c:v>
                  </c:pt>
                  <c:pt idx="565">
                    <c:v>30/10/2025</c:v>
                  </c:pt>
                  <c:pt idx="566">
                    <c:v>20/03/2023</c:v>
                  </c:pt>
                  <c:pt idx="567">
                    <c:v>17/05/2022</c:v>
                  </c:pt>
                  <c:pt idx="568">
                    <c:v>18/09/2025</c:v>
                  </c:pt>
                  <c:pt idx="569">
                    <c:v>13/01/2023</c:v>
                  </c:pt>
                  <c:pt idx="570">
                    <c:v>17/05/2022</c:v>
                  </c:pt>
                  <c:pt idx="571">
                    <c:v>24/11/2021</c:v>
                  </c:pt>
                  <c:pt idx="572">
                    <c:v>17/12/2024</c:v>
                  </c:pt>
                  <c:pt idx="573">
                    <c:v>31/07/2024</c:v>
                  </c:pt>
                  <c:pt idx="575">
                    <c:v>13/01/2023</c:v>
                  </c:pt>
                  <c:pt idx="576">
                    <c:v>10/03/2020</c:v>
                  </c:pt>
                  <c:pt idx="577">
                    <c:v>15/03/2021</c:v>
                  </c:pt>
                  <c:pt idx="579">
                    <c:v>30/12/2021</c:v>
                  </c:pt>
                  <c:pt idx="580">
                    <c:v>23/06/2021</c:v>
                  </c:pt>
                  <c:pt idx="581">
                    <c:v>29/09/2015</c:v>
                  </c:pt>
                  <c:pt idx="582">
                    <c:v>15/09/2025</c:v>
                  </c:pt>
                  <c:pt idx="583">
                    <c:v>25/04/2025</c:v>
                  </c:pt>
                  <c:pt idx="584">
                    <c:v>03/10/2016</c:v>
                  </c:pt>
                  <c:pt idx="585">
                    <c:v>30/04/2025</c:v>
                  </c:pt>
                  <c:pt idx="586">
                    <c:v>05/08/2025</c:v>
                  </c:pt>
                  <c:pt idx="587">
                    <c:v>05/08/2025</c:v>
                  </c:pt>
                  <c:pt idx="588">
                    <c:v>10/09/2024</c:v>
                  </c:pt>
                  <c:pt idx="589">
                    <c:v>17/05/2022</c:v>
                  </c:pt>
                  <c:pt idx="590">
                    <c:v>09/10/2025</c:v>
                  </c:pt>
                  <c:pt idx="591">
                    <c:v>09/10/2025</c:v>
                  </c:pt>
                  <c:pt idx="592">
                    <c:v>26/09/2025</c:v>
                  </c:pt>
                  <c:pt idx="593">
                    <c:v>11/09/2025</c:v>
                  </c:pt>
                  <c:pt idx="594">
                    <c:v>26/09/2025</c:v>
                  </c:pt>
                  <c:pt idx="595">
                    <c:v>08/12/2025</c:v>
                  </c:pt>
                  <c:pt idx="596">
                    <c:v>08/12/2025</c:v>
                  </c:pt>
                  <c:pt idx="597">
                    <c:v>11/09/2020</c:v>
                  </c:pt>
                  <c:pt idx="598">
                    <c:v>09/10/2025</c:v>
                  </c:pt>
                  <c:pt idx="599">
                    <c:v>09/10/2025</c:v>
                  </c:pt>
                  <c:pt idx="600">
                    <c:v>11/04/2023</c:v>
                  </c:pt>
                  <c:pt idx="601">
                    <c:v>11/04/2023</c:v>
                  </c:pt>
                  <c:pt idx="602">
                    <c:v>15/11/2023</c:v>
                  </c:pt>
                  <c:pt idx="603">
                    <c:v>15/11/2023</c:v>
                  </c:pt>
                  <c:pt idx="604">
                    <c:v>27/11/2021</c:v>
                  </c:pt>
                  <c:pt idx="605">
                    <c:v>05/06/2024</c:v>
                  </c:pt>
                  <c:pt idx="606">
                    <c:v>12/12/2024</c:v>
                  </c:pt>
                  <c:pt idx="607">
                    <c:v>15/09/2022</c:v>
                  </c:pt>
                  <c:pt idx="608">
                    <c:v>11/05/2023</c:v>
                  </c:pt>
                  <c:pt idx="609">
                    <c:v>12/12/2024</c:v>
                  </c:pt>
                  <c:pt idx="610">
                    <c:v>12/12/2024</c:v>
                  </c:pt>
                  <c:pt idx="611">
                    <c:v>12/12/2024</c:v>
                  </c:pt>
                  <c:pt idx="612">
                    <c:v>07/12/2023</c:v>
                  </c:pt>
                  <c:pt idx="613">
                    <c:v>12/12/2024</c:v>
                  </c:pt>
                  <c:pt idx="614">
                    <c:v>23/09/2025</c:v>
                  </c:pt>
                  <c:pt idx="615">
                    <c:v>14/11/2023</c:v>
                  </c:pt>
                  <c:pt idx="616">
                    <c:v>08/11/2022</c:v>
                  </c:pt>
                  <c:pt idx="617">
                    <c:v>10/10/2025</c:v>
                  </c:pt>
                  <c:pt idx="618">
                    <c:v>14/11/2023</c:v>
                  </c:pt>
                  <c:pt idx="619">
                    <c:v>31/05/2022</c:v>
                  </c:pt>
                  <c:pt idx="620">
                    <c:v>19/06/2025</c:v>
                  </c:pt>
                  <c:pt idx="621">
                    <c:v>27/11/2025</c:v>
                  </c:pt>
                  <c:pt idx="622">
                    <c:v>21/02/2022</c:v>
                  </c:pt>
                  <c:pt idx="623">
                    <c:v>17/08/2025</c:v>
                  </c:pt>
                  <c:pt idx="624">
                    <c:v>04/10/2021</c:v>
                  </c:pt>
                  <c:pt idx="625">
                    <c:v>12/02/2021</c:v>
                  </c:pt>
                  <c:pt idx="626">
                    <c:v>12/12/2022</c:v>
                  </c:pt>
                  <c:pt idx="627">
                    <c:v>12/12/2022</c:v>
                  </c:pt>
                  <c:pt idx="628">
                    <c:v>03/01/2023</c:v>
                  </c:pt>
                  <c:pt idx="629">
                    <c:v>03/01/2023</c:v>
                  </c:pt>
                  <c:pt idx="630">
                    <c:v>03/01/2023</c:v>
                  </c:pt>
                  <c:pt idx="631">
                    <c:v>31/05/2022</c:v>
                  </c:pt>
                  <c:pt idx="632">
                    <c:v>23/06/2021</c:v>
                  </c:pt>
                  <c:pt idx="633">
                    <c:v>17/02/2024</c:v>
                  </c:pt>
                  <c:pt idx="634">
                    <c:v>09/02/2023</c:v>
                  </c:pt>
                  <c:pt idx="635">
                    <c:v>09/02/2023</c:v>
                  </c:pt>
                  <c:pt idx="636">
                    <c:v>14/02/2024</c:v>
                  </c:pt>
                  <c:pt idx="637">
                    <c:v>18/01/2023</c:v>
                  </c:pt>
                  <c:pt idx="638">
                    <c:v>13/02/2025</c:v>
                  </c:pt>
                  <c:pt idx="639">
                    <c:v>14/06/2014</c:v>
                  </c:pt>
                  <c:pt idx="640">
                    <c:v>10/10/2020</c:v>
                  </c:pt>
                  <c:pt idx="641">
                    <c:v>10/03/2020</c:v>
                  </c:pt>
                  <c:pt idx="642">
                    <c:v>01/06/2020</c:v>
                  </c:pt>
                  <c:pt idx="643">
                    <c:v>01/06/2020</c:v>
                  </c:pt>
                  <c:pt idx="644">
                    <c:v>01/06/2020</c:v>
                  </c:pt>
                  <c:pt idx="645">
                    <c:v>16/09/2021</c:v>
                  </c:pt>
                  <c:pt idx="646">
                    <c:v>20/03/2023</c:v>
                  </c:pt>
                  <c:pt idx="647">
                    <c:v>11/01/2025</c:v>
                  </c:pt>
                  <c:pt idx="648">
                    <c:v>12/03/2021</c:v>
                  </c:pt>
                  <c:pt idx="649">
                    <c:v>12/03/2021</c:v>
                  </c:pt>
                  <c:pt idx="650">
                    <c:v>07/04/2021</c:v>
                  </c:pt>
                  <c:pt idx="651">
                    <c:v>20/03/2023</c:v>
                  </c:pt>
                  <c:pt idx="652">
                    <c:v>18/01/2023</c:v>
                  </c:pt>
                  <c:pt idx="653">
                    <c:v>18/01/2023</c:v>
                  </c:pt>
                  <c:pt idx="654">
                    <c:v>18/01/2023</c:v>
                  </c:pt>
                  <c:pt idx="655">
                    <c:v>18/01/2023</c:v>
                  </c:pt>
                  <c:pt idx="656">
                    <c:v>15/04/2025</c:v>
                  </c:pt>
                  <c:pt idx="657">
                    <c:v>19/08/2016</c:v>
                  </c:pt>
                  <c:pt idx="658">
                    <c:v>20/08/2013</c:v>
                  </c:pt>
                  <c:pt idx="659">
                    <c:v>20/08/2013</c:v>
                  </c:pt>
                  <c:pt idx="660">
                    <c:v>02/10/2024</c:v>
                  </c:pt>
                  <c:pt idx="661">
                    <c:v>02/10/2024</c:v>
                  </c:pt>
                  <c:pt idx="662">
                    <c:v>02/10/2024</c:v>
                  </c:pt>
                  <c:pt idx="663">
                    <c:v>02/10/2024</c:v>
                  </c:pt>
                  <c:pt idx="664">
                    <c:v>02/10/2024</c:v>
                  </c:pt>
                  <c:pt idx="665">
                    <c:v>02/10/2024</c:v>
                  </c:pt>
                  <c:pt idx="666">
                    <c:v>21/11/2025</c:v>
                  </c:pt>
                  <c:pt idx="667">
                    <c:v>15/11/2024</c:v>
                  </c:pt>
                  <c:pt idx="668">
                    <c:v>15/11/2024</c:v>
                  </c:pt>
                  <c:pt idx="670">
                    <c:v>05/12/2023</c:v>
                  </c:pt>
                  <c:pt idx="671">
                    <c:v>05/12/2023</c:v>
                  </c:pt>
                  <c:pt idx="672">
                    <c:v>27/04/2022</c:v>
                  </c:pt>
                  <c:pt idx="673">
                    <c:v>11/01/2022</c:v>
                  </c:pt>
                  <c:pt idx="674">
                    <c:v>13/10/2025</c:v>
                  </c:pt>
                  <c:pt idx="675">
                    <c:v>07/02/2024</c:v>
                  </c:pt>
                  <c:pt idx="676">
                    <c:v>07/02/2024</c:v>
                  </c:pt>
                  <c:pt idx="677">
                    <c:v>15/04/2025</c:v>
                  </c:pt>
                  <c:pt idx="678">
                    <c:v>09/09/2025</c:v>
                  </c:pt>
                  <c:pt idx="679">
                    <c:v>12/07/2025</c:v>
                  </c:pt>
                  <c:pt idx="680">
                    <c:v>23/09/2025</c:v>
                  </c:pt>
                  <c:pt idx="681">
                    <c:v>25/09/2025</c:v>
                  </c:pt>
                  <c:pt idx="682">
                    <c:v>25/09/2025</c:v>
                  </c:pt>
                  <c:pt idx="683">
                    <c:v>30/03/2023</c:v>
                  </c:pt>
                  <c:pt idx="684">
                    <c:v>30/03/2023</c:v>
                  </c:pt>
                  <c:pt idx="685">
                    <c:v>13/07/2023</c:v>
                  </c:pt>
                  <c:pt idx="686">
                    <c:v>13/07/2023</c:v>
                  </c:pt>
                  <c:pt idx="687">
                    <c:v>14/01/2021</c:v>
                  </c:pt>
                  <c:pt idx="688">
                    <c:v>feb-25</c:v>
                  </c:pt>
                  <c:pt idx="689">
                    <c:v>12/07/2025</c:v>
                  </c:pt>
                  <c:pt idx="690">
                    <c:v>29/03/2023</c:v>
                  </c:pt>
                  <c:pt idx="691">
                    <c:v>29/03/2023</c:v>
                  </c:pt>
                  <c:pt idx="692">
                    <c:v>29/03/2023</c:v>
                  </c:pt>
                  <c:pt idx="693">
                    <c:v>29/03/2023</c:v>
                  </c:pt>
                  <c:pt idx="694">
                    <c:v>10/09/2024</c:v>
                  </c:pt>
                  <c:pt idx="695">
                    <c:v>08/04/2024</c:v>
                  </c:pt>
                  <c:pt idx="696">
                    <c:v>08/04/2024</c:v>
                  </c:pt>
                  <c:pt idx="697">
                    <c:v>08/04/2024</c:v>
                  </c:pt>
                  <c:pt idx="698">
                    <c:v>08/04/2024</c:v>
                  </c:pt>
                  <c:pt idx="699">
                    <c:v>04/07/2025</c:v>
                  </c:pt>
                  <c:pt idx="700">
                    <c:v>04/07/2025</c:v>
                  </c:pt>
                  <c:pt idx="701">
                    <c:v>29/03/2023</c:v>
                  </c:pt>
                  <c:pt idx="702">
                    <c:v>29/03/2023</c:v>
                  </c:pt>
                  <c:pt idx="703">
                    <c:v>08/04/024</c:v>
                  </c:pt>
                  <c:pt idx="704">
                    <c:v>24/12/2025</c:v>
                  </c:pt>
                  <c:pt idx="705">
                    <c:v>24/12/2025</c:v>
                  </c:pt>
                  <c:pt idx="706">
                    <c:v>26/01/2023</c:v>
                  </c:pt>
                  <c:pt idx="707">
                    <c:v>07/10/2025</c:v>
                  </c:pt>
                  <c:pt idx="708">
                    <c:v>07/10/2025</c:v>
                  </c:pt>
                  <c:pt idx="709">
                    <c:v>10/12/20255</c:v>
                  </c:pt>
                  <c:pt idx="710">
                    <c:v>10/12/20255</c:v>
                  </c:pt>
                  <c:pt idx="711">
                    <c:v>22/04/2025</c:v>
                  </c:pt>
                  <c:pt idx="712">
                    <c:v>22/04/2025</c:v>
                  </c:pt>
                  <c:pt idx="713">
                    <c:v>01/11/2025</c:v>
                  </c:pt>
                  <c:pt idx="714">
                    <c:v>01/11/2025</c:v>
                  </c:pt>
                  <c:pt idx="715">
                    <c:v>01/02/2024</c:v>
                  </c:pt>
                  <c:pt idx="716">
                    <c:v>01/02/2024</c:v>
                  </c:pt>
                  <c:pt idx="717">
                    <c:v>07/01/2025</c:v>
                  </c:pt>
                  <c:pt idx="718">
                    <c:v>01/02/2024</c:v>
                  </c:pt>
                  <c:pt idx="719">
                    <c:v>12/07/2025</c:v>
                  </c:pt>
                  <c:pt idx="720">
                    <c:v>12/07/2025</c:v>
                  </c:pt>
                  <c:pt idx="721">
                    <c:v>15/11/2024</c:v>
                  </c:pt>
                  <c:pt idx="722">
                    <c:v>23/09/2025</c:v>
                  </c:pt>
                  <c:pt idx="723">
                    <c:v>03/10/2024</c:v>
                  </c:pt>
                  <c:pt idx="724">
                    <c:v>13/03/2025</c:v>
                  </c:pt>
                  <c:pt idx="725">
                    <c:v>13/03/2025</c:v>
                  </c:pt>
                  <c:pt idx="726">
                    <c:v>22/12/2025</c:v>
                  </c:pt>
                  <c:pt idx="727">
                    <c:v>22/12/2025</c:v>
                  </c:pt>
                  <c:pt idx="728">
                    <c:v>24/03/2020</c:v>
                  </c:pt>
                  <c:pt idx="729">
                    <c:v>24/03/2020</c:v>
                  </c:pt>
                  <c:pt idx="730">
                    <c:v>06/10/2025</c:v>
                  </c:pt>
                  <c:pt idx="731">
                    <c:v>06/10/2025</c:v>
                  </c:pt>
                  <c:pt idx="732">
                    <c:v>16/07/2022</c:v>
                  </c:pt>
                  <c:pt idx="733">
                    <c:v>06/09/2023</c:v>
                  </c:pt>
                  <c:pt idx="734">
                    <c:v>28/06/2024</c:v>
                  </c:pt>
                  <c:pt idx="735">
                    <c:v>23/11/2021</c:v>
                  </c:pt>
                  <c:pt idx="736">
                    <c:v>25/05/2025</c:v>
                  </c:pt>
                  <c:pt idx="739">
                    <c:v>27/07/2023</c:v>
                  </c:pt>
                  <c:pt idx="740">
                    <c:v>31/07/2024</c:v>
                  </c:pt>
                  <c:pt idx="741">
                    <c:v>27/07/2023</c:v>
                  </c:pt>
                  <c:pt idx="742">
                    <c:v>05/03/2025</c:v>
                  </c:pt>
                  <c:pt idx="743">
                    <c:v>12/03/2021</c:v>
                  </c:pt>
                  <c:pt idx="744">
                    <c:v>20/11/2025</c:v>
                  </c:pt>
                  <c:pt idx="749">
                    <c:v>16/08/2023</c:v>
                  </c:pt>
                  <c:pt idx="750">
                    <c:v>20/10/2023</c:v>
                  </c:pt>
                  <c:pt idx="751">
                    <c:v>04/10/2023</c:v>
                  </c:pt>
                  <c:pt idx="754">
                    <c:v>24/10/2024</c:v>
                  </c:pt>
                  <c:pt idx="755">
                    <c:v>03/11/2025</c:v>
                  </c:pt>
                  <c:pt idx="756">
                    <c:v>03/11/2025</c:v>
                  </c:pt>
                  <c:pt idx="757">
                    <c:v>03/11/2025</c:v>
                  </c:pt>
                  <c:pt idx="758">
                    <c:v>20/11/2025</c:v>
                  </c:pt>
                  <c:pt idx="759">
                    <c:v>20/11/2025</c:v>
                  </c:pt>
                  <c:pt idx="760">
                    <c:v>22/06/2022</c:v>
                  </c:pt>
                  <c:pt idx="761">
                    <c:v>09/01/2020</c:v>
                  </c:pt>
                  <c:pt idx="762">
                    <c:v>09/01/2020</c:v>
                  </c:pt>
                  <c:pt idx="763">
                    <c:v>10/01/2024</c:v>
                  </c:pt>
                  <c:pt idx="764">
                    <c:v>16/04/2025</c:v>
                  </c:pt>
                  <c:pt idx="765">
                    <c:v>09/09/2025</c:v>
                  </c:pt>
                  <c:pt idx="766">
                    <c:v>14/03/2025</c:v>
                  </c:pt>
                  <c:pt idx="767">
                    <c:v>21/10/2023</c:v>
                  </c:pt>
                  <c:pt idx="768">
                    <c:v>08/12/2025</c:v>
                  </c:pt>
                  <c:pt idx="769">
                    <c:v>27/03/2025</c:v>
                  </c:pt>
                  <c:pt idx="770">
                    <c:v>18/11/2025</c:v>
                  </c:pt>
                  <c:pt idx="771">
                    <c:v>28/02/2024</c:v>
                  </c:pt>
                  <c:pt idx="772">
                    <c:v>18/10/2025</c:v>
                  </c:pt>
                  <c:pt idx="773">
                    <c:v>14/10/2024</c:v>
                  </c:pt>
                  <c:pt idx="774">
                    <c:v>25/07/2024</c:v>
                  </c:pt>
                  <c:pt idx="775">
                    <c:v>10/03/2020</c:v>
                  </c:pt>
                  <c:pt idx="776">
                    <c:v>05/05/2020</c:v>
                  </c:pt>
                  <c:pt idx="777">
                    <c:v>15/03/2022</c:v>
                  </c:pt>
                  <c:pt idx="778">
                    <c:v>21/11/2025</c:v>
                  </c:pt>
                  <c:pt idx="779">
                    <c:v>26/07/2024</c:v>
                  </c:pt>
                  <c:pt idx="780">
                    <c:v>26/07/2024</c:v>
                  </c:pt>
                  <c:pt idx="781">
                    <c:v>26/05/2020</c:v>
                  </c:pt>
                  <c:pt idx="782">
                    <c:v>10/10/2020</c:v>
                  </c:pt>
                  <c:pt idx="783">
                    <c:v>31/07/2024</c:v>
                  </c:pt>
                  <c:pt idx="784">
                    <c:v>08/08/2021</c:v>
                  </c:pt>
                  <c:pt idx="785">
                    <c:v>08/08/2021</c:v>
                  </c:pt>
                  <c:pt idx="786">
                    <c:v>23/09/2021</c:v>
                  </c:pt>
                  <c:pt idx="787">
                    <c:v>25/07/2020</c:v>
                  </c:pt>
                  <c:pt idx="788">
                    <c:v>16/03/2022</c:v>
                  </c:pt>
                  <c:pt idx="789">
                    <c:v>07/06/2024</c:v>
                  </c:pt>
                  <c:pt idx="790">
                    <c:v>07/06/2024</c:v>
                  </c:pt>
                  <c:pt idx="791">
                    <c:v>07/06/2024</c:v>
                  </c:pt>
                  <c:pt idx="792">
                    <c:v>17/10/2024</c:v>
                  </c:pt>
                  <c:pt idx="793">
                    <c:v>01/03/2023</c:v>
                  </c:pt>
                  <c:pt idx="794">
                    <c:v>10/03/2020</c:v>
                  </c:pt>
                  <c:pt idx="796">
                    <c:v>29/07/2025</c:v>
                  </c:pt>
                  <c:pt idx="797">
                    <c:v>29/07/2025</c:v>
                  </c:pt>
                  <c:pt idx="798">
                    <c:v>30/01/2025</c:v>
                  </c:pt>
                  <c:pt idx="799">
                    <c:v>23/01/2023</c:v>
                  </c:pt>
                  <c:pt idx="800">
                    <c:v>28/09/2023</c:v>
                  </c:pt>
                  <c:pt idx="801">
                    <c:v>14/03/2023</c:v>
                  </c:pt>
                  <c:pt idx="802">
                    <c:v>14/03/2023</c:v>
                  </c:pt>
                  <c:pt idx="803">
                    <c:v>14/03/2023</c:v>
                  </c:pt>
                  <c:pt idx="804">
                    <c:v>22/06/2023</c:v>
                  </c:pt>
                  <c:pt idx="805">
                    <c:v>07/07/2022</c:v>
                  </c:pt>
                  <c:pt idx="806">
                    <c:v>06/04/2022</c:v>
                  </c:pt>
                  <c:pt idx="807">
                    <c:v>20/03/2023</c:v>
                  </c:pt>
                  <c:pt idx="808">
                    <c:v>20/03/2023</c:v>
                  </c:pt>
                  <c:pt idx="809">
                    <c:v>20/03/2023</c:v>
                  </c:pt>
                  <c:pt idx="810">
                    <c:v>05/05/2020</c:v>
                  </c:pt>
                  <c:pt idx="811">
                    <c:v>09/09/2022</c:v>
                  </c:pt>
                  <c:pt idx="812">
                    <c:v>09/09/2022</c:v>
                  </c:pt>
                  <c:pt idx="813">
                    <c:v>16/09/2021</c:v>
                  </c:pt>
                  <c:pt idx="814">
                    <c:v>30/09/2022</c:v>
                  </c:pt>
                  <c:pt idx="815">
                    <c:v>10/09/2024</c:v>
                  </c:pt>
                  <c:pt idx="816">
                    <c:v>10/09/2024</c:v>
                  </c:pt>
                  <c:pt idx="817">
                    <c:v>10/09/2024</c:v>
                  </c:pt>
                  <c:pt idx="818">
                    <c:v>19/05/2020</c:v>
                  </c:pt>
                  <c:pt idx="819">
                    <c:v>15/10/2025</c:v>
                  </c:pt>
                  <c:pt idx="820">
                    <c:v>15/10/2025</c:v>
                  </c:pt>
                  <c:pt idx="821">
                    <c:v>04/06/2025</c:v>
                  </c:pt>
                  <c:pt idx="822">
                    <c:v>04/06/2025</c:v>
                  </c:pt>
                  <c:pt idx="823">
                    <c:v>20/11/2025</c:v>
                  </c:pt>
                  <c:pt idx="824">
                    <c:v>20/11/2025</c:v>
                  </c:pt>
                  <c:pt idx="825">
                    <c:v>20/11/2025</c:v>
                  </c:pt>
                  <c:pt idx="826">
                    <c:v>20/11/2025</c:v>
                  </c:pt>
                  <c:pt idx="827">
                    <c:v>20/11/2025</c:v>
                  </c:pt>
                  <c:pt idx="828">
                    <c:v>24/04/2020</c:v>
                  </c:pt>
                  <c:pt idx="829">
                    <c:v>30/10/2025</c:v>
                  </c:pt>
                  <c:pt idx="830">
                    <c:v>20/11/2025</c:v>
                  </c:pt>
                  <c:pt idx="831">
                    <c:v>07/05/2021</c:v>
                  </c:pt>
                  <c:pt idx="832">
                    <c:v>11/05/2023</c:v>
                  </c:pt>
                  <c:pt idx="833">
                    <c:v>30/10/2025</c:v>
                  </c:pt>
                  <c:pt idx="834">
                    <c:v>30/10/2025</c:v>
                  </c:pt>
                  <c:pt idx="835">
                    <c:v>25/04/2024</c:v>
                  </c:pt>
                  <c:pt idx="836">
                    <c:v>16/08/2023</c:v>
                  </c:pt>
                  <c:pt idx="837">
                    <c:v>16/08/2023</c:v>
                  </c:pt>
                  <c:pt idx="838">
                    <c:v>13/07/2022</c:v>
                  </c:pt>
                  <c:pt idx="839">
                    <c:v>27/07/2023</c:v>
                  </c:pt>
                  <c:pt idx="840">
                    <c:v>16/11/2022</c:v>
                  </c:pt>
                  <c:pt idx="841">
                    <c:v>22/03/2022</c:v>
                  </c:pt>
                  <c:pt idx="842">
                    <c:v>12/08/2022</c:v>
                  </c:pt>
                  <c:pt idx="843">
                    <c:v>20/11/2025</c:v>
                  </c:pt>
                  <c:pt idx="844">
                    <c:v>20/11/2025</c:v>
                  </c:pt>
                  <c:pt idx="845">
                    <c:v>20/11/2025</c:v>
                  </c:pt>
                  <c:pt idx="846">
                    <c:v>09/04/2021</c:v>
                  </c:pt>
                  <c:pt idx="847">
                    <c:v>21/11/2023</c:v>
                  </c:pt>
                  <c:pt idx="848">
                    <c:v>21/02/2022</c:v>
                  </c:pt>
                  <c:pt idx="849">
                    <c:v>07/01/2026</c:v>
                  </c:pt>
                  <c:pt idx="850">
                    <c:v>30/11/2022</c:v>
                  </c:pt>
                  <c:pt idx="851">
                    <c:v>30/11/2022</c:v>
                  </c:pt>
                  <c:pt idx="852">
                    <c:v>12/02/2021</c:v>
                  </c:pt>
                  <c:pt idx="853">
                    <c:v>24/03/2025</c:v>
                  </c:pt>
                  <c:pt idx="854">
                    <c:v>23/12/2020</c:v>
                  </c:pt>
                  <c:pt idx="855">
                    <c:v>23/12/2020</c:v>
                  </c:pt>
                  <c:pt idx="856">
                    <c:v>16/08/2021</c:v>
                  </c:pt>
                  <c:pt idx="857">
                    <c:v>24/03/2025</c:v>
                  </c:pt>
                  <c:pt idx="858">
                    <c:v>24/03/2025</c:v>
                  </c:pt>
                  <c:pt idx="859">
                    <c:v>05/05/2020</c:v>
                  </c:pt>
                  <c:pt idx="860">
                    <c:v>24/03/2025</c:v>
                  </c:pt>
                  <c:pt idx="861">
                    <c:v>24/03/2025</c:v>
                  </c:pt>
                  <c:pt idx="862">
                    <c:v>30/11/2022</c:v>
                  </c:pt>
                  <c:pt idx="863">
                    <c:v>27/04/2022</c:v>
                  </c:pt>
                  <c:pt idx="864">
                    <c:v>18/03/2025</c:v>
                  </c:pt>
                  <c:pt idx="865">
                    <c:v>10/12/2024</c:v>
                  </c:pt>
                  <c:pt idx="866">
                    <c:v>02/03/2021</c:v>
                  </c:pt>
                  <c:pt idx="867">
                    <c:v>06/01/2026</c:v>
                  </c:pt>
                  <c:pt idx="868">
                    <c:v>10/12/2024</c:v>
                  </c:pt>
                  <c:pt idx="869">
                    <c:v>05/05/2020</c:v>
                  </c:pt>
                  <c:pt idx="870">
                    <c:v>15/11/2023</c:v>
                  </c:pt>
                  <c:pt idx="871">
                    <c:v>15/09/2025</c:v>
                  </c:pt>
                  <c:pt idx="872">
                    <c:v>23/04/2025</c:v>
                  </c:pt>
                  <c:pt idx="873">
                    <c:v>28/03/2022</c:v>
                  </c:pt>
                  <c:pt idx="874">
                    <c:v>28/03/2022</c:v>
                  </c:pt>
                  <c:pt idx="875">
                    <c:v>28/03/2022</c:v>
                  </c:pt>
                  <c:pt idx="876">
                    <c:v>25/04/2022</c:v>
                  </c:pt>
                  <c:pt idx="877">
                    <c:v>22/02/2021</c:v>
                  </c:pt>
                  <c:pt idx="878">
                    <c:v>29/10/2021</c:v>
                  </c:pt>
                  <c:pt idx="879">
                    <c:v>15/03/2022</c:v>
                  </c:pt>
                  <c:pt idx="880">
                    <c:v>07/10/2024</c:v>
                  </c:pt>
                  <c:pt idx="881">
                    <c:v>13/07/2022</c:v>
                  </c:pt>
                  <c:pt idx="882">
                    <c:v>28/10/2023</c:v>
                  </c:pt>
                  <c:pt idx="883">
                    <c:v>29/10/2025</c:v>
                  </c:pt>
                  <c:pt idx="884">
                    <c:v>15/03/2021</c:v>
                  </c:pt>
                  <c:pt idx="885">
                    <c:v>11/11/2021</c:v>
                  </c:pt>
                  <c:pt idx="886">
                    <c:v>29/09/2025</c:v>
                  </c:pt>
                  <c:pt idx="887">
                    <c:v>29/09/2025</c:v>
                  </c:pt>
                  <c:pt idx="888">
                    <c:v>29/09/2025</c:v>
                  </c:pt>
                  <c:pt idx="889">
                    <c:v>13/01/2023</c:v>
                  </c:pt>
                  <c:pt idx="890">
                    <c:v>15/04/2025</c:v>
                  </c:pt>
                  <c:pt idx="891">
                    <c:v>06/04/2022</c:v>
                  </c:pt>
                  <c:pt idx="892">
                    <c:v>06/04/2022</c:v>
                  </c:pt>
                  <c:pt idx="893">
                    <c:v>10/04/2023</c:v>
                  </c:pt>
                  <c:pt idx="894">
                    <c:v>07/10/2024</c:v>
                  </c:pt>
                  <c:pt idx="895">
                    <c:v>10/12/2024</c:v>
                  </c:pt>
                  <c:pt idx="896">
                    <c:v>10/12/2024</c:v>
                  </c:pt>
                  <c:pt idx="897">
                    <c:v>06/09/2023</c:v>
                  </c:pt>
                  <c:pt idx="898">
                    <c:v>22/02/2021</c:v>
                  </c:pt>
                  <c:pt idx="899">
                    <c:v>06/04/2022</c:v>
                  </c:pt>
                  <c:pt idx="900">
                    <c:v>06/04/2022</c:v>
                  </c:pt>
                  <c:pt idx="901">
                    <c:v>06/04/2022</c:v>
                  </c:pt>
                  <c:pt idx="902">
                    <c:v>05/05/2020</c:v>
                  </c:pt>
                  <c:pt idx="903">
                    <c:v>22/02/2021</c:v>
                  </c:pt>
                  <c:pt idx="904">
                    <c:v>07/06/2024</c:v>
                  </c:pt>
                  <c:pt idx="905">
                    <c:v>30/12/2024</c:v>
                  </c:pt>
                  <c:pt idx="906">
                    <c:v>29/09/2025</c:v>
                  </c:pt>
                  <c:pt idx="907">
                    <c:v>20/11/2025</c:v>
                  </c:pt>
                  <c:pt idx="908">
                    <c:v>12/02/2021</c:v>
                  </c:pt>
                  <c:pt idx="909">
                    <c:v>12/02/2021</c:v>
                  </c:pt>
                  <c:pt idx="910">
                    <c:v>02/12/2021</c:v>
                  </c:pt>
                  <c:pt idx="911">
                    <c:v>02/12/2021</c:v>
                  </c:pt>
                  <c:pt idx="912">
                    <c:v>16/01/2025</c:v>
                  </c:pt>
                  <c:pt idx="913">
                    <c:v>17/08/2025</c:v>
                  </c:pt>
                  <c:pt idx="914">
                    <c:v>19/02/2024</c:v>
                  </c:pt>
                  <c:pt idx="915">
                    <c:v>17/08/2025</c:v>
                  </c:pt>
                  <c:pt idx="916">
                    <c:v>30/04/2025</c:v>
                  </c:pt>
                  <c:pt idx="917">
                    <c:v>30/04/2025</c:v>
                  </c:pt>
                  <c:pt idx="918">
                    <c:v>07/07/2022</c:v>
                  </c:pt>
                  <c:pt idx="919">
                    <c:v>25/04/2024</c:v>
                  </c:pt>
                  <c:pt idx="920">
                    <c:v>28/11/2023</c:v>
                  </c:pt>
                  <c:pt idx="921">
                    <c:v>11/07/2025</c:v>
                  </c:pt>
                  <c:pt idx="922">
                    <c:v>11/01/2025</c:v>
                  </c:pt>
                  <c:pt idx="923">
                    <c:v>20/10/2023</c:v>
                  </c:pt>
                  <c:pt idx="924">
                    <c:v>28/11/2023</c:v>
                  </c:pt>
                  <c:pt idx="925">
                    <c:v>20/11/2025</c:v>
                  </c:pt>
                  <c:pt idx="926">
                    <c:v>21/10/2023</c:v>
                  </c:pt>
                  <c:pt idx="931">
                    <c:v>25/04/2025</c:v>
                  </c:pt>
                  <c:pt idx="932">
                    <c:v>25/04/2025</c:v>
                  </c:pt>
                  <c:pt idx="933">
                    <c:v>27/12/2024</c:v>
                  </c:pt>
                  <c:pt idx="934">
                    <c:v>27/12/2024</c:v>
                  </c:pt>
                  <c:pt idx="935">
                    <c:v>27/12/2024</c:v>
                  </c:pt>
                  <c:pt idx="936">
                    <c:v>27/12/2024</c:v>
                  </c:pt>
                  <c:pt idx="937">
                    <c:v>27/12/2024</c:v>
                  </c:pt>
                  <c:pt idx="938">
                    <c:v>27/12/2024</c:v>
                  </c:pt>
                  <c:pt idx="939">
                    <c:v>06/06/2024</c:v>
                  </c:pt>
                  <c:pt idx="940">
                    <c:v>31/07/2024</c:v>
                  </c:pt>
                  <c:pt idx="941">
                    <c:v>16/11/2022</c:v>
                  </c:pt>
                  <c:pt idx="942">
                    <c:v>06/10/2022</c:v>
                  </c:pt>
                  <c:pt idx="943">
                    <c:v>03/03/2021</c:v>
                  </c:pt>
                  <c:pt idx="944">
                    <c:v>25/04/2024</c:v>
                  </c:pt>
                  <c:pt idx="945">
                    <c:v>28/03/2022</c:v>
                  </c:pt>
                  <c:pt idx="946">
                    <c:v>27/12/2024</c:v>
                  </c:pt>
                  <c:pt idx="947">
                    <c:v>27/12/2024</c:v>
                  </c:pt>
                  <c:pt idx="948">
                    <c:v>27/12/2024</c:v>
                  </c:pt>
                  <c:pt idx="949">
                    <c:v>21/09/2021</c:v>
                  </c:pt>
                  <c:pt idx="950">
                    <c:v>25/04/2024</c:v>
                  </c:pt>
                  <c:pt idx="951">
                    <c:v>25/04/2024</c:v>
                  </c:pt>
                  <c:pt idx="952">
                    <c:v>25/04/2024</c:v>
                  </c:pt>
                  <c:pt idx="953">
                    <c:v>13/01/2023</c:v>
                  </c:pt>
                  <c:pt idx="954">
                    <c:v>25/04/2024</c:v>
                  </c:pt>
                  <c:pt idx="955">
                    <c:v>26/10/2023</c:v>
                  </c:pt>
                  <c:pt idx="956">
                    <c:v>04/06/2025</c:v>
                  </c:pt>
                  <c:pt idx="957">
                    <c:v>30/10/2025</c:v>
                  </c:pt>
                  <c:pt idx="958">
                    <c:v>30/10/2025</c:v>
                  </c:pt>
                  <c:pt idx="959">
                    <c:v>04/11/2025</c:v>
                  </c:pt>
                  <c:pt idx="960">
                    <c:v>16/03/2023</c:v>
                  </c:pt>
                  <c:pt idx="961">
                    <c:v>18/09/2025</c:v>
                  </c:pt>
                  <c:pt idx="962">
                    <c:v>07/07/2022</c:v>
                  </c:pt>
                  <c:pt idx="963">
                    <c:v>07/07/2022</c:v>
                  </c:pt>
                  <c:pt idx="964">
                    <c:v>07/07/2022</c:v>
                  </c:pt>
                  <c:pt idx="965">
                    <c:v>07/07/2022</c:v>
                  </c:pt>
                  <c:pt idx="966">
                    <c:v>14/11/2023</c:v>
                  </c:pt>
                  <c:pt idx="967">
                    <c:v>07/07/2022</c:v>
                  </c:pt>
                  <c:pt idx="968">
                    <c:v>21/09/2021</c:v>
                  </c:pt>
                  <c:pt idx="969">
                    <c:v>21/09/2021</c:v>
                  </c:pt>
                  <c:pt idx="971">
                    <c:v>20/11/2025</c:v>
                  </c:pt>
                  <c:pt idx="972">
                    <c:v>20/11/2025</c:v>
                  </c:pt>
                  <c:pt idx="973">
                    <c:v>20/11/2025</c:v>
                  </c:pt>
                  <c:pt idx="974">
                    <c:v>04/06/2025</c:v>
                  </c:pt>
                  <c:pt idx="975">
                    <c:v>15/07/2021</c:v>
                  </c:pt>
                  <c:pt idx="976">
                    <c:v>09/09/2025</c:v>
                  </c:pt>
                  <c:pt idx="977">
                    <c:v>04/06/2025</c:v>
                  </c:pt>
                  <c:pt idx="978">
                    <c:v>04/06/2025</c:v>
                  </c:pt>
                  <c:pt idx="979">
                    <c:v>20/11/2025</c:v>
                  </c:pt>
                  <c:pt idx="980">
                    <c:v>07/07/2022</c:v>
                  </c:pt>
                  <c:pt idx="981">
                    <c:v>07/07/2022</c:v>
                  </c:pt>
                  <c:pt idx="982">
                    <c:v>18/09/2025</c:v>
                  </c:pt>
                  <c:pt idx="983">
                    <c:v>16/03/2023</c:v>
                  </c:pt>
                  <c:pt idx="984">
                    <c:v>20/10/2023</c:v>
                  </c:pt>
                  <c:pt idx="985">
                    <c:v>20/10/2023</c:v>
                  </c:pt>
                  <c:pt idx="986">
                    <c:v>20/10/2023</c:v>
                  </c:pt>
                  <c:pt idx="987">
                    <c:v>20/10/2023</c:v>
                  </c:pt>
                  <c:pt idx="988">
                    <c:v>29/06/2020</c:v>
                  </c:pt>
                  <c:pt idx="989">
                    <c:v>20/10/2023</c:v>
                  </c:pt>
                  <c:pt idx="990">
                    <c:v>20/10/2023</c:v>
                  </c:pt>
                  <c:pt idx="991">
                    <c:v>20/07/2023</c:v>
                  </c:pt>
                  <c:pt idx="992">
                    <c:v>29/09/2025</c:v>
                  </c:pt>
                  <c:pt idx="993">
                    <c:v>20/03/2023</c:v>
                  </c:pt>
                  <c:pt idx="994">
                    <c:v>29/09/2025</c:v>
                  </c:pt>
                  <c:pt idx="995">
                    <c:v>29/09/2025</c:v>
                  </c:pt>
                  <c:pt idx="996">
                    <c:v>20/03/2023</c:v>
                  </c:pt>
                  <c:pt idx="997">
                    <c:v>22/03/2022</c:v>
                  </c:pt>
                  <c:pt idx="998">
                    <c:v>30/10/2025</c:v>
                  </c:pt>
                  <c:pt idx="999">
                    <c:v>30/10/2025</c:v>
                  </c:pt>
                  <c:pt idx="1000">
                    <c:v>30/10/2025</c:v>
                  </c:pt>
                  <c:pt idx="1001">
                    <c:v>30/10/2025</c:v>
                  </c:pt>
                  <c:pt idx="1002">
                    <c:v>30/10/2025</c:v>
                  </c:pt>
                  <c:pt idx="1003">
                    <c:v>28/03/2022</c:v>
                  </c:pt>
                  <c:pt idx="1004">
                    <c:v>30/10/2025</c:v>
                  </c:pt>
                  <c:pt idx="1005">
                    <c:v>30/10/2025</c:v>
                  </c:pt>
                  <c:pt idx="1006">
                    <c:v>30/10/2025</c:v>
                  </c:pt>
                  <c:pt idx="1007">
                    <c:v>30/10/2025</c:v>
                  </c:pt>
                  <c:pt idx="1008">
                    <c:v>15/03/2024</c:v>
                  </c:pt>
                  <c:pt idx="1009">
                    <c:v>15/03/2024</c:v>
                  </c:pt>
                  <c:pt idx="1010">
                    <c:v>15/03/2024</c:v>
                  </c:pt>
                  <c:pt idx="1011">
                    <c:v>28/03/2022</c:v>
                  </c:pt>
                  <c:pt idx="1012">
                    <c:v>29/09/2025</c:v>
                  </c:pt>
                  <c:pt idx="1013">
                    <c:v>16/06/2022</c:v>
                  </c:pt>
                  <c:pt idx="1014">
                    <c:v>16/06/2022</c:v>
                  </c:pt>
                  <c:pt idx="1015">
                    <c:v>16/09/2022</c:v>
                  </c:pt>
                  <c:pt idx="1016">
                    <c:v>16/06/2022</c:v>
                  </c:pt>
                  <c:pt idx="1017">
                    <c:v>16/06/2022</c:v>
                  </c:pt>
                  <c:pt idx="1018">
                    <c:v>04/06/2025</c:v>
                  </c:pt>
                  <c:pt idx="1019">
                    <c:v>04/06/2025</c:v>
                  </c:pt>
                  <c:pt idx="1020">
                    <c:v>04/06/2025</c:v>
                  </c:pt>
                  <c:pt idx="1021">
                    <c:v>04/06/2025</c:v>
                  </c:pt>
                  <c:pt idx="1022">
                    <c:v>14/11/2024</c:v>
                  </c:pt>
                  <c:pt idx="1023">
                    <c:v>27/01/2024</c:v>
                  </c:pt>
                  <c:pt idx="1024">
                    <c:v>14/11/2024</c:v>
                  </c:pt>
                  <c:pt idx="1025">
                    <c:v>10/09/2024</c:v>
                  </c:pt>
                  <c:pt idx="1026">
                    <c:v>25/04/2025</c:v>
                  </c:pt>
                  <c:pt idx="1027">
                    <c:v>25/04/2025</c:v>
                  </c:pt>
                  <c:pt idx="1028">
                    <c:v>25/04/2025</c:v>
                  </c:pt>
                  <c:pt idx="1029">
                    <c:v>25/04/2025</c:v>
                  </c:pt>
                  <c:pt idx="1030">
                    <c:v>04/06/2025</c:v>
                  </c:pt>
                  <c:pt idx="1031">
                    <c:v>04/06/2025</c:v>
                  </c:pt>
                  <c:pt idx="1032">
                    <c:v>04/06/2025</c:v>
                  </c:pt>
                  <c:pt idx="1033">
                    <c:v>15/10/2025</c:v>
                  </c:pt>
                  <c:pt idx="1034">
                    <c:v>15/10/2025</c:v>
                  </c:pt>
                  <c:pt idx="1035">
                    <c:v>15/10/2025</c:v>
                  </c:pt>
                  <c:pt idx="1036">
                    <c:v>09/09/2025</c:v>
                  </c:pt>
                  <c:pt idx="1037">
                    <c:v>09/09/2025</c:v>
                  </c:pt>
                  <c:pt idx="1038">
                    <c:v>09/09/2025</c:v>
                  </c:pt>
                  <c:pt idx="1039">
                    <c:v>09/09/2025</c:v>
                  </c:pt>
                  <c:pt idx="1040">
                    <c:v>30/10/2025</c:v>
                  </c:pt>
                  <c:pt idx="1041">
                    <c:v>09/09/2025</c:v>
                  </c:pt>
                  <c:pt idx="1042">
                    <c:v>09/09/2025</c:v>
                  </c:pt>
                  <c:pt idx="1043">
                    <c:v>09/09/2025</c:v>
                  </c:pt>
                  <c:pt idx="1044">
                    <c:v>30/10/2025</c:v>
                  </c:pt>
                  <c:pt idx="1045">
                    <c:v>09/09/2025</c:v>
                  </c:pt>
                  <c:pt idx="1046">
                    <c:v>09/09/2025</c:v>
                  </c:pt>
                  <c:pt idx="1047">
                    <c:v>08/03/2022</c:v>
                  </c:pt>
                  <c:pt idx="1048">
                    <c:v>08/03/2022</c:v>
                  </c:pt>
                  <c:pt idx="1049">
                    <c:v>08/03/2022</c:v>
                  </c:pt>
                  <c:pt idx="1050">
                    <c:v>15/10/2025</c:v>
                  </c:pt>
                  <c:pt idx="1051">
                    <c:v>15/10/2025</c:v>
                  </c:pt>
                  <c:pt idx="1052">
                    <c:v>18/01/2023</c:v>
                  </c:pt>
                  <c:pt idx="1053">
                    <c:v>13/03/2024</c:v>
                  </c:pt>
                  <c:pt idx="1054">
                    <c:v>07/02/2024</c:v>
                  </c:pt>
                  <c:pt idx="1055">
                    <c:v>07/02/2024</c:v>
                  </c:pt>
                  <c:pt idx="1056">
                    <c:v>26/02/2025</c:v>
                  </c:pt>
                  <c:pt idx="1057">
                    <c:v>15/04/2025</c:v>
                  </c:pt>
                  <c:pt idx="1058">
                    <c:v>15/04/2025</c:v>
                  </c:pt>
                  <c:pt idx="1059">
                    <c:v>30/10/2025</c:v>
                  </c:pt>
                  <c:pt idx="1060">
                    <c:v>11/06/2025</c:v>
                  </c:pt>
                  <c:pt idx="1061">
                    <c:v>18/12/2025</c:v>
                  </c:pt>
                  <c:pt idx="1062">
                    <c:v>11/06/2025</c:v>
                  </c:pt>
                  <c:pt idx="1063">
                    <c:v>13/04/2023</c:v>
                  </c:pt>
                  <c:pt idx="1064">
                    <c:v>13/04/2023</c:v>
                  </c:pt>
                  <c:pt idx="1065">
                    <c:v>15/04/2025</c:v>
                  </c:pt>
                  <c:pt idx="1066">
                    <c:v>15/04/2025</c:v>
                  </c:pt>
                  <c:pt idx="1067">
                    <c:v>05/12/2024</c:v>
                  </c:pt>
                  <c:pt idx="1068">
                    <c:v>01/11/2023</c:v>
                  </c:pt>
                  <c:pt idx="1069">
                    <c:v>28/05/2025</c:v>
                  </c:pt>
                  <c:pt idx="1070">
                    <c:v>28/05/2025</c:v>
                  </c:pt>
                  <c:pt idx="1071">
                    <c:v>30/10/2025</c:v>
                  </c:pt>
                  <c:pt idx="1072">
                    <c:v>07/05/2021</c:v>
                  </c:pt>
                  <c:pt idx="1073">
                    <c:v>07/05/2021</c:v>
                  </c:pt>
                  <c:pt idx="1074">
                    <c:v>07/05/2021</c:v>
                  </c:pt>
                  <c:pt idx="1075">
                    <c:v>07/05/2021</c:v>
                  </c:pt>
                  <c:pt idx="1076">
                    <c:v>07/05/2021</c:v>
                  </c:pt>
                  <c:pt idx="1078">
                    <c:v>07/03/2024</c:v>
                  </c:pt>
                  <c:pt idx="1079">
                    <c:v>07/03/2024</c:v>
                  </c:pt>
                  <c:pt idx="1080">
                    <c:v>09/09/2025</c:v>
                  </c:pt>
                  <c:pt idx="1081">
                    <c:v>04/06/2025</c:v>
                  </c:pt>
                  <c:pt idx="1082">
                    <c:v>04/06/2025</c:v>
                  </c:pt>
                  <c:pt idx="1083">
                    <c:v>04/06/2025</c:v>
                  </c:pt>
                  <c:pt idx="1084">
                    <c:v>04/06/2025</c:v>
                  </c:pt>
                  <c:pt idx="1085">
                    <c:v>15/10/2025</c:v>
                  </c:pt>
                  <c:pt idx="1086">
                    <c:v>15/10/2025</c:v>
                  </c:pt>
                  <c:pt idx="1087">
                    <c:v>20/10/2023</c:v>
                  </c:pt>
                  <c:pt idx="1088">
                    <c:v>20/10/2023</c:v>
                  </c:pt>
                  <c:pt idx="1089">
                    <c:v>20/10/2023</c:v>
                  </c:pt>
                  <c:pt idx="1090">
                    <c:v>20/10/2023</c:v>
                  </c:pt>
                  <c:pt idx="1091">
                    <c:v>09/09/2022</c:v>
                  </c:pt>
                  <c:pt idx="1092">
                    <c:v>16/03/2023</c:v>
                  </c:pt>
                  <c:pt idx="1093">
                    <c:v>16/03/2023</c:v>
                  </c:pt>
                  <c:pt idx="1094">
                    <c:v>07/07/2022</c:v>
                  </c:pt>
                  <c:pt idx="1095">
                    <c:v>18/09/2025</c:v>
                  </c:pt>
                  <c:pt idx="1096">
                    <c:v>13/05/2021</c:v>
                  </c:pt>
                  <c:pt idx="1097">
                    <c:v>06/10/2021</c:v>
                  </c:pt>
                  <c:pt idx="1098">
                    <c:v>01/11/2023</c:v>
                  </c:pt>
                  <c:pt idx="1099">
                    <c:v>16/11/2022</c:v>
                  </c:pt>
                  <c:pt idx="1100">
                    <c:v>07/03/2024</c:v>
                  </c:pt>
                  <c:pt idx="1101">
                    <c:v>30/10/2025</c:v>
                  </c:pt>
                  <c:pt idx="1102">
                    <c:v>10/12/2024</c:v>
                  </c:pt>
                  <c:pt idx="1103">
                    <c:v>18/12/2025</c:v>
                  </c:pt>
                  <c:pt idx="1104">
                    <c:v>16/11/2022</c:v>
                  </c:pt>
                  <c:pt idx="1105">
                    <c:v>03/03/2021</c:v>
                  </c:pt>
                  <c:pt idx="1106">
                    <c:v>02/06/2022</c:v>
                  </c:pt>
                  <c:pt idx="1107">
                    <c:v>01/11/2023</c:v>
                  </c:pt>
                  <c:pt idx="1108">
                    <c:v>28/08/2024</c:v>
                  </c:pt>
                  <c:pt idx="1109">
                    <c:v>14/11/2024</c:v>
                  </c:pt>
                  <c:pt idx="1110">
                    <c:v>10/12/2021</c:v>
                  </c:pt>
                  <c:pt idx="1111">
                    <c:v>11/12/2021</c:v>
                  </c:pt>
                  <c:pt idx="1112">
                    <c:v>13/12/2021</c:v>
                  </c:pt>
                  <c:pt idx="1113">
                    <c:v>14/12/2021</c:v>
                  </c:pt>
                  <c:pt idx="1114">
                    <c:v>15/12/2021</c:v>
                  </c:pt>
                  <c:pt idx="1115">
                    <c:v>10/09/2024</c:v>
                  </c:pt>
                  <c:pt idx="1116">
                    <c:v>28/10/2024</c:v>
                  </c:pt>
                  <c:pt idx="1117">
                    <c:v>28/10/2024</c:v>
                  </c:pt>
                  <c:pt idx="1118">
                    <c:v>17/12/2021</c:v>
                  </c:pt>
                  <c:pt idx="1119">
                    <c:v>14/07/2025</c:v>
                  </c:pt>
                  <c:pt idx="1120">
                    <c:v>14/07/2025</c:v>
                  </c:pt>
                  <c:pt idx="1121">
                    <c:v>28/03/2022</c:v>
                  </c:pt>
                  <c:pt idx="1122">
                    <c:v>05/06/2025</c:v>
                  </c:pt>
                  <c:pt idx="1123">
                    <c:v>05/06/2025</c:v>
                  </c:pt>
                  <c:pt idx="1124">
                    <c:v>25/04/2024</c:v>
                  </c:pt>
                  <c:pt idx="1125">
                    <c:v>25/04/2024</c:v>
                  </c:pt>
                  <c:pt idx="1126">
                    <c:v>25/04/2024</c:v>
                  </c:pt>
                  <c:pt idx="1127">
                    <c:v>02/09/2022</c:v>
                  </c:pt>
                  <c:pt idx="1128">
                    <c:v>30/10/2025</c:v>
                  </c:pt>
                  <c:pt idx="1129">
                    <c:v>30/10/2025</c:v>
                  </c:pt>
                  <c:pt idx="1130">
                    <c:v>30/10/2025</c:v>
                  </c:pt>
                  <c:pt idx="1131">
                    <c:v>30/10/2025</c:v>
                  </c:pt>
                  <c:pt idx="1132">
                    <c:v>30/10/2025</c:v>
                  </c:pt>
                  <c:pt idx="1133">
                    <c:v>30/10/2025</c:v>
                  </c:pt>
                  <c:pt idx="1134">
                    <c:v>30/10/2025</c:v>
                  </c:pt>
                  <c:pt idx="1135">
                    <c:v>30/10/2025</c:v>
                  </c:pt>
                  <c:pt idx="1136">
                    <c:v>24/03/2020</c:v>
                  </c:pt>
                  <c:pt idx="1137">
                    <c:v>24/03/2020</c:v>
                  </c:pt>
                  <c:pt idx="1138">
                    <c:v>24/03/2020</c:v>
                  </c:pt>
                  <c:pt idx="1139">
                    <c:v>24/03/2020</c:v>
                  </c:pt>
                  <c:pt idx="1140">
                    <c:v>24/03/2020</c:v>
                  </c:pt>
                  <c:pt idx="1141">
                    <c:v>24/03/2020</c:v>
                  </c:pt>
                  <c:pt idx="1142">
                    <c:v>09/09/2025</c:v>
                  </c:pt>
                  <c:pt idx="1143">
                    <c:v>16/02/2022</c:v>
                  </c:pt>
                  <c:pt idx="1144">
                    <c:v>26/02/2025</c:v>
                  </c:pt>
                  <c:pt idx="1145">
                    <c:v>20/03/2023</c:v>
                  </c:pt>
                  <c:pt idx="1146">
                    <c:v>26/02/2025</c:v>
                  </c:pt>
                  <c:pt idx="1147">
                    <c:v>14/04/2023</c:v>
                  </c:pt>
                  <c:pt idx="1148">
                    <c:v>24/10/2024</c:v>
                  </c:pt>
                  <c:pt idx="1149">
                    <c:v>11/06/2025</c:v>
                  </c:pt>
                  <c:pt idx="1150">
                    <c:v>01/11/2023</c:v>
                  </c:pt>
                  <c:pt idx="1151">
                    <c:v>03/03/2021</c:v>
                  </c:pt>
                  <c:pt idx="1152">
                    <c:v>18/12/2025</c:v>
                  </c:pt>
                  <c:pt idx="1153">
                    <c:v>10/12/2024</c:v>
                  </c:pt>
                  <c:pt idx="1154">
                    <c:v>10/12/2024</c:v>
                  </c:pt>
                  <c:pt idx="1155">
                    <c:v>25/04/2024</c:v>
                  </c:pt>
                  <c:pt idx="1156">
                    <c:v>14/01/2021</c:v>
                  </c:pt>
                  <c:pt idx="1157">
                    <c:v>22/07/2021</c:v>
                  </c:pt>
                  <c:pt idx="1158">
                    <c:v>16/11/2022</c:v>
                  </c:pt>
                  <c:pt idx="1159">
                    <c:v>06/09/2023</c:v>
                  </c:pt>
                  <c:pt idx="1160">
                    <c:v>18/12/2025</c:v>
                  </c:pt>
                  <c:pt idx="1161">
                    <c:v>30/10/2025</c:v>
                  </c:pt>
                  <c:pt idx="1162">
                    <c:v>01/11/2023</c:v>
                  </c:pt>
                  <c:pt idx="1163">
                    <c:v>18/12/2025</c:v>
                  </c:pt>
                  <c:pt idx="1164">
                    <c:v>30/10/2025</c:v>
                  </c:pt>
                  <c:pt idx="1165">
                    <c:v>30/10/2025</c:v>
                  </c:pt>
                  <c:pt idx="1166">
                    <c:v>26/10/2023</c:v>
                  </c:pt>
                  <c:pt idx="1167">
                    <c:v>21/09/2021</c:v>
                  </c:pt>
                  <c:pt idx="1168">
                    <c:v>28/03/2022</c:v>
                  </c:pt>
                  <c:pt idx="1169">
                    <c:v>21/10/2021</c:v>
                  </c:pt>
                  <c:pt idx="1170">
                    <c:v>15/03/2024</c:v>
                  </c:pt>
                  <c:pt idx="1171">
                    <c:v>15/03/2024</c:v>
                  </c:pt>
                  <c:pt idx="1172">
                    <c:v>15/03/2024</c:v>
                  </c:pt>
                  <c:pt idx="1173">
                    <c:v>10/09/2024</c:v>
                  </c:pt>
                  <c:pt idx="1174">
                    <c:v>15/03/2024</c:v>
                  </c:pt>
                  <c:pt idx="1175">
                    <c:v>15/03/2024</c:v>
                  </c:pt>
                  <c:pt idx="1176">
                    <c:v>15/03/2024</c:v>
                  </c:pt>
                  <c:pt idx="1177">
                    <c:v>15/03/2024</c:v>
                  </c:pt>
                  <c:pt idx="1178">
                    <c:v>20/11/2025</c:v>
                  </c:pt>
                  <c:pt idx="1179">
                    <c:v>20/11/2025</c:v>
                  </c:pt>
                  <c:pt idx="1180">
                    <c:v>20/11/2025</c:v>
                  </c:pt>
                  <c:pt idx="1181">
                    <c:v>20/11/2025</c:v>
                  </c:pt>
                  <c:pt idx="1182">
                    <c:v>16/06/2022</c:v>
                  </c:pt>
                  <c:pt idx="1183">
                    <c:v>16/06/2022</c:v>
                  </c:pt>
                  <c:pt idx="1184">
                    <c:v>30/10/2025</c:v>
                  </c:pt>
                  <c:pt idx="1185">
                    <c:v>27/01/2024</c:v>
                  </c:pt>
                  <c:pt idx="1186">
                    <c:v>27/01/2024</c:v>
                  </c:pt>
                  <c:pt idx="1187">
                    <c:v>14/01/2021</c:v>
                  </c:pt>
                  <c:pt idx="1188">
                    <c:v>24/04/2024</c:v>
                  </c:pt>
                  <c:pt idx="1189">
                    <c:v>16/11/2022</c:v>
                  </c:pt>
                  <c:pt idx="1190">
                    <c:v>16/11/2022</c:v>
                  </c:pt>
                  <c:pt idx="1191">
                    <c:v>16/11/2022</c:v>
                  </c:pt>
                  <c:pt idx="1192">
                    <c:v>16/02/2022</c:v>
                  </c:pt>
                  <c:pt idx="1193">
                    <c:v>06/09/2023</c:v>
                  </c:pt>
                  <c:pt idx="1194">
                    <c:v>24/04/2024</c:v>
                  </c:pt>
                  <c:pt idx="1195">
                    <c:v>13/04/2023</c:v>
                  </c:pt>
                  <c:pt idx="1196">
                    <c:v>01/06/2021</c:v>
                  </c:pt>
                  <c:pt idx="1197">
                    <c:v>16/06/2022</c:v>
                  </c:pt>
                  <c:pt idx="1198">
                    <c:v>10/10/2025</c:v>
                  </c:pt>
                  <c:pt idx="1199">
                    <c:v>15/03/2024</c:v>
                  </c:pt>
                  <c:pt idx="1200">
                    <c:v>15/03/2024</c:v>
                  </c:pt>
                  <c:pt idx="1201">
                    <c:v>05/05/2021</c:v>
                  </c:pt>
                  <c:pt idx="1202">
                    <c:v>10/03/2021</c:v>
                  </c:pt>
                  <c:pt idx="1203">
                    <c:v>14/11/2023</c:v>
                  </c:pt>
                  <c:pt idx="1204">
                    <c:v>04/06/2025</c:v>
                  </c:pt>
                  <c:pt idx="1205">
                    <c:v>20/11/2025</c:v>
                  </c:pt>
                  <c:pt idx="1206">
                    <c:v>27/12/2024</c:v>
                  </c:pt>
                  <c:pt idx="1207">
                    <c:v>24/04/2020</c:v>
                  </c:pt>
                  <c:pt idx="1208">
                    <c:v>25/04/2024</c:v>
                  </c:pt>
                  <c:pt idx="1209">
                    <c:v>21/01/1900</c:v>
                  </c:pt>
                  <c:pt idx="1210">
                    <c:v>04/06/2025</c:v>
                  </c:pt>
                  <c:pt idx="1211">
                    <c:v>20/11/2025</c:v>
                  </c:pt>
                  <c:pt idx="1212">
                    <c:v>20/11/2025</c:v>
                  </c:pt>
                  <c:pt idx="1213">
                    <c:v>18/12/2025</c:v>
                  </c:pt>
                  <c:pt idx="1214">
                    <c:v>18/12/2025</c:v>
                  </c:pt>
                  <c:pt idx="1215">
                    <c:v>09/09/2025</c:v>
                  </c:pt>
                  <c:pt idx="1216">
                    <c:v>09/09/2025</c:v>
                  </c:pt>
                  <c:pt idx="1217">
                    <c:v>09/09/2025</c:v>
                  </c:pt>
                  <c:pt idx="1218">
                    <c:v>17/05/2025</c:v>
                  </c:pt>
                  <c:pt idx="1219">
                    <c:v>17/05/2025</c:v>
                  </c:pt>
                  <c:pt idx="1220">
                    <c:v>08/04/2025</c:v>
                  </c:pt>
                  <c:pt idx="1221">
                    <c:v>17/05/2025</c:v>
                  </c:pt>
                  <c:pt idx="1222">
                    <c:v>17/05/2025</c:v>
                  </c:pt>
                  <c:pt idx="1223">
                    <c:v>29/06/2022</c:v>
                  </c:pt>
                  <c:pt idx="1224">
                    <c:v>01/11/2023</c:v>
                  </c:pt>
                  <c:pt idx="1225">
                    <c:v>21/12/2023</c:v>
                  </c:pt>
                  <c:pt idx="1226">
                    <c:v>07/03/2024</c:v>
                  </c:pt>
                  <c:pt idx="1227">
                    <c:v>24/10/2024</c:v>
                  </c:pt>
                  <c:pt idx="1228">
                    <c:v>18/12/2025</c:v>
                  </c:pt>
                  <c:pt idx="1229">
                    <c:v>24/10/2024</c:v>
                  </c:pt>
                  <c:pt idx="1230">
                    <c:v>24/10/2024</c:v>
                  </c:pt>
                  <c:pt idx="1231">
                    <c:v>17/09/2025</c:v>
                  </c:pt>
                  <c:pt idx="1232">
                    <c:v>24/10/2024</c:v>
                  </c:pt>
                  <c:pt idx="1233">
                    <c:v>17/09/2025</c:v>
                  </c:pt>
                  <c:pt idx="1234">
                    <c:v>25/04/2024</c:v>
                  </c:pt>
                  <c:pt idx="1235">
                    <c:v>08/06/2020</c:v>
                  </c:pt>
                  <c:pt idx="1236">
                    <c:v>08/06/2020</c:v>
                  </c:pt>
                  <c:pt idx="1237">
                    <c:v>25/04/2025</c:v>
                  </c:pt>
                  <c:pt idx="1238">
                    <c:v>25/04/2025</c:v>
                  </c:pt>
                  <c:pt idx="1239">
                    <c:v>25/04/2025</c:v>
                  </c:pt>
                  <c:pt idx="1240">
                    <c:v>25/04/2025</c:v>
                  </c:pt>
                  <c:pt idx="1241">
                    <c:v>25/04/2025</c:v>
                  </c:pt>
                  <c:pt idx="1242">
                    <c:v>25/04/2025</c:v>
                  </c:pt>
                  <c:pt idx="1243">
                    <c:v>25/04/2025</c:v>
                  </c:pt>
                  <c:pt idx="1244">
                    <c:v>25/04/2025</c:v>
                  </c:pt>
                  <c:pt idx="1245">
                    <c:v>28/08/2024</c:v>
                  </c:pt>
                  <c:pt idx="1246">
                    <c:v>25/04/2025</c:v>
                  </c:pt>
                  <c:pt idx="1247">
                    <c:v>28/11/2023</c:v>
                  </c:pt>
                  <c:pt idx="1249">
                    <c:v>29/09/2025</c:v>
                  </c:pt>
                  <c:pt idx="1250">
                    <c:v>29/09/2025</c:v>
                  </c:pt>
                  <c:pt idx="1251">
                    <c:v>13/03/2024</c:v>
                  </c:pt>
                  <c:pt idx="1252">
                    <c:v>29/09/2025</c:v>
                  </c:pt>
                  <c:pt idx="1253">
                    <c:v>11/06/2025</c:v>
                  </c:pt>
                  <c:pt idx="1254">
                    <c:v>11/01/2025</c:v>
                  </c:pt>
                  <c:pt idx="1255">
                    <c:v>29/01/2024</c:v>
                  </c:pt>
                  <c:pt idx="1256">
                    <c:v>07/12/2021</c:v>
                  </c:pt>
                  <c:pt idx="1257">
                    <c:v>03/03/2023</c:v>
                  </c:pt>
                  <c:pt idx="1258">
                    <c:v>27/07/2023</c:v>
                  </c:pt>
                  <c:pt idx="1259">
                    <c:v>29/01/2024</c:v>
                  </c:pt>
                  <c:pt idx="1260">
                    <c:v>29/01/2024</c:v>
                  </c:pt>
                  <c:pt idx="1262">
                    <c:v>31/07/2024</c:v>
                  </c:pt>
                  <c:pt idx="1263">
                    <c:v>31/07/2024</c:v>
                  </c:pt>
                  <c:pt idx="1264">
                    <c:v>13/10/2022</c:v>
                  </c:pt>
                  <c:pt idx="1265">
                    <c:v>02/06/2022</c:v>
                  </c:pt>
                  <c:pt idx="1266">
                    <c:v>25/04/2024</c:v>
                  </c:pt>
                  <c:pt idx="1267">
                    <c:v>27/12/2024</c:v>
                  </c:pt>
                  <c:pt idx="1268">
                    <c:v>15/03/2024</c:v>
                  </c:pt>
                  <c:pt idx="1269">
                    <c:v>27/12/2024</c:v>
                  </c:pt>
                  <c:pt idx="1270">
                    <c:v>15/03/2024</c:v>
                  </c:pt>
                  <c:pt idx="1271">
                    <c:v>15/03/2024</c:v>
                  </c:pt>
                  <c:pt idx="1272">
                    <c:v>10/05/2023</c:v>
                  </c:pt>
                  <c:pt idx="1273">
                    <c:v>07/05/2021</c:v>
                  </c:pt>
                  <c:pt idx="1274">
                    <c:v>07/05/2021</c:v>
                  </c:pt>
                  <c:pt idx="1275">
                    <c:v>07/05/2021</c:v>
                  </c:pt>
                  <c:pt idx="1276">
                    <c:v>07/05/2021</c:v>
                  </c:pt>
                  <c:pt idx="1277">
                    <c:v>07/05/2021</c:v>
                  </c:pt>
                  <c:pt idx="1278">
                    <c:v>18/12/2024</c:v>
                  </c:pt>
                  <c:pt idx="1279">
                    <c:v>07/03/2024</c:v>
                  </c:pt>
                  <c:pt idx="1280">
                    <c:v>07/03/2024</c:v>
                  </c:pt>
                  <c:pt idx="1281">
                    <c:v>07/03/2024</c:v>
                  </c:pt>
                  <c:pt idx="1282">
                    <c:v>07/03/2024</c:v>
                  </c:pt>
                  <c:pt idx="1283">
                    <c:v>06/06/2024</c:v>
                  </c:pt>
                  <c:pt idx="1284">
                    <c:v>28/05/2025</c:v>
                  </c:pt>
                  <c:pt idx="1285">
                    <c:v>28/05/2025</c:v>
                  </c:pt>
                  <c:pt idx="1286">
                    <c:v>28/05/2025</c:v>
                  </c:pt>
                  <c:pt idx="1287">
                    <c:v>28/05/2025</c:v>
                  </c:pt>
                  <c:pt idx="1288">
                    <c:v>08/06/2020</c:v>
                  </c:pt>
                  <c:pt idx="1289">
                    <c:v>10/03/2020</c:v>
                  </c:pt>
                  <c:pt idx="1290">
                    <c:v>22/04/2024</c:v>
                  </c:pt>
                  <c:pt idx="1291">
                    <c:v>22/04/2024</c:v>
                  </c:pt>
                  <c:pt idx="1292">
                    <c:v>25/04/2024</c:v>
                  </c:pt>
                  <c:pt idx="1293">
                    <c:v>25/04/2024</c:v>
                  </c:pt>
                  <c:pt idx="1294">
                    <c:v>15/03/2024</c:v>
                  </c:pt>
                  <c:pt idx="1295">
                    <c:v>15/03/2024</c:v>
                  </c:pt>
                  <c:pt idx="1296">
                    <c:v>15/03/2024</c:v>
                  </c:pt>
                  <c:pt idx="1297">
                    <c:v>04/06/2025</c:v>
                  </c:pt>
                  <c:pt idx="1298">
                    <c:v>04/06/2025</c:v>
                  </c:pt>
                  <c:pt idx="1299">
                    <c:v>04/06/2025</c:v>
                  </c:pt>
                  <c:pt idx="1300">
                    <c:v>04/06/2025</c:v>
                  </c:pt>
                  <c:pt idx="1301">
                    <c:v>27/12/2023</c:v>
                  </c:pt>
                  <c:pt idx="1302">
                    <c:v>04/05/2024</c:v>
                  </c:pt>
                  <c:pt idx="1303">
                    <c:v>04/05/2024</c:v>
                  </c:pt>
                  <c:pt idx="1304">
                    <c:v>04/05/2024</c:v>
                  </c:pt>
                  <c:pt idx="1305">
                    <c:v>04/05/2024</c:v>
                  </c:pt>
                  <c:pt idx="1306">
                    <c:v>04/05/2024</c:v>
                  </c:pt>
                  <c:pt idx="1307">
                    <c:v>04/05/2024</c:v>
                  </c:pt>
                  <c:pt idx="1308">
                    <c:v>04/05/2024</c:v>
                  </c:pt>
                  <c:pt idx="1309">
                    <c:v>04/05/2024</c:v>
                  </c:pt>
                  <c:pt idx="1310">
                    <c:v>04/05/2024</c:v>
                  </c:pt>
                  <c:pt idx="1311">
                    <c:v>04/05/2024</c:v>
                  </c:pt>
                  <c:pt idx="1312">
                    <c:v>04/05/2024</c:v>
                  </c:pt>
                  <c:pt idx="1313">
                    <c:v>04/05/2024</c:v>
                  </c:pt>
                  <c:pt idx="1314">
                    <c:v>04/05/2024</c:v>
                  </c:pt>
                  <c:pt idx="1315">
                    <c:v>31/10/2025</c:v>
                  </c:pt>
                  <c:pt idx="1316">
                    <c:v>31/10/2025</c:v>
                  </c:pt>
                  <c:pt idx="1317">
                    <c:v>11/07/2025</c:v>
                  </c:pt>
                  <c:pt idx="1318">
                    <c:v>09/09/2025</c:v>
                  </c:pt>
                  <c:pt idx="1319">
                    <c:v>16/08/2023</c:v>
                  </c:pt>
                  <c:pt idx="1320">
                    <c:v>11/05/2023</c:v>
                  </c:pt>
                  <c:pt idx="1321">
                    <c:v>15/05/2021</c:v>
                  </c:pt>
                  <c:pt idx="1322">
                    <c:v>15/03/2024</c:v>
                  </c:pt>
                  <c:pt idx="1323">
                    <c:v>25/09/2025</c:v>
                  </c:pt>
                  <c:pt idx="1324">
                    <c:v>15/03/2024</c:v>
                  </c:pt>
                  <c:pt idx="1325">
                    <c:v>02/10/2026</c:v>
                  </c:pt>
                  <c:pt idx="1326">
                    <c:v>27/01/2024</c:v>
                  </c:pt>
                  <c:pt idx="1327">
                    <c:v>10/09/2024</c:v>
                  </c:pt>
                  <c:pt idx="1328">
                    <c:v>20/11/2025</c:v>
                  </c:pt>
                  <c:pt idx="1329">
                    <c:v>08/06/2020</c:v>
                  </c:pt>
                  <c:pt idx="1330">
                    <c:v>15/07/2021</c:v>
                  </c:pt>
                  <c:pt idx="1331">
                    <c:v>08/06/2020</c:v>
                  </c:pt>
                  <c:pt idx="1332">
                    <c:v>08/06/2020</c:v>
                  </c:pt>
                  <c:pt idx="1333">
                    <c:v>09/09/2025</c:v>
                  </c:pt>
                  <c:pt idx="1334">
                    <c:v>25/04/2025</c:v>
                  </c:pt>
                  <c:pt idx="1335">
                    <c:v>27/12/2023</c:v>
                  </c:pt>
                  <c:pt idx="1336">
                    <c:v>25/04/2025</c:v>
                  </c:pt>
                  <c:pt idx="1337">
                    <c:v>11/07/2025</c:v>
                  </c:pt>
                  <c:pt idx="1338">
                    <c:v>25/04/2025</c:v>
                  </c:pt>
                  <c:pt idx="1339">
                    <c:v>25/04/2024</c:v>
                  </c:pt>
                  <c:pt idx="1340">
                    <c:v>25/04/2024</c:v>
                  </c:pt>
                  <c:pt idx="1341">
                    <c:v>25/04/2024</c:v>
                  </c:pt>
                  <c:pt idx="1342">
                    <c:v>27/12/2024</c:v>
                  </c:pt>
                  <c:pt idx="1343">
                    <c:v>04/06/2025</c:v>
                  </c:pt>
                  <c:pt idx="1344">
                    <c:v>20/11/2025</c:v>
                  </c:pt>
                  <c:pt idx="1345">
                    <c:v>30/10/2025</c:v>
                  </c:pt>
                  <c:pt idx="1346">
                    <c:v>10/09/2024</c:v>
                  </c:pt>
                  <c:pt idx="1347">
                    <c:v>20/11/2025</c:v>
                  </c:pt>
                  <c:pt idx="1348">
                    <c:v>08/06/2020</c:v>
                  </c:pt>
                  <c:pt idx="1349">
                    <c:v>20/11/2025</c:v>
                  </c:pt>
                  <c:pt idx="1350">
                    <c:v>10/09/2024</c:v>
                  </c:pt>
                  <c:pt idx="1351">
                    <c:v>10/09/2024</c:v>
                  </c:pt>
                  <c:pt idx="1352">
                    <c:v>10/09/2024</c:v>
                  </c:pt>
                  <c:pt idx="1353">
                    <c:v>27/12/2024</c:v>
                  </c:pt>
                  <c:pt idx="1354">
                    <c:v>30/10/2025</c:v>
                  </c:pt>
                  <c:pt idx="1355">
                    <c:v>19/08/2020</c:v>
                  </c:pt>
                  <c:pt idx="1356">
                    <c:v>19/08/2020</c:v>
                  </c:pt>
                  <c:pt idx="1357">
                    <c:v>10/09/2023</c:v>
                  </c:pt>
                  <c:pt idx="1358">
                    <c:v>27/12/2023</c:v>
                  </c:pt>
                  <c:pt idx="1359">
                    <c:v>04/11/2025</c:v>
                  </c:pt>
                  <c:pt idx="1360">
                    <c:v>07/05/2021</c:v>
                  </c:pt>
                  <c:pt idx="1361">
                    <c:v>10/09/2024</c:v>
                  </c:pt>
                  <c:pt idx="1362">
                    <c:v>10/09/2024</c:v>
                  </c:pt>
                  <c:pt idx="1363">
                    <c:v>10/09/2024</c:v>
                  </c:pt>
                  <c:pt idx="1364">
                    <c:v>06/06/2025</c:v>
                  </c:pt>
                  <c:pt idx="1365">
                    <c:v>09/09/2025</c:v>
                  </c:pt>
                  <c:pt idx="1366">
                    <c:v>09/09/2025</c:v>
                  </c:pt>
                  <c:pt idx="1367">
                    <c:v>09/09/2025</c:v>
                  </c:pt>
                  <c:pt idx="1368">
                    <c:v>09/09/2025</c:v>
                  </c:pt>
                  <c:pt idx="1369">
                    <c:v>09/09/2025</c:v>
                  </c:pt>
                  <c:pt idx="1370">
                    <c:v>07/05/2021</c:v>
                  </c:pt>
                  <c:pt idx="1371">
                    <c:v>16/08/2022</c:v>
                  </c:pt>
                  <c:pt idx="1372">
                    <c:v>16/08/2022</c:v>
                  </c:pt>
                  <c:pt idx="1373">
                    <c:v>09/05/2022</c:v>
                  </c:pt>
                  <c:pt idx="1374">
                    <c:v>22/04/2024</c:v>
                  </c:pt>
                  <c:pt idx="1375">
                    <c:v>18/12/2025</c:v>
                  </c:pt>
                  <c:pt idx="1376">
                    <c:v>26/02/2025</c:v>
                  </c:pt>
                  <c:pt idx="1377">
                    <c:v>26/02/2025</c:v>
                  </c:pt>
                  <c:pt idx="1378">
                    <c:v>26/02/2025</c:v>
                  </c:pt>
                  <c:pt idx="1379">
                    <c:v>30/10/2025</c:v>
                  </c:pt>
                  <c:pt idx="1380">
                    <c:v>30/10/2025</c:v>
                  </c:pt>
                  <c:pt idx="1381">
                    <c:v>08/03/2022</c:v>
                  </c:pt>
                  <c:pt idx="1382">
                    <c:v>15/06/2021</c:v>
                  </c:pt>
                  <c:pt idx="1383">
                    <c:v>08/06/2020</c:v>
                  </c:pt>
                  <c:pt idx="1384">
                    <c:v>07/05/2021</c:v>
                  </c:pt>
                  <c:pt idx="1385">
                    <c:v>08/06/2020</c:v>
                  </c:pt>
                  <c:pt idx="1386">
                    <c:v>26/02/2025</c:v>
                  </c:pt>
                  <c:pt idx="1388">
                    <c:v>07/07/2022</c:v>
                  </c:pt>
                  <c:pt idx="1389">
                    <c:v>07/07/2022</c:v>
                  </c:pt>
                  <c:pt idx="1390">
                    <c:v>07/07/2022</c:v>
                  </c:pt>
                  <c:pt idx="1391">
                    <c:v>07/07/2022</c:v>
                  </c:pt>
                  <c:pt idx="1392">
                    <c:v>16/03/2023</c:v>
                  </c:pt>
                  <c:pt idx="1393">
                    <c:v>16/03/2023</c:v>
                  </c:pt>
                  <c:pt idx="1394">
                    <c:v>04/11/2025</c:v>
                  </c:pt>
                  <c:pt idx="1395">
                    <c:v>04/11/2025</c:v>
                  </c:pt>
                  <c:pt idx="1396">
                    <c:v>04/11/2025</c:v>
                  </c:pt>
                  <c:pt idx="1397">
                    <c:v>04/11/2025</c:v>
                  </c:pt>
                  <c:pt idx="1398">
                    <c:v>04/11/2025</c:v>
                  </c:pt>
                  <c:pt idx="1399">
                    <c:v>24/05/2021</c:v>
                  </c:pt>
                  <c:pt idx="1400">
                    <c:v>20/03/2023</c:v>
                  </c:pt>
                  <c:pt idx="1401">
                    <c:v>13/01/2023</c:v>
                  </c:pt>
                  <c:pt idx="1402">
                    <c:v>17/10/2025</c:v>
                  </c:pt>
                  <c:pt idx="1403">
                    <c:v>30/10/2025</c:v>
                  </c:pt>
                  <c:pt idx="1404">
                    <c:v>30/10/2025</c:v>
                  </c:pt>
                  <c:pt idx="1405">
                    <c:v>16/03/2023</c:v>
                  </c:pt>
                  <c:pt idx="1406">
                    <c:v>16/03/2023</c:v>
                  </c:pt>
                  <c:pt idx="1407">
                    <c:v>21/10/2020</c:v>
                  </c:pt>
                  <c:pt idx="1408">
                    <c:v>15/03/2024</c:v>
                  </c:pt>
                  <c:pt idx="1409">
                    <c:v>15/03/2024</c:v>
                  </c:pt>
                  <c:pt idx="1410">
                    <c:v>15/03/2024</c:v>
                  </c:pt>
                  <c:pt idx="1411">
                    <c:v>15/03/2024</c:v>
                  </c:pt>
                  <c:pt idx="1412">
                    <c:v>15/03/2024</c:v>
                  </c:pt>
                  <c:pt idx="1413">
                    <c:v>15/03/2024</c:v>
                  </c:pt>
                  <c:pt idx="1414">
                    <c:v>15/03/2024</c:v>
                  </c:pt>
                  <c:pt idx="1415">
                    <c:v>15/03/2024</c:v>
                  </c:pt>
                  <c:pt idx="1416">
                    <c:v>15/03/2024</c:v>
                  </c:pt>
                  <c:pt idx="1417">
                    <c:v>15/03/2024</c:v>
                  </c:pt>
                  <c:pt idx="1418">
                    <c:v>15/03/2024</c:v>
                  </c:pt>
                  <c:pt idx="1419">
                    <c:v>15/10/2025</c:v>
                  </c:pt>
                  <c:pt idx="1420">
                    <c:v>12/12/2025</c:v>
                  </c:pt>
                  <c:pt idx="1421">
                    <c:v>10/10/2025</c:v>
                  </c:pt>
                  <c:pt idx="1422">
                    <c:v>29/04/2025</c:v>
                  </c:pt>
                  <c:pt idx="1423">
                    <c:v>12/12/2025</c:v>
                  </c:pt>
                  <c:pt idx="1424">
                    <c:v>12/12/2025</c:v>
                  </c:pt>
                  <c:pt idx="1425">
                    <c:v>12/12/2025</c:v>
                  </c:pt>
                  <c:pt idx="1426">
                    <c:v>10/10/2025</c:v>
                  </c:pt>
                  <c:pt idx="1427">
                    <c:v>10/10/2025</c:v>
                  </c:pt>
                  <c:pt idx="1428">
                    <c:v>01/11/2023</c:v>
                  </c:pt>
                  <c:pt idx="1429">
                    <c:v>10/10/2025</c:v>
                  </c:pt>
                  <c:pt idx="1430">
                    <c:v>10/03/2020</c:v>
                  </c:pt>
                  <c:pt idx="1431">
                    <c:v>10/03/2020</c:v>
                  </c:pt>
                  <c:pt idx="1432">
                    <c:v>10/03/2020</c:v>
                  </c:pt>
                  <c:pt idx="1433">
                    <c:v>17/09/2025</c:v>
                  </c:pt>
                  <c:pt idx="1434">
                    <c:v>17/09/2025</c:v>
                  </c:pt>
                  <c:pt idx="1436">
                    <c:v>11/11/2025</c:v>
                  </c:pt>
                  <c:pt idx="1437">
                    <c:v>11/11/2025</c:v>
                  </c:pt>
                  <c:pt idx="1438">
                    <c:v>18/11/2025</c:v>
                  </c:pt>
                  <c:pt idx="1439">
                    <c:v>18/11/2025</c:v>
                  </c:pt>
                  <c:pt idx="1440">
                    <c:v>10/12/2021</c:v>
                  </c:pt>
                  <c:pt idx="1441">
                    <c:v>14/11/2023</c:v>
                  </c:pt>
                  <c:pt idx="1442">
                    <c:v>30/12/2022</c:v>
                  </c:pt>
                  <c:pt idx="1443">
                    <c:v>05/05/2025</c:v>
                  </c:pt>
                  <c:pt idx="1444">
                    <c:v>30/12/2022</c:v>
                  </c:pt>
                  <c:pt idx="1446">
                    <c:v>10/12/2025</c:v>
                  </c:pt>
                  <c:pt idx="1447">
                    <c:v>10/12/2025</c:v>
                  </c:pt>
                  <c:pt idx="1448">
                    <c:v>10/12/2025</c:v>
                  </c:pt>
                  <c:pt idx="1449">
                    <c:v>12-nov</c:v>
                  </c:pt>
                  <c:pt idx="1450">
                    <c:v>09/12/2024</c:v>
                  </c:pt>
                  <c:pt idx="1451">
                    <c:v>21/10/2023</c:v>
                  </c:pt>
                  <c:pt idx="1452">
                    <c:v>20/11/2025</c:v>
                  </c:pt>
                  <c:pt idx="1453">
                    <c:v>20/11/2025</c:v>
                  </c:pt>
                  <c:pt idx="1454">
                    <c:v>07/10/2024</c:v>
                  </c:pt>
                  <c:pt idx="1456">
                    <c:v>25/10/2023</c:v>
                  </c:pt>
                  <c:pt idx="1457">
                    <c:v>20/10/2023</c:v>
                  </c:pt>
                  <c:pt idx="1458">
                    <c:v>11/01/2025</c:v>
                  </c:pt>
                  <c:pt idx="1459">
                    <c:v>30/10/2025</c:v>
                  </c:pt>
                  <c:pt idx="1460">
                    <c:v>30/10/2025</c:v>
                  </c:pt>
                  <c:pt idx="1461">
                    <c:v>02/11/2023</c:v>
                  </c:pt>
                  <c:pt idx="1462">
                    <c:v>10/03/2020</c:v>
                  </c:pt>
                  <c:pt idx="1463">
                    <c:v>16/06/2025</c:v>
                  </c:pt>
                  <c:pt idx="1464">
                    <c:v>16/06/2025</c:v>
                  </c:pt>
                  <c:pt idx="1465">
                    <c:v>18/01/2023</c:v>
                  </c:pt>
                  <c:pt idx="1466">
                    <c:v>09/05/2023</c:v>
                  </c:pt>
                  <c:pt idx="1467">
                    <c:v>26/07/2022</c:v>
                  </c:pt>
                  <c:pt idx="1468">
                    <c:v>30/01/2025</c:v>
                  </c:pt>
                  <c:pt idx="1469">
                    <c:v>06/09/2024</c:v>
                  </c:pt>
                  <c:pt idx="1470">
                    <c:v>13/03/2024</c:v>
                  </c:pt>
                  <c:pt idx="1471">
                    <c:v>13/08/2020</c:v>
                  </c:pt>
                  <c:pt idx="1472">
                    <c:v>13/08/2020</c:v>
                  </c:pt>
                  <c:pt idx="1473">
                    <c:v>13/08/2020</c:v>
                  </c:pt>
                  <c:pt idx="1474">
                    <c:v>21/06/2023</c:v>
                  </c:pt>
                  <c:pt idx="1475">
                    <c:v>21/06/2023</c:v>
                  </c:pt>
                  <c:pt idx="1476">
                    <c:v>27/02/2025</c:v>
                  </c:pt>
                  <c:pt idx="1477">
                    <c:v>02/10/2024</c:v>
                  </c:pt>
                  <c:pt idx="1478">
                    <c:v>09/10/2025</c:v>
                  </c:pt>
                  <c:pt idx="1479">
                    <c:v>05/05/2020</c:v>
                  </c:pt>
                  <c:pt idx="1480">
                    <c:v>10/03/2020</c:v>
                  </c:pt>
                  <c:pt idx="1481">
                    <c:v>28/06/2022</c:v>
                  </c:pt>
                  <c:pt idx="1483">
                    <c:v>25/04/2022</c:v>
                  </c:pt>
                  <c:pt idx="1484">
                    <c:v>20/11/2025</c:v>
                  </c:pt>
                  <c:pt idx="1485">
                    <c:v>25/10/2024</c:v>
                  </c:pt>
                  <c:pt idx="1486">
                    <c:v>07/10/2025</c:v>
                  </c:pt>
                  <c:pt idx="1487">
                    <c:v>07/10/2025</c:v>
                  </c:pt>
                  <c:pt idx="1488">
                    <c:v>02/10/2024</c:v>
                  </c:pt>
                  <c:pt idx="1489">
                    <c:v>10/03/2020</c:v>
                  </c:pt>
                  <c:pt idx="1490">
                    <c:v>02/10/2024</c:v>
                  </c:pt>
                  <c:pt idx="1491">
                    <c:v>20/11/2025</c:v>
                  </c:pt>
                  <c:pt idx="1492">
                    <c:v>20/11/2025</c:v>
                  </c:pt>
                  <c:pt idx="1493">
                    <c:v>21/11/2025</c:v>
                  </c:pt>
                  <c:pt idx="1494">
                    <c:v>21/11/2025</c:v>
                  </c:pt>
                  <c:pt idx="1495">
                    <c:v>21/11/2025</c:v>
                  </c:pt>
                  <c:pt idx="1496">
                    <c:v>24/11/2021</c:v>
                  </c:pt>
                  <c:pt idx="1497">
                    <c:v>16/03/2020</c:v>
                  </c:pt>
                  <c:pt idx="1498">
                    <c:v>22/03/2022</c:v>
                  </c:pt>
                  <c:pt idx="1499">
                    <c:v>01/10/2020</c:v>
                  </c:pt>
                  <c:pt idx="1500">
                    <c:v>01/10/2020</c:v>
                  </c:pt>
                  <c:pt idx="1501">
                    <c:v>01/10/2020</c:v>
                  </c:pt>
                  <c:pt idx="1502">
                    <c:v>01/10/2020</c:v>
                  </c:pt>
                  <c:pt idx="1503">
                    <c:v>23/04/2025</c:v>
                  </c:pt>
                  <c:pt idx="1504">
                    <c:v>14/07/2021</c:v>
                  </c:pt>
                  <c:pt idx="1505">
                    <c:v>10/12/2024</c:v>
                  </c:pt>
                  <c:pt idx="1506">
                    <c:v>22/04/2025</c:v>
                  </c:pt>
                  <c:pt idx="1507">
                    <c:v>01/07/2020</c:v>
                  </c:pt>
                  <c:pt idx="1508">
                    <c:v>12/02/2025</c:v>
                  </c:pt>
                  <c:pt idx="1509">
                    <c:v>12/02/2025</c:v>
                  </c:pt>
                  <c:pt idx="1510">
                    <c:v>04/07/2025</c:v>
                  </c:pt>
                  <c:pt idx="1511">
                    <c:v>27/11/2025</c:v>
                  </c:pt>
                  <c:pt idx="1512">
                    <c:v>31/05/2025</c:v>
                  </c:pt>
                  <c:pt idx="1513">
                    <c:v>10/10/2022</c:v>
                  </c:pt>
                  <c:pt idx="1514">
                    <c:v>27/11/2025</c:v>
                  </c:pt>
                  <c:pt idx="1515">
                    <c:v>23/12/2024</c:v>
                  </c:pt>
                  <c:pt idx="1516">
                    <c:v>23/12/2024</c:v>
                  </c:pt>
                  <c:pt idx="1517">
                    <c:v>23/12/2024</c:v>
                  </c:pt>
                  <c:pt idx="1518">
                    <c:v>23/12/2024</c:v>
                  </c:pt>
                  <c:pt idx="1519">
                    <c:v>01/03/2023</c:v>
                  </c:pt>
                  <c:pt idx="1520">
                    <c:v>01/03/2023</c:v>
                  </c:pt>
                  <c:pt idx="1522">
                    <c:v>26/05/2020</c:v>
                  </c:pt>
                  <c:pt idx="1523">
                    <c:v>30/04/2025</c:v>
                  </c:pt>
                  <c:pt idx="1524">
                    <c:v>30/04/2025</c:v>
                  </c:pt>
                  <c:pt idx="1525">
                    <c:v>26/09/2024</c:v>
                  </c:pt>
                  <c:pt idx="1526">
                    <c:v>10/05/2023</c:v>
                  </c:pt>
                  <c:pt idx="1527">
                    <c:v>12/11/2023</c:v>
                  </c:pt>
                  <c:pt idx="1528">
                    <c:v>10/10/2024</c:v>
                  </c:pt>
                  <c:pt idx="1529">
                    <c:v>03/09/2024</c:v>
                  </c:pt>
                  <c:pt idx="1530">
                    <c:v>28/10/2025</c:v>
                  </c:pt>
                  <c:pt idx="1531">
                    <c:v>28/10/2025</c:v>
                  </c:pt>
                  <c:pt idx="1532">
                    <c:v>15/10/2025</c:v>
                  </c:pt>
                  <c:pt idx="1533">
                    <c:v>17/05/2022</c:v>
                  </c:pt>
                  <c:pt idx="1534">
                    <c:v>06/04/2022</c:v>
                  </c:pt>
                  <c:pt idx="1535">
                    <c:v>11/08/2025</c:v>
                  </c:pt>
                  <c:pt idx="1536">
                    <c:v>18/12/2025</c:v>
                  </c:pt>
                  <c:pt idx="1537">
                    <c:v>26/05/2021</c:v>
                  </c:pt>
                  <c:pt idx="1538">
                    <c:v>10/09/2024</c:v>
                  </c:pt>
                  <c:pt idx="1539">
                    <c:v>28/10/2023</c:v>
                  </c:pt>
                  <c:pt idx="1540">
                    <c:v>09/07/2021</c:v>
                  </c:pt>
                  <c:pt idx="1541">
                    <c:v>15/05/2024</c:v>
                  </c:pt>
                  <c:pt idx="1542">
                    <c:v>18/05/2022</c:v>
                  </c:pt>
                  <c:pt idx="1543">
                    <c:v>10/03/2020</c:v>
                  </c:pt>
                  <c:pt idx="1544">
                    <c:v>12/03/2021</c:v>
                  </c:pt>
                  <c:pt idx="1545">
                    <c:v>12/03/2021</c:v>
                  </c:pt>
                  <c:pt idx="1546">
                    <c:v>07/10/2024</c:v>
                  </c:pt>
                  <c:pt idx="1547">
                    <c:v>07/10/2024</c:v>
                  </c:pt>
                  <c:pt idx="1548">
                    <c:v>07/12/2023</c:v>
                  </c:pt>
                  <c:pt idx="1549">
                    <c:v>27/11/2025</c:v>
                  </c:pt>
                  <c:pt idx="1550">
                    <c:v>27/11/2025</c:v>
                  </c:pt>
                  <c:pt idx="1551">
                    <c:v>27/11/2025</c:v>
                  </c:pt>
                  <c:pt idx="1552">
                    <c:v>26/06/2024</c:v>
                  </c:pt>
                  <c:pt idx="1553">
                    <c:v>06/11/2024</c:v>
                  </c:pt>
                  <c:pt idx="1554">
                    <c:v>06/11/2024</c:v>
                  </c:pt>
                  <c:pt idx="1555">
                    <c:v>28/06/2022</c:v>
                  </c:pt>
                  <c:pt idx="1556">
                    <c:v>20/03/2025</c:v>
                  </c:pt>
                  <c:pt idx="1557">
                    <c:v>20/03/2025</c:v>
                  </c:pt>
                  <c:pt idx="1558">
                    <c:v>19/03/2020</c:v>
                  </c:pt>
                  <c:pt idx="1559">
                    <c:v>20/03/2025</c:v>
                  </c:pt>
                  <c:pt idx="1560">
                    <c:v>30/03/2023</c:v>
                  </c:pt>
                  <c:pt idx="1561">
                    <c:v>25/03/2023</c:v>
                  </c:pt>
                  <c:pt idx="1562">
                    <c:v>25/03/2025</c:v>
                  </c:pt>
                  <c:pt idx="1563">
                    <c:v>30/12/2020</c:v>
                  </c:pt>
                  <c:pt idx="1564">
                    <c:v>30/12/2020</c:v>
                  </c:pt>
                  <c:pt idx="1565">
                    <c:v>30/12/2020</c:v>
                  </c:pt>
                  <c:pt idx="1566">
                    <c:v>09/04/2021</c:v>
                  </c:pt>
                  <c:pt idx="1567">
                    <c:v>20/06/2020</c:v>
                  </c:pt>
                  <c:pt idx="1568">
                    <c:v>20/06/2020</c:v>
                  </c:pt>
                  <c:pt idx="1569">
                    <c:v>02/04/2022</c:v>
                  </c:pt>
                  <c:pt idx="1570">
                    <c:v>13/03/2023</c:v>
                  </c:pt>
                  <c:pt idx="1571">
                    <c:v>11/04/2022</c:v>
                  </c:pt>
                  <c:pt idx="1572">
                    <c:v>18/01/2023</c:v>
                  </c:pt>
                  <c:pt idx="1574">
                    <c:v>21/11/2025</c:v>
                  </c:pt>
                  <c:pt idx="1575">
                    <c:v>09/05/2023</c:v>
                  </c:pt>
                  <c:pt idx="1576">
                    <c:v>13/01/2023</c:v>
                  </c:pt>
                  <c:pt idx="1577">
                    <c:v>11/06/2025</c:v>
                  </c:pt>
                  <c:pt idx="1578">
                    <c:v>01/10/2020</c:v>
                  </c:pt>
                  <c:pt idx="1579">
                    <c:v>25/11/2023</c:v>
                  </c:pt>
                  <c:pt idx="1580">
                    <c:v>25/11/2023</c:v>
                  </c:pt>
                  <c:pt idx="1581">
                    <c:v>18/01/2023</c:v>
                  </c:pt>
                  <c:pt idx="1582">
                    <c:v>25/11/2023</c:v>
                  </c:pt>
                  <c:pt idx="1583">
                    <c:v>07/02/2024</c:v>
                  </c:pt>
                  <c:pt idx="1584">
                    <c:v>13/10/2022</c:v>
                  </c:pt>
                  <c:pt idx="1585">
                    <c:v>27/07/2022</c:v>
                  </c:pt>
                  <c:pt idx="1586">
                    <c:v>27/07/2022</c:v>
                  </c:pt>
                  <c:pt idx="1587">
                    <c:v>21/04/2025</c:v>
                  </c:pt>
                  <c:pt idx="1588">
                    <c:v>23/09/2025</c:v>
                  </c:pt>
                  <c:pt idx="1589">
                    <c:v>23/09/2025</c:v>
                  </c:pt>
                  <c:pt idx="1590">
                    <c:v>01/01/2025</c:v>
                  </c:pt>
                  <c:pt idx="1591">
                    <c:v>30/01/2025</c:v>
                  </c:pt>
                  <c:pt idx="1592">
                    <c:v>30/01/2025</c:v>
                  </c:pt>
                  <c:pt idx="1593">
                    <c:v>14/03/2024</c:v>
                  </c:pt>
                  <c:pt idx="1594">
                    <c:v>13/07/2023</c:v>
                  </c:pt>
                  <c:pt idx="1595">
                    <c:v>13/07/2023</c:v>
                  </c:pt>
                  <c:pt idx="1596">
                    <c:v>08/04/2024</c:v>
                  </c:pt>
                  <c:pt idx="1597">
                    <c:v>08/04/2024</c:v>
                  </c:pt>
                  <c:pt idx="1598">
                    <c:v>28/09/2022</c:v>
                  </c:pt>
                  <c:pt idx="1599">
                    <c:v>11/03/2025</c:v>
                  </c:pt>
                  <c:pt idx="1600">
                    <c:v>11/03/2025</c:v>
                  </c:pt>
                  <c:pt idx="1601">
                    <c:v>01/07/2025</c:v>
                  </c:pt>
                  <c:pt idx="1602">
                    <c:v>11/03/2025</c:v>
                  </c:pt>
                  <c:pt idx="1603">
                    <c:v>11/03/2025</c:v>
                  </c:pt>
                  <c:pt idx="1604">
                    <c:v>02/07/2024</c:v>
                  </c:pt>
                  <c:pt idx="1605">
                    <c:v>23/11/2023</c:v>
                  </c:pt>
                  <c:pt idx="1606">
                    <c:v>23/11/2023</c:v>
                  </c:pt>
                  <c:pt idx="1607">
                    <c:v>08/04/2024</c:v>
                  </c:pt>
                  <c:pt idx="1608">
                    <c:v>20/10/2022</c:v>
                  </c:pt>
                  <c:pt idx="1609">
                    <c:v>08/04/2024</c:v>
                  </c:pt>
                  <c:pt idx="1610">
                    <c:v>29/03/2023</c:v>
                  </c:pt>
                  <c:pt idx="1611">
                    <c:v>29/03/2023</c:v>
                  </c:pt>
                  <c:pt idx="1612">
                    <c:v>29/03/2023</c:v>
                  </c:pt>
                  <c:pt idx="1613">
                    <c:v>29/03/2023</c:v>
                  </c:pt>
                  <c:pt idx="1614">
                    <c:v>29/03/2023</c:v>
                  </c:pt>
                  <c:pt idx="1615">
                    <c:v>16/07/2024</c:v>
                  </c:pt>
                  <c:pt idx="1616">
                    <c:v>16/07/2024</c:v>
                  </c:pt>
                  <c:pt idx="1617">
                    <c:v>14/03/2024</c:v>
                  </c:pt>
                  <c:pt idx="1618">
                    <c:v>23/09/2025</c:v>
                  </c:pt>
                  <c:pt idx="1619">
                    <c:v>23/09/2025</c:v>
                  </c:pt>
                  <c:pt idx="1620">
                    <c:v>30/01/2023</c:v>
                  </c:pt>
                  <c:pt idx="1621">
                    <c:v>29/07/2022</c:v>
                  </c:pt>
                  <c:pt idx="1622">
                    <c:v>29/07/2022</c:v>
                  </c:pt>
                  <c:pt idx="1623">
                    <c:v>29/07/2022</c:v>
                  </c:pt>
                  <c:pt idx="1624">
                    <c:v>30/01/2023</c:v>
                  </c:pt>
                  <c:pt idx="1625">
                    <c:v>23/09/2025</c:v>
                  </c:pt>
                  <c:pt idx="1626">
                    <c:v>23/09/2025</c:v>
                  </c:pt>
                  <c:pt idx="1627">
                    <c:v>01/02/2024</c:v>
                  </c:pt>
                  <c:pt idx="1628">
                    <c:v>13/03/2023</c:v>
                  </c:pt>
                  <c:pt idx="1629">
                    <c:v>01/02/2024</c:v>
                  </c:pt>
                  <c:pt idx="1630">
                    <c:v>01/02/2024</c:v>
                  </c:pt>
                  <c:pt idx="1631">
                    <c:v>12/07/2025</c:v>
                  </c:pt>
                  <c:pt idx="1632">
                    <c:v>12/07/2025</c:v>
                  </c:pt>
                  <c:pt idx="1633">
                    <c:v>03/10/2016</c:v>
                  </c:pt>
                  <c:pt idx="1634">
                    <c:v>19/06/2024</c:v>
                  </c:pt>
                  <c:pt idx="1635">
                    <c:v>30/01/2025</c:v>
                  </c:pt>
                  <c:pt idx="1636">
                    <c:v>10/12/2025</c:v>
                  </c:pt>
                  <c:pt idx="1637">
                    <c:v>10/12/2025</c:v>
                  </c:pt>
                  <c:pt idx="1638">
                    <c:v>23/07/2025</c:v>
                  </c:pt>
                  <c:pt idx="1639">
                    <c:v>23/07/2025</c:v>
                  </c:pt>
                  <c:pt idx="1640">
                    <c:v>06/01/2023</c:v>
                  </c:pt>
                  <c:pt idx="1641">
                    <c:v>03/11/2025</c:v>
                  </c:pt>
                  <c:pt idx="1642">
                    <c:v>09/11/2025</c:v>
                  </c:pt>
                  <c:pt idx="1643">
                    <c:v>01/07/2025</c:v>
                  </c:pt>
                  <c:pt idx="1644">
                    <c:v>01/07/2025</c:v>
                  </c:pt>
                  <c:pt idx="1645">
                    <c:v>01/07/2025</c:v>
                  </c:pt>
                  <c:pt idx="1646">
                    <c:v>01/01/2025</c:v>
                  </c:pt>
                  <c:pt idx="1647">
                    <c:v>01/01/2025</c:v>
                  </c:pt>
                  <c:pt idx="1648">
                    <c:v>20/10/2022</c:v>
                  </c:pt>
                  <c:pt idx="1649">
                    <c:v>30/04/2025</c:v>
                  </c:pt>
                  <c:pt idx="1650">
                    <c:v>20/11/2025</c:v>
                  </c:pt>
                  <c:pt idx="1651">
                    <c:v>02/10/2024</c:v>
                  </c:pt>
                  <c:pt idx="1652">
                    <c:v>30/12/2025</c:v>
                  </c:pt>
                  <c:pt idx="1653">
                    <c:v>23/09/2024</c:v>
                  </c:pt>
                  <c:pt idx="1654">
                    <c:v>30/12/2025</c:v>
                  </c:pt>
                  <c:pt idx="1655">
                    <c:v>25/05/2023</c:v>
                  </c:pt>
                  <c:pt idx="1656">
                    <c:v>21/08/2025</c:v>
                  </c:pt>
                  <c:pt idx="1657">
                    <c:v>21/09/2023</c:v>
                  </c:pt>
                  <c:pt idx="1658">
                    <c:v>20/06/2024</c:v>
                  </c:pt>
                  <c:pt idx="1659">
                    <c:v>20/06/2024</c:v>
                  </c:pt>
                  <c:pt idx="1660">
                    <c:v>30/12/2025</c:v>
                  </c:pt>
                  <c:pt idx="1661">
                    <c:v>17/08/2025</c:v>
                  </c:pt>
                  <c:pt idx="1662">
                    <c:v>08/04/2025</c:v>
                  </c:pt>
                  <c:pt idx="1663">
                    <c:v>07/07/2025</c:v>
                  </c:pt>
                  <c:pt idx="1664">
                    <c:v>03/06/2024</c:v>
                  </c:pt>
                  <c:pt idx="1665">
                    <c:v>14/06/2023</c:v>
                  </c:pt>
                  <c:pt idx="1666">
                    <c:v>14/08/2024</c:v>
                  </c:pt>
                  <c:pt idx="1667">
                    <c:v>14/08/2024</c:v>
                  </c:pt>
                  <c:pt idx="1668">
                    <c:v>18/01/2023</c:v>
                  </c:pt>
                  <c:pt idx="1669">
                    <c:v>15/05/2024</c:v>
                  </c:pt>
                  <c:pt idx="1670">
                    <c:v>30/10/2025</c:v>
                  </c:pt>
                  <c:pt idx="1671">
                    <c:v>13/07/2022</c:v>
                  </c:pt>
                  <c:pt idx="1672">
                    <c:v>20/02/2020</c:v>
                  </c:pt>
                  <c:pt idx="1673">
                    <c:v>07/04/2021</c:v>
                  </c:pt>
                  <c:pt idx="1674">
                    <c:v>19/06/2025</c:v>
                  </c:pt>
                  <c:pt idx="1675">
                    <c:v>20/03/2025</c:v>
                  </c:pt>
                  <c:pt idx="1676">
                    <c:v>20/11/2025</c:v>
                  </c:pt>
                  <c:pt idx="1677">
                    <c:v>20/11/2025</c:v>
                  </c:pt>
                  <c:pt idx="1678">
                    <c:v>10/12/2024</c:v>
                  </c:pt>
                  <c:pt idx="1679">
                    <c:v>10/12/2024</c:v>
                  </c:pt>
                  <c:pt idx="1680">
                    <c:v>07/10/2024</c:v>
                  </c:pt>
                  <c:pt idx="1681">
                    <c:v>16/07/2024</c:v>
                  </c:pt>
                  <c:pt idx="1682">
                    <c:v>10/12/2024</c:v>
                  </c:pt>
                  <c:pt idx="1683">
                    <c:v>10/12/2024</c:v>
                  </c:pt>
                  <c:pt idx="1684">
                    <c:v>07/10/2024</c:v>
                  </c:pt>
                  <c:pt idx="1685">
                    <c:v>05/08/2025</c:v>
                  </c:pt>
                  <c:pt idx="1686">
                    <c:v>05/08/2025</c:v>
                  </c:pt>
                  <c:pt idx="1687">
                    <c:v>19/06/2025</c:v>
                  </c:pt>
                  <c:pt idx="1688">
                    <c:v>20/11/2025</c:v>
                  </c:pt>
                  <c:pt idx="1689">
                    <c:v>20/11/2025</c:v>
                  </c:pt>
                  <c:pt idx="1690">
                    <c:v>13/11/2021</c:v>
                  </c:pt>
                  <c:pt idx="1691">
                    <c:v>19/02/2024</c:v>
                  </c:pt>
                  <c:pt idx="1693">
                    <c:v>30/04/2025</c:v>
                  </c:pt>
                  <c:pt idx="1694">
                    <c:v>30/04/2025</c:v>
                  </c:pt>
                  <c:pt idx="1695">
                    <c:v>30/04/2025</c:v>
                  </c:pt>
                  <c:pt idx="1696">
                    <c:v>12/07/2024</c:v>
                  </c:pt>
                  <c:pt idx="1697">
                    <c:v>12/07/2024</c:v>
                  </c:pt>
                  <c:pt idx="1698">
                    <c:v>12/07/2004</c:v>
                  </c:pt>
                  <c:pt idx="1699">
                    <c:v>20/11/2025</c:v>
                  </c:pt>
                  <c:pt idx="1700">
                    <c:v>05/05/2020</c:v>
                  </c:pt>
                  <c:pt idx="1701">
                    <c:v>05/05/2020</c:v>
                  </c:pt>
                  <c:pt idx="1702">
                    <c:v>09/04/2021</c:v>
                  </c:pt>
                  <c:pt idx="1703">
                    <c:v>30/04/2025</c:v>
                  </c:pt>
                  <c:pt idx="1704">
                    <c:v>20/11/2025</c:v>
                  </c:pt>
                  <c:pt idx="1705">
                    <c:v>20/11/2025</c:v>
                  </c:pt>
                  <c:pt idx="1706">
                    <c:v>10/03/2020</c:v>
                  </c:pt>
                  <c:pt idx="1707">
                    <c:v>02/10/2024</c:v>
                  </c:pt>
                  <c:pt idx="1708">
                    <c:v>10/03/2020</c:v>
                  </c:pt>
                  <c:pt idx="1709">
                    <c:v>12/07/2024</c:v>
                  </c:pt>
                  <c:pt idx="1710">
                    <c:v>17/08/2025</c:v>
                  </c:pt>
                  <c:pt idx="1711">
                    <c:v>17/08/2025</c:v>
                  </c:pt>
                  <c:pt idx="1712">
                    <c:v>12/07/2024</c:v>
                  </c:pt>
                  <c:pt idx="1713">
                    <c:v>30/04/2025</c:v>
                  </c:pt>
                  <c:pt idx="1714">
                    <c:v>09/12/2024</c:v>
                  </c:pt>
                  <c:pt idx="1715">
                    <c:v>28/03/2022</c:v>
                  </c:pt>
                  <c:pt idx="1716">
                    <c:v>13/10/2025</c:v>
                  </c:pt>
                  <c:pt idx="1717">
                    <c:v>14/11/2023</c:v>
                  </c:pt>
                  <c:pt idx="1718">
                    <c:v>14/11/2023</c:v>
                  </c:pt>
                  <c:pt idx="1719">
                    <c:v>14/11/2023</c:v>
                  </c:pt>
                  <c:pt idx="1720">
                    <c:v>27/07/2023</c:v>
                  </c:pt>
                  <c:pt idx="1721">
                    <c:v>27/07/2023</c:v>
                  </c:pt>
                  <c:pt idx="1722">
                    <c:v>07/12/2021</c:v>
                  </c:pt>
                  <c:pt idx="1723">
                    <c:v>07/07/2022</c:v>
                  </c:pt>
                  <c:pt idx="1724">
                    <c:v>07/07/2022</c:v>
                  </c:pt>
                </c:lvl>
                <c:lvl>
                  <c:pt idx="7">
                    <c:v>0</c:v>
                  </c:pt>
                  <c:pt idx="72">
                    <c:v>0</c:v>
                  </c:pt>
                  <c:pt idx="88">
                    <c:v>0</c:v>
                  </c:pt>
                  <c:pt idx="103">
                    <c:v>46</c:v>
                  </c:pt>
                  <c:pt idx="121">
                    <c:v>45</c:v>
                  </c:pt>
                  <c:pt idx="130">
                    <c:v>45</c:v>
                  </c:pt>
                  <c:pt idx="131">
                    <c:v>45</c:v>
                  </c:pt>
                  <c:pt idx="132">
                    <c:v>45</c:v>
                  </c:pt>
                  <c:pt idx="133">
                    <c:v>45</c:v>
                  </c:pt>
                  <c:pt idx="163">
                    <c:v>u</c:v>
                  </c:pt>
                  <c:pt idx="167">
                    <c:v>25</c:v>
                  </c:pt>
                  <c:pt idx="168">
                    <c:v>2055</c:v>
                  </c:pt>
                  <c:pt idx="172">
                    <c:v>44</c:v>
                  </c:pt>
                  <c:pt idx="176">
                    <c:v>1</c:v>
                  </c:pt>
                  <c:pt idx="218">
                    <c:v>45</c:v>
                  </c:pt>
                  <c:pt idx="248">
                    <c:v>41</c:v>
                  </c:pt>
                  <c:pt idx="251">
                    <c:v>1</c:v>
                  </c:pt>
                  <c:pt idx="260">
                    <c:v>0</c:v>
                  </c:pt>
                  <c:pt idx="263">
                    <c:v>42</c:v>
                  </c:pt>
                  <c:pt idx="264">
                    <c:v>42</c:v>
                  </c:pt>
                  <c:pt idx="266">
                    <c:v>42</c:v>
                  </c:pt>
                  <c:pt idx="267">
                    <c:v>42</c:v>
                  </c:pt>
                  <c:pt idx="299">
                    <c:v>45</c:v>
                  </c:pt>
                  <c:pt idx="300">
                    <c:v>45</c:v>
                  </c:pt>
                  <c:pt idx="303">
                    <c:v>0</c:v>
                  </c:pt>
                  <c:pt idx="304">
                    <c:v>42</c:v>
                  </c:pt>
                  <c:pt idx="305">
                    <c:v>42</c:v>
                  </c:pt>
                  <c:pt idx="306">
                    <c:v>45</c:v>
                  </c:pt>
                  <c:pt idx="307">
                    <c:v>42</c:v>
                  </c:pt>
                  <c:pt idx="317">
                    <c:v>44</c:v>
                  </c:pt>
                  <c:pt idx="333">
                    <c:v>0</c:v>
                  </c:pt>
                  <c:pt idx="386">
                    <c:v>0</c:v>
                  </c:pt>
                  <c:pt idx="410">
                    <c:v>44</c:v>
                  </c:pt>
                  <c:pt idx="413">
                    <c:v>34</c:v>
                  </c:pt>
                  <c:pt idx="460">
                    <c:v>0</c:v>
                  </c:pt>
                  <c:pt idx="482">
                    <c:v>1</c:v>
                  </c:pt>
                  <c:pt idx="493">
                    <c:v>45</c:v>
                  </c:pt>
                  <c:pt idx="496">
                    <c:v>44</c:v>
                  </c:pt>
                  <c:pt idx="540">
                    <c:v>45</c:v>
                  </c:pt>
                  <c:pt idx="544">
                    <c:v>45</c:v>
                  </c:pt>
                  <c:pt idx="567">
                    <c:v>am</c:v>
                  </c:pt>
                  <c:pt idx="572">
                    <c:v>47</c:v>
                  </c:pt>
                  <c:pt idx="574">
                    <c:v>45</c:v>
                  </c:pt>
                  <c:pt idx="590">
                    <c:v>41</c:v>
                  </c:pt>
                  <c:pt idx="591">
                    <c:v>41</c:v>
                  </c:pt>
                  <c:pt idx="592">
                    <c:v>42</c:v>
                  </c:pt>
                  <c:pt idx="593">
                    <c:v>0</c:v>
                  </c:pt>
                  <c:pt idx="596">
                    <c:v>41</c:v>
                  </c:pt>
                  <c:pt idx="598">
                    <c:v>44</c:v>
                  </c:pt>
                  <c:pt idx="599">
                    <c:v>44</c:v>
                  </c:pt>
                  <c:pt idx="622">
                    <c:v>0</c:v>
                  </c:pt>
                  <c:pt idx="633">
                    <c:v>0</c:v>
                  </c:pt>
                  <c:pt idx="636">
                    <c:v>0</c:v>
                  </c:pt>
                  <c:pt idx="694">
                    <c:v>0</c:v>
                  </c:pt>
                  <c:pt idx="702">
                    <c:v>0</c:v>
                  </c:pt>
                  <c:pt idx="706">
                    <c:v>0</c:v>
                  </c:pt>
                  <c:pt idx="722">
                    <c:v>0</c:v>
                  </c:pt>
                  <c:pt idx="751">
                    <c:v>0</c:v>
                  </c:pt>
                  <c:pt idx="754">
                    <c:v>42</c:v>
                  </c:pt>
                  <c:pt idx="762">
                    <c:v>0</c:v>
                  </c:pt>
                  <c:pt idx="765">
                    <c:v>44</c:v>
                  </c:pt>
                  <c:pt idx="766">
                    <c:v>45</c:v>
                  </c:pt>
                  <c:pt idx="767">
                    <c:v>42</c:v>
                  </c:pt>
                  <c:pt idx="768">
                    <c:v>42</c:v>
                  </c:pt>
                  <c:pt idx="769">
                    <c:v>42</c:v>
                  </c:pt>
                  <c:pt idx="773">
                    <c:v>42</c:v>
                  </c:pt>
                  <c:pt idx="848">
                    <c:v>0</c:v>
                  </c:pt>
                  <c:pt idx="855">
                    <c:v>0</c:v>
                  </c:pt>
                  <c:pt idx="881">
                    <c:v>0</c:v>
                  </c:pt>
                  <c:pt idx="882">
                    <c:v>42</c:v>
                  </c:pt>
                  <c:pt idx="883">
                    <c:v>45</c:v>
                  </c:pt>
                  <c:pt idx="907">
                    <c:v>1</c:v>
                  </c:pt>
                  <c:pt idx="921">
                    <c:v>45</c:v>
                  </c:pt>
                  <c:pt idx="959">
                    <c:v>41</c:v>
                  </c:pt>
                  <c:pt idx="961">
                    <c:v>41</c:v>
                  </c:pt>
                  <c:pt idx="982">
                    <c:v>41</c:v>
                  </c:pt>
                  <c:pt idx="987">
                    <c:v>0</c:v>
                  </c:pt>
                  <c:pt idx="1013">
                    <c:v>0</c:v>
                  </c:pt>
                  <c:pt idx="1048">
                    <c:v>0</c:v>
                  </c:pt>
                  <c:pt idx="1087">
                    <c:v>41</c:v>
                  </c:pt>
                  <c:pt idx="1088">
                    <c:v>41</c:v>
                  </c:pt>
                  <c:pt idx="1089">
                    <c:v>41</c:v>
                  </c:pt>
                  <c:pt idx="1090">
                    <c:v>41</c:v>
                  </c:pt>
                  <c:pt idx="1095">
                    <c:v>41</c:v>
                  </c:pt>
                  <c:pt idx="1096">
                    <c:v>45</c:v>
                  </c:pt>
                  <c:pt idx="1097">
                    <c:v>45</c:v>
                  </c:pt>
                  <c:pt idx="1115">
                    <c:v>42</c:v>
                  </c:pt>
                  <c:pt idx="1120">
                    <c:v>0</c:v>
                  </c:pt>
                  <c:pt idx="1218">
                    <c:v>46</c:v>
                  </c:pt>
                  <c:pt idx="1219">
                    <c:v>45</c:v>
                  </c:pt>
                  <c:pt idx="1220">
                    <c:v>45</c:v>
                  </c:pt>
                  <c:pt idx="1221">
                    <c:v>45</c:v>
                  </c:pt>
                  <c:pt idx="1222">
                    <c:v>45</c:v>
                  </c:pt>
                  <c:pt idx="1302">
                    <c:v>40</c:v>
                  </c:pt>
                  <c:pt idx="1303">
                    <c:v>40</c:v>
                  </c:pt>
                  <c:pt idx="1304">
                    <c:v>40</c:v>
                  </c:pt>
                  <c:pt idx="1305">
                    <c:v>40</c:v>
                  </c:pt>
                  <c:pt idx="1306">
                    <c:v>40</c:v>
                  </c:pt>
                  <c:pt idx="1307">
                    <c:v>40</c:v>
                  </c:pt>
                  <c:pt idx="1308">
                    <c:v>40</c:v>
                  </c:pt>
                  <c:pt idx="1309">
                    <c:v>40</c:v>
                  </c:pt>
                  <c:pt idx="1310">
                    <c:v>40</c:v>
                  </c:pt>
                  <c:pt idx="1311">
                    <c:v>40</c:v>
                  </c:pt>
                  <c:pt idx="1312">
                    <c:v>40</c:v>
                  </c:pt>
                  <c:pt idx="1313">
                    <c:v>40</c:v>
                  </c:pt>
                  <c:pt idx="1314">
                    <c:v>40</c:v>
                  </c:pt>
                  <c:pt idx="1315">
                    <c:v>45</c:v>
                  </c:pt>
                  <c:pt idx="1316">
                    <c:v>45</c:v>
                  </c:pt>
                  <c:pt idx="1317">
                    <c:v>45</c:v>
                  </c:pt>
                  <c:pt idx="1318">
                    <c:v>45</c:v>
                  </c:pt>
                  <c:pt idx="1319">
                    <c:v>11/02/1900</c:v>
                  </c:pt>
                  <c:pt idx="1324">
                    <c:v>42</c:v>
                  </c:pt>
                  <c:pt idx="1325">
                    <c:v>42</c:v>
                  </c:pt>
                  <c:pt idx="1326">
                    <c:v>45</c:v>
                  </c:pt>
                  <c:pt idx="1327">
                    <c:v>41</c:v>
                  </c:pt>
                  <c:pt idx="1328">
                    <c:v>45</c:v>
                  </c:pt>
                  <c:pt idx="1333">
                    <c:v>45</c:v>
                  </c:pt>
                  <c:pt idx="1334">
                    <c:v>45</c:v>
                  </c:pt>
                  <c:pt idx="1336">
                    <c:v>45</c:v>
                  </c:pt>
                  <c:pt idx="1337">
                    <c:v>45</c:v>
                  </c:pt>
                  <c:pt idx="1338">
                    <c:v>45</c:v>
                  </c:pt>
                  <c:pt idx="1342">
                    <c:v>45</c:v>
                  </c:pt>
                  <c:pt idx="1343">
                    <c:v>45</c:v>
                  </c:pt>
                  <c:pt idx="1344">
                    <c:v>45</c:v>
                  </c:pt>
                  <c:pt idx="1345">
                    <c:v>45</c:v>
                  </c:pt>
                  <c:pt idx="1346">
                    <c:v>41</c:v>
                  </c:pt>
                  <c:pt idx="1347">
                    <c:v>45</c:v>
                  </c:pt>
                  <c:pt idx="1350">
                    <c:v>41</c:v>
                  </c:pt>
                  <c:pt idx="1351">
                    <c:v>41</c:v>
                  </c:pt>
                  <c:pt idx="1352">
                    <c:v>41</c:v>
                  </c:pt>
                  <c:pt idx="1353">
                    <c:v>45</c:v>
                  </c:pt>
                  <c:pt idx="1354">
                    <c:v>45</c:v>
                  </c:pt>
                  <c:pt idx="1356">
                    <c:v>45</c:v>
                  </c:pt>
                  <c:pt idx="1381">
                    <c:v>45</c:v>
                  </c:pt>
                  <c:pt idx="1390">
                    <c:v>0</c:v>
                  </c:pt>
                  <c:pt idx="1394">
                    <c:v>42</c:v>
                  </c:pt>
                  <c:pt idx="1396">
                    <c:v>42</c:v>
                  </c:pt>
                  <c:pt idx="1397">
                    <c:v>42</c:v>
                  </c:pt>
                  <c:pt idx="1438">
                    <c:v>0</c:v>
                  </c:pt>
                  <c:pt idx="1441">
                    <c:v>0</c:v>
                  </c:pt>
                  <c:pt idx="1442">
                    <c:v>0</c:v>
                  </c:pt>
                  <c:pt idx="1444">
                    <c:v>45</c:v>
                  </c:pt>
                  <c:pt idx="1446">
                    <c:v>45</c:v>
                  </c:pt>
                  <c:pt idx="1447">
                    <c:v>45</c:v>
                  </c:pt>
                  <c:pt idx="1448">
                    <c:v>45</c:v>
                  </c:pt>
                  <c:pt idx="1477">
                    <c:v>42</c:v>
                  </c:pt>
                  <c:pt idx="1493">
                    <c:v>44</c:v>
                  </c:pt>
                  <c:pt idx="1504">
                    <c:v>0</c:v>
                  </c:pt>
                  <c:pt idx="1507">
                    <c:v>45</c:v>
                  </c:pt>
                  <c:pt idx="1508">
                    <c:v>0</c:v>
                  </c:pt>
                  <c:pt idx="1529">
                    <c:v>42</c:v>
                  </c:pt>
                  <c:pt idx="1530">
                    <c:v>45</c:v>
                  </c:pt>
                  <c:pt idx="1531">
                    <c:v>45</c:v>
                  </c:pt>
                  <c:pt idx="1534">
                    <c:v>0</c:v>
                  </c:pt>
                  <c:pt idx="1539">
                    <c:v>45</c:v>
                  </c:pt>
                  <c:pt idx="1547">
                    <c:v>45</c:v>
                  </c:pt>
                  <c:pt idx="1552">
                    <c:v>43</c:v>
                  </c:pt>
                  <c:pt idx="1553">
                    <c:v>0</c:v>
                  </c:pt>
                  <c:pt idx="1598">
                    <c:v>1,2</c:v>
                  </c:pt>
                  <c:pt idx="1600">
                    <c:v>0</c:v>
                  </c:pt>
                  <c:pt idx="1603">
                    <c:v>0</c:v>
                  </c:pt>
                  <c:pt idx="1610">
                    <c:v>0</c:v>
                  </c:pt>
                  <c:pt idx="1618">
                    <c:v>0</c:v>
                  </c:pt>
                  <c:pt idx="1639">
                    <c:v>0</c:v>
                  </c:pt>
                  <c:pt idx="1640">
                    <c:v>0</c:v>
                  </c:pt>
                  <c:pt idx="1643">
                    <c:v>0</c:v>
                  </c:pt>
                  <c:pt idx="1651">
                    <c:v>44</c:v>
                  </c:pt>
                  <c:pt idx="1716">
                    <c:v>0</c:v>
                  </c:pt>
                </c:lvl>
                <c:lvl>
                  <c:pt idx="0">
                    <c:v>1,5</c:v>
                  </c:pt>
                  <c:pt idx="1">
                    <c:v>1,5</c:v>
                  </c:pt>
                  <c:pt idx="2">
                    <c:v>1,5</c:v>
                  </c:pt>
                  <c:pt idx="3">
                    <c:v>1,3</c:v>
                  </c:pt>
                  <c:pt idx="4">
                    <c:v>3</c:v>
                  </c:pt>
                  <c:pt idx="5">
                    <c:v>1,8</c:v>
                  </c:pt>
                  <c:pt idx="6">
                    <c:v>5</c:v>
                  </c:pt>
                  <c:pt idx="7">
                    <c:v>1,6</c:v>
                  </c:pt>
                  <c:pt idx="8">
                    <c:v>1,5</c:v>
                  </c:pt>
                  <c:pt idx="9">
                    <c:v>1,5</c:v>
                  </c:pt>
                  <c:pt idx="10">
                    <c:v>1,8</c:v>
                  </c:pt>
                  <c:pt idx="11">
                    <c:v>2</c:v>
                  </c:pt>
                  <c:pt idx="12">
                    <c:v>1,6</c:v>
                  </c:pt>
                  <c:pt idx="13">
                    <c:v>1,6</c:v>
                  </c:pt>
                  <c:pt idx="14">
                    <c:v>1,6</c:v>
                  </c:pt>
                  <c:pt idx="15">
                    <c:v>1,8</c:v>
                  </c:pt>
                  <c:pt idx="16">
                    <c:v>2</c:v>
                  </c:pt>
                  <c:pt idx="17">
                    <c:v>1,8</c:v>
                  </c:pt>
                  <c:pt idx="18">
                    <c:v>1,6</c:v>
                  </c:pt>
                  <c:pt idx="19">
                    <c:v>3</c:v>
                  </c:pt>
                  <c:pt idx="20">
                    <c:v>3</c:v>
                  </c:pt>
                  <c:pt idx="21">
                    <c:v>3</c:v>
                  </c:pt>
                  <c:pt idx="22">
                    <c:v>3</c:v>
                  </c:pt>
                  <c:pt idx="23">
                    <c:v>2,5</c:v>
                  </c:pt>
                  <c:pt idx="24">
                    <c:v>1,6</c:v>
                  </c:pt>
                  <c:pt idx="25">
                    <c:v>1,4</c:v>
                  </c:pt>
                  <c:pt idx="26">
                    <c:v>1,6</c:v>
                  </c:pt>
                  <c:pt idx="27">
                    <c:v>1,7</c:v>
                  </c:pt>
                  <c:pt idx="28">
                    <c:v>1,7</c:v>
                  </c:pt>
                  <c:pt idx="29">
                    <c:v>1,6</c:v>
                  </c:pt>
                  <c:pt idx="30">
                    <c:v>1,7</c:v>
                  </c:pt>
                  <c:pt idx="31">
                    <c:v>1,6</c:v>
                  </c:pt>
                  <c:pt idx="32">
                    <c:v>1,5</c:v>
                  </c:pt>
                  <c:pt idx="33">
                    <c:v>2</c:v>
                  </c:pt>
                  <c:pt idx="34">
                    <c:v>1,6</c:v>
                  </c:pt>
                  <c:pt idx="35">
                    <c:v>1,5</c:v>
                  </c:pt>
                  <c:pt idx="36">
                    <c:v>1,8</c:v>
                  </c:pt>
                  <c:pt idx="37">
                    <c:v>1,3</c:v>
                  </c:pt>
                  <c:pt idx="38">
                    <c:v>1,2</c:v>
                  </c:pt>
                  <c:pt idx="39">
                    <c:v>2</c:v>
                  </c:pt>
                  <c:pt idx="40">
                    <c:v>1,2</c:v>
                  </c:pt>
                  <c:pt idx="41">
                    <c:v>1,2</c:v>
                  </c:pt>
                  <c:pt idx="42">
                    <c:v>2</c:v>
                  </c:pt>
                  <c:pt idx="43">
                    <c:v>1,8</c:v>
                  </c:pt>
                  <c:pt idx="44">
                    <c:v>1,6</c:v>
                  </c:pt>
                  <c:pt idx="45">
                    <c:v>1,1</c:v>
                  </c:pt>
                  <c:pt idx="46">
                    <c:v>2</c:v>
                  </c:pt>
                  <c:pt idx="47">
                    <c:v>1,8</c:v>
                  </c:pt>
                  <c:pt idx="48">
                    <c:v>1,7</c:v>
                  </c:pt>
                  <c:pt idx="49">
                    <c:v>1,6</c:v>
                  </c:pt>
                  <c:pt idx="50">
                    <c:v>1,8</c:v>
                  </c:pt>
                  <c:pt idx="51">
                    <c:v>1,5</c:v>
                  </c:pt>
                  <c:pt idx="52">
                    <c:v>1,2</c:v>
                  </c:pt>
                  <c:pt idx="53">
                    <c:v>4,5</c:v>
                  </c:pt>
                  <c:pt idx="54">
                    <c:v>1,5</c:v>
                  </c:pt>
                  <c:pt idx="55">
                    <c:v>1,6</c:v>
                  </c:pt>
                  <c:pt idx="56">
                    <c:v>1,8</c:v>
                  </c:pt>
                  <c:pt idx="57">
                    <c:v>1,4</c:v>
                  </c:pt>
                  <c:pt idx="58">
                    <c:v>1,1</c:v>
                  </c:pt>
                  <c:pt idx="59">
                    <c:v>1,6</c:v>
                  </c:pt>
                  <c:pt idx="60">
                    <c:v>1,6</c:v>
                  </c:pt>
                  <c:pt idx="61">
                    <c:v>1,6</c:v>
                  </c:pt>
                  <c:pt idx="62">
                    <c:v>1,5</c:v>
                  </c:pt>
                  <c:pt idx="63">
                    <c:v>1,6</c:v>
                  </c:pt>
                  <c:pt idx="64">
                    <c:v>1,6</c:v>
                  </c:pt>
                  <c:pt idx="65">
                    <c:v>1,6</c:v>
                  </c:pt>
                  <c:pt idx="66">
                    <c:v>1,5</c:v>
                  </c:pt>
                  <c:pt idx="67">
                    <c:v>2</c:v>
                  </c:pt>
                  <c:pt idx="68">
                    <c:v>2</c:v>
                  </c:pt>
                  <c:pt idx="69">
                    <c:v>2</c:v>
                  </c:pt>
                  <c:pt idx="70">
                    <c:v>2</c:v>
                  </c:pt>
                  <c:pt idx="71">
                    <c:v>1,8</c:v>
                  </c:pt>
                  <c:pt idx="72">
                    <c:v>1,3</c:v>
                  </c:pt>
                  <c:pt idx="73">
                    <c:v>1,5</c:v>
                  </c:pt>
                  <c:pt idx="74">
                    <c:v>1,3</c:v>
                  </c:pt>
                  <c:pt idx="75">
                    <c:v>1,5</c:v>
                  </c:pt>
                  <c:pt idx="76">
                    <c:v>2</c:v>
                  </c:pt>
                  <c:pt idx="77">
                    <c:v>2</c:v>
                  </c:pt>
                  <c:pt idx="78">
                    <c:v>1,85</c:v>
                  </c:pt>
                  <c:pt idx="79">
                    <c:v>1,85</c:v>
                  </c:pt>
                  <c:pt idx="80">
                    <c:v>2</c:v>
                  </c:pt>
                  <c:pt idx="81">
                    <c:v>1,62</c:v>
                  </c:pt>
                  <c:pt idx="82">
                    <c:v>1,3</c:v>
                  </c:pt>
                  <c:pt idx="83">
                    <c:v>1,8</c:v>
                  </c:pt>
                  <c:pt idx="84">
                    <c:v>1,8</c:v>
                  </c:pt>
                  <c:pt idx="85">
                    <c:v>3</c:v>
                  </c:pt>
                  <c:pt idx="86">
                    <c:v>3</c:v>
                  </c:pt>
                  <c:pt idx="87">
                    <c:v>3</c:v>
                  </c:pt>
                  <c:pt idx="88">
                    <c:v>1,3</c:v>
                  </c:pt>
                  <c:pt idx="89">
                    <c:v>1,4</c:v>
                  </c:pt>
                  <c:pt idx="90">
                    <c:v>1,6</c:v>
                  </c:pt>
                  <c:pt idx="91">
                    <c:v>1,8</c:v>
                  </c:pt>
                  <c:pt idx="92">
                    <c:v>1,7</c:v>
                  </c:pt>
                  <c:pt idx="93">
                    <c:v>1,8</c:v>
                  </c:pt>
                  <c:pt idx="94">
                    <c:v>1,8</c:v>
                  </c:pt>
                  <c:pt idx="95">
                    <c:v>1,8</c:v>
                  </c:pt>
                  <c:pt idx="96">
                    <c:v>1,8</c:v>
                  </c:pt>
                  <c:pt idx="97">
                    <c:v>1,6</c:v>
                  </c:pt>
                  <c:pt idx="98">
                    <c:v>1,8</c:v>
                  </c:pt>
                  <c:pt idx="99">
                    <c:v>2</c:v>
                  </c:pt>
                  <c:pt idx="100">
                    <c:v>1,3</c:v>
                  </c:pt>
                  <c:pt idx="101">
                    <c:v>1,5</c:v>
                  </c:pt>
                  <c:pt idx="102">
                    <c:v>1,8</c:v>
                  </c:pt>
                  <c:pt idx="103">
                    <c:v>1,5</c:v>
                  </c:pt>
                  <c:pt idx="104">
                    <c:v>1,4</c:v>
                  </c:pt>
                  <c:pt idx="105">
                    <c:v>1,5</c:v>
                  </c:pt>
                  <c:pt idx="106">
                    <c:v>1,35</c:v>
                  </c:pt>
                  <c:pt idx="107">
                    <c:v>1,35</c:v>
                  </c:pt>
                  <c:pt idx="108">
                    <c:v>1,5</c:v>
                  </c:pt>
                  <c:pt idx="109">
                    <c:v>1,4</c:v>
                  </c:pt>
                  <c:pt idx="110">
                    <c:v>1</c:v>
                  </c:pt>
                  <c:pt idx="111">
                    <c:v>1,4</c:v>
                  </c:pt>
                  <c:pt idx="112">
                    <c:v>1,6</c:v>
                  </c:pt>
                  <c:pt idx="113">
                    <c:v>1,8</c:v>
                  </c:pt>
                  <c:pt idx="114">
                    <c:v>2</c:v>
                  </c:pt>
                  <c:pt idx="115">
                    <c:v>2</c:v>
                  </c:pt>
                  <c:pt idx="116">
                    <c:v>1,8</c:v>
                  </c:pt>
                  <c:pt idx="117">
                    <c:v>1,6</c:v>
                  </c:pt>
                  <c:pt idx="118">
                    <c:v>1,6</c:v>
                  </c:pt>
                  <c:pt idx="119">
                    <c:v>1,6</c:v>
                  </c:pt>
                  <c:pt idx="120">
                    <c:v>2</c:v>
                  </c:pt>
                  <c:pt idx="121">
                    <c:v>1,4</c:v>
                  </c:pt>
                  <c:pt idx="122">
                    <c:v>1,2</c:v>
                  </c:pt>
                  <c:pt idx="123">
                    <c:v>1,3</c:v>
                  </c:pt>
                  <c:pt idx="124">
                    <c:v>1,4</c:v>
                  </c:pt>
                  <c:pt idx="125">
                    <c:v>1,5</c:v>
                  </c:pt>
                  <c:pt idx="126">
                    <c:v>2</c:v>
                  </c:pt>
                  <c:pt idx="127">
                    <c:v>1,6</c:v>
                  </c:pt>
                  <c:pt idx="128">
                    <c:v>1,6</c:v>
                  </c:pt>
                  <c:pt idx="129">
                    <c:v>1,3</c:v>
                  </c:pt>
                  <c:pt idx="130">
                    <c:v>1,5</c:v>
                  </c:pt>
                  <c:pt idx="131">
                    <c:v>1,5</c:v>
                  </c:pt>
                  <c:pt idx="132">
                    <c:v>1,45</c:v>
                  </c:pt>
                  <c:pt idx="133">
                    <c:v>1,45</c:v>
                  </c:pt>
                  <c:pt idx="134">
                    <c:v>1,3</c:v>
                  </c:pt>
                  <c:pt idx="135">
                    <c:v>1,5</c:v>
                  </c:pt>
                  <c:pt idx="136">
                    <c:v>1,8</c:v>
                  </c:pt>
                  <c:pt idx="137">
                    <c:v>1,5</c:v>
                  </c:pt>
                  <c:pt idx="138">
                    <c:v>1,6</c:v>
                  </c:pt>
                  <c:pt idx="139">
                    <c:v>1,8</c:v>
                  </c:pt>
                  <c:pt idx="140">
                    <c:v>1,6</c:v>
                  </c:pt>
                  <c:pt idx="141">
                    <c:v>1,8</c:v>
                  </c:pt>
                  <c:pt idx="142">
                    <c:v>1,6</c:v>
                  </c:pt>
                  <c:pt idx="143">
                    <c:v>1,4</c:v>
                  </c:pt>
                  <c:pt idx="144">
                    <c:v>1,8</c:v>
                  </c:pt>
                  <c:pt idx="145">
                    <c:v>1,8</c:v>
                  </c:pt>
                  <c:pt idx="146">
                    <c:v>1,8</c:v>
                  </c:pt>
                  <c:pt idx="147">
                    <c:v>1,6</c:v>
                  </c:pt>
                  <c:pt idx="148">
                    <c:v>1,8</c:v>
                  </c:pt>
                  <c:pt idx="149">
                    <c:v>1,8</c:v>
                  </c:pt>
                  <c:pt idx="150">
                    <c:v>1,8</c:v>
                  </c:pt>
                  <c:pt idx="151">
                    <c:v>1,6</c:v>
                  </c:pt>
                  <c:pt idx="152">
                    <c:v>1,5</c:v>
                  </c:pt>
                  <c:pt idx="153">
                    <c:v>1,8</c:v>
                  </c:pt>
                  <c:pt idx="154">
                    <c:v>1,6</c:v>
                  </c:pt>
                  <c:pt idx="155">
                    <c:v>1,6</c:v>
                  </c:pt>
                  <c:pt idx="156">
                    <c:v>1,6</c:v>
                  </c:pt>
                  <c:pt idx="157">
                    <c:v>1,6</c:v>
                  </c:pt>
                  <c:pt idx="158">
                    <c:v>1,6</c:v>
                  </c:pt>
                  <c:pt idx="159">
                    <c:v>1,6</c:v>
                  </c:pt>
                  <c:pt idx="160">
                    <c:v>1,6</c:v>
                  </c:pt>
                  <c:pt idx="161">
                    <c:v>1,8</c:v>
                  </c:pt>
                  <c:pt idx="162">
                    <c:v>1,8</c:v>
                  </c:pt>
                  <c:pt idx="163">
                    <c:v>1,5</c:v>
                  </c:pt>
                  <c:pt idx="164">
                    <c:v>1,8</c:v>
                  </c:pt>
                  <c:pt idx="165">
                    <c:v>2</c:v>
                  </c:pt>
                  <c:pt idx="166">
                    <c:v>1,4</c:v>
                  </c:pt>
                  <c:pt idx="167">
                    <c:v>1,6</c:v>
                  </c:pt>
                  <c:pt idx="168">
                    <c:v>1,6</c:v>
                  </c:pt>
                  <c:pt idx="169">
                    <c:v>1,3</c:v>
                  </c:pt>
                  <c:pt idx="170">
                    <c:v>1,3</c:v>
                  </c:pt>
                  <c:pt idx="171">
                    <c:v>1,6</c:v>
                  </c:pt>
                  <c:pt idx="172">
                    <c:v>1,6</c:v>
                  </c:pt>
                  <c:pt idx="173">
                    <c:v>1,6</c:v>
                  </c:pt>
                  <c:pt idx="174">
                    <c:v>1,6</c:v>
                  </c:pt>
                  <c:pt idx="175">
                    <c:v>1,6</c:v>
                  </c:pt>
                  <c:pt idx="176">
                    <c:v>1,6</c:v>
                  </c:pt>
                  <c:pt idx="177">
                    <c:v>1,45</c:v>
                  </c:pt>
                  <c:pt idx="178">
                    <c:v>1,45</c:v>
                  </c:pt>
                  <c:pt idx="179">
                    <c:v>1,8</c:v>
                  </c:pt>
                  <c:pt idx="180">
                    <c:v>1,8</c:v>
                  </c:pt>
                  <c:pt idx="181">
                    <c:v>1,6</c:v>
                  </c:pt>
                  <c:pt idx="182">
                    <c:v>1,6</c:v>
                  </c:pt>
                  <c:pt idx="183">
                    <c:v>1,6</c:v>
                  </c:pt>
                  <c:pt idx="184">
                    <c:v>1,6</c:v>
                  </c:pt>
                  <c:pt idx="185">
                    <c:v>1,6</c:v>
                  </c:pt>
                  <c:pt idx="186">
                    <c:v>1,4</c:v>
                  </c:pt>
                  <c:pt idx="187">
                    <c:v>1,4</c:v>
                  </c:pt>
                  <c:pt idx="188">
                    <c:v>1,6</c:v>
                  </c:pt>
                  <c:pt idx="189">
                    <c:v>1,6</c:v>
                  </c:pt>
                  <c:pt idx="190">
                    <c:v>1,6</c:v>
                  </c:pt>
                  <c:pt idx="191">
                    <c:v>1,6</c:v>
                  </c:pt>
                  <c:pt idx="192">
                    <c:v>1,6</c:v>
                  </c:pt>
                  <c:pt idx="193">
                    <c:v>1,8</c:v>
                  </c:pt>
                  <c:pt idx="194">
                    <c:v>1,8</c:v>
                  </c:pt>
                  <c:pt idx="195">
                    <c:v>1,8</c:v>
                  </c:pt>
                  <c:pt idx="196">
                    <c:v>1,6</c:v>
                  </c:pt>
                  <c:pt idx="197">
                    <c:v>1,6</c:v>
                  </c:pt>
                  <c:pt idx="198">
                    <c:v>1,6</c:v>
                  </c:pt>
                  <c:pt idx="199">
                    <c:v>1,6</c:v>
                  </c:pt>
                  <c:pt idx="200">
                    <c:v>1,6</c:v>
                  </c:pt>
                  <c:pt idx="201">
                    <c:v>1,8</c:v>
                  </c:pt>
                  <c:pt idx="202">
                    <c:v>1,8</c:v>
                  </c:pt>
                  <c:pt idx="203">
                    <c:v>1,46</c:v>
                  </c:pt>
                  <c:pt idx="204">
                    <c:v>2</c:v>
                  </c:pt>
                  <c:pt idx="205">
                    <c:v>1,6</c:v>
                  </c:pt>
                  <c:pt idx="206">
                    <c:v>1</c:v>
                  </c:pt>
                  <c:pt idx="208">
                    <c:v>1,4</c:v>
                  </c:pt>
                  <c:pt idx="209">
                    <c:v>1,4</c:v>
                  </c:pt>
                  <c:pt idx="210">
                    <c:v>1,8</c:v>
                  </c:pt>
                  <c:pt idx="211">
                    <c:v>1,3</c:v>
                  </c:pt>
                  <c:pt idx="212">
                    <c:v>1,6</c:v>
                  </c:pt>
                  <c:pt idx="213">
                    <c:v>1,6</c:v>
                  </c:pt>
                  <c:pt idx="214">
                    <c:v>1,6</c:v>
                  </c:pt>
                  <c:pt idx="215">
                    <c:v>1,6</c:v>
                  </c:pt>
                  <c:pt idx="216">
                    <c:v>1,8</c:v>
                  </c:pt>
                  <c:pt idx="217">
                    <c:v>1,8</c:v>
                  </c:pt>
                  <c:pt idx="218">
                    <c:v>1,3</c:v>
                  </c:pt>
                  <c:pt idx="219">
                    <c:v>2,6</c:v>
                  </c:pt>
                  <c:pt idx="220">
                    <c:v>3,2</c:v>
                  </c:pt>
                  <c:pt idx="221">
                    <c:v>1,8</c:v>
                  </c:pt>
                  <c:pt idx="222">
                    <c:v>1,8</c:v>
                  </c:pt>
                  <c:pt idx="223">
                    <c:v>1,6</c:v>
                  </c:pt>
                  <c:pt idx="224">
                    <c:v>1,6</c:v>
                  </c:pt>
                  <c:pt idx="225">
                    <c:v>1,6</c:v>
                  </c:pt>
                  <c:pt idx="226">
                    <c:v>1,7</c:v>
                  </c:pt>
                  <c:pt idx="227">
                    <c:v>1,8</c:v>
                  </c:pt>
                  <c:pt idx="228">
                    <c:v>2</c:v>
                  </c:pt>
                  <c:pt idx="229">
                    <c:v>1,4</c:v>
                  </c:pt>
                  <c:pt idx="230">
                    <c:v>1,6</c:v>
                  </c:pt>
                  <c:pt idx="231">
                    <c:v>1,6</c:v>
                  </c:pt>
                  <c:pt idx="232">
                    <c:v>1,6</c:v>
                  </c:pt>
                  <c:pt idx="233">
                    <c:v>1,6</c:v>
                  </c:pt>
                  <c:pt idx="234">
                    <c:v>1,6</c:v>
                  </c:pt>
                  <c:pt idx="235">
                    <c:v>3</c:v>
                  </c:pt>
                  <c:pt idx="236">
                    <c:v>1,3</c:v>
                  </c:pt>
                  <c:pt idx="237">
                    <c:v>1,6</c:v>
                  </c:pt>
                  <c:pt idx="238">
                    <c:v>1,6</c:v>
                  </c:pt>
                  <c:pt idx="239">
                    <c:v>1,6</c:v>
                  </c:pt>
                  <c:pt idx="240">
                    <c:v>1,4</c:v>
                  </c:pt>
                  <c:pt idx="241">
                    <c:v>1,4</c:v>
                  </c:pt>
                  <c:pt idx="242">
                    <c:v>1,6</c:v>
                  </c:pt>
                  <c:pt idx="243">
                    <c:v>1,4</c:v>
                  </c:pt>
                  <c:pt idx="244">
                    <c:v>1,45</c:v>
                  </c:pt>
                  <c:pt idx="245">
                    <c:v>1,45</c:v>
                  </c:pt>
                  <c:pt idx="246">
                    <c:v>1,45</c:v>
                  </c:pt>
                  <c:pt idx="247">
                    <c:v>2</c:v>
                  </c:pt>
                  <c:pt idx="248">
                    <c:v>1,5</c:v>
                  </c:pt>
                  <c:pt idx="249">
                    <c:v>1,6</c:v>
                  </c:pt>
                  <c:pt idx="250">
                    <c:v>1,6</c:v>
                  </c:pt>
                  <c:pt idx="251">
                    <c:v>1,3</c:v>
                  </c:pt>
                  <c:pt idx="252">
                    <c:v>1,6</c:v>
                  </c:pt>
                  <c:pt idx="253">
                    <c:v>1,6</c:v>
                  </c:pt>
                  <c:pt idx="254">
                    <c:v>1,6</c:v>
                  </c:pt>
                  <c:pt idx="255">
                    <c:v>1,8</c:v>
                  </c:pt>
                  <c:pt idx="256">
                    <c:v>1,8</c:v>
                  </c:pt>
                  <c:pt idx="257">
                    <c:v>1,8</c:v>
                  </c:pt>
                  <c:pt idx="258">
                    <c:v>1,5</c:v>
                  </c:pt>
                  <c:pt idx="259">
                    <c:v>1,8</c:v>
                  </c:pt>
                  <c:pt idx="260">
                    <c:v>2</c:v>
                  </c:pt>
                  <c:pt idx="261">
                    <c:v>1,3</c:v>
                  </c:pt>
                  <c:pt idx="262">
                    <c:v>1,45</c:v>
                  </c:pt>
                  <c:pt idx="263">
                    <c:v>1,5</c:v>
                  </c:pt>
                  <c:pt idx="264">
                    <c:v>1,4</c:v>
                  </c:pt>
                  <c:pt idx="265">
                    <c:v>1,6</c:v>
                  </c:pt>
                  <c:pt idx="266">
                    <c:v>1,6</c:v>
                  </c:pt>
                  <c:pt idx="267">
                    <c:v>1,6</c:v>
                  </c:pt>
                  <c:pt idx="268">
                    <c:v>1,3</c:v>
                  </c:pt>
                  <c:pt idx="269">
                    <c:v>1,5</c:v>
                  </c:pt>
                  <c:pt idx="270">
                    <c:v>1,45</c:v>
                  </c:pt>
                  <c:pt idx="271">
                    <c:v>1,5</c:v>
                  </c:pt>
                  <c:pt idx="272">
                    <c:v>1,6</c:v>
                  </c:pt>
                  <c:pt idx="273">
                    <c:v>1,6</c:v>
                  </c:pt>
                  <c:pt idx="274">
                    <c:v>1,7</c:v>
                  </c:pt>
                  <c:pt idx="275">
                    <c:v>1,3</c:v>
                  </c:pt>
                  <c:pt idx="276">
                    <c:v>1,6</c:v>
                  </c:pt>
                  <c:pt idx="277">
                    <c:v>1,8</c:v>
                  </c:pt>
                  <c:pt idx="278">
                    <c:v>1,8</c:v>
                  </c:pt>
                  <c:pt idx="279">
                    <c:v>1,8</c:v>
                  </c:pt>
                  <c:pt idx="280">
                    <c:v>1,8</c:v>
                  </c:pt>
                  <c:pt idx="281">
                    <c:v>1,8</c:v>
                  </c:pt>
                  <c:pt idx="282">
                    <c:v>1,5</c:v>
                  </c:pt>
                  <c:pt idx="283">
                    <c:v>1,8</c:v>
                  </c:pt>
                  <c:pt idx="284">
                    <c:v>1,8</c:v>
                  </c:pt>
                  <c:pt idx="285">
                    <c:v>1,6</c:v>
                  </c:pt>
                  <c:pt idx="286">
                    <c:v>1,5</c:v>
                  </c:pt>
                  <c:pt idx="287">
                    <c:v>1,4</c:v>
                  </c:pt>
                  <c:pt idx="288">
                    <c:v>1,45</c:v>
                  </c:pt>
                  <c:pt idx="289">
                    <c:v>1,45</c:v>
                  </c:pt>
                  <c:pt idx="290">
                    <c:v>1,6</c:v>
                  </c:pt>
                  <c:pt idx="291">
                    <c:v>1,45</c:v>
                  </c:pt>
                  <c:pt idx="292">
                    <c:v>1,5</c:v>
                  </c:pt>
                  <c:pt idx="293">
                    <c:v>1,6</c:v>
                  </c:pt>
                  <c:pt idx="294">
                    <c:v>1,5</c:v>
                  </c:pt>
                  <c:pt idx="295">
                    <c:v>1,6</c:v>
                  </c:pt>
                  <c:pt idx="296">
                    <c:v>1,6</c:v>
                  </c:pt>
                  <c:pt idx="297">
                    <c:v>1,4</c:v>
                  </c:pt>
                  <c:pt idx="298">
                    <c:v>1,5</c:v>
                  </c:pt>
                  <c:pt idx="299">
                    <c:v>1,5</c:v>
                  </c:pt>
                  <c:pt idx="300">
                    <c:v>1,5</c:v>
                  </c:pt>
                  <c:pt idx="301">
                    <c:v>1,3</c:v>
                  </c:pt>
                  <c:pt idx="302">
                    <c:v>1,3</c:v>
                  </c:pt>
                  <c:pt idx="303">
                    <c:v>1,45</c:v>
                  </c:pt>
                  <c:pt idx="304">
                    <c:v>1,5</c:v>
                  </c:pt>
                  <c:pt idx="305">
                    <c:v>1,5</c:v>
                  </c:pt>
                  <c:pt idx="306">
                    <c:v>1,5</c:v>
                  </c:pt>
                  <c:pt idx="307">
                    <c:v>1,45</c:v>
                  </c:pt>
                  <c:pt idx="308">
                    <c:v>1,5</c:v>
                  </c:pt>
                  <c:pt idx="309">
                    <c:v>1,5</c:v>
                  </c:pt>
                  <c:pt idx="310">
                    <c:v>1,7</c:v>
                  </c:pt>
                  <c:pt idx="311">
                    <c:v>1,8</c:v>
                  </c:pt>
                  <c:pt idx="312">
                    <c:v>1,8</c:v>
                  </c:pt>
                  <c:pt idx="313">
                    <c:v>1,7</c:v>
                  </c:pt>
                  <c:pt idx="314">
                    <c:v>2</c:v>
                  </c:pt>
                  <c:pt idx="315">
                    <c:v>2,5</c:v>
                  </c:pt>
                  <c:pt idx="316">
                    <c:v>1,6</c:v>
                  </c:pt>
                  <c:pt idx="317">
                    <c:v>1,35</c:v>
                  </c:pt>
                  <c:pt idx="318">
                    <c:v>1,3</c:v>
                  </c:pt>
                  <c:pt idx="319">
                    <c:v>1,3</c:v>
                  </c:pt>
                  <c:pt idx="320">
                    <c:v>1,45</c:v>
                  </c:pt>
                  <c:pt idx="321">
                    <c:v>2,5</c:v>
                  </c:pt>
                  <c:pt idx="322">
                    <c:v>2</c:v>
                  </c:pt>
                  <c:pt idx="323">
                    <c:v>1,6</c:v>
                  </c:pt>
                  <c:pt idx="324">
                    <c:v>1,6</c:v>
                  </c:pt>
                  <c:pt idx="325">
                    <c:v>1,6</c:v>
                  </c:pt>
                  <c:pt idx="326">
                    <c:v>1,6</c:v>
                  </c:pt>
                  <c:pt idx="327">
                    <c:v>2</c:v>
                  </c:pt>
                  <c:pt idx="328">
                    <c:v>1,4</c:v>
                  </c:pt>
                  <c:pt idx="329">
                    <c:v>1,4</c:v>
                  </c:pt>
                  <c:pt idx="330">
                    <c:v>1,4</c:v>
                  </c:pt>
                  <c:pt idx="331">
                    <c:v>1,8</c:v>
                  </c:pt>
                  <c:pt idx="332">
                    <c:v>1,4</c:v>
                  </c:pt>
                  <c:pt idx="333">
                    <c:v>1,4</c:v>
                  </c:pt>
                  <c:pt idx="334">
                    <c:v>1,4</c:v>
                  </c:pt>
                  <c:pt idx="335">
                    <c:v>1,4</c:v>
                  </c:pt>
                  <c:pt idx="336">
                    <c:v>1,4</c:v>
                  </c:pt>
                  <c:pt idx="337">
                    <c:v>1,3</c:v>
                  </c:pt>
                  <c:pt idx="338">
                    <c:v>1,4</c:v>
                  </c:pt>
                  <c:pt idx="339">
                    <c:v>1,6</c:v>
                  </c:pt>
                  <c:pt idx="340">
                    <c:v>1,5</c:v>
                  </c:pt>
                  <c:pt idx="341">
                    <c:v>1,8</c:v>
                  </c:pt>
                  <c:pt idx="342">
                    <c:v>1,5</c:v>
                  </c:pt>
                  <c:pt idx="343">
                    <c:v>1,6</c:v>
                  </c:pt>
                  <c:pt idx="344">
                    <c:v>1,5</c:v>
                  </c:pt>
                  <c:pt idx="345">
                    <c:v>1,8</c:v>
                  </c:pt>
                  <c:pt idx="346">
                    <c:v>1,3</c:v>
                  </c:pt>
                  <c:pt idx="347">
                    <c:v>1,6</c:v>
                  </c:pt>
                  <c:pt idx="348">
                    <c:v>1,45</c:v>
                  </c:pt>
                  <c:pt idx="349">
                    <c:v>1,8</c:v>
                  </c:pt>
                  <c:pt idx="350">
                    <c:v>1,4</c:v>
                  </c:pt>
                  <c:pt idx="351">
                    <c:v>1,5</c:v>
                  </c:pt>
                  <c:pt idx="352">
                    <c:v>1,6</c:v>
                  </c:pt>
                  <c:pt idx="353">
                    <c:v>1,4</c:v>
                  </c:pt>
                  <c:pt idx="354">
                    <c:v>1,5</c:v>
                  </c:pt>
                  <c:pt idx="355">
                    <c:v>1,5</c:v>
                  </c:pt>
                  <c:pt idx="356">
                    <c:v>1,6</c:v>
                  </c:pt>
                  <c:pt idx="357">
                    <c:v>1,6</c:v>
                  </c:pt>
                  <c:pt idx="358">
                    <c:v>1,6</c:v>
                  </c:pt>
                  <c:pt idx="359">
                    <c:v>1,3</c:v>
                  </c:pt>
                  <c:pt idx="360">
                    <c:v>1,3</c:v>
                  </c:pt>
                  <c:pt idx="361">
                    <c:v>1,35</c:v>
                  </c:pt>
                  <c:pt idx="362">
                    <c:v>1,35</c:v>
                  </c:pt>
                  <c:pt idx="363">
                    <c:v>1,6</c:v>
                  </c:pt>
                  <c:pt idx="364">
                    <c:v>1,35</c:v>
                  </c:pt>
                  <c:pt idx="365">
                    <c:v>1,3</c:v>
                  </c:pt>
                  <c:pt idx="366">
                    <c:v>1,35</c:v>
                  </c:pt>
                  <c:pt idx="367">
                    <c:v>1,35</c:v>
                  </c:pt>
                  <c:pt idx="368">
                    <c:v>1,3</c:v>
                  </c:pt>
                  <c:pt idx="369">
                    <c:v>1,8</c:v>
                  </c:pt>
                  <c:pt idx="370">
                    <c:v>1,4</c:v>
                  </c:pt>
                  <c:pt idx="371">
                    <c:v>1,8</c:v>
                  </c:pt>
                  <c:pt idx="372">
                    <c:v>1,8</c:v>
                  </c:pt>
                  <c:pt idx="373">
                    <c:v>1,8</c:v>
                  </c:pt>
                  <c:pt idx="374">
                    <c:v>1,6</c:v>
                  </c:pt>
                  <c:pt idx="375">
                    <c:v>1,6</c:v>
                  </c:pt>
                  <c:pt idx="376">
                    <c:v>1,8</c:v>
                  </c:pt>
                  <c:pt idx="377">
                    <c:v>1,6</c:v>
                  </c:pt>
                  <c:pt idx="378">
                    <c:v>1,4</c:v>
                  </c:pt>
                  <c:pt idx="379">
                    <c:v>1,4</c:v>
                  </c:pt>
                  <c:pt idx="380">
                    <c:v>1,8</c:v>
                  </c:pt>
                  <c:pt idx="381">
                    <c:v>1,8</c:v>
                  </c:pt>
                  <c:pt idx="382">
                    <c:v>1,6</c:v>
                  </c:pt>
                  <c:pt idx="383">
                    <c:v>1,8</c:v>
                  </c:pt>
                  <c:pt idx="384">
                    <c:v>1,6</c:v>
                  </c:pt>
                  <c:pt idx="385">
                    <c:v>1,6</c:v>
                  </c:pt>
                  <c:pt idx="386">
                    <c:v>1,4</c:v>
                  </c:pt>
                  <c:pt idx="387">
                    <c:v>1,4</c:v>
                  </c:pt>
                  <c:pt idx="388">
                    <c:v>1,6</c:v>
                  </c:pt>
                  <c:pt idx="389">
                    <c:v>1,6</c:v>
                  </c:pt>
                  <c:pt idx="390">
                    <c:v>1,6</c:v>
                  </c:pt>
                  <c:pt idx="391">
                    <c:v>1,3</c:v>
                  </c:pt>
                  <c:pt idx="392">
                    <c:v>1,3</c:v>
                  </c:pt>
                  <c:pt idx="393">
                    <c:v>1,3</c:v>
                  </c:pt>
                  <c:pt idx="394">
                    <c:v>1,6</c:v>
                  </c:pt>
                  <c:pt idx="395">
                    <c:v>1,8</c:v>
                  </c:pt>
                  <c:pt idx="396">
                    <c:v>1,8</c:v>
                  </c:pt>
                  <c:pt idx="397">
                    <c:v>1,3</c:v>
                  </c:pt>
                  <c:pt idx="398">
                    <c:v>2</c:v>
                  </c:pt>
                  <c:pt idx="399">
                    <c:v>1,8</c:v>
                  </c:pt>
                  <c:pt idx="400">
                    <c:v>1,8</c:v>
                  </c:pt>
                  <c:pt idx="401">
                    <c:v>1,6</c:v>
                  </c:pt>
                  <c:pt idx="402">
                    <c:v>2</c:v>
                  </c:pt>
                  <c:pt idx="403">
                    <c:v>1,6</c:v>
                  </c:pt>
                  <c:pt idx="404">
                    <c:v>1,8</c:v>
                  </c:pt>
                  <c:pt idx="405">
                    <c:v>1,6</c:v>
                  </c:pt>
                  <c:pt idx="406">
                    <c:v>1,8</c:v>
                  </c:pt>
                  <c:pt idx="407">
                    <c:v>1,5</c:v>
                  </c:pt>
                  <c:pt idx="408">
                    <c:v>1,6</c:v>
                  </c:pt>
                  <c:pt idx="409">
                    <c:v>1,6</c:v>
                  </c:pt>
                  <c:pt idx="410">
                    <c:v>1,45</c:v>
                  </c:pt>
                  <c:pt idx="411">
                    <c:v>1,4</c:v>
                  </c:pt>
                  <c:pt idx="412">
                    <c:v>1,67</c:v>
                  </c:pt>
                  <c:pt idx="413">
                    <c:v>1,2</c:v>
                  </c:pt>
                  <c:pt idx="414">
                    <c:v>1,8</c:v>
                  </c:pt>
                  <c:pt idx="415">
                    <c:v>1,6</c:v>
                  </c:pt>
                  <c:pt idx="416">
                    <c:v>1,8</c:v>
                  </c:pt>
                  <c:pt idx="417">
                    <c:v>1,8</c:v>
                  </c:pt>
                  <c:pt idx="418">
                    <c:v>2,5</c:v>
                  </c:pt>
                  <c:pt idx="419">
                    <c:v>2</c:v>
                  </c:pt>
                  <c:pt idx="420">
                    <c:v>3</c:v>
                  </c:pt>
                  <c:pt idx="421">
                    <c:v>3</c:v>
                  </c:pt>
                  <c:pt idx="422">
                    <c:v>2</c:v>
                  </c:pt>
                  <c:pt idx="423">
                    <c:v>2,5</c:v>
                  </c:pt>
                  <c:pt idx="424">
                    <c:v>2</c:v>
                  </c:pt>
                  <c:pt idx="425">
                    <c:v>2</c:v>
                  </c:pt>
                  <c:pt idx="426">
                    <c:v>2</c:v>
                  </c:pt>
                  <c:pt idx="427">
                    <c:v>2</c:v>
                  </c:pt>
                  <c:pt idx="428">
                    <c:v>1,5</c:v>
                  </c:pt>
                  <c:pt idx="429">
                    <c:v>1,5</c:v>
                  </c:pt>
                  <c:pt idx="430">
                    <c:v>1,8</c:v>
                  </c:pt>
                  <c:pt idx="431">
                    <c:v>1,5</c:v>
                  </c:pt>
                  <c:pt idx="432">
                    <c:v>1,8</c:v>
                  </c:pt>
                  <c:pt idx="433">
                    <c:v>1,4</c:v>
                  </c:pt>
                  <c:pt idx="434">
                    <c:v>1,5</c:v>
                  </c:pt>
                  <c:pt idx="435">
                    <c:v>1,4</c:v>
                  </c:pt>
                  <c:pt idx="436">
                    <c:v>1,45</c:v>
                  </c:pt>
                  <c:pt idx="437">
                    <c:v>1,4</c:v>
                  </c:pt>
                  <c:pt idx="438">
                    <c:v>1,8</c:v>
                  </c:pt>
                  <c:pt idx="439">
                    <c:v>1,8</c:v>
                  </c:pt>
                  <c:pt idx="440">
                    <c:v>1,7</c:v>
                  </c:pt>
                  <c:pt idx="441">
                    <c:v>1,6</c:v>
                  </c:pt>
                  <c:pt idx="442">
                    <c:v>1,6</c:v>
                  </c:pt>
                  <c:pt idx="443">
                    <c:v>1,7</c:v>
                  </c:pt>
                  <c:pt idx="444">
                    <c:v>1,5</c:v>
                  </c:pt>
                  <c:pt idx="445">
                    <c:v>1,6</c:v>
                  </c:pt>
                  <c:pt idx="446">
                    <c:v>1,6</c:v>
                  </c:pt>
                  <c:pt idx="447">
                    <c:v>1,6</c:v>
                  </c:pt>
                  <c:pt idx="448">
                    <c:v>1,5</c:v>
                  </c:pt>
                  <c:pt idx="449">
                    <c:v>1,7</c:v>
                  </c:pt>
                  <c:pt idx="450">
                    <c:v>1,6</c:v>
                  </c:pt>
                  <c:pt idx="451">
                    <c:v>1,5</c:v>
                  </c:pt>
                  <c:pt idx="452">
                    <c:v>1,6</c:v>
                  </c:pt>
                  <c:pt idx="453">
                    <c:v>1,35</c:v>
                  </c:pt>
                  <c:pt idx="454">
                    <c:v>1,35</c:v>
                  </c:pt>
                  <c:pt idx="455">
                    <c:v>1,4</c:v>
                  </c:pt>
                  <c:pt idx="456">
                    <c:v>1,4</c:v>
                  </c:pt>
                  <c:pt idx="457">
                    <c:v>1,4</c:v>
                  </c:pt>
                  <c:pt idx="458">
                    <c:v>1,6</c:v>
                  </c:pt>
                  <c:pt idx="459">
                    <c:v>2</c:v>
                  </c:pt>
                  <c:pt idx="460">
                    <c:v>1,45</c:v>
                  </c:pt>
                  <c:pt idx="461">
                    <c:v>1,45</c:v>
                  </c:pt>
                  <c:pt idx="462">
                    <c:v>1,8</c:v>
                  </c:pt>
                  <c:pt idx="463">
                    <c:v>1,6</c:v>
                  </c:pt>
                  <c:pt idx="464">
                    <c:v>1,4</c:v>
                  </c:pt>
                  <c:pt idx="465">
                    <c:v>1,4</c:v>
                  </c:pt>
                  <c:pt idx="466">
                    <c:v>1,4</c:v>
                  </c:pt>
                  <c:pt idx="467">
                    <c:v>1,3</c:v>
                  </c:pt>
                  <c:pt idx="468">
                    <c:v>1,3</c:v>
                  </c:pt>
                  <c:pt idx="469">
                    <c:v>1,3</c:v>
                  </c:pt>
                  <c:pt idx="470">
                    <c:v>1,3</c:v>
                  </c:pt>
                  <c:pt idx="471">
                    <c:v>1,3</c:v>
                  </c:pt>
                  <c:pt idx="472">
                    <c:v>1,6</c:v>
                  </c:pt>
                  <c:pt idx="473">
                    <c:v>1,6</c:v>
                  </c:pt>
                  <c:pt idx="474">
                    <c:v>1,3</c:v>
                  </c:pt>
                  <c:pt idx="475">
                    <c:v>1,8</c:v>
                  </c:pt>
                  <c:pt idx="476">
                    <c:v>2</c:v>
                  </c:pt>
                  <c:pt idx="477">
                    <c:v>1,5</c:v>
                  </c:pt>
                  <c:pt idx="478">
                    <c:v>1,6</c:v>
                  </c:pt>
                  <c:pt idx="479">
                    <c:v>1,6</c:v>
                  </c:pt>
                  <c:pt idx="480">
                    <c:v>1,6</c:v>
                  </c:pt>
                  <c:pt idx="481">
                    <c:v>1,5</c:v>
                  </c:pt>
                  <c:pt idx="482">
                    <c:v>1,1</c:v>
                  </c:pt>
                  <c:pt idx="483">
                    <c:v>1,4</c:v>
                  </c:pt>
                  <c:pt idx="484">
                    <c:v>1,35</c:v>
                  </c:pt>
                  <c:pt idx="486">
                    <c:v>1,8</c:v>
                  </c:pt>
                  <c:pt idx="487">
                    <c:v>1,8</c:v>
                  </c:pt>
                  <c:pt idx="488">
                    <c:v>1,6</c:v>
                  </c:pt>
                  <c:pt idx="489">
                    <c:v>1,5</c:v>
                  </c:pt>
                  <c:pt idx="490">
                    <c:v>1,8</c:v>
                  </c:pt>
                  <c:pt idx="491">
                    <c:v>1,5</c:v>
                  </c:pt>
                  <c:pt idx="492">
                    <c:v>1,3</c:v>
                  </c:pt>
                  <c:pt idx="493">
                    <c:v>1,4</c:v>
                  </c:pt>
                  <c:pt idx="495">
                    <c:v>1,6</c:v>
                  </c:pt>
                  <c:pt idx="496">
                    <c:v>1,4</c:v>
                  </c:pt>
                  <c:pt idx="497">
                    <c:v>1,6</c:v>
                  </c:pt>
                  <c:pt idx="498">
                    <c:v>1,6</c:v>
                  </c:pt>
                  <c:pt idx="499">
                    <c:v>1,4</c:v>
                  </c:pt>
                  <c:pt idx="500">
                    <c:v>1,4</c:v>
                  </c:pt>
                  <c:pt idx="501">
                    <c:v>2</c:v>
                  </c:pt>
                  <c:pt idx="502">
                    <c:v>1,6</c:v>
                  </c:pt>
                  <c:pt idx="503">
                    <c:v>2,4</c:v>
                  </c:pt>
                  <c:pt idx="504">
                    <c:v>1,6</c:v>
                  </c:pt>
                  <c:pt idx="505">
                    <c:v>1,6</c:v>
                  </c:pt>
                  <c:pt idx="506">
                    <c:v>1,8</c:v>
                  </c:pt>
                  <c:pt idx="507">
                    <c:v>2</c:v>
                  </c:pt>
                  <c:pt idx="508">
                    <c:v>2</c:v>
                  </c:pt>
                  <c:pt idx="509">
                    <c:v>1,6</c:v>
                  </c:pt>
                  <c:pt idx="510">
                    <c:v>2</c:v>
                  </c:pt>
                  <c:pt idx="511">
                    <c:v>1,7</c:v>
                  </c:pt>
                  <c:pt idx="512">
                    <c:v>1,6</c:v>
                  </c:pt>
                  <c:pt idx="513">
                    <c:v>1,6</c:v>
                  </c:pt>
                  <c:pt idx="514">
                    <c:v>2</c:v>
                  </c:pt>
                  <c:pt idx="515">
                    <c:v>2</c:v>
                  </c:pt>
                  <c:pt idx="516">
                    <c:v>1,45</c:v>
                  </c:pt>
                  <c:pt idx="517">
                    <c:v>1,25</c:v>
                  </c:pt>
                  <c:pt idx="518">
                    <c:v>1,3</c:v>
                  </c:pt>
                  <c:pt idx="519">
                    <c:v>1,5</c:v>
                  </c:pt>
                  <c:pt idx="520">
                    <c:v>1,4</c:v>
                  </c:pt>
                  <c:pt idx="521">
                    <c:v>1</c:v>
                  </c:pt>
                  <c:pt idx="522">
                    <c:v>1,6</c:v>
                  </c:pt>
                  <c:pt idx="524">
                    <c:v>1,3</c:v>
                  </c:pt>
                  <c:pt idx="525">
                    <c:v>1,6</c:v>
                  </c:pt>
                  <c:pt idx="526">
                    <c:v>1,1</c:v>
                  </c:pt>
                  <c:pt idx="527">
                    <c:v>1,1</c:v>
                  </c:pt>
                  <c:pt idx="528">
                    <c:v>1,1</c:v>
                  </c:pt>
                  <c:pt idx="529">
                    <c:v>1,1</c:v>
                  </c:pt>
                  <c:pt idx="530">
                    <c:v>1,6</c:v>
                  </c:pt>
                  <c:pt idx="531">
                    <c:v>1,3</c:v>
                  </c:pt>
                  <c:pt idx="532">
                    <c:v>1,6</c:v>
                  </c:pt>
                  <c:pt idx="534">
                    <c:v>1,6</c:v>
                  </c:pt>
                  <c:pt idx="535">
                    <c:v>1,3</c:v>
                  </c:pt>
                  <c:pt idx="536">
                    <c:v>1,6</c:v>
                  </c:pt>
                  <c:pt idx="537">
                    <c:v>1,8</c:v>
                  </c:pt>
                  <c:pt idx="538">
                    <c:v>1,6</c:v>
                  </c:pt>
                  <c:pt idx="539">
                    <c:v>1,3</c:v>
                  </c:pt>
                  <c:pt idx="540">
                    <c:v>1,35</c:v>
                  </c:pt>
                  <c:pt idx="541">
                    <c:v>1,2</c:v>
                  </c:pt>
                  <c:pt idx="542">
                    <c:v>1,8</c:v>
                  </c:pt>
                  <c:pt idx="543">
                    <c:v>1,6</c:v>
                  </c:pt>
                  <c:pt idx="544">
                    <c:v>1,6</c:v>
                  </c:pt>
                  <c:pt idx="545">
                    <c:v>1,45</c:v>
                  </c:pt>
                  <c:pt idx="546">
                    <c:v>1,7</c:v>
                  </c:pt>
                  <c:pt idx="547">
                    <c:v>1,5</c:v>
                  </c:pt>
                  <c:pt idx="548">
                    <c:v>1,5</c:v>
                  </c:pt>
                  <c:pt idx="549">
                    <c:v>1,6</c:v>
                  </c:pt>
                  <c:pt idx="550">
                    <c:v>1,6</c:v>
                  </c:pt>
                  <c:pt idx="551">
                    <c:v>1,6</c:v>
                  </c:pt>
                  <c:pt idx="552">
                    <c:v>1,6</c:v>
                  </c:pt>
                  <c:pt idx="553">
                    <c:v>1,6</c:v>
                  </c:pt>
                  <c:pt idx="554">
                    <c:v>1,3</c:v>
                  </c:pt>
                  <c:pt idx="555">
                    <c:v>1,6</c:v>
                  </c:pt>
                  <c:pt idx="556">
                    <c:v>1,8</c:v>
                  </c:pt>
                  <c:pt idx="557">
                    <c:v>1,6</c:v>
                  </c:pt>
                  <c:pt idx="558">
                    <c:v>1,3</c:v>
                  </c:pt>
                  <c:pt idx="559">
                    <c:v>1,3</c:v>
                  </c:pt>
                  <c:pt idx="560">
                    <c:v>1,6</c:v>
                  </c:pt>
                  <c:pt idx="561">
                    <c:v>1,6</c:v>
                  </c:pt>
                  <c:pt idx="562">
                    <c:v>1,6</c:v>
                  </c:pt>
                  <c:pt idx="563">
                    <c:v>1,4</c:v>
                  </c:pt>
                  <c:pt idx="564">
                    <c:v>1,6</c:v>
                  </c:pt>
                  <c:pt idx="565">
                    <c:v>1,6</c:v>
                  </c:pt>
                  <c:pt idx="566">
                    <c:v>1,4</c:v>
                  </c:pt>
                  <c:pt idx="567">
                    <c:v>1,5</c:v>
                  </c:pt>
                  <c:pt idx="568">
                    <c:v>1,5</c:v>
                  </c:pt>
                  <c:pt idx="569">
                    <c:v>2</c:v>
                  </c:pt>
                  <c:pt idx="570">
                    <c:v>1,6</c:v>
                  </c:pt>
                  <c:pt idx="571">
                    <c:v>1,6</c:v>
                  </c:pt>
                  <c:pt idx="572">
                    <c:v>1,4</c:v>
                  </c:pt>
                  <c:pt idx="573">
                    <c:v>1,35</c:v>
                  </c:pt>
                  <c:pt idx="574">
                    <c:v>1,7</c:v>
                  </c:pt>
                  <c:pt idx="575">
                    <c:v>1,6</c:v>
                  </c:pt>
                  <c:pt idx="576">
                    <c:v>1,6</c:v>
                  </c:pt>
                  <c:pt idx="577">
                    <c:v>1,4</c:v>
                  </c:pt>
                  <c:pt idx="579">
                    <c:v>1,6</c:v>
                  </c:pt>
                  <c:pt idx="580">
                    <c:v>1,6</c:v>
                  </c:pt>
                  <c:pt idx="582">
                    <c:v>1,5</c:v>
                  </c:pt>
                  <c:pt idx="583">
                    <c:v>1,6</c:v>
                  </c:pt>
                  <c:pt idx="584">
                    <c:v>1,1</c:v>
                  </c:pt>
                  <c:pt idx="585">
                    <c:v>2</c:v>
                  </c:pt>
                  <c:pt idx="586">
                    <c:v>3</c:v>
                  </c:pt>
                  <c:pt idx="587">
                    <c:v>1,7</c:v>
                  </c:pt>
                  <c:pt idx="588">
                    <c:v>1,6</c:v>
                  </c:pt>
                  <c:pt idx="589">
                    <c:v>1,6</c:v>
                  </c:pt>
                  <c:pt idx="590">
                    <c:v>1,5</c:v>
                  </c:pt>
                  <c:pt idx="591">
                    <c:v>1,8</c:v>
                  </c:pt>
                  <c:pt idx="592">
                    <c:v>1,6</c:v>
                  </c:pt>
                  <c:pt idx="593">
                    <c:v>1,4</c:v>
                  </c:pt>
                  <c:pt idx="594">
                    <c:v>2,25</c:v>
                  </c:pt>
                  <c:pt idx="595">
                    <c:v>2,3</c:v>
                  </c:pt>
                  <c:pt idx="596">
                    <c:v>1,6</c:v>
                  </c:pt>
                  <c:pt idx="597">
                    <c:v>2</c:v>
                  </c:pt>
                  <c:pt idx="598">
                    <c:v>1,5</c:v>
                  </c:pt>
                  <c:pt idx="599">
                    <c:v>2,6</c:v>
                  </c:pt>
                  <c:pt idx="600">
                    <c:v>1,3</c:v>
                  </c:pt>
                  <c:pt idx="601">
                    <c:v>1,6</c:v>
                  </c:pt>
                  <c:pt idx="602">
                    <c:v>1,6</c:v>
                  </c:pt>
                  <c:pt idx="603">
                    <c:v>1,3</c:v>
                  </c:pt>
                  <c:pt idx="604">
                    <c:v>3</c:v>
                  </c:pt>
                  <c:pt idx="605">
                    <c:v>1,6</c:v>
                  </c:pt>
                  <c:pt idx="606">
                    <c:v>1,6</c:v>
                  </c:pt>
                  <c:pt idx="607">
                    <c:v>1,8</c:v>
                  </c:pt>
                  <c:pt idx="608">
                    <c:v>1,8</c:v>
                  </c:pt>
                  <c:pt idx="609">
                    <c:v>1,6</c:v>
                  </c:pt>
                  <c:pt idx="610">
                    <c:v>1,4</c:v>
                  </c:pt>
                  <c:pt idx="611">
                    <c:v>1,6</c:v>
                  </c:pt>
                  <c:pt idx="612">
                    <c:v>1,8</c:v>
                  </c:pt>
                  <c:pt idx="613">
                    <c:v>1,6</c:v>
                  </c:pt>
                  <c:pt idx="614">
                    <c:v>1,8</c:v>
                  </c:pt>
                  <c:pt idx="615">
                    <c:v>1,6</c:v>
                  </c:pt>
                  <c:pt idx="616">
                    <c:v>2</c:v>
                  </c:pt>
                  <c:pt idx="617">
                    <c:v>1,8</c:v>
                  </c:pt>
                  <c:pt idx="618">
                    <c:v>1,8</c:v>
                  </c:pt>
                  <c:pt idx="619">
                    <c:v>1,6</c:v>
                  </c:pt>
                  <c:pt idx="620">
                    <c:v>1,7</c:v>
                  </c:pt>
                  <c:pt idx="621">
                    <c:v>1,7</c:v>
                  </c:pt>
                  <c:pt idx="622">
                    <c:v>1,7</c:v>
                  </c:pt>
                  <c:pt idx="623">
                    <c:v>1,7</c:v>
                  </c:pt>
                  <c:pt idx="624">
                    <c:v>1,7</c:v>
                  </c:pt>
                  <c:pt idx="625">
                    <c:v>1,6</c:v>
                  </c:pt>
                  <c:pt idx="626">
                    <c:v>1,7</c:v>
                  </c:pt>
                  <c:pt idx="627">
                    <c:v>1,7</c:v>
                  </c:pt>
                  <c:pt idx="628">
                    <c:v>1,7</c:v>
                  </c:pt>
                  <c:pt idx="629">
                    <c:v>1,7</c:v>
                  </c:pt>
                  <c:pt idx="630">
                    <c:v>1,7</c:v>
                  </c:pt>
                  <c:pt idx="631">
                    <c:v>1,6</c:v>
                  </c:pt>
                  <c:pt idx="632">
                    <c:v>1,4</c:v>
                  </c:pt>
                  <c:pt idx="633">
                    <c:v>1,6</c:v>
                  </c:pt>
                  <c:pt idx="634">
                    <c:v>1,3</c:v>
                  </c:pt>
                  <c:pt idx="635">
                    <c:v>1,2</c:v>
                  </c:pt>
                  <c:pt idx="636">
                    <c:v>1,4</c:v>
                  </c:pt>
                  <c:pt idx="637">
                    <c:v>2</c:v>
                  </c:pt>
                  <c:pt idx="638">
                    <c:v>1,8</c:v>
                  </c:pt>
                  <c:pt idx="639">
                    <c:v>2</c:v>
                  </c:pt>
                  <c:pt idx="640">
                    <c:v>1,6</c:v>
                  </c:pt>
                  <c:pt idx="641">
                    <c:v>2</c:v>
                  </c:pt>
                  <c:pt idx="642">
                    <c:v>1,8</c:v>
                  </c:pt>
                  <c:pt idx="643">
                    <c:v>1,8</c:v>
                  </c:pt>
                  <c:pt idx="644">
                    <c:v>1,8</c:v>
                  </c:pt>
                  <c:pt idx="645">
                    <c:v>1,6</c:v>
                  </c:pt>
                  <c:pt idx="646">
                    <c:v>1,8</c:v>
                  </c:pt>
                  <c:pt idx="647">
                    <c:v>2</c:v>
                  </c:pt>
                  <c:pt idx="648">
                    <c:v>1,8</c:v>
                  </c:pt>
                  <c:pt idx="649">
                    <c:v>1,8</c:v>
                  </c:pt>
                  <c:pt idx="650">
                    <c:v>1,8</c:v>
                  </c:pt>
                  <c:pt idx="651">
                    <c:v>2</c:v>
                  </c:pt>
                  <c:pt idx="652">
                    <c:v>2</c:v>
                  </c:pt>
                  <c:pt idx="653">
                    <c:v>2</c:v>
                  </c:pt>
                  <c:pt idx="654">
                    <c:v>2</c:v>
                  </c:pt>
                  <c:pt idx="655">
                    <c:v>2</c:v>
                  </c:pt>
                  <c:pt idx="656">
                    <c:v>1,5</c:v>
                  </c:pt>
                  <c:pt idx="657">
                    <c:v>1,8</c:v>
                  </c:pt>
                  <c:pt idx="658">
                    <c:v>1,8</c:v>
                  </c:pt>
                  <c:pt idx="659">
                    <c:v>1,8</c:v>
                  </c:pt>
                  <c:pt idx="660">
                    <c:v>1,8</c:v>
                  </c:pt>
                  <c:pt idx="661">
                    <c:v>1,8</c:v>
                  </c:pt>
                  <c:pt idx="662">
                    <c:v>1,8</c:v>
                  </c:pt>
                  <c:pt idx="663">
                    <c:v>1,8</c:v>
                  </c:pt>
                  <c:pt idx="664">
                    <c:v>1,8</c:v>
                  </c:pt>
                  <c:pt idx="665">
                    <c:v>1,8</c:v>
                  </c:pt>
                  <c:pt idx="666">
                    <c:v>1,8</c:v>
                  </c:pt>
                  <c:pt idx="667">
                    <c:v>1</c:v>
                  </c:pt>
                  <c:pt idx="668">
                    <c:v>1</c:v>
                  </c:pt>
                  <c:pt idx="670">
                    <c:v>1,6</c:v>
                  </c:pt>
                  <c:pt idx="671">
                    <c:v>1,6</c:v>
                  </c:pt>
                  <c:pt idx="672">
                    <c:v>1,2</c:v>
                  </c:pt>
                  <c:pt idx="673">
                    <c:v>1,3</c:v>
                  </c:pt>
                  <c:pt idx="674">
                    <c:v>1,3</c:v>
                  </c:pt>
                  <c:pt idx="675">
                    <c:v>1,3</c:v>
                  </c:pt>
                  <c:pt idx="676">
                    <c:v>1,5</c:v>
                  </c:pt>
                  <c:pt idx="677">
                    <c:v>1,5</c:v>
                  </c:pt>
                  <c:pt idx="678">
                    <c:v>2</c:v>
                  </c:pt>
                  <c:pt idx="679">
                    <c:v>1,3</c:v>
                  </c:pt>
                  <c:pt idx="680">
                    <c:v>1,4</c:v>
                  </c:pt>
                  <c:pt idx="681">
                    <c:v>1,3</c:v>
                  </c:pt>
                  <c:pt idx="682">
                    <c:v>1,45</c:v>
                  </c:pt>
                  <c:pt idx="683">
                    <c:v>1,2</c:v>
                  </c:pt>
                  <c:pt idx="684">
                    <c:v>1,4</c:v>
                  </c:pt>
                  <c:pt idx="685">
                    <c:v>1,3</c:v>
                  </c:pt>
                  <c:pt idx="687">
                    <c:v>1,8</c:v>
                  </c:pt>
                  <c:pt idx="688">
                    <c:v>1,45</c:v>
                  </c:pt>
                  <c:pt idx="689">
                    <c:v>1,6</c:v>
                  </c:pt>
                  <c:pt idx="690">
                    <c:v>1,25</c:v>
                  </c:pt>
                  <c:pt idx="691">
                    <c:v>1,3</c:v>
                  </c:pt>
                  <c:pt idx="692">
                    <c:v>1,3</c:v>
                  </c:pt>
                  <c:pt idx="693">
                    <c:v>1,4</c:v>
                  </c:pt>
                  <c:pt idx="694">
                    <c:v>1,6</c:v>
                  </c:pt>
                  <c:pt idx="695">
                    <c:v>1,4</c:v>
                  </c:pt>
                  <c:pt idx="696">
                    <c:v>1,4</c:v>
                  </c:pt>
                  <c:pt idx="697">
                    <c:v>1,4</c:v>
                  </c:pt>
                  <c:pt idx="698">
                    <c:v>1,4</c:v>
                  </c:pt>
                  <c:pt idx="699">
                    <c:v>1,4</c:v>
                  </c:pt>
                  <c:pt idx="700">
                    <c:v>1,3</c:v>
                  </c:pt>
                  <c:pt idx="701">
                    <c:v>1,3</c:v>
                  </c:pt>
                  <c:pt idx="702">
                    <c:v>1,5</c:v>
                  </c:pt>
                  <c:pt idx="703">
                    <c:v>1,4</c:v>
                  </c:pt>
                  <c:pt idx="704">
                    <c:v>1,4</c:v>
                  </c:pt>
                  <c:pt idx="705">
                    <c:v>1,6</c:v>
                  </c:pt>
                  <c:pt idx="706">
                    <c:v>1,2</c:v>
                  </c:pt>
                  <c:pt idx="707">
                    <c:v>1,4</c:v>
                  </c:pt>
                  <c:pt idx="708">
                    <c:v>1,5</c:v>
                  </c:pt>
                  <c:pt idx="709">
                    <c:v>1,4</c:v>
                  </c:pt>
                  <c:pt idx="710">
                    <c:v>1,5</c:v>
                  </c:pt>
                  <c:pt idx="711">
                    <c:v>1,45</c:v>
                  </c:pt>
                  <c:pt idx="712">
                    <c:v>1,3</c:v>
                  </c:pt>
                  <c:pt idx="713">
                    <c:v>1,5</c:v>
                  </c:pt>
                  <c:pt idx="714">
                    <c:v>1,5</c:v>
                  </c:pt>
                  <c:pt idx="715">
                    <c:v>1,6</c:v>
                  </c:pt>
                  <c:pt idx="716">
                    <c:v>1,6</c:v>
                  </c:pt>
                  <c:pt idx="717">
                    <c:v>1,6</c:v>
                  </c:pt>
                  <c:pt idx="718">
                    <c:v>1,6</c:v>
                  </c:pt>
                  <c:pt idx="719">
                    <c:v>1,6</c:v>
                  </c:pt>
                  <c:pt idx="720">
                    <c:v>1,3</c:v>
                  </c:pt>
                  <c:pt idx="721">
                    <c:v>1,3</c:v>
                  </c:pt>
                  <c:pt idx="722">
                    <c:v>1,4</c:v>
                  </c:pt>
                  <c:pt idx="723">
                    <c:v>1,6</c:v>
                  </c:pt>
                  <c:pt idx="724">
                    <c:v>1,3</c:v>
                  </c:pt>
                  <c:pt idx="725">
                    <c:v>1,8</c:v>
                  </c:pt>
                  <c:pt idx="726">
                    <c:v>1,5</c:v>
                  </c:pt>
                  <c:pt idx="727">
                    <c:v>1,8</c:v>
                  </c:pt>
                  <c:pt idx="728">
                    <c:v>1,8</c:v>
                  </c:pt>
                  <c:pt idx="729">
                    <c:v>3</c:v>
                  </c:pt>
                  <c:pt idx="730">
                    <c:v>1,6</c:v>
                  </c:pt>
                  <c:pt idx="731">
                    <c:v>1,6</c:v>
                  </c:pt>
                  <c:pt idx="732">
                    <c:v>1,4</c:v>
                  </c:pt>
                  <c:pt idx="733">
                    <c:v>1,6</c:v>
                  </c:pt>
                  <c:pt idx="734">
                    <c:v>1,5</c:v>
                  </c:pt>
                  <c:pt idx="735">
                    <c:v>1,4</c:v>
                  </c:pt>
                  <c:pt idx="736">
                    <c:v>2,5</c:v>
                  </c:pt>
                  <c:pt idx="737">
                    <c:v>3</c:v>
                  </c:pt>
                  <c:pt idx="738">
                    <c:v>2</c:v>
                  </c:pt>
                  <c:pt idx="739">
                    <c:v>1,5</c:v>
                  </c:pt>
                  <c:pt idx="740">
                    <c:v>1,6</c:v>
                  </c:pt>
                  <c:pt idx="741">
                    <c:v>1,5</c:v>
                  </c:pt>
                  <c:pt idx="742">
                    <c:v>1,6</c:v>
                  </c:pt>
                  <c:pt idx="743">
                    <c:v>1,6</c:v>
                  </c:pt>
                  <c:pt idx="744">
                    <c:v>1,8</c:v>
                  </c:pt>
                  <c:pt idx="747">
                    <c:v>1,7</c:v>
                  </c:pt>
                  <c:pt idx="748">
                    <c:v>1,7</c:v>
                  </c:pt>
                  <c:pt idx="749">
                    <c:v>1,2</c:v>
                  </c:pt>
                  <c:pt idx="750">
                    <c:v>1,4</c:v>
                  </c:pt>
                  <c:pt idx="751">
                    <c:v>5</c:v>
                  </c:pt>
                  <c:pt idx="754">
                    <c:v>1,7</c:v>
                  </c:pt>
                  <c:pt idx="755">
                    <c:v>1,6</c:v>
                  </c:pt>
                  <c:pt idx="756">
                    <c:v>2,1</c:v>
                  </c:pt>
                  <c:pt idx="757">
                    <c:v>1,4</c:v>
                  </c:pt>
                  <c:pt idx="758">
                    <c:v>1,8</c:v>
                  </c:pt>
                  <c:pt idx="759">
                    <c:v>2</c:v>
                  </c:pt>
                  <c:pt idx="760">
                    <c:v>1,4</c:v>
                  </c:pt>
                  <c:pt idx="761">
                    <c:v>1,6</c:v>
                  </c:pt>
                  <c:pt idx="762">
                    <c:v>1,3</c:v>
                  </c:pt>
                  <c:pt idx="763">
                    <c:v>2,5</c:v>
                  </c:pt>
                  <c:pt idx="764">
                    <c:v>1,2</c:v>
                  </c:pt>
                  <c:pt idx="765">
                    <c:v>1,6</c:v>
                  </c:pt>
                  <c:pt idx="766">
                    <c:v>1,5</c:v>
                  </c:pt>
                  <c:pt idx="767">
                    <c:v>1,7</c:v>
                  </c:pt>
                  <c:pt idx="768">
                    <c:v>1,4</c:v>
                  </c:pt>
                  <c:pt idx="769">
                    <c:v>1,5</c:v>
                  </c:pt>
                  <c:pt idx="770">
                    <c:v>1,5</c:v>
                  </c:pt>
                  <c:pt idx="771">
                    <c:v>1,8</c:v>
                  </c:pt>
                  <c:pt idx="772">
                    <c:v>1,5</c:v>
                  </c:pt>
                  <c:pt idx="773">
                    <c:v>1,6</c:v>
                  </c:pt>
                  <c:pt idx="774">
                    <c:v>1,3</c:v>
                  </c:pt>
                  <c:pt idx="775">
                    <c:v>1,8</c:v>
                  </c:pt>
                  <c:pt idx="776">
                    <c:v>1,4</c:v>
                  </c:pt>
                  <c:pt idx="777">
                    <c:v>1,6</c:v>
                  </c:pt>
                  <c:pt idx="778">
                    <c:v>1,8</c:v>
                  </c:pt>
                  <c:pt idx="779">
                    <c:v>1,6</c:v>
                  </c:pt>
                  <c:pt idx="780">
                    <c:v>1</c:v>
                  </c:pt>
                  <c:pt idx="781">
                    <c:v>1,6</c:v>
                  </c:pt>
                  <c:pt idx="782">
                    <c:v>1,6</c:v>
                  </c:pt>
                  <c:pt idx="783">
                    <c:v>2</c:v>
                  </c:pt>
                  <c:pt idx="784">
                    <c:v>1,5</c:v>
                  </c:pt>
                  <c:pt idx="785">
                    <c:v>1,5</c:v>
                  </c:pt>
                  <c:pt idx="786">
                    <c:v>1,4</c:v>
                  </c:pt>
                  <c:pt idx="787">
                    <c:v>1,6</c:v>
                  </c:pt>
                  <c:pt idx="788">
                    <c:v>1,6</c:v>
                  </c:pt>
                  <c:pt idx="789">
                    <c:v>1,6</c:v>
                  </c:pt>
                  <c:pt idx="790">
                    <c:v>1,6</c:v>
                  </c:pt>
                  <c:pt idx="791">
                    <c:v>1,6</c:v>
                  </c:pt>
                  <c:pt idx="792">
                    <c:v>1,3</c:v>
                  </c:pt>
                  <c:pt idx="793">
                    <c:v>1,2</c:v>
                  </c:pt>
                  <c:pt idx="794">
                    <c:v>1,8</c:v>
                  </c:pt>
                  <c:pt idx="796">
                    <c:v>1,5</c:v>
                  </c:pt>
                  <c:pt idx="797">
                    <c:v>1,4</c:v>
                  </c:pt>
                  <c:pt idx="798">
                    <c:v>1,55</c:v>
                  </c:pt>
                  <c:pt idx="799">
                    <c:v>1,2</c:v>
                  </c:pt>
                  <c:pt idx="800">
                    <c:v>1,2</c:v>
                  </c:pt>
                  <c:pt idx="801">
                    <c:v>1,5</c:v>
                  </c:pt>
                  <c:pt idx="802">
                    <c:v>1,5</c:v>
                  </c:pt>
                  <c:pt idx="803">
                    <c:v>1,5</c:v>
                  </c:pt>
                  <c:pt idx="804">
                    <c:v>1,4</c:v>
                  </c:pt>
                  <c:pt idx="805">
                    <c:v>1,4</c:v>
                  </c:pt>
                  <c:pt idx="806">
                    <c:v>1,5</c:v>
                  </c:pt>
                  <c:pt idx="807">
                    <c:v>1,8</c:v>
                  </c:pt>
                  <c:pt idx="808">
                    <c:v>1,8</c:v>
                  </c:pt>
                  <c:pt idx="809">
                    <c:v>1,8</c:v>
                  </c:pt>
                  <c:pt idx="810">
                    <c:v>1,6</c:v>
                  </c:pt>
                  <c:pt idx="811">
                    <c:v>1,4</c:v>
                  </c:pt>
                  <c:pt idx="812">
                    <c:v>1,4</c:v>
                  </c:pt>
                  <c:pt idx="813">
                    <c:v>1,7</c:v>
                  </c:pt>
                  <c:pt idx="814">
                    <c:v>1,6</c:v>
                  </c:pt>
                  <c:pt idx="815">
                    <c:v>1,6</c:v>
                  </c:pt>
                  <c:pt idx="816">
                    <c:v>1,6</c:v>
                  </c:pt>
                  <c:pt idx="817">
                    <c:v>1,6</c:v>
                  </c:pt>
                  <c:pt idx="818">
                    <c:v>1,7</c:v>
                  </c:pt>
                  <c:pt idx="819">
                    <c:v>1,7</c:v>
                  </c:pt>
                  <c:pt idx="820">
                    <c:v>1,7</c:v>
                  </c:pt>
                  <c:pt idx="821">
                    <c:v>1,7</c:v>
                  </c:pt>
                  <c:pt idx="822">
                    <c:v>1,7</c:v>
                  </c:pt>
                  <c:pt idx="823">
                    <c:v>1,6</c:v>
                  </c:pt>
                  <c:pt idx="824">
                    <c:v>1,6</c:v>
                  </c:pt>
                  <c:pt idx="825">
                    <c:v>1,6</c:v>
                  </c:pt>
                  <c:pt idx="826">
                    <c:v>1,6</c:v>
                  </c:pt>
                  <c:pt idx="827">
                    <c:v>1,4</c:v>
                  </c:pt>
                  <c:pt idx="828">
                    <c:v>1,4</c:v>
                  </c:pt>
                  <c:pt idx="829">
                    <c:v>1,8</c:v>
                  </c:pt>
                  <c:pt idx="830">
                    <c:v>1,7</c:v>
                  </c:pt>
                  <c:pt idx="831">
                    <c:v>1,6</c:v>
                  </c:pt>
                  <c:pt idx="832">
                    <c:v>1,4</c:v>
                  </c:pt>
                  <c:pt idx="833">
                    <c:v>1,6</c:v>
                  </c:pt>
                  <c:pt idx="834">
                    <c:v>1,6</c:v>
                  </c:pt>
                  <c:pt idx="835">
                    <c:v>1,6</c:v>
                  </c:pt>
                  <c:pt idx="836">
                    <c:v>1,6</c:v>
                  </c:pt>
                  <c:pt idx="837">
                    <c:v>1,6</c:v>
                  </c:pt>
                  <c:pt idx="838">
                    <c:v>1,6</c:v>
                  </c:pt>
                  <c:pt idx="839">
                    <c:v>1,7</c:v>
                  </c:pt>
                  <c:pt idx="840">
                    <c:v>1,4</c:v>
                  </c:pt>
                  <c:pt idx="841">
                    <c:v>1,6</c:v>
                  </c:pt>
                  <c:pt idx="842">
                    <c:v>1,6</c:v>
                  </c:pt>
                  <c:pt idx="843">
                    <c:v>1,6</c:v>
                  </c:pt>
                  <c:pt idx="844">
                    <c:v>1,6</c:v>
                  </c:pt>
                  <c:pt idx="845">
                    <c:v>1,6</c:v>
                  </c:pt>
                  <c:pt idx="846">
                    <c:v>1,6</c:v>
                  </c:pt>
                  <c:pt idx="847">
                    <c:v>1,6</c:v>
                  </c:pt>
                  <c:pt idx="848">
                    <c:v>1,6</c:v>
                  </c:pt>
                  <c:pt idx="849">
                    <c:v>1,3</c:v>
                  </c:pt>
                  <c:pt idx="850">
                    <c:v>1,2</c:v>
                  </c:pt>
                  <c:pt idx="851">
                    <c:v>1,3</c:v>
                  </c:pt>
                  <c:pt idx="852">
                    <c:v>1,3</c:v>
                  </c:pt>
                  <c:pt idx="853">
                    <c:v>1,6</c:v>
                  </c:pt>
                  <c:pt idx="854">
                    <c:v>1,6</c:v>
                  </c:pt>
                  <c:pt idx="855">
                    <c:v>1,6</c:v>
                  </c:pt>
                  <c:pt idx="856">
                    <c:v>1,5</c:v>
                  </c:pt>
                  <c:pt idx="857">
                    <c:v>1,6</c:v>
                  </c:pt>
                  <c:pt idx="858">
                    <c:v>1,6</c:v>
                  </c:pt>
                  <c:pt idx="859">
                    <c:v>1,4</c:v>
                  </c:pt>
                  <c:pt idx="860">
                    <c:v>1,6</c:v>
                  </c:pt>
                  <c:pt idx="861">
                    <c:v>1,6</c:v>
                  </c:pt>
                  <c:pt idx="862">
                    <c:v>1,3</c:v>
                  </c:pt>
                  <c:pt idx="863">
                    <c:v>1,3</c:v>
                  </c:pt>
                  <c:pt idx="864">
                    <c:v>1,45</c:v>
                  </c:pt>
                  <c:pt idx="865">
                    <c:v>1,45</c:v>
                  </c:pt>
                  <c:pt idx="866">
                    <c:v>1,4</c:v>
                  </c:pt>
                  <c:pt idx="867">
                    <c:v>1,5</c:v>
                  </c:pt>
                  <c:pt idx="868">
                    <c:v>1,4</c:v>
                  </c:pt>
                  <c:pt idx="869">
                    <c:v>1,4</c:v>
                  </c:pt>
                  <c:pt idx="870">
                    <c:v>1,45</c:v>
                  </c:pt>
                  <c:pt idx="871">
                    <c:v>1,5</c:v>
                  </c:pt>
                  <c:pt idx="872">
                    <c:v>1,45</c:v>
                  </c:pt>
                  <c:pt idx="873">
                    <c:v>1,7</c:v>
                  </c:pt>
                  <c:pt idx="874">
                    <c:v>1,7</c:v>
                  </c:pt>
                  <c:pt idx="875">
                    <c:v>1,7</c:v>
                  </c:pt>
                  <c:pt idx="876">
                    <c:v>1,4</c:v>
                  </c:pt>
                  <c:pt idx="877">
                    <c:v>1,4</c:v>
                  </c:pt>
                  <c:pt idx="878">
                    <c:v>1,4</c:v>
                  </c:pt>
                  <c:pt idx="879">
                    <c:v>1,6</c:v>
                  </c:pt>
                  <c:pt idx="880">
                    <c:v>1,9</c:v>
                  </c:pt>
                  <c:pt idx="881">
                    <c:v>1,4</c:v>
                  </c:pt>
                  <c:pt idx="882">
                    <c:v>1,2</c:v>
                  </c:pt>
                  <c:pt idx="883">
                    <c:v>1,2</c:v>
                  </c:pt>
                  <c:pt idx="884">
                    <c:v>1,6</c:v>
                  </c:pt>
                  <c:pt idx="885">
                    <c:v>1,6</c:v>
                  </c:pt>
                  <c:pt idx="886">
                    <c:v>1,4</c:v>
                  </c:pt>
                  <c:pt idx="887">
                    <c:v>1,4</c:v>
                  </c:pt>
                  <c:pt idx="888">
                    <c:v>1,5</c:v>
                  </c:pt>
                  <c:pt idx="889">
                    <c:v>1,6</c:v>
                  </c:pt>
                  <c:pt idx="890">
                    <c:v>1,8</c:v>
                  </c:pt>
                  <c:pt idx="891">
                    <c:v>1,6</c:v>
                  </c:pt>
                  <c:pt idx="892">
                    <c:v>1,6</c:v>
                  </c:pt>
                  <c:pt idx="893">
                    <c:v>1,5</c:v>
                  </c:pt>
                  <c:pt idx="894">
                    <c:v>1,9</c:v>
                  </c:pt>
                  <c:pt idx="895">
                    <c:v>1,8</c:v>
                  </c:pt>
                  <c:pt idx="896">
                    <c:v>2</c:v>
                  </c:pt>
                  <c:pt idx="897">
                    <c:v>1,6</c:v>
                  </c:pt>
                  <c:pt idx="898">
                    <c:v>1,4</c:v>
                  </c:pt>
                  <c:pt idx="899">
                    <c:v>1,6</c:v>
                  </c:pt>
                  <c:pt idx="900">
                    <c:v>1,6</c:v>
                  </c:pt>
                  <c:pt idx="901">
                    <c:v>1,6</c:v>
                  </c:pt>
                  <c:pt idx="902">
                    <c:v>1,4</c:v>
                  </c:pt>
                  <c:pt idx="903">
                    <c:v>1,4</c:v>
                  </c:pt>
                  <c:pt idx="904">
                    <c:v>2</c:v>
                  </c:pt>
                  <c:pt idx="905">
                    <c:v>1,4</c:v>
                  </c:pt>
                  <c:pt idx="906">
                    <c:v>1,4</c:v>
                  </c:pt>
                  <c:pt idx="907">
                    <c:v>1,8</c:v>
                  </c:pt>
                  <c:pt idx="908">
                    <c:v>1,4</c:v>
                  </c:pt>
                  <c:pt idx="909">
                    <c:v>1,8</c:v>
                  </c:pt>
                  <c:pt idx="910">
                    <c:v>1,6</c:v>
                  </c:pt>
                  <c:pt idx="911">
                    <c:v>2</c:v>
                  </c:pt>
                  <c:pt idx="912">
                    <c:v>3,3</c:v>
                  </c:pt>
                  <c:pt idx="913">
                    <c:v>1,6</c:v>
                  </c:pt>
                  <c:pt idx="914">
                    <c:v>1,6</c:v>
                  </c:pt>
                  <c:pt idx="915">
                    <c:v>1,6</c:v>
                  </c:pt>
                  <c:pt idx="916">
                    <c:v>1,6</c:v>
                  </c:pt>
                  <c:pt idx="917">
                    <c:v>1,6</c:v>
                  </c:pt>
                  <c:pt idx="918">
                    <c:v>1,3</c:v>
                  </c:pt>
                  <c:pt idx="919">
                    <c:v>1,6</c:v>
                  </c:pt>
                  <c:pt idx="920">
                    <c:v>1,8</c:v>
                  </c:pt>
                  <c:pt idx="921">
                    <c:v>1,5</c:v>
                  </c:pt>
                  <c:pt idx="922">
                    <c:v>2</c:v>
                  </c:pt>
                  <c:pt idx="923">
                    <c:v>1,8</c:v>
                  </c:pt>
                  <c:pt idx="924">
                    <c:v>2</c:v>
                  </c:pt>
                  <c:pt idx="925">
                    <c:v>1,8</c:v>
                  </c:pt>
                  <c:pt idx="926">
                    <c:v>1,6</c:v>
                  </c:pt>
                  <c:pt idx="927">
                    <c:v>1,4</c:v>
                  </c:pt>
                  <c:pt idx="928">
                    <c:v>1,4</c:v>
                  </c:pt>
                  <c:pt idx="929">
                    <c:v>1,4</c:v>
                  </c:pt>
                  <c:pt idx="930">
                    <c:v>1,4</c:v>
                  </c:pt>
                  <c:pt idx="931">
                    <c:v>1,6</c:v>
                  </c:pt>
                  <c:pt idx="932">
                    <c:v>1,6</c:v>
                  </c:pt>
                  <c:pt idx="933">
                    <c:v>1,6</c:v>
                  </c:pt>
                  <c:pt idx="934">
                    <c:v>1,6</c:v>
                  </c:pt>
                  <c:pt idx="935">
                    <c:v>1,4</c:v>
                  </c:pt>
                  <c:pt idx="936">
                    <c:v>1,6</c:v>
                  </c:pt>
                  <c:pt idx="937">
                    <c:v>1,6</c:v>
                  </c:pt>
                  <c:pt idx="938">
                    <c:v>1,6</c:v>
                  </c:pt>
                  <c:pt idx="939">
                    <c:v>1,6</c:v>
                  </c:pt>
                  <c:pt idx="940">
                    <c:v>1,6</c:v>
                  </c:pt>
                  <c:pt idx="941">
                    <c:v>1,4</c:v>
                  </c:pt>
                  <c:pt idx="942">
                    <c:v>1,4</c:v>
                  </c:pt>
                  <c:pt idx="943">
                    <c:v>1,4</c:v>
                  </c:pt>
                  <c:pt idx="944">
                    <c:v>1,6</c:v>
                  </c:pt>
                  <c:pt idx="945">
                    <c:v>1,6</c:v>
                  </c:pt>
                  <c:pt idx="946">
                    <c:v>1,6</c:v>
                  </c:pt>
                  <c:pt idx="947">
                    <c:v>1,6</c:v>
                  </c:pt>
                  <c:pt idx="948">
                    <c:v>1,6</c:v>
                  </c:pt>
                  <c:pt idx="949">
                    <c:v>1,6</c:v>
                  </c:pt>
                  <c:pt idx="950">
                    <c:v>1,6</c:v>
                  </c:pt>
                  <c:pt idx="951">
                    <c:v>1,6</c:v>
                  </c:pt>
                  <c:pt idx="952">
                    <c:v>1,6</c:v>
                  </c:pt>
                  <c:pt idx="953">
                    <c:v>1,6</c:v>
                  </c:pt>
                  <c:pt idx="954">
                    <c:v>1,6</c:v>
                  </c:pt>
                  <c:pt idx="955">
                    <c:v>1,7</c:v>
                  </c:pt>
                  <c:pt idx="956">
                    <c:v>1,5</c:v>
                  </c:pt>
                  <c:pt idx="957">
                    <c:v>1,5</c:v>
                  </c:pt>
                  <c:pt idx="958">
                    <c:v>1,5</c:v>
                  </c:pt>
                  <c:pt idx="959">
                    <c:v>1,5</c:v>
                  </c:pt>
                  <c:pt idx="960">
                    <c:v>1,4</c:v>
                  </c:pt>
                  <c:pt idx="961">
                    <c:v>1,5</c:v>
                  </c:pt>
                  <c:pt idx="962">
                    <c:v>1,3</c:v>
                  </c:pt>
                  <c:pt idx="963">
                    <c:v>1,3</c:v>
                  </c:pt>
                  <c:pt idx="964">
                    <c:v>1,3</c:v>
                  </c:pt>
                  <c:pt idx="965">
                    <c:v>1,3</c:v>
                  </c:pt>
                  <c:pt idx="966">
                    <c:v>1,4</c:v>
                  </c:pt>
                  <c:pt idx="967">
                    <c:v>1,3</c:v>
                  </c:pt>
                  <c:pt idx="968">
                    <c:v>1,6</c:v>
                  </c:pt>
                  <c:pt idx="969">
                    <c:v>1,6</c:v>
                  </c:pt>
                  <c:pt idx="971">
                    <c:v>1,6</c:v>
                  </c:pt>
                  <c:pt idx="972">
                    <c:v>1,6</c:v>
                  </c:pt>
                  <c:pt idx="973">
                    <c:v>1,6</c:v>
                  </c:pt>
                  <c:pt idx="974">
                    <c:v>1,5</c:v>
                  </c:pt>
                  <c:pt idx="975">
                    <c:v>1,6</c:v>
                  </c:pt>
                  <c:pt idx="976">
                    <c:v>1,6</c:v>
                  </c:pt>
                  <c:pt idx="977">
                    <c:v>1,5</c:v>
                  </c:pt>
                  <c:pt idx="978">
                    <c:v>1,5</c:v>
                  </c:pt>
                  <c:pt idx="979">
                    <c:v>1,6</c:v>
                  </c:pt>
                  <c:pt idx="980">
                    <c:v>1,3</c:v>
                  </c:pt>
                  <c:pt idx="981">
                    <c:v>1,3</c:v>
                  </c:pt>
                  <c:pt idx="982">
                    <c:v>1,5</c:v>
                  </c:pt>
                  <c:pt idx="983">
                    <c:v>1,4</c:v>
                  </c:pt>
                  <c:pt idx="984">
                    <c:v>1,2</c:v>
                  </c:pt>
                  <c:pt idx="985">
                    <c:v>1,4</c:v>
                  </c:pt>
                  <c:pt idx="986">
                    <c:v>2</c:v>
                  </c:pt>
                  <c:pt idx="987">
                    <c:v>1,6</c:v>
                  </c:pt>
                  <c:pt idx="988">
                    <c:v>2</c:v>
                  </c:pt>
                  <c:pt idx="989">
                    <c:v>2</c:v>
                  </c:pt>
                  <c:pt idx="990">
                    <c:v>2</c:v>
                  </c:pt>
                  <c:pt idx="991">
                    <c:v>2</c:v>
                  </c:pt>
                  <c:pt idx="992">
                    <c:v>1,45</c:v>
                  </c:pt>
                  <c:pt idx="993">
                    <c:v>1,8</c:v>
                  </c:pt>
                  <c:pt idx="994">
                    <c:v>1,45</c:v>
                  </c:pt>
                  <c:pt idx="995">
                    <c:v>1,45</c:v>
                  </c:pt>
                  <c:pt idx="996">
                    <c:v>1,8</c:v>
                  </c:pt>
                  <c:pt idx="997">
                    <c:v>1,6</c:v>
                  </c:pt>
                  <c:pt idx="998">
                    <c:v>1,7</c:v>
                  </c:pt>
                  <c:pt idx="999">
                    <c:v>1,7</c:v>
                  </c:pt>
                  <c:pt idx="1000">
                    <c:v>1,7</c:v>
                  </c:pt>
                  <c:pt idx="1001">
                    <c:v>1,7</c:v>
                  </c:pt>
                  <c:pt idx="1002">
                    <c:v>1,6</c:v>
                  </c:pt>
                  <c:pt idx="1003">
                    <c:v>1,45</c:v>
                  </c:pt>
                  <c:pt idx="1004">
                    <c:v>1,6</c:v>
                  </c:pt>
                  <c:pt idx="1005">
                    <c:v>1,6</c:v>
                  </c:pt>
                  <c:pt idx="1006">
                    <c:v>1,6</c:v>
                  </c:pt>
                  <c:pt idx="1007">
                    <c:v>1,6</c:v>
                  </c:pt>
                  <c:pt idx="1008">
                    <c:v>1,6</c:v>
                  </c:pt>
                  <c:pt idx="1009">
                    <c:v>1,6</c:v>
                  </c:pt>
                  <c:pt idx="1010">
                    <c:v>1,6</c:v>
                  </c:pt>
                  <c:pt idx="1011">
                    <c:v>1,6</c:v>
                  </c:pt>
                  <c:pt idx="1012">
                    <c:v>1,6</c:v>
                  </c:pt>
                  <c:pt idx="1013">
                    <c:v>1,6</c:v>
                  </c:pt>
                  <c:pt idx="1014">
                    <c:v>1,6</c:v>
                  </c:pt>
                  <c:pt idx="1015">
                    <c:v>1,6</c:v>
                  </c:pt>
                  <c:pt idx="1016">
                    <c:v>1,6</c:v>
                  </c:pt>
                  <c:pt idx="1017">
                    <c:v>1,4</c:v>
                  </c:pt>
                  <c:pt idx="1018">
                    <c:v>1,5</c:v>
                  </c:pt>
                  <c:pt idx="1019">
                    <c:v>1,5</c:v>
                  </c:pt>
                  <c:pt idx="1020">
                    <c:v>1,5</c:v>
                  </c:pt>
                  <c:pt idx="1021">
                    <c:v>1,5</c:v>
                  </c:pt>
                  <c:pt idx="1022">
                    <c:v>1,6</c:v>
                  </c:pt>
                  <c:pt idx="1023">
                    <c:v>1,7</c:v>
                  </c:pt>
                  <c:pt idx="1024">
                    <c:v>1,7</c:v>
                  </c:pt>
                  <c:pt idx="1025">
                    <c:v>1,6</c:v>
                  </c:pt>
                  <c:pt idx="1026">
                    <c:v>1,6</c:v>
                  </c:pt>
                  <c:pt idx="1027">
                    <c:v>1,6</c:v>
                  </c:pt>
                  <c:pt idx="1028">
                    <c:v>1,6</c:v>
                  </c:pt>
                  <c:pt idx="1029">
                    <c:v>1,6</c:v>
                  </c:pt>
                  <c:pt idx="1030">
                    <c:v>1,6</c:v>
                  </c:pt>
                  <c:pt idx="1031">
                    <c:v>1,5</c:v>
                  </c:pt>
                  <c:pt idx="1032">
                    <c:v>1,5</c:v>
                  </c:pt>
                  <c:pt idx="1033">
                    <c:v>1,8</c:v>
                  </c:pt>
                  <c:pt idx="1034">
                    <c:v>1,7</c:v>
                  </c:pt>
                  <c:pt idx="1035">
                    <c:v>1,7</c:v>
                  </c:pt>
                  <c:pt idx="1036">
                    <c:v>1,6</c:v>
                  </c:pt>
                  <c:pt idx="1037">
                    <c:v>1,6</c:v>
                  </c:pt>
                  <c:pt idx="1038">
                    <c:v>1,7</c:v>
                  </c:pt>
                  <c:pt idx="1039">
                    <c:v>1,5</c:v>
                  </c:pt>
                  <c:pt idx="1040">
                    <c:v>1,5</c:v>
                  </c:pt>
                  <c:pt idx="1041">
                    <c:v>1,5</c:v>
                  </c:pt>
                  <c:pt idx="1042">
                    <c:v>1,5</c:v>
                  </c:pt>
                  <c:pt idx="1043">
                    <c:v>1,5</c:v>
                  </c:pt>
                  <c:pt idx="1044">
                    <c:v>1,5</c:v>
                  </c:pt>
                  <c:pt idx="1045">
                    <c:v>1,5</c:v>
                  </c:pt>
                  <c:pt idx="1046">
                    <c:v>1,5</c:v>
                  </c:pt>
                  <c:pt idx="1047">
                    <c:v>1,7</c:v>
                  </c:pt>
                  <c:pt idx="1048">
                    <c:v>1,7</c:v>
                  </c:pt>
                  <c:pt idx="1049">
                    <c:v>1,7</c:v>
                  </c:pt>
                  <c:pt idx="1050">
                    <c:v>1,7</c:v>
                  </c:pt>
                  <c:pt idx="1051">
                    <c:v>1,7</c:v>
                  </c:pt>
                  <c:pt idx="1052">
                    <c:v>1,9</c:v>
                  </c:pt>
                  <c:pt idx="1053">
                    <c:v>1,6</c:v>
                  </c:pt>
                  <c:pt idx="1054">
                    <c:v>1,8</c:v>
                  </c:pt>
                  <c:pt idx="1055">
                    <c:v>1,8</c:v>
                  </c:pt>
                  <c:pt idx="1056">
                    <c:v>1,8</c:v>
                  </c:pt>
                  <c:pt idx="1057">
                    <c:v>1,5</c:v>
                  </c:pt>
                  <c:pt idx="1058">
                    <c:v>1,5</c:v>
                  </c:pt>
                  <c:pt idx="1059">
                    <c:v>1,8</c:v>
                  </c:pt>
                  <c:pt idx="1060">
                    <c:v>1,8</c:v>
                  </c:pt>
                  <c:pt idx="1061">
                    <c:v>1,5</c:v>
                  </c:pt>
                  <c:pt idx="1062">
                    <c:v>1,5</c:v>
                  </c:pt>
                  <c:pt idx="1063">
                    <c:v>1,5</c:v>
                  </c:pt>
                  <c:pt idx="1064">
                    <c:v>1,5</c:v>
                  </c:pt>
                  <c:pt idx="1065">
                    <c:v>1,5</c:v>
                  </c:pt>
                  <c:pt idx="1066">
                    <c:v>1,5</c:v>
                  </c:pt>
                  <c:pt idx="1067">
                    <c:v>1,8</c:v>
                  </c:pt>
                  <c:pt idx="1068">
                    <c:v>1,5</c:v>
                  </c:pt>
                  <c:pt idx="1069">
                    <c:v>1,6</c:v>
                  </c:pt>
                  <c:pt idx="1070">
                    <c:v>1,6</c:v>
                  </c:pt>
                  <c:pt idx="1071">
                    <c:v>1,8</c:v>
                  </c:pt>
                  <c:pt idx="1072">
                    <c:v>1,7</c:v>
                  </c:pt>
                  <c:pt idx="1073">
                    <c:v>1,7</c:v>
                  </c:pt>
                  <c:pt idx="1074">
                    <c:v>1,7</c:v>
                  </c:pt>
                  <c:pt idx="1075">
                    <c:v>1,7</c:v>
                  </c:pt>
                  <c:pt idx="1076">
                    <c:v>1,7</c:v>
                  </c:pt>
                  <c:pt idx="1078">
                    <c:v>1,6</c:v>
                  </c:pt>
                  <c:pt idx="1079">
                    <c:v>1,6</c:v>
                  </c:pt>
                  <c:pt idx="1080">
                    <c:v>2</c:v>
                  </c:pt>
                  <c:pt idx="1081">
                    <c:v>1,7</c:v>
                  </c:pt>
                  <c:pt idx="1082">
                    <c:v>1,7</c:v>
                  </c:pt>
                  <c:pt idx="1083">
                    <c:v>1,6</c:v>
                  </c:pt>
                  <c:pt idx="1084">
                    <c:v>1,7</c:v>
                  </c:pt>
                  <c:pt idx="1085">
                    <c:v>1,6</c:v>
                  </c:pt>
                  <c:pt idx="1086">
                    <c:v>1,6</c:v>
                  </c:pt>
                  <c:pt idx="1087">
                    <c:v>1,7</c:v>
                  </c:pt>
                  <c:pt idx="1088">
                    <c:v>1,7</c:v>
                  </c:pt>
                  <c:pt idx="1089">
                    <c:v>1,7</c:v>
                  </c:pt>
                  <c:pt idx="1090">
                    <c:v>1,7</c:v>
                  </c:pt>
                  <c:pt idx="1091">
                    <c:v>1,4</c:v>
                  </c:pt>
                  <c:pt idx="1092">
                    <c:v>1,4</c:v>
                  </c:pt>
                  <c:pt idx="1093">
                    <c:v>1,4</c:v>
                  </c:pt>
                  <c:pt idx="1094">
                    <c:v>1,3</c:v>
                  </c:pt>
                  <c:pt idx="1095">
                    <c:v>1,5</c:v>
                  </c:pt>
                  <c:pt idx="1096">
                    <c:v>1,4</c:v>
                  </c:pt>
                  <c:pt idx="1097">
                    <c:v>1,4</c:v>
                  </c:pt>
                  <c:pt idx="1098">
                    <c:v>1,6</c:v>
                  </c:pt>
                  <c:pt idx="1099">
                    <c:v>1,4</c:v>
                  </c:pt>
                  <c:pt idx="1100">
                    <c:v>1,6</c:v>
                  </c:pt>
                  <c:pt idx="1101">
                    <c:v>1,6</c:v>
                  </c:pt>
                  <c:pt idx="1102">
                    <c:v>1,6</c:v>
                  </c:pt>
                  <c:pt idx="1103">
                    <c:v>1,6</c:v>
                  </c:pt>
                  <c:pt idx="1104">
                    <c:v>1,4</c:v>
                  </c:pt>
                  <c:pt idx="1105">
                    <c:v>1,4</c:v>
                  </c:pt>
                  <c:pt idx="1106">
                    <c:v>1,6</c:v>
                  </c:pt>
                  <c:pt idx="1107">
                    <c:v>1,6</c:v>
                  </c:pt>
                  <c:pt idx="1108">
                    <c:v>1,8</c:v>
                  </c:pt>
                  <c:pt idx="1109">
                    <c:v>1,6</c:v>
                  </c:pt>
                  <c:pt idx="1110">
                    <c:v>1</c:v>
                  </c:pt>
                  <c:pt idx="1111">
                    <c:v>1,3</c:v>
                  </c:pt>
                  <c:pt idx="1112">
                    <c:v>1,3</c:v>
                  </c:pt>
                  <c:pt idx="1113">
                    <c:v>1,3</c:v>
                  </c:pt>
                  <c:pt idx="1114">
                    <c:v>1,3</c:v>
                  </c:pt>
                  <c:pt idx="1115">
                    <c:v>1,5</c:v>
                  </c:pt>
                  <c:pt idx="1116">
                    <c:v>1,6</c:v>
                  </c:pt>
                  <c:pt idx="1117">
                    <c:v>1,6</c:v>
                  </c:pt>
                  <c:pt idx="1118">
                    <c:v>1,3</c:v>
                  </c:pt>
                  <c:pt idx="1119">
                    <c:v>1,6</c:v>
                  </c:pt>
                  <c:pt idx="1120">
                    <c:v>1,6</c:v>
                  </c:pt>
                  <c:pt idx="1121">
                    <c:v>1,6</c:v>
                  </c:pt>
                  <c:pt idx="1122">
                    <c:v>1,7</c:v>
                  </c:pt>
                  <c:pt idx="1123">
                    <c:v>1,7</c:v>
                  </c:pt>
                  <c:pt idx="1124">
                    <c:v>1,6</c:v>
                  </c:pt>
                  <c:pt idx="1125">
                    <c:v>1,6</c:v>
                  </c:pt>
                  <c:pt idx="1126">
                    <c:v>1,6</c:v>
                  </c:pt>
                  <c:pt idx="1127">
                    <c:v>1,4</c:v>
                  </c:pt>
                  <c:pt idx="1128">
                    <c:v>1,6</c:v>
                  </c:pt>
                  <c:pt idx="1129">
                    <c:v>1,6</c:v>
                  </c:pt>
                  <c:pt idx="1130">
                    <c:v>1,6</c:v>
                  </c:pt>
                  <c:pt idx="1131">
                    <c:v>1,6</c:v>
                  </c:pt>
                  <c:pt idx="1132">
                    <c:v>1,6</c:v>
                  </c:pt>
                  <c:pt idx="1133">
                    <c:v>1,6</c:v>
                  </c:pt>
                  <c:pt idx="1134">
                    <c:v>1,6</c:v>
                  </c:pt>
                  <c:pt idx="1135">
                    <c:v>1,6</c:v>
                  </c:pt>
                  <c:pt idx="1136">
                    <c:v>1,6</c:v>
                  </c:pt>
                  <c:pt idx="1137">
                    <c:v>1,6</c:v>
                  </c:pt>
                  <c:pt idx="1138">
                    <c:v>1,6</c:v>
                  </c:pt>
                  <c:pt idx="1139">
                    <c:v>1,6</c:v>
                  </c:pt>
                  <c:pt idx="1140">
                    <c:v>1,6</c:v>
                  </c:pt>
                  <c:pt idx="1141">
                    <c:v>1,6</c:v>
                  </c:pt>
                  <c:pt idx="1142">
                    <c:v>1,6</c:v>
                  </c:pt>
                  <c:pt idx="1143">
                    <c:v>1,6</c:v>
                  </c:pt>
                  <c:pt idx="1144">
                    <c:v>1,7</c:v>
                  </c:pt>
                  <c:pt idx="1145">
                    <c:v>1,8</c:v>
                  </c:pt>
                  <c:pt idx="1146">
                    <c:v>1,7</c:v>
                  </c:pt>
                  <c:pt idx="1147">
                    <c:v>1,5</c:v>
                  </c:pt>
                  <c:pt idx="1148">
                    <c:v>1,6</c:v>
                  </c:pt>
                  <c:pt idx="1149">
                    <c:v>1,8</c:v>
                  </c:pt>
                  <c:pt idx="1150">
                    <c:v>1,6</c:v>
                  </c:pt>
                  <c:pt idx="1151">
                    <c:v>1,4</c:v>
                  </c:pt>
                  <c:pt idx="1152">
                    <c:v>1,4</c:v>
                  </c:pt>
                  <c:pt idx="1153">
                    <c:v>1,5</c:v>
                  </c:pt>
                  <c:pt idx="1154">
                    <c:v>1,5</c:v>
                  </c:pt>
                  <c:pt idx="1155">
                    <c:v>1,6</c:v>
                  </c:pt>
                  <c:pt idx="1156">
                    <c:v>1,5</c:v>
                  </c:pt>
                  <c:pt idx="1157">
                    <c:v>1,5</c:v>
                  </c:pt>
                  <c:pt idx="1158">
                    <c:v>1,4</c:v>
                  </c:pt>
                  <c:pt idx="1159">
                    <c:v>1,5</c:v>
                  </c:pt>
                  <c:pt idx="1160">
                    <c:v>1,5</c:v>
                  </c:pt>
                  <c:pt idx="1161">
                    <c:v>1,8</c:v>
                  </c:pt>
                  <c:pt idx="1162">
                    <c:v>1,5</c:v>
                  </c:pt>
                  <c:pt idx="1163">
                    <c:v>1,6</c:v>
                  </c:pt>
                  <c:pt idx="1164">
                    <c:v>1,7</c:v>
                  </c:pt>
                  <c:pt idx="1165">
                    <c:v>1,7</c:v>
                  </c:pt>
                  <c:pt idx="1166">
                    <c:v>1,6</c:v>
                  </c:pt>
                  <c:pt idx="1167">
                    <c:v>1,6</c:v>
                  </c:pt>
                  <c:pt idx="1168">
                    <c:v>1,6</c:v>
                  </c:pt>
                  <c:pt idx="1169">
                    <c:v>1,6</c:v>
                  </c:pt>
                  <c:pt idx="1170">
                    <c:v>1,6</c:v>
                  </c:pt>
                  <c:pt idx="1171">
                    <c:v>1,6</c:v>
                  </c:pt>
                  <c:pt idx="1172">
                    <c:v>1,6</c:v>
                  </c:pt>
                  <c:pt idx="1173">
                    <c:v>1,6</c:v>
                  </c:pt>
                  <c:pt idx="1174">
                    <c:v>1,6</c:v>
                  </c:pt>
                  <c:pt idx="1175">
                    <c:v>1,6</c:v>
                  </c:pt>
                  <c:pt idx="1176">
                    <c:v>1,6</c:v>
                  </c:pt>
                  <c:pt idx="1177">
                    <c:v>1,6</c:v>
                  </c:pt>
                  <c:pt idx="1178">
                    <c:v>1,7</c:v>
                  </c:pt>
                  <c:pt idx="1179">
                    <c:v>1,7</c:v>
                  </c:pt>
                  <c:pt idx="1180">
                    <c:v>1,7</c:v>
                  </c:pt>
                  <c:pt idx="1181">
                    <c:v>1,7</c:v>
                  </c:pt>
                  <c:pt idx="1182">
                    <c:v>1,6</c:v>
                  </c:pt>
                  <c:pt idx="1183">
                    <c:v>1,6</c:v>
                  </c:pt>
                  <c:pt idx="1184">
                    <c:v>1,5</c:v>
                  </c:pt>
                  <c:pt idx="1185">
                    <c:v>1,6</c:v>
                  </c:pt>
                  <c:pt idx="1186">
                    <c:v>1,6</c:v>
                  </c:pt>
                  <c:pt idx="1187">
                    <c:v>1,4</c:v>
                  </c:pt>
                  <c:pt idx="1188">
                    <c:v>1,4</c:v>
                  </c:pt>
                  <c:pt idx="1189">
                    <c:v>1,4</c:v>
                  </c:pt>
                  <c:pt idx="1190">
                    <c:v>1,4</c:v>
                  </c:pt>
                  <c:pt idx="1191">
                    <c:v>1,5</c:v>
                  </c:pt>
                  <c:pt idx="1192">
                    <c:v>1,4</c:v>
                  </c:pt>
                  <c:pt idx="1193">
                    <c:v>1,4</c:v>
                  </c:pt>
                  <c:pt idx="1194">
                    <c:v>1,6</c:v>
                  </c:pt>
                  <c:pt idx="1195">
                    <c:v>1,5</c:v>
                  </c:pt>
                  <c:pt idx="1196">
                    <c:v>1,5</c:v>
                  </c:pt>
                  <c:pt idx="1197">
                    <c:v>1,6</c:v>
                  </c:pt>
                  <c:pt idx="1198">
                    <c:v>1,5</c:v>
                  </c:pt>
                  <c:pt idx="1199">
                    <c:v>1,6</c:v>
                  </c:pt>
                  <c:pt idx="1200">
                    <c:v>1,6</c:v>
                  </c:pt>
                  <c:pt idx="1201">
                    <c:v>1,5</c:v>
                  </c:pt>
                  <c:pt idx="1202">
                    <c:v>1,8</c:v>
                  </c:pt>
                  <c:pt idx="1203">
                    <c:v>1,7</c:v>
                  </c:pt>
                  <c:pt idx="1204">
                    <c:v>1,6</c:v>
                  </c:pt>
                  <c:pt idx="1205">
                    <c:v>1,6</c:v>
                  </c:pt>
                  <c:pt idx="1206">
                    <c:v>1,6</c:v>
                  </c:pt>
                  <c:pt idx="1207">
                    <c:v>1,6</c:v>
                  </c:pt>
                  <c:pt idx="1208">
                    <c:v>1,6</c:v>
                  </c:pt>
                  <c:pt idx="1209">
                    <c:v>1,5</c:v>
                  </c:pt>
                  <c:pt idx="1210">
                    <c:v>1,8</c:v>
                  </c:pt>
                  <c:pt idx="1211">
                    <c:v>1,8</c:v>
                  </c:pt>
                  <c:pt idx="1212">
                    <c:v>1,8</c:v>
                  </c:pt>
                  <c:pt idx="1213">
                    <c:v>1,5</c:v>
                  </c:pt>
                  <c:pt idx="1214">
                    <c:v>1,6</c:v>
                  </c:pt>
                  <c:pt idx="1215">
                    <c:v>1,8</c:v>
                  </c:pt>
                  <c:pt idx="1216">
                    <c:v>1,8</c:v>
                  </c:pt>
                  <c:pt idx="1217">
                    <c:v>1,8</c:v>
                  </c:pt>
                  <c:pt idx="1218">
                    <c:v>1,6</c:v>
                  </c:pt>
                  <c:pt idx="1219">
                    <c:v>1,6</c:v>
                  </c:pt>
                  <c:pt idx="1220">
                    <c:v>1,4</c:v>
                  </c:pt>
                  <c:pt idx="1221">
                    <c:v>1,6</c:v>
                  </c:pt>
                  <c:pt idx="1222">
                    <c:v>1,4</c:v>
                  </c:pt>
                  <c:pt idx="1223">
                    <c:v>1,3</c:v>
                  </c:pt>
                  <c:pt idx="1224">
                    <c:v>1,5</c:v>
                  </c:pt>
                  <c:pt idx="1225">
                    <c:v>1,5</c:v>
                  </c:pt>
                  <c:pt idx="1226">
                    <c:v>1,5</c:v>
                  </c:pt>
                  <c:pt idx="1227">
                    <c:v>1,5</c:v>
                  </c:pt>
                  <c:pt idx="1228">
                    <c:v>1,5</c:v>
                  </c:pt>
                  <c:pt idx="1229">
                    <c:v>1,5</c:v>
                  </c:pt>
                  <c:pt idx="1230">
                    <c:v>1,5</c:v>
                  </c:pt>
                  <c:pt idx="1231">
                    <c:v>1,5</c:v>
                  </c:pt>
                  <c:pt idx="1232">
                    <c:v>1,5</c:v>
                  </c:pt>
                  <c:pt idx="1233">
                    <c:v>1,5</c:v>
                  </c:pt>
                  <c:pt idx="1234">
                    <c:v>1,6</c:v>
                  </c:pt>
                  <c:pt idx="1235">
                    <c:v>1,4</c:v>
                  </c:pt>
                  <c:pt idx="1236">
                    <c:v>1,4</c:v>
                  </c:pt>
                  <c:pt idx="1237">
                    <c:v>1,6</c:v>
                  </c:pt>
                  <c:pt idx="1238">
                    <c:v>1,6</c:v>
                  </c:pt>
                  <c:pt idx="1239">
                    <c:v>1,6</c:v>
                  </c:pt>
                  <c:pt idx="1240">
                    <c:v>1,6</c:v>
                  </c:pt>
                  <c:pt idx="1241">
                    <c:v>1,6</c:v>
                  </c:pt>
                  <c:pt idx="1242">
                    <c:v>1,6</c:v>
                  </c:pt>
                  <c:pt idx="1243">
                    <c:v>1,6</c:v>
                  </c:pt>
                  <c:pt idx="1244">
                    <c:v>1,6</c:v>
                  </c:pt>
                  <c:pt idx="1245">
                    <c:v>2</c:v>
                  </c:pt>
                  <c:pt idx="1246">
                    <c:v>2,5</c:v>
                  </c:pt>
                  <c:pt idx="1247">
                    <c:v>1,8</c:v>
                  </c:pt>
                  <c:pt idx="1248">
                    <c:v>1,8</c:v>
                  </c:pt>
                  <c:pt idx="1249">
                    <c:v>1,45</c:v>
                  </c:pt>
                  <c:pt idx="1250">
                    <c:v>1,45</c:v>
                  </c:pt>
                  <c:pt idx="1251">
                    <c:v>1,6</c:v>
                  </c:pt>
                  <c:pt idx="1252">
                    <c:v>1,45</c:v>
                  </c:pt>
                  <c:pt idx="1253">
                    <c:v>1,5</c:v>
                  </c:pt>
                  <c:pt idx="1254">
                    <c:v>2</c:v>
                  </c:pt>
                  <c:pt idx="1255">
                    <c:v>1,25</c:v>
                  </c:pt>
                  <c:pt idx="1256">
                    <c:v>1,25</c:v>
                  </c:pt>
                  <c:pt idx="1257">
                    <c:v>1,6</c:v>
                  </c:pt>
                  <c:pt idx="1258">
                    <c:v>1,25</c:v>
                  </c:pt>
                  <c:pt idx="1259">
                    <c:v>1,25</c:v>
                  </c:pt>
                  <c:pt idx="1260">
                    <c:v>1,25</c:v>
                  </c:pt>
                  <c:pt idx="1261">
                    <c:v>1,8</c:v>
                  </c:pt>
                  <c:pt idx="1262">
                    <c:v>1,6</c:v>
                  </c:pt>
                  <c:pt idx="1263">
                    <c:v>1,6</c:v>
                  </c:pt>
                  <c:pt idx="1264">
                    <c:v>1,6</c:v>
                  </c:pt>
                  <c:pt idx="1265">
                    <c:v>1,6</c:v>
                  </c:pt>
                  <c:pt idx="1266">
                    <c:v>1,6</c:v>
                  </c:pt>
                  <c:pt idx="1267">
                    <c:v>1,6</c:v>
                  </c:pt>
                  <c:pt idx="1268">
                    <c:v>1,6</c:v>
                  </c:pt>
                  <c:pt idx="1269">
                    <c:v>1,6</c:v>
                  </c:pt>
                  <c:pt idx="1270">
                    <c:v>1,6</c:v>
                  </c:pt>
                  <c:pt idx="1271">
                    <c:v>1,6</c:v>
                  </c:pt>
                  <c:pt idx="1272">
                    <c:v>1,6</c:v>
                  </c:pt>
                  <c:pt idx="1273">
                    <c:v>1,7</c:v>
                  </c:pt>
                  <c:pt idx="1274">
                    <c:v>1,6</c:v>
                  </c:pt>
                  <c:pt idx="1275">
                    <c:v>1,6</c:v>
                  </c:pt>
                  <c:pt idx="1276">
                    <c:v>1,6</c:v>
                  </c:pt>
                  <c:pt idx="1277">
                    <c:v>1,6</c:v>
                  </c:pt>
                  <c:pt idx="1278">
                    <c:v>1,5</c:v>
                  </c:pt>
                  <c:pt idx="1279">
                    <c:v>1,5</c:v>
                  </c:pt>
                  <c:pt idx="1280">
                    <c:v>1,5</c:v>
                  </c:pt>
                  <c:pt idx="1281">
                    <c:v>1,5</c:v>
                  </c:pt>
                  <c:pt idx="1282">
                    <c:v>1,5</c:v>
                  </c:pt>
                  <c:pt idx="1283">
                    <c:v>1,6</c:v>
                  </c:pt>
                  <c:pt idx="1284">
                    <c:v>1,6</c:v>
                  </c:pt>
                  <c:pt idx="1285">
                    <c:v>1,6</c:v>
                  </c:pt>
                  <c:pt idx="1286">
                    <c:v>1,6</c:v>
                  </c:pt>
                  <c:pt idx="1287">
                    <c:v>1,6</c:v>
                  </c:pt>
                  <c:pt idx="1288">
                    <c:v>1,6</c:v>
                  </c:pt>
                  <c:pt idx="1289">
                    <c:v>2</c:v>
                  </c:pt>
                  <c:pt idx="1290">
                    <c:v>1,4</c:v>
                  </c:pt>
                  <c:pt idx="1291">
                    <c:v>1,4</c:v>
                  </c:pt>
                  <c:pt idx="1292">
                    <c:v>1,6</c:v>
                  </c:pt>
                  <c:pt idx="1293">
                    <c:v>1,6</c:v>
                  </c:pt>
                  <c:pt idx="1294">
                    <c:v>1,6</c:v>
                  </c:pt>
                  <c:pt idx="1295">
                    <c:v>1,6</c:v>
                  </c:pt>
                  <c:pt idx="1296">
                    <c:v>1,6</c:v>
                  </c:pt>
                  <c:pt idx="1297">
                    <c:v>1,7</c:v>
                  </c:pt>
                  <c:pt idx="1298">
                    <c:v>1,7</c:v>
                  </c:pt>
                  <c:pt idx="1299">
                    <c:v>1,7</c:v>
                  </c:pt>
                  <c:pt idx="1300">
                    <c:v>1,7</c:v>
                  </c:pt>
                  <c:pt idx="1302">
                    <c:v>1,5</c:v>
                  </c:pt>
                  <c:pt idx="1303">
                    <c:v>1,5</c:v>
                  </c:pt>
                  <c:pt idx="1304">
                    <c:v>1,5</c:v>
                  </c:pt>
                  <c:pt idx="1305">
                    <c:v>1,5</c:v>
                  </c:pt>
                  <c:pt idx="1306">
                    <c:v>1,5</c:v>
                  </c:pt>
                  <c:pt idx="1307">
                    <c:v>1,5</c:v>
                  </c:pt>
                  <c:pt idx="1308">
                    <c:v>1,5</c:v>
                  </c:pt>
                  <c:pt idx="1309">
                    <c:v>1,5</c:v>
                  </c:pt>
                  <c:pt idx="1310">
                    <c:v>1,5</c:v>
                  </c:pt>
                  <c:pt idx="1311">
                    <c:v>1,5</c:v>
                  </c:pt>
                  <c:pt idx="1312">
                    <c:v>1,5</c:v>
                  </c:pt>
                  <c:pt idx="1313">
                    <c:v>1,4</c:v>
                  </c:pt>
                  <c:pt idx="1314">
                    <c:v>1,5</c:v>
                  </c:pt>
                  <c:pt idx="1315">
                    <c:v>1,6</c:v>
                  </c:pt>
                  <c:pt idx="1316">
                    <c:v>1,6</c:v>
                  </c:pt>
                  <c:pt idx="1317">
                    <c:v>1,6</c:v>
                  </c:pt>
                  <c:pt idx="1318">
                    <c:v>1,6</c:v>
                  </c:pt>
                  <c:pt idx="1319">
                    <c:v>1,4</c:v>
                  </c:pt>
                  <c:pt idx="1320">
                    <c:v>1,5</c:v>
                  </c:pt>
                  <c:pt idx="1321">
                    <c:v>1,6</c:v>
                  </c:pt>
                  <c:pt idx="1322">
                    <c:v>1,6</c:v>
                  </c:pt>
                  <c:pt idx="1323">
                    <c:v>1,6</c:v>
                  </c:pt>
                  <c:pt idx="1324">
                    <c:v>1,6</c:v>
                  </c:pt>
                  <c:pt idx="1325">
                    <c:v>1,6</c:v>
                  </c:pt>
                  <c:pt idx="1326">
                    <c:v>1,6</c:v>
                  </c:pt>
                  <c:pt idx="1327">
                    <c:v>1,6</c:v>
                  </c:pt>
                  <c:pt idx="1328">
                    <c:v>1,6</c:v>
                  </c:pt>
                  <c:pt idx="1329">
                    <c:v>1,55</c:v>
                  </c:pt>
                  <c:pt idx="1330">
                    <c:v>1,6</c:v>
                  </c:pt>
                  <c:pt idx="1331">
                    <c:v>1,5</c:v>
                  </c:pt>
                  <c:pt idx="1332">
                    <c:v>1,5</c:v>
                  </c:pt>
                  <c:pt idx="1333">
                    <c:v>1,6</c:v>
                  </c:pt>
                  <c:pt idx="1334">
                    <c:v>1,6</c:v>
                  </c:pt>
                  <c:pt idx="1335">
                    <c:v>1,6</c:v>
                  </c:pt>
                  <c:pt idx="1336">
                    <c:v>1,6</c:v>
                  </c:pt>
                  <c:pt idx="1337">
                    <c:v>1,5</c:v>
                  </c:pt>
                  <c:pt idx="1338">
                    <c:v>1,6</c:v>
                  </c:pt>
                  <c:pt idx="1339">
                    <c:v>1,5</c:v>
                  </c:pt>
                  <c:pt idx="1340">
                    <c:v>1,5</c:v>
                  </c:pt>
                  <c:pt idx="1341">
                    <c:v>1,4</c:v>
                  </c:pt>
                  <c:pt idx="1342">
                    <c:v>1,6</c:v>
                  </c:pt>
                  <c:pt idx="1343">
                    <c:v>1,6</c:v>
                  </c:pt>
                  <c:pt idx="1344">
                    <c:v>1,6</c:v>
                  </c:pt>
                  <c:pt idx="1345">
                    <c:v>1,5</c:v>
                  </c:pt>
                  <c:pt idx="1346">
                    <c:v>1,6</c:v>
                  </c:pt>
                  <c:pt idx="1347">
                    <c:v>1,6</c:v>
                  </c:pt>
                  <c:pt idx="1348">
                    <c:v>1,6</c:v>
                  </c:pt>
                  <c:pt idx="1349">
                    <c:v>1,6</c:v>
                  </c:pt>
                  <c:pt idx="1350">
                    <c:v>1,6</c:v>
                  </c:pt>
                  <c:pt idx="1351">
                    <c:v>1,6</c:v>
                  </c:pt>
                  <c:pt idx="1352">
                    <c:v>1,6</c:v>
                  </c:pt>
                  <c:pt idx="1353">
                    <c:v>1,6</c:v>
                  </c:pt>
                  <c:pt idx="1354">
                    <c:v>1,6</c:v>
                  </c:pt>
                  <c:pt idx="1355">
                    <c:v>1,5</c:v>
                  </c:pt>
                  <c:pt idx="1356">
                    <c:v>1,5</c:v>
                  </c:pt>
                  <c:pt idx="1357">
                    <c:v>1,6</c:v>
                  </c:pt>
                  <c:pt idx="1358">
                    <c:v>1,6</c:v>
                  </c:pt>
                  <c:pt idx="1359">
                    <c:v>1,7</c:v>
                  </c:pt>
                  <c:pt idx="1360">
                    <c:v>1,6</c:v>
                  </c:pt>
                  <c:pt idx="1361">
                    <c:v>1,6</c:v>
                  </c:pt>
                  <c:pt idx="1362">
                    <c:v>1,6</c:v>
                  </c:pt>
                  <c:pt idx="1363">
                    <c:v>1,6</c:v>
                  </c:pt>
                  <c:pt idx="1364">
                    <c:v>1,6</c:v>
                  </c:pt>
                  <c:pt idx="1365">
                    <c:v>1,8</c:v>
                  </c:pt>
                  <c:pt idx="1366">
                    <c:v>1,8</c:v>
                  </c:pt>
                  <c:pt idx="1367">
                    <c:v>1,8</c:v>
                  </c:pt>
                  <c:pt idx="1368">
                    <c:v>1,8</c:v>
                  </c:pt>
                  <c:pt idx="1369">
                    <c:v>1,8</c:v>
                  </c:pt>
                  <c:pt idx="1370">
                    <c:v>1,5</c:v>
                  </c:pt>
                  <c:pt idx="1371">
                    <c:v>1,5</c:v>
                  </c:pt>
                  <c:pt idx="1372">
                    <c:v>1,6</c:v>
                  </c:pt>
                  <c:pt idx="1373">
                    <c:v>1,6</c:v>
                  </c:pt>
                  <c:pt idx="1374">
                    <c:v>1,4</c:v>
                  </c:pt>
                  <c:pt idx="1375">
                    <c:v>1,5</c:v>
                  </c:pt>
                  <c:pt idx="1376">
                    <c:v>1,7</c:v>
                  </c:pt>
                  <c:pt idx="1377">
                    <c:v>1,7</c:v>
                  </c:pt>
                  <c:pt idx="1378">
                    <c:v>1,7</c:v>
                  </c:pt>
                  <c:pt idx="1379">
                    <c:v>1,4</c:v>
                  </c:pt>
                  <c:pt idx="1380">
                    <c:v>1,7</c:v>
                  </c:pt>
                  <c:pt idx="1381">
                    <c:v>1,7</c:v>
                  </c:pt>
                  <c:pt idx="1382">
                    <c:v>2</c:v>
                  </c:pt>
                  <c:pt idx="1383">
                    <c:v>2</c:v>
                  </c:pt>
                  <c:pt idx="1384">
                    <c:v>2</c:v>
                  </c:pt>
                  <c:pt idx="1385">
                    <c:v>2</c:v>
                  </c:pt>
                  <c:pt idx="1386">
                    <c:v>1,7</c:v>
                  </c:pt>
                  <c:pt idx="1388">
                    <c:v>1,3</c:v>
                  </c:pt>
                  <c:pt idx="1389">
                    <c:v>1,3</c:v>
                  </c:pt>
                  <c:pt idx="1390">
                    <c:v>1,3</c:v>
                  </c:pt>
                  <c:pt idx="1391">
                    <c:v>1,3</c:v>
                  </c:pt>
                  <c:pt idx="1392">
                    <c:v>1,4</c:v>
                  </c:pt>
                  <c:pt idx="1393">
                    <c:v>1,4</c:v>
                  </c:pt>
                  <c:pt idx="1394">
                    <c:v>1,6</c:v>
                  </c:pt>
                  <c:pt idx="1395">
                    <c:v>1,6</c:v>
                  </c:pt>
                  <c:pt idx="1396">
                    <c:v>1,36</c:v>
                  </c:pt>
                  <c:pt idx="1397">
                    <c:v>1,6</c:v>
                  </c:pt>
                  <c:pt idx="1398">
                    <c:v>1,6</c:v>
                  </c:pt>
                  <c:pt idx="1399">
                    <c:v>1,5</c:v>
                  </c:pt>
                  <c:pt idx="1400">
                    <c:v>1,6</c:v>
                  </c:pt>
                  <c:pt idx="1401">
                    <c:v>1,6</c:v>
                  </c:pt>
                  <c:pt idx="1402">
                    <c:v>1,8</c:v>
                  </c:pt>
                  <c:pt idx="1403">
                    <c:v>1,6</c:v>
                  </c:pt>
                  <c:pt idx="1404">
                    <c:v>1,6</c:v>
                  </c:pt>
                  <c:pt idx="1405">
                    <c:v>1,4</c:v>
                  </c:pt>
                  <c:pt idx="1406">
                    <c:v>1,4</c:v>
                  </c:pt>
                  <c:pt idx="1407">
                    <c:v>1,6</c:v>
                  </c:pt>
                  <c:pt idx="1408">
                    <c:v>1,6</c:v>
                  </c:pt>
                  <c:pt idx="1409">
                    <c:v>1,6</c:v>
                  </c:pt>
                  <c:pt idx="1410">
                    <c:v>1,6</c:v>
                  </c:pt>
                  <c:pt idx="1411">
                    <c:v>1,6</c:v>
                  </c:pt>
                  <c:pt idx="1412">
                    <c:v>1,6</c:v>
                  </c:pt>
                  <c:pt idx="1413">
                    <c:v>1,6</c:v>
                  </c:pt>
                  <c:pt idx="1414">
                    <c:v>1,6</c:v>
                  </c:pt>
                  <c:pt idx="1415">
                    <c:v>1,6</c:v>
                  </c:pt>
                  <c:pt idx="1416">
                    <c:v>1,6</c:v>
                  </c:pt>
                  <c:pt idx="1417">
                    <c:v>1,6</c:v>
                  </c:pt>
                  <c:pt idx="1418">
                    <c:v>1,6</c:v>
                  </c:pt>
                  <c:pt idx="1419">
                    <c:v>1,5</c:v>
                  </c:pt>
                  <c:pt idx="1420">
                    <c:v>1,5</c:v>
                  </c:pt>
                  <c:pt idx="1421">
                    <c:v>1,5</c:v>
                  </c:pt>
                  <c:pt idx="1422">
                    <c:v>1,5</c:v>
                  </c:pt>
                  <c:pt idx="1423">
                    <c:v>1,5</c:v>
                  </c:pt>
                  <c:pt idx="1424">
                    <c:v>1,6</c:v>
                  </c:pt>
                  <c:pt idx="1425">
                    <c:v>1,5</c:v>
                  </c:pt>
                  <c:pt idx="1426">
                    <c:v>1,5</c:v>
                  </c:pt>
                  <c:pt idx="1427">
                    <c:v>1,5</c:v>
                  </c:pt>
                  <c:pt idx="1428">
                    <c:v>1,5</c:v>
                  </c:pt>
                  <c:pt idx="1429">
                    <c:v>1,5</c:v>
                  </c:pt>
                  <c:pt idx="1430">
                    <c:v>2</c:v>
                  </c:pt>
                  <c:pt idx="1431">
                    <c:v>2</c:v>
                  </c:pt>
                  <c:pt idx="1432">
                    <c:v>2</c:v>
                  </c:pt>
                  <c:pt idx="1433">
                    <c:v>1,5</c:v>
                  </c:pt>
                  <c:pt idx="1434">
                    <c:v>1,5</c:v>
                  </c:pt>
                  <c:pt idx="1435">
                    <c:v>1,7</c:v>
                  </c:pt>
                  <c:pt idx="1436">
                    <c:v>1,6</c:v>
                  </c:pt>
                  <c:pt idx="1437">
                    <c:v>1,3</c:v>
                  </c:pt>
                  <c:pt idx="1438">
                    <c:v>1,35</c:v>
                  </c:pt>
                  <c:pt idx="1439">
                    <c:v>1,65</c:v>
                  </c:pt>
                  <c:pt idx="1440">
                    <c:v>1,5</c:v>
                  </c:pt>
                  <c:pt idx="1441">
                    <c:v>2</c:v>
                  </c:pt>
                  <c:pt idx="1442">
                    <c:v>2</c:v>
                  </c:pt>
                  <c:pt idx="1443">
                    <c:v>2,5</c:v>
                  </c:pt>
                  <c:pt idx="1444">
                    <c:v>1,5</c:v>
                  </c:pt>
                  <c:pt idx="1446">
                    <c:v>1,5</c:v>
                  </c:pt>
                  <c:pt idx="1447">
                    <c:v>1,8</c:v>
                  </c:pt>
                  <c:pt idx="1448">
                    <c:v>1,8</c:v>
                  </c:pt>
                  <c:pt idx="1449">
                    <c:v>1,6</c:v>
                  </c:pt>
                  <c:pt idx="1450">
                    <c:v>1,5</c:v>
                  </c:pt>
                  <c:pt idx="1451">
                    <c:v>1,4</c:v>
                  </c:pt>
                  <c:pt idx="1452">
                    <c:v>1,8</c:v>
                  </c:pt>
                  <c:pt idx="1453">
                    <c:v>1,8</c:v>
                  </c:pt>
                  <c:pt idx="1454">
                    <c:v>1,8</c:v>
                  </c:pt>
                  <c:pt idx="1455">
                    <c:v>1,7</c:v>
                  </c:pt>
                  <c:pt idx="1456">
                    <c:v>1,8</c:v>
                  </c:pt>
                  <c:pt idx="1457">
                    <c:v>1,7</c:v>
                  </c:pt>
                  <c:pt idx="1458">
                    <c:v>1,8</c:v>
                  </c:pt>
                  <c:pt idx="1459">
                    <c:v>1,8</c:v>
                  </c:pt>
                  <c:pt idx="1460">
                    <c:v>1,2</c:v>
                  </c:pt>
                  <c:pt idx="1461">
                    <c:v>1,8</c:v>
                  </c:pt>
                  <c:pt idx="1462">
                    <c:v>2</c:v>
                  </c:pt>
                  <c:pt idx="1463">
                    <c:v>1,3</c:v>
                  </c:pt>
                  <c:pt idx="1464">
                    <c:v>1,6</c:v>
                  </c:pt>
                  <c:pt idx="1465">
                    <c:v>3</c:v>
                  </c:pt>
                  <c:pt idx="1466">
                    <c:v>1,4</c:v>
                  </c:pt>
                  <c:pt idx="1467">
                    <c:v>1,6</c:v>
                  </c:pt>
                  <c:pt idx="1468">
                    <c:v>1,5</c:v>
                  </c:pt>
                  <c:pt idx="1469">
                    <c:v>1,5</c:v>
                  </c:pt>
                  <c:pt idx="1470">
                    <c:v>1,6</c:v>
                  </c:pt>
                  <c:pt idx="1471">
                    <c:v>1,2</c:v>
                  </c:pt>
                  <c:pt idx="1472">
                    <c:v>1,2</c:v>
                  </c:pt>
                  <c:pt idx="1473">
                    <c:v>1,3</c:v>
                  </c:pt>
                  <c:pt idx="1474">
                    <c:v>1,4</c:v>
                  </c:pt>
                  <c:pt idx="1475">
                    <c:v>1,5</c:v>
                  </c:pt>
                  <c:pt idx="1476">
                    <c:v>1,4</c:v>
                  </c:pt>
                  <c:pt idx="1477">
                    <c:v>1,6</c:v>
                  </c:pt>
                  <c:pt idx="1478">
                    <c:v>2</c:v>
                  </c:pt>
                  <c:pt idx="1479">
                    <c:v>1,4</c:v>
                  </c:pt>
                  <c:pt idx="1480">
                    <c:v>1,8</c:v>
                  </c:pt>
                  <c:pt idx="1481">
                    <c:v>1,6</c:v>
                  </c:pt>
                  <c:pt idx="1482">
                    <c:v>1,8</c:v>
                  </c:pt>
                  <c:pt idx="1483">
                    <c:v>1,4</c:v>
                  </c:pt>
                  <c:pt idx="1484">
                    <c:v>1,6</c:v>
                  </c:pt>
                  <c:pt idx="1485">
                    <c:v>1,3</c:v>
                  </c:pt>
                  <c:pt idx="1486">
                    <c:v>1,4</c:v>
                  </c:pt>
                  <c:pt idx="1487">
                    <c:v>1,4</c:v>
                  </c:pt>
                  <c:pt idx="1488">
                    <c:v>1,8</c:v>
                  </c:pt>
                  <c:pt idx="1489">
                    <c:v>2</c:v>
                  </c:pt>
                  <c:pt idx="1490">
                    <c:v>1,8</c:v>
                  </c:pt>
                  <c:pt idx="1491">
                    <c:v>1,8</c:v>
                  </c:pt>
                  <c:pt idx="1492">
                    <c:v>1,8</c:v>
                  </c:pt>
                  <c:pt idx="1493">
                    <c:v>1,8</c:v>
                  </c:pt>
                  <c:pt idx="1494">
                    <c:v>1,8</c:v>
                  </c:pt>
                  <c:pt idx="1495">
                    <c:v>1,8</c:v>
                  </c:pt>
                  <c:pt idx="1496">
                    <c:v>1,6</c:v>
                  </c:pt>
                  <c:pt idx="1497">
                    <c:v>1,4</c:v>
                  </c:pt>
                  <c:pt idx="1498">
                    <c:v>1,25</c:v>
                  </c:pt>
                  <c:pt idx="1499">
                    <c:v>1,6</c:v>
                  </c:pt>
                  <c:pt idx="1500">
                    <c:v>1,6</c:v>
                  </c:pt>
                  <c:pt idx="1501">
                    <c:v>1,6</c:v>
                  </c:pt>
                  <c:pt idx="1502">
                    <c:v>1,6</c:v>
                  </c:pt>
                  <c:pt idx="1503">
                    <c:v>1,7</c:v>
                  </c:pt>
                  <c:pt idx="1504">
                    <c:v>1,6</c:v>
                  </c:pt>
                  <c:pt idx="1505">
                    <c:v>1,7</c:v>
                  </c:pt>
                  <c:pt idx="1506">
                    <c:v>1,75</c:v>
                  </c:pt>
                  <c:pt idx="1507">
                    <c:v>1,3</c:v>
                  </c:pt>
                  <c:pt idx="1508">
                    <c:v>1,3</c:v>
                  </c:pt>
                  <c:pt idx="1509">
                    <c:v>1,1</c:v>
                  </c:pt>
                  <c:pt idx="1510">
                    <c:v>1,6</c:v>
                  </c:pt>
                  <c:pt idx="1511">
                    <c:v>1,6</c:v>
                  </c:pt>
                  <c:pt idx="1512">
                    <c:v>1,3</c:v>
                  </c:pt>
                  <c:pt idx="1513">
                    <c:v>1,3</c:v>
                  </c:pt>
                  <c:pt idx="1514">
                    <c:v>1,6</c:v>
                  </c:pt>
                  <c:pt idx="1515">
                    <c:v>1,6</c:v>
                  </c:pt>
                  <c:pt idx="1516">
                    <c:v>1,5</c:v>
                  </c:pt>
                  <c:pt idx="1517">
                    <c:v>1,6</c:v>
                  </c:pt>
                  <c:pt idx="1518">
                    <c:v>1,6</c:v>
                  </c:pt>
                  <c:pt idx="1519">
                    <c:v>1,3</c:v>
                  </c:pt>
                  <c:pt idx="1520">
                    <c:v>1,6</c:v>
                  </c:pt>
                  <c:pt idx="1521">
                    <c:v>1,6</c:v>
                  </c:pt>
                  <c:pt idx="1522">
                    <c:v>1,6</c:v>
                  </c:pt>
                  <c:pt idx="1523">
                    <c:v>1,7</c:v>
                  </c:pt>
                  <c:pt idx="1524">
                    <c:v>2</c:v>
                  </c:pt>
                  <c:pt idx="1525">
                    <c:v>1,3</c:v>
                  </c:pt>
                  <c:pt idx="1526">
                    <c:v>2</c:v>
                  </c:pt>
                  <c:pt idx="1527">
                    <c:v>2</c:v>
                  </c:pt>
                  <c:pt idx="1528">
                    <c:v>1,6</c:v>
                  </c:pt>
                  <c:pt idx="1529">
                    <c:v>1,9</c:v>
                  </c:pt>
                  <c:pt idx="1530">
                    <c:v>1,5</c:v>
                  </c:pt>
                  <c:pt idx="1531">
                    <c:v>1,5</c:v>
                  </c:pt>
                  <c:pt idx="1532">
                    <c:v>1,8</c:v>
                  </c:pt>
                  <c:pt idx="1533">
                    <c:v>1,5</c:v>
                  </c:pt>
                  <c:pt idx="1534">
                    <c:v>1,6</c:v>
                  </c:pt>
                  <c:pt idx="1535">
                    <c:v>1,6</c:v>
                  </c:pt>
                  <c:pt idx="1536">
                    <c:v>1,8</c:v>
                  </c:pt>
                  <c:pt idx="1537">
                    <c:v>1,6</c:v>
                  </c:pt>
                  <c:pt idx="1538">
                    <c:v>1,6</c:v>
                  </c:pt>
                  <c:pt idx="1539">
                    <c:v>1,4</c:v>
                  </c:pt>
                  <c:pt idx="1540">
                    <c:v>1,4</c:v>
                  </c:pt>
                  <c:pt idx="1541">
                    <c:v>1,6</c:v>
                  </c:pt>
                  <c:pt idx="1542">
                    <c:v>1,3</c:v>
                  </c:pt>
                  <c:pt idx="1543">
                    <c:v>1,6</c:v>
                  </c:pt>
                  <c:pt idx="1544">
                    <c:v>1,6</c:v>
                  </c:pt>
                  <c:pt idx="1545">
                    <c:v>1,6</c:v>
                  </c:pt>
                  <c:pt idx="1546">
                    <c:v>2</c:v>
                  </c:pt>
                  <c:pt idx="1547">
                    <c:v>2</c:v>
                  </c:pt>
                  <c:pt idx="1548">
                    <c:v>1</c:v>
                  </c:pt>
                  <c:pt idx="1549">
                    <c:v>1,6</c:v>
                  </c:pt>
                  <c:pt idx="1550">
                    <c:v>1,8</c:v>
                  </c:pt>
                  <c:pt idx="1551">
                    <c:v>1,7</c:v>
                  </c:pt>
                  <c:pt idx="1552">
                    <c:v>1,5</c:v>
                  </c:pt>
                  <c:pt idx="1553">
                    <c:v>1,5</c:v>
                  </c:pt>
                  <c:pt idx="1554">
                    <c:v>1,7</c:v>
                  </c:pt>
                  <c:pt idx="1555">
                    <c:v>1,6</c:v>
                  </c:pt>
                  <c:pt idx="1556">
                    <c:v>1,5</c:v>
                  </c:pt>
                  <c:pt idx="1557">
                    <c:v>1,5</c:v>
                  </c:pt>
                  <c:pt idx="1558">
                    <c:v>1,5</c:v>
                  </c:pt>
                  <c:pt idx="1559">
                    <c:v>1,5</c:v>
                  </c:pt>
                  <c:pt idx="1560">
                    <c:v>1,3</c:v>
                  </c:pt>
                  <c:pt idx="1561">
                    <c:v>1,5</c:v>
                  </c:pt>
                  <c:pt idx="1562">
                    <c:v>1,4</c:v>
                  </c:pt>
                  <c:pt idx="1563">
                    <c:v>1,3</c:v>
                  </c:pt>
                  <c:pt idx="1564">
                    <c:v>1,3</c:v>
                  </c:pt>
                  <c:pt idx="1565">
                    <c:v>1,3</c:v>
                  </c:pt>
                  <c:pt idx="1566">
                    <c:v>1,7</c:v>
                  </c:pt>
                  <c:pt idx="1567">
                    <c:v>1,5</c:v>
                  </c:pt>
                  <c:pt idx="1568">
                    <c:v>1,5</c:v>
                  </c:pt>
                  <c:pt idx="1569">
                    <c:v>1,4</c:v>
                  </c:pt>
                  <c:pt idx="1570">
                    <c:v>1,25</c:v>
                  </c:pt>
                  <c:pt idx="1571">
                    <c:v>1,25</c:v>
                  </c:pt>
                  <c:pt idx="1572">
                    <c:v>2</c:v>
                  </c:pt>
                  <c:pt idx="1573">
                    <c:v>2</c:v>
                  </c:pt>
                  <c:pt idx="1574">
                    <c:v>1,6</c:v>
                  </c:pt>
                  <c:pt idx="1575">
                    <c:v>1,4</c:v>
                  </c:pt>
                  <c:pt idx="1576">
                    <c:v>1,8</c:v>
                  </c:pt>
                  <c:pt idx="1577">
                    <c:v>1,5</c:v>
                  </c:pt>
                  <c:pt idx="1578">
                    <c:v>1,6</c:v>
                  </c:pt>
                  <c:pt idx="1579">
                    <c:v>1,6</c:v>
                  </c:pt>
                  <c:pt idx="1580">
                    <c:v>1,6</c:v>
                  </c:pt>
                  <c:pt idx="1581">
                    <c:v>1,6</c:v>
                  </c:pt>
                  <c:pt idx="1582">
                    <c:v>1,6</c:v>
                  </c:pt>
                  <c:pt idx="1583">
                    <c:v>1,8</c:v>
                  </c:pt>
                  <c:pt idx="1584">
                    <c:v>1,6</c:v>
                  </c:pt>
                  <c:pt idx="1585">
                    <c:v>1,6</c:v>
                  </c:pt>
                  <c:pt idx="1586">
                    <c:v>1,6</c:v>
                  </c:pt>
                  <c:pt idx="1587">
                    <c:v>1,9</c:v>
                  </c:pt>
                  <c:pt idx="1588">
                    <c:v>1,4</c:v>
                  </c:pt>
                  <c:pt idx="1589">
                    <c:v>1,4</c:v>
                  </c:pt>
                  <c:pt idx="1590">
                    <c:v>1,25</c:v>
                  </c:pt>
                  <c:pt idx="1591">
                    <c:v>1,25</c:v>
                  </c:pt>
                  <c:pt idx="1592">
                    <c:v>1,25</c:v>
                  </c:pt>
                  <c:pt idx="1593">
                    <c:v>1,2</c:v>
                  </c:pt>
                  <c:pt idx="1594">
                    <c:v>1,6</c:v>
                  </c:pt>
                  <c:pt idx="1595">
                    <c:v>1,3</c:v>
                  </c:pt>
                  <c:pt idx="1596">
                    <c:v>1,4</c:v>
                  </c:pt>
                  <c:pt idx="1597">
                    <c:v>1,4</c:v>
                  </c:pt>
                  <c:pt idx="1598">
                    <c:v>1,3</c:v>
                  </c:pt>
                  <c:pt idx="1599">
                    <c:v>1,3</c:v>
                  </c:pt>
                  <c:pt idx="1600">
                    <c:v>1,45</c:v>
                  </c:pt>
                  <c:pt idx="1601">
                    <c:v>1,37</c:v>
                  </c:pt>
                  <c:pt idx="1602">
                    <c:v>1,3</c:v>
                  </c:pt>
                  <c:pt idx="1603">
                    <c:v>1,45</c:v>
                  </c:pt>
                  <c:pt idx="1604">
                    <c:v>1,3</c:v>
                  </c:pt>
                  <c:pt idx="1605">
                    <c:v>1,4</c:v>
                  </c:pt>
                  <c:pt idx="1606">
                    <c:v>1,8</c:v>
                  </c:pt>
                  <c:pt idx="1607">
                    <c:v>1,4</c:v>
                  </c:pt>
                  <c:pt idx="1608">
                    <c:v>1,2</c:v>
                  </c:pt>
                  <c:pt idx="1609">
                    <c:v>1,4</c:v>
                  </c:pt>
                  <c:pt idx="1610">
                    <c:v>1,3</c:v>
                  </c:pt>
                  <c:pt idx="1611">
                    <c:v>1,2</c:v>
                  </c:pt>
                  <c:pt idx="1612">
                    <c:v>1,5</c:v>
                  </c:pt>
                  <c:pt idx="1613">
                    <c:v>1,2</c:v>
                  </c:pt>
                  <c:pt idx="1614">
                    <c:v>1,5</c:v>
                  </c:pt>
                  <c:pt idx="1615">
                    <c:v>1,6</c:v>
                  </c:pt>
                  <c:pt idx="1616">
                    <c:v>1,6</c:v>
                  </c:pt>
                  <c:pt idx="1617">
                    <c:v>1,35</c:v>
                  </c:pt>
                  <c:pt idx="1618">
                    <c:v>1,4</c:v>
                  </c:pt>
                  <c:pt idx="1619">
                    <c:v>1,4</c:v>
                  </c:pt>
                  <c:pt idx="1620">
                    <c:v>1,3</c:v>
                  </c:pt>
                  <c:pt idx="1621">
                    <c:v>1,3</c:v>
                  </c:pt>
                  <c:pt idx="1622">
                    <c:v>1,3</c:v>
                  </c:pt>
                  <c:pt idx="1623">
                    <c:v>1,6</c:v>
                  </c:pt>
                  <c:pt idx="1624">
                    <c:v>1</c:v>
                  </c:pt>
                  <c:pt idx="1625">
                    <c:v>1,4</c:v>
                  </c:pt>
                  <c:pt idx="1626">
                    <c:v>1,4</c:v>
                  </c:pt>
                  <c:pt idx="1627">
                    <c:v>1,35</c:v>
                  </c:pt>
                  <c:pt idx="1628">
                    <c:v>1,2</c:v>
                  </c:pt>
                  <c:pt idx="1629">
                    <c:v>1,25</c:v>
                  </c:pt>
                  <c:pt idx="1630">
                    <c:v>1,25</c:v>
                  </c:pt>
                  <c:pt idx="1631">
                    <c:v>1,4</c:v>
                  </c:pt>
                  <c:pt idx="1632">
                    <c:v>1,3</c:v>
                  </c:pt>
                  <c:pt idx="1633">
                    <c:v>1,4</c:v>
                  </c:pt>
                  <c:pt idx="1634">
                    <c:v>1,5</c:v>
                  </c:pt>
                  <c:pt idx="1635">
                    <c:v>1,4</c:v>
                  </c:pt>
                  <c:pt idx="1636">
                    <c:v>1,4</c:v>
                  </c:pt>
                  <c:pt idx="1637">
                    <c:v>1,5</c:v>
                  </c:pt>
                  <c:pt idx="1638">
                    <c:v>1,4</c:v>
                  </c:pt>
                  <c:pt idx="1639">
                    <c:v>1,3</c:v>
                  </c:pt>
                  <c:pt idx="1640">
                    <c:v>1,3</c:v>
                  </c:pt>
                  <c:pt idx="1641">
                    <c:v>1,59</c:v>
                  </c:pt>
                  <c:pt idx="1642">
                    <c:v>1,5</c:v>
                  </c:pt>
                  <c:pt idx="1643">
                    <c:v>1,5</c:v>
                  </c:pt>
                  <c:pt idx="1644">
                    <c:v>1,5</c:v>
                  </c:pt>
                  <c:pt idx="1645">
                    <c:v>1,5</c:v>
                  </c:pt>
                  <c:pt idx="1646">
                    <c:v>1,5</c:v>
                  </c:pt>
                  <c:pt idx="1647">
                    <c:v>1,25</c:v>
                  </c:pt>
                  <c:pt idx="1648">
                    <c:v>1,2</c:v>
                  </c:pt>
                  <c:pt idx="1649">
                    <c:v>1,7</c:v>
                  </c:pt>
                  <c:pt idx="1650">
                    <c:v>1,8</c:v>
                  </c:pt>
                  <c:pt idx="1651">
                    <c:v>1,4</c:v>
                  </c:pt>
                  <c:pt idx="1652">
                    <c:v>2</c:v>
                  </c:pt>
                  <c:pt idx="1653">
                    <c:v>1,5</c:v>
                  </c:pt>
                  <c:pt idx="1654">
                    <c:v>2</c:v>
                  </c:pt>
                  <c:pt idx="1655">
                    <c:v>1,3</c:v>
                  </c:pt>
                  <c:pt idx="1656">
                    <c:v>1,8</c:v>
                  </c:pt>
                  <c:pt idx="1657">
                    <c:v>1,8</c:v>
                  </c:pt>
                  <c:pt idx="1658">
                    <c:v>1,7</c:v>
                  </c:pt>
                  <c:pt idx="1659">
                    <c:v>2</c:v>
                  </c:pt>
                  <c:pt idx="1660">
                    <c:v>2</c:v>
                  </c:pt>
                  <c:pt idx="1661">
                    <c:v>2,5</c:v>
                  </c:pt>
                  <c:pt idx="1662">
                    <c:v>1,6</c:v>
                  </c:pt>
                  <c:pt idx="1663">
                    <c:v>1,6</c:v>
                  </c:pt>
                  <c:pt idx="1664">
                    <c:v>1,6</c:v>
                  </c:pt>
                  <c:pt idx="1665">
                    <c:v>1,2</c:v>
                  </c:pt>
                  <c:pt idx="1666">
                    <c:v>1,6</c:v>
                  </c:pt>
                  <c:pt idx="1667">
                    <c:v>2,5</c:v>
                  </c:pt>
                  <c:pt idx="1668">
                    <c:v>2</c:v>
                  </c:pt>
                  <c:pt idx="1669">
                    <c:v>2</c:v>
                  </c:pt>
                  <c:pt idx="1670">
                    <c:v>1,8</c:v>
                  </c:pt>
                  <c:pt idx="1671">
                    <c:v>1,6</c:v>
                  </c:pt>
                  <c:pt idx="1672">
                    <c:v>1,4</c:v>
                  </c:pt>
                  <c:pt idx="1673">
                    <c:v>1,35</c:v>
                  </c:pt>
                  <c:pt idx="1674">
                    <c:v>1,6</c:v>
                  </c:pt>
                  <c:pt idx="1675">
                    <c:v>1,6</c:v>
                  </c:pt>
                  <c:pt idx="1676">
                    <c:v>1,6</c:v>
                  </c:pt>
                  <c:pt idx="1677">
                    <c:v>1,6</c:v>
                  </c:pt>
                  <c:pt idx="1678">
                    <c:v>1,6</c:v>
                  </c:pt>
                  <c:pt idx="1679">
                    <c:v>1,6</c:v>
                  </c:pt>
                  <c:pt idx="1680">
                    <c:v>1,5</c:v>
                  </c:pt>
                  <c:pt idx="1681">
                    <c:v>1,6</c:v>
                  </c:pt>
                  <c:pt idx="1682">
                    <c:v>1,6</c:v>
                  </c:pt>
                  <c:pt idx="1683">
                    <c:v>1,6</c:v>
                  </c:pt>
                  <c:pt idx="1684">
                    <c:v>1,5</c:v>
                  </c:pt>
                  <c:pt idx="1685">
                    <c:v>1,8</c:v>
                  </c:pt>
                  <c:pt idx="1686">
                    <c:v>1,8</c:v>
                  </c:pt>
                  <c:pt idx="1687">
                    <c:v>1,6</c:v>
                  </c:pt>
                  <c:pt idx="1688">
                    <c:v>1,6</c:v>
                  </c:pt>
                  <c:pt idx="1689">
                    <c:v>1,6</c:v>
                  </c:pt>
                  <c:pt idx="1690">
                    <c:v>1,6</c:v>
                  </c:pt>
                  <c:pt idx="1691">
                    <c:v>1,6</c:v>
                  </c:pt>
                  <c:pt idx="1692">
                    <c:v>1,9</c:v>
                  </c:pt>
                  <c:pt idx="1693">
                    <c:v>1,6</c:v>
                  </c:pt>
                  <c:pt idx="1694">
                    <c:v>1,6</c:v>
                  </c:pt>
                  <c:pt idx="1695">
                    <c:v>1,6</c:v>
                  </c:pt>
                  <c:pt idx="1696">
                    <c:v>2</c:v>
                  </c:pt>
                  <c:pt idx="1697">
                    <c:v>2</c:v>
                  </c:pt>
                  <c:pt idx="1698">
                    <c:v>2</c:v>
                  </c:pt>
                  <c:pt idx="1699">
                    <c:v>1,8</c:v>
                  </c:pt>
                  <c:pt idx="1700">
                    <c:v>1,7</c:v>
                  </c:pt>
                  <c:pt idx="1701">
                    <c:v>1,7</c:v>
                  </c:pt>
                  <c:pt idx="1702">
                    <c:v>1,7</c:v>
                  </c:pt>
                  <c:pt idx="1703">
                    <c:v>1,7</c:v>
                  </c:pt>
                  <c:pt idx="1704">
                    <c:v>2</c:v>
                  </c:pt>
                  <c:pt idx="1705">
                    <c:v>2</c:v>
                  </c:pt>
                  <c:pt idx="1706">
                    <c:v>2</c:v>
                  </c:pt>
                  <c:pt idx="1707">
                    <c:v>1,8</c:v>
                  </c:pt>
                  <c:pt idx="1708">
                    <c:v>1,8</c:v>
                  </c:pt>
                  <c:pt idx="1709">
                    <c:v>1,6</c:v>
                  </c:pt>
                  <c:pt idx="1710">
                    <c:v>2</c:v>
                  </c:pt>
                  <c:pt idx="1711">
                    <c:v>2</c:v>
                  </c:pt>
                  <c:pt idx="1712">
                    <c:v>2</c:v>
                  </c:pt>
                  <c:pt idx="1713">
                    <c:v>2</c:v>
                  </c:pt>
                  <c:pt idx="1714">
                    <c:v>1,5</c:v>
                  </c:pt>
                  <c:pt idx="1715">
                    <c:v>1,6</c:v>
                  </c:pt>
                  <c:pt idx="1716">
                    <c:v>1,35</c:v>
                  </c:pt>
                  <c:pt idx="1717">
                    <c:v>1,7</c:v>
                  </c:pt>
                  <c:pt idx="1718">
                    <c:v>1,7</c:v>
                  </c:pt>
                  <c:pt idx="1719">
                    <c:v>1,7</c:v>
                  </c:pt>
                  <c:pt idx="1720">
                    <c:v>1,2</c:v>
                  </c:pt>
                  <c:pt idx="1721">
                    <c:v>1,2</c:v>
                  </c:pt>
                  <c:pt idx="1722">
                    <c:v>1,2</c:v>
                  </c:pt>
                  <c:pt idx="1723">
                    <c:v>1,3</c:v>
                  </c:pt>
                  <c:pt idx="1724">
                    <c:v>1,3</c:v>
                  </c:pt>
                </c:lvl>
                <c:lvl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15">
                    <c:v>0</c:v>
                  </c:pt>
                  <c:pt idx="18">
                    <c:v>0</c:v>
                  </c:pt>
                  <c:pt idx="24">
                    <c:v>0</c:v>
                  </c:pt>
                  <c:pt idx="25">
                    <c:v>0</c:v>
                  </c:pt>
                  <c:pt idx="37">
                    <c:v>0</c:v>
                  </c:pt>
                  <c:pt idx="72">
                    <c:v>0</c:v>
                  </c:pt>
                  <c:pt idx="73">
                    <c:v>0</c:v>
                  </c:pt>
                  <c:pt idx="74">
                    <c:v>0</c:v>
                  </c:pt>
                  <c:pt idx="88">
                    <c:v>0</c:v>
                  </c:pt>
                  <c:pt idx="99">
                    <c:v>s</c:v>
                  </c:pt>
                  <c:pt idx="103">
                    <c:v>2,79</c:v>
                  </c:pt>
                  <c:pt idx="121">
                    <c:v>3,64</c:v>
                  </c:pt>
                  <c:pt idx="130">
                    <c:v>5</c:v>
                  </c:pt>
                  <c:pt idx="131">
                    <c:v>3,05</c:v>
                  </c:pt>
                  <c:pt idx="132">
                    <c:v>3,05</c:v>
                  </c:pt>
                  <c:pt idx="133">
                    <c:v>5</c:v>
                  </c:pt>
                  <c:pt idx="172">
                    <c:v>15,1</c:v>
                  </c:pt>
                  <c:pt idx="199">
                    <c:v>q</c:v>
                  </c:pt>
                  <c:pt idx="203">
                    <c:v>0</c:v>
                  </c:pt>
                  <c:pt idx="218">
                    <c:v>0</c:v>
                  </c:pt>
                  <c:pt idx="248">
                    <c:v>5,1</c:v>
                  </c:pt>
                  <c:pt idx="251">
                    <c:v>0</c:v>
                  </c:pt>
                  <c:pt idx="261">
                    <c:v>1,1</c:v>
                  </c:pt>
                  <c:pt idx="263">
                    <c:v>0</c:v>
                  </c:pt>
                  <c:pt idx="266">
                    <c:v>5</c:v>
                  </c:pt>
                  <c:pt idx="267">
                    <c:v>3</c:v>
                  </c:pt>
                  <c:pt idx="299">
                    <c:v>23,65</c:v>
                  </c:pt>
                  <c:pt idx="300">
                    <c:v>6,4</c:v>
                  </c:pt>
                  <c:pt idx="303">
                    <c:v>55,65</c:v>
                  </c:pt>
                  <c:pt idx="304">
                    <c:v>7,3</c:v>
                  </c:pt>
                  <c:pt idx="305">
                    <c:v>4,7</c:v>
                  </c:pt>
                  <c:pt idx="306">
                    <c:v>8</c:v>
                  </c:pt>
                  <c:pt idx="307">
                    <c:v>135</c:v>
                  </c:pt>
                  <c:pt idx="317">
                    <c:v>0</c:v>
                  </c:pt>
                  <c:pt idx="333">
                    <c:v>0</c:v>
                  </c:pt>
                  <c:pt idx="386">
                    <c:v>0</c:v>
                  </c:pt>
                  <c:pt idx="413">
                    <c:v>0</c:v>
                  </c:pt>
                  <c:pt idx="460">
                    <c:v>1,1</c:v>
                  </c:pt>
                  <c:pt idx="461">
                    <c:v>1,1</c:v>
                  </c:pt>
                  <c:pt idx="493">
                    <c:v>0</c:v>
                  </c:pt>
                  <c:pt idx="495">
                    <c:v>1</c:v>
                  </c:pt>
                  <c:pt idx="496">
                    <c:v>0</c:v>
                  </c:pt>
                  <c:pt idx="516">
                    <c:v>1,1</c:v>
                  </c:pt>
                  <c:pt idx="517">
                    <c:v>1,1</c:v>
                  </c:pt>
                  <c:pt idx="525">
                    <c:v>12</c:v>
                  </c:pt>
                  <c:pt idx="540">
                    <c:v>11,45</c:v>
                  </c:pt>
                  <c:pt idx="544">
                    <c:v>0</c:v>
                  </c:pt>
                  <c:pt idx="554">
                    <c:v>45</c:v>
                  </c:pt>
                  <c:pt idx="572">
                    <c:v>6,18</c:v>
                  </c:pt>
                  <c:pt idx="574">
                    <c:v>5</c:v>
                  </c:pt>
                  <c:pt idx="590">
                    <c:v>82</c:v>
                  </c:pt>
                  <c:pt idx="591">
                    <c:v>3,28</c:v>
                  </c:pt>
                  <c:pt idx="592">
                    <c:v>0</c:v>
                  </c:pt>
                  <c:pt idx="593">
                    <c:v>0</c:v>
                  </c:pt>
                  <c:pt idx="596">
                    <c:v>18,2</c:v>
                  </c:pt>
                  <c:pt idx="598">
                    <c:v>41</c:v>
                  </c:pt>
                  <c:pt idx="599">
                    <c:v>0</c:v>
                  </c:pt>
                  <c:pt idx="606">
                    <c:v>0</c:v>
                  </c:pt>
                  <c:pt idx="607">
                    <c:v>c</c:v>
                  </c:pt>
                  <c:pt idx="622">
                    <c:v>0</c:v>
                  </c:pt>
                  <c:pt idx="633">
                    <c:v>1</c:v>
                  </c:pt>
                  <c:pt idx="694">
                    <c:v>0</c:v>
                  </c:pt>
                  <c:pt idx="705">
                    <c:v>36,32</c:v>
                  </c:pt>
                  <c:pt idx="706">
                    <c:v>1</c:v>
                  </c:pt>
                  <c:pt idx="751">
                    <c:v>0</c:v>
                  </c:pt>
                  <c:pt idx="754">
                    <c:v>3</c:v>
                  </c:pt>
                  <c:pt idx="755">
                    <c:v>0</c:v>
                  </c:pt>
                  <c:pt idx="757">
                    <c:v>0</c:v>
                  </c:pt>
                  <c:pt idx="762">
                    <c:v>0</c:v>
                  </c:pt>
                  <c:pt idx="766">
                    <c:v>2,4</c:v>
                  </c:pt>
                  <c:pt idx="767">
                    <c:v>2,99</c:v>
                  </c:pt>
                  <c:pt idx="768">
                    <c:v>2,78</c:v>
                  </c:pt>
                  <c:pt idx="769">
                    <c:v>1,55</c:v>
                  </c:pt>
                  <c:pt idx="773">
                    <c:v>1,52</c:v>
                  </c:pt>
                  <c:pt idx="852">
                    <c:v>0</c:v>
                  </c:pt>
                  <c:pt idx="855">
                    <c:v>0</c:v>
                  </c:pt>
                  <c:pt idx="880">
                    <c:v>1</c:v>
                  </c:pt>
                  <c:pt idx="881">
                    <c:v>0</c:v>
                  </c:pt>
                  <c:pt idx="900">
                    <c:v>0</c:v>
                  </c:pt>
                  <c:pt idx="921">
                    <c:v>37</c:v>
                  </c:pt>
                  <c:pt idx="959">
                    <c:v>11,45</c:v>
                  </c:pt>
                  <c:pt idx="961">
                    <c:v>36</c:v>
                  </c:pt>
                  <c:pt idx="964">
                    <c:v>0</c:v>
                  </c:pt>
                  <c:pt idx="965">
                    <c:v>0</c:v>
                  </c:pt>
                  <c:pt idx="982">
                    <c:v>15,6</c:v>
                  </c:pt>
                  <c:pt idx="987">
                    <c:v>0</c:v>
                  </c:pt>
                  <c:pt idx="1013">
                    <c:v>0</c:v>
                  </c:pt>
                  <c:pt idx="1087">
                    <c:v>1,95</c:v>
                  </c:pt>
                  <c:pt idx="1088">
                    <c:v>2</c:v>
                  </c:pt>
                  <c:pt idx="1089">
                    <c:v>3,1</c:v>
                  </c:pt>
                  <c:pt idx="1090">
                    <c:v>4,65</c:v>
                  </c:pt>
                  <c:pt idx="1095">
                    <c:v>15,4</c:v>
                  </c:pt>
                  <c:pt idx="1115">
                    <c:v>0,16</c:v>
                  </c:pt>
                  <c:pt idx="1120">
                    <c:v>0</c:v>
                  </c:pt>
                  <c:pt idx="1146">
                    <c:v>1,05</c:v>
                  </c:pt>
                  <c:pt idx="1218">
                    <c:v>5,12</c:v>
                  </c:pt>
                  <c:pt idx="1220">
                    <c:v>1,5</c:v>
                  </c:pt>
                  <c:pt idx="1221">
                    <c:v>1,81</c:v>
                  </c:pt>
                  <c:pt idx="1315">
                    <c:v>12</c:v>
                  </c:pt>
                  <c:pt idx="1316">
                    <c:v>19</c:v>
                  </c:pt>
                  <c:pt idx="1317">
                    <c:v>23</c:v>
                  </c:pt>
                  <c:pt idx="1318">
                    <c:v>20</c:v>
                  </c:pt>
                  <c:pt idx="1319">
                    <c:v>29</c:v>
                  </c:pt>
                  <c:pt idx="1324">
                    <c:v>23</c:v>
                  </c:pt>
                  <c:pt idx="1325">
                    <c:v>24</c:v>
                  </c:pt>
                  <c:pt idx="1326">
                    <c:v>26</c:v>
                  </c:pt>
                  <c:pt idx="1327">
                    <c:v>37</c:v>
                  </c:pt>
                  <c:pt idx="1328">
                    <c:v>23</c:v>
                  </c:pt>
                  <c:pt idx="1333">
                    <c:v>13</c:v>
                  </c:pt>
                  <c:pt idx="1334">
                    <c:v>30</c:v>
                  </c:pt>
                  <c:pt idx="1336">
                    <c:v>9</c:v>
                  </c:pt>
                  <c:pt idx="1337">
                    <c:v>21</c:v>
                  </c:pt>
                  <c:pt idx="1338">
                    <c:v>29</c:v>
                  </c:pt>
                  <c:pt idx="1342">
                    <c:v>21</c:v>
                  </c:pt>
                  <c:pt idx="1343">
                    <c:v>21</c:v>
                  </c:pt>
                  <c:pt idx="1344">
                    <c:v>30</c:v>
                  </c:pt>
                  <c:pt idx="1345">
                    <c:v>14,5</c:v>
                  </c:pt>
                  <c:pt idx="1346">
                    <c:v>22</c:v>
                  </c:pt>
                  <c:pt idx="1347">
                    <c:v>28</c:v>
                  </c:pt>
                  <c:pt idx="1350">
                    <c:v>72</c:v>
                  </c:pt>
                  <c:pt idx="1351">
                    <c:v>75</c:v>
                  </c:pt>
                  <c:pt idx="1352">
                    <c:v>51</c:v>
                  </c:pt>
                  <c:pt idx="1354">
                    <c:v>41</c:v>
                  </c:pt>
                  <c:pt idx="1356">
                    <c:v>28</c:v>
                  </c:pt>
                  <c:pt idx="1378">
                    <c:v>1</c:v>
                  </c:pt>
                  <c:pt idx="1381">
                    <c:v>0</c:v>
                  </c:pt>
                  <c:pt idx="1390">
                    <c:v>0</c:v>
                  </c:pt>
                  <c:pt idx="1394">
                    <c:v>6,8</c:v>
                  </c:pt>
                  <c:pt idx="1395">
                    <c:v>17,6</c:v>
                  </c:pt>
                  <c:pt idx="1396">
                    <c:v>7,45</c:v>
                  </c:pt>
                  <c:pt idx="1397">
                    <c:v>5,35</c:v>
                  </c:pt>
                  <c:pt idx="1436">
                    <c:v>0,3</c:v>
                  </c:pt>
                  <c:pt idx="1437">
                    <c:v>7,5</c:v>
                  </c:pt>
                  <c:pt idx="1438">
                    <c:v>7,13</c:v>
                  </c:pt>
                  <c:pt idx="1439">
                    <c:v>0,31</c:v>
                  </c:pt>
                  <c:pt idx="1441">
                    <c:v>0</c:v>
                  </c:pt>
                  <c:pt idx="1444">
                    <c:v>70</c:v>
                  </c:pt>
                  <c:pt idx="1446">
                    <c:v>112,04</c:v>
                  </c:pt>
                  <c:pt idx="1447">
                    <c:v>1,12</c:v>
                  </c:pt>
                  <c:pt idx="1448">
                    <c:v>1,12</c:v>
                  </c:pt>
                  <c:pt idx="1464">
                    <c:v>0</c:v>
                  </c:pt>
                  <c:pt idx="1477">
                    <c:v>3,73</c:v>
                  </c:pt>
                  <c:pt idx="1493">
                    <c:v>1,78</c:v>
                  </c:pt>
                  <c:pt idx="1508">
                    <c:v>0</c:v>
                  </c:pt>
                  <c:pt idx="1529">
                    <c:v>7,18</c:v>
                  </c:pt>
                  <c:pt idx="1530">
                    <c:v>17,9</c:v>
                  </c:pt>
                  <c:pt idx="1531">
                    <c:v>1,79</c:v>
                  </c:pt>
                  <c:pt idx="1534">
                    <c:v>0</c:v>
                  </c:pt>
                  <c:pt idx="1547">
                    <c:v>0</c:v>
                  </c:pt>
                  <c:pt idx="1552">
                    <c:v>1,65</c:v>
                  </c:pt>
                  <c:pt idx="1554">
                    <c:v>0</c:v>
                  </c:pt>
                  <c:pt idx="1558">
                    <c:v>0</c:v>
                  </c:pt>
                  <c:pt idx="1599">
                    <c:v>1</c:v>
                  </c:pt>
                  <c:pt idx="1600">
                    <c:v>1</c:v>
                  </c:pt>
                  <c:pt idx="1601">
                    <c:v>1</c:v>
                  </c:pt>
                  <c:pt idx="1602">
                    <c:v>1</c:v>
                  </c:pt>
                  <c:pt idx="1603">
                    <c:v>1</c:v>
                  </c:pt>
                  <c:pt idx="1604">
                    <c:v>1</c:v>
                  </c:pt>
                  <c:pt idx="1620">
                    <c:v>1,05</c:v>
                  </c:pt>
                  <c:pt idx="1624">
                    <c:v>1</c:v>
                  </c:pt>
                  <c:pt idx="1639">
                    <c:v>0</c:v>
                  </c:pt>
                  <c:pt idx="1651">
                    <c:v>0</c:v>
                  </c:pt>
                  <c:pt idx="1674">
                    <c:v>1</c:v>
                  </c:pt>
                  <c:pt idx="1716">
                    <c:v>0</c:v>
                  </c:pt>
                </c:lvl>
                <c:lvl>
                  <c:pt idx="0">
                    <c:v>1800</c:v>
                  </c:pt>
                  <c:pt idx="1">
                    <c:v>264,17</c:v>
                  </c:pt>
                  <c:pt idx="2">
                    <c:v>168</c:v>
                  </c:pt>
                  <c:pt idx="3">
                    <c:v>260</c:v>
                  </c:pt>
                  <c:pt idx="4">
                    <c:v>13</c:v>
                  </c:pt>
                  <c:pt idx="5">
                    <c:v>93,5</c:v>
                  </c:pt>
                  <c:pt idx="6">
                    <c:v>9,35</c:v>
                  </c:pt>
                  <c:pt idx="7">
                    <c:v>1070</c:v>
                  </c:pt>
                  <c:pt idx="8">
                    <c:v>0</c:v>
                  </c:pt>
                  <c:pt idx="9">
                    <c:v>906</c:v>
                  </c:pt>
                  <c:pt idx="10">
                    <c:v>72</c:v>
                  </c:pt>
                  <c:pt idx="11">
                    <c:v>72</c:v>
                  </c:pt>
                  <c:pt idx="12">
                    <c:v>72</c:v>
                  </c:pt>
                  <c:pt idx="13">
                    <c:v>160</c:v>
                  </c:pt>
                  <c:pt idx="14">
                    <c:v>363</c:v>
                  </c:pt>
                  <c:pt idx="15">
                    <c:v>19,9</c:v>
                  </c:pt>
                  <c:pt idx="16">
                    <c:v>19,9</c:v>
                  </c:pt>
                  <c:pt idx="17">
                    <c:v>8</c:v>
                  </c:pt>
                  <c:pt idx="18">
                    <c:v>109,9</c:v>
                  </c:pt>
                  <c:pt idx="19">
                    <c:v>24,9</c:v>
                  </c:pt>
                  <c:pt idx="20">
                    <c:v>34,9</c:v>
                  </c:pt>
                  <c:pt idx="21">
                    <c:v>24,9</c:v>
                  </c:pt>
                  <c:pt idx="22">
                    <c:v>39,9</c:v>
                  </c:pt>
                  <c:pt idx="23">
                    <c:v>34,9</c:v>
                  </c:pt>
                  <c:pt idx="24">
                    <c:v>0</c:v>
                  </c:pt>
                  <c:pt idx="25">
                    <c:v>0</c:v>
                  </c:pt>
                  <c:pt idx="26">
                    <c:v>175,41</c:v>
                  </c:pt>
                  <c:pt idx="27">
                    <c:v>182,95</c:v>
                  </c:pt>
                  <c:pt idx="28">
                    <c:v>199,8</c:v>
                  </c:pt>
                  <c:pt idx="29">
                    <c:v>198,77</c:v>
                  </c:pt>
                  <c:pt idx="30">
                    <c:v>254</c:v>
                  </c:pt>
                  <c:pt idx="31">
                    <c:v>411</c:v>
                  </c:pt>
                  <c:pt idx="32">
                    <c:v>307,359</c:v>
                  </c:pt>
                  <c:pt idx="33">
                    <c:v>127</c:v>
                  </c:pt>
                  <c:pt idx="34">
                    <c:v>159</c:v>
                  </c:pt>
                  <c:pt idx="35">
                    <c:v>97</c:v>
                  </c:pt>
                  <c:pt idx="36">
                    <c:v>44</c:v>
                  </c:pt>
                  <c:pt idx="37">
                    <c:v>800</c:v>
                  </c:pt>
                  <c:pt idx="38">
                    <c:v>148</c:v>
                  </c:pt>
                  <c:pt idx="39">
                    <c:v>1135</c:v>
                  </c:pt>
                  <c:pt idx="40">
                    <c:v>110</c:v>
                  </c:pt>
                  <c:pt idx="41">
                    <c:v>1107</c:v>
                  </c:pt>
                  <c:pt idx="42">
                    <c:v>644</c:v>
                  </c:pt>
                  <c:pt idx="43">
                    <c:v>262</c:v>
                  </c:pt>
                  <c:pt idx="44">
                    <c:v>314</c:v>
                  </c:pt>
                  <c:pt idx="45">
                    <c:v>100</c:v>
                  </c:pt>
                  <c:pt idx="46">
                    <c:v>675,85</c:v>
                  </c:pt>
                  <c:pt idx="47">
                    <c:v>430,5</c:v>
                  </c:pt>
                  <c:pt idx="48">
                    <c:v>533</c:v>
                  </c:pt>
                  <c:pt idx="49">
                    <c:v>150</c:v>
                  </c:pt>
                  <c:pt idx="50">
                    <c:v>430,5</c:v>
                  </c:pt>
                  <c:pt idx="51">
                    <c:v>200</c:v>
                  </c:pt>
                  <c:pt idx="52">
                    <c:v>150</c:v>
                  </c:pt>
                  <c:pt idx="53">
                    <c:v>10</c:v>
                  </c:pt>
                  <c:pt idx="54">
                    <c:v>1702,8</c:v>
                  </c:pt>
                  <c:pt idx="55">
                    <c:v>187,98</c:v>
                  </c:pt>
                  <c:pt idx="56">
                    <c:v>1179</c:v>
                  </c:pt>
                  <c:pt idx="57">
                    <c:v>258</c:v>
                  </c:pt>
                  <c:pt idx="58">
                    <c:v>44</c:v>
                  </c:pt>
                  <c:pt idx="59">
                    <c:v>179</c:v>
                  </c:pt>
                  <c:pt idx="60">
                    <c:v>49,2</c:v>
                  </c:pt>
                  <c:pt idx="61">
                    <c:v>99</c:v>
                  </c:pt>
                  <c:pt idx="62">
                    <c:v>98</c:v>
                  </c:pt>
                  <c:pt idx="63">
                    <c:v>57</c:v>
                  </c:pt>
                  <c:pt idx="64">
                    <c:v>57</c:v>
                  </c:pt>
                  <c:pt idx="65">
                    <c:v>67</c:v>
                  </c:pt>
                  <c:pt idx="66">
                    <c:v>69</c:v>
                  </c:pt>
                  <c:pt idx="67">
                    <c:v>14,9</c:v>
                  </c:pt>
                  <c:pt idx="68">
                    <c:v>14,9</c:v>
                  </c:pt>
                  <c:pt idx="69">
                    <c:v>29,9</c:v>
                  </c:pt>
                  <c:pt idx="70">
                    <c:v>29,9</c:v>
                  </c:pt>
                  <c:pt idx="71">
                    <c:v>275</c:v>
                  </c:pt>
                  <c:pt idx="72">
                    <c:v>1490</c:v>
                  </c:pt>
                  <c:pt idx="73">
                    <c:v>59,6</c:v>
                  </c:pt>
                  <c:pt idx="74">
                    <c:v>1739,49</c:v>
                  </c:pt>
                  <c:pt idx="75">
                    <c:v>59,9</c:v>
                  </c:pt>
                  <c:pt idx="76">
                    <c:v>89,9</c:v>
                  </c:pt>
                  <c:pt idx="77">
                    <c:v>109,9</c:v>
                  </c:pt>
                  <c:pt idx="78">
                    <c:v>89,9</c:v>
                  </c:pt>
                  <c:pt idx="79">
                    <c:v>109,9</c:v>
                  </c:pt>
                  <c:pt idx="80">
                    <c:v>9</c:v>
                  </c:pt>
                  <c:pt idx="81">
                    <c:v>81</c:v>
                  </c:pt>
                  <c:pt idx="82">
                    <c:v>1941,8</c:v>
                  </c:pt>
                  <c:pt idx="83">
                    <c:v>80</c:v>
                  </c:pt>
                  <c:pt idx="84">
                    <c:v>110</c:v>
                  </c:pt>
                  <c:pt idx="85">
                    <c:v>50</c:v>
                  </c:pt>
                  <c:pt idx="86">
                    <c:v>60</c:v>
                  </c:pt>
                  <c:pt idx="87">
                    <c:v>90</c:v>
                  </c:pt>
                  <c:pt idx="88">
                    <c:v>695</c:v>
                  </c:pt>
                  <c:pt idx="89">
                    <c:v>27</c:v>
                  </c:pt>
                  <c:pt idx="90">
                    <c:v>299,9</c:v>
                  </c:pt>
                  <c:pt idx="91">
                    <c:v>299,9</c:v>
                  </c:pt>
                  <c:pt idx="92">
                    <c:v>299,9</c:v>
                  </c:pt>
                  <c:pt idx="93">
                    <c:v>79</c:v>
                  </c:pt>
                  <c:pt idx="94">
                    <c:v>79</c:v>
                  </c:pt>
                  <c:pt idx="95">
                    <c:v>119</c:v>
                  </c:pt>
                  <c:pt idx="96">
                    <c:v>189</c:v>
                  </c:pt>
                  <c:pt idx="97">
                    <c:v>198</c:v>
                  </c:pt>
                  <c:pt idx="98">
                    <c:v>220</c:v>
                  </c:pt>
                  <c:pt idx="99">
                    <c:v>22</c:v>
                  </c:pt>
                  <c:pt idx="100">
                    <c:v>167,5</c:v>
                  </c:pt>
                  <c:pt idx="101">
                    <c:v>176</c:v>
                  </c:pt>
                  <c:pt idx="102">
                    <c:v>221</c:v>
                  </c:pt>
                  <c:pt idx="104">
                    <c:v>62,88</c:v>
                  </c:pt>
                  <c:pt idx="105">
                    <c:v>89</c:v>
                  </c:pt>
                  <c:pt idx="106">
                    <c:v>387</c:v>
                  </c:pt>
                  <c:pt idx="107">
                    <c:v>299,25</c:v>
                  </c:pt>
                  <c:pt idx="108">
                    <c:v>84</c:v>
                  </c:pt>
                  <c:pt idx="109">
                    <c:v>269</c:v>
                  </c:pt>
                  <c:pt idx="110">
                    <c:v>6,5</c:v>
                  </c:pt>
                  <c:pt idx="111">
                    <c:v>246</c:v>
                  </c:pt>
                  <c:pt idx="112">
                    <c:v>206</c:v>
                  </c:pt>
                  <c:pt idx="113">
                    <c:v>247</c:v>
                  </c:pt>
                  <c:pt idx="114">
                    <c:v>43</c:v>
                  </c:pt>
                  <c:pt idx="115">
                    <c:v>26</c:v>
                  </c:pt>
                  <c:pt idx="116">
                    <c:v>48</c:v>
                  </c:pt>
                  <c:pt idx="117">
                    <c:v>46,81</c:v>
                  </c:pt>
                  <c:pt idx="118">
                    <c:v>40,81</c:v>
                  </c:pt>
                  <c:pt idx="119">
                    <c:v>326</c:v>
                  </c:pt>
                  <c:pt idx="120">
                    <c:v>225</c:v>
                  </c:pt>
                  <c:pt idx="121">
                    <c:v>0</c:v>
                  </c:pt>
                  <c:pt idx="122">
                    <c:v>82,9</c:v>
                  </c:pt>
                  <c:pt idx="123">
                    <c:v>2984,18</c:v>
                  </c:pt>
                  <c:pt idx="124">
                    <c:v>160</c:v>
                  </c:pt>
                  <c:pt idx="125">
                    <c:v>210</c:v>
                  </c:pt>
                  <c:pt idx="126">
                    <c:v>40</c:v>
                  </c:pt>
                  <c:pt idx="127">
                    <c:v>390</c:v>
                  </c:pt>
                  <c:pt idx="128">
                    <c:v>600</c:v>
                  </c:pt>
                  <c:pt idx="129">
                    <c:v>644,79</c:v>
                  </c:pt>
                  <c:pt idx="134">
                    <c:v>129</c:v>
                  </c:pt>
                  <c:pt idx="135">
                    <c:v>103</c:v>
                  </c:pt>
                  <c:pt idx="136">
                    <c:v>20</c:v>
                  </c:pt>
                  <c:pt idx="137">
                    <c:v>280</c:v>
                  </c:pt>
                  <c:pt idx="138">
                    <c:v>125</c:v>
                  </c:pt>
                  <c:pt idx="139">
                    <c:v>116</c:v>
                  </c:pt>
                  <c:pt idx="140">
                    <c:v>40</c:v>
                  </c:pt>
                  <c:pt idx="141">
                    <c:v>63</c:v>
                  </c:pt>
                  <c:pt idx="142">
                    <c:v>110,59</c:v>
                  </c:pt>
                  <c:pt idx="143">
                    <c:v>128,8</c:v>
                  </c:pt>
                  <c:pt idx="144">
                    <c:v>157,95</c:v>
                  </c:pt>
                  <c:pt idx="145">
                    <c:v>101,4</c:v>
                  </c:pt>
                  <c:pt idx="146">
                    <c:v>90,2</c:v>
                  </c:pt>
                  <c:pt idx="147">
                    <c:v>100</c:v>
                  </c:pt>
                  <c:pt idx="148">
                    <c:v>160</c:v>
                  </c:pt>
                  <c:pt idx="149">
                    <c:v>114,8</c:v>
                  </c:pt>
                  <c:pt idx="150">
                    <c:v>98,4</c:v>
                  </c:pt>
                  <c:pt idx="151">
                    <c:v>350</c:v>
                  </c:pt>
                  <c:pt idx="152">
                    <c:v>185</c:v>
                  </c:pt>
                  <c:pt idx="153">
                    <c:v>20,43</c:v>
                  </c:pt>
                  <c:pt idx="154">
                    <c:v>39,52</c:v>
                  </c:pt>
                  <c:pt idx="155">
                    <c:v>65,38</c:v>
                  </c:pt>
                  <c:pt idx="156">
                    <c:v>81,4</c:v>
                  </c:pt>
                  <c:pt idx="157">
                    <c:v>184,5</c:v>
                  </c:pt>
                  <c:pt idx="158">
                    <c:v>123</c:v>
                  </c:pt>
                  <c:pt idx="159">
                    <c:v>241,56</c:v>
                  </c:pt>
                  <c:pt idx="160">
                    <c:v>246</c:v>
                  </c:pt>
                  <c:pt idx="161">
                    <c:v>86,31</c:v>
                  </c:pt>
                  <c:pt idx="162">
                    <c:v>109</c:v>
                  </c:pt>
                  <c:pt idx="163">
                    <c:v>1900</c:v>
                  </c:pt>
                  <c:pt idx="164">
                    <c:v>49</c:v>
                  </c:pt>
                  <c:pt idx="165">
                    <c:v>95</c:v>
                  </c:pt>
                  <c:pt idx="166">
                    <c:v>594</c:v>
                  </c:pt>
                  <c:pt idx="167">
                    <c:v>160</c:v>
                  </c:pt>
                  <c:pt idx="168">
                    <c:v>388</c:v>
                  </c:pt>
                  <c:pt idx="169">
                    <c:v>1383</c:v>
                  </c:pt>
                  <c:pt idx="170">
                    <c:v>138,3</c:v>
                  </c:pt>
                  <c:pt idx="171">
                    <c:v>138</c:v>
                  </c:pt>
                  <c:pt idx="172">
                    <c:v>350</c:v>
                  </c:pt>
                  <c:pt idx="173">
                    <c:v>101</c:v>
                  </c:pt>
                  <c:pt idx="174">
                    <c:v>160</c:v>
                  </c:pt>
                  <c:pt idx="175">
                    <c:v>116</c:v>
                  </c:pt>
                  <c:pt idx="176">
                    <c:v>249</c:v>
                  </c:pt>
                  <c:pt idx="177">
                    <c:v>50,88</c:v>
                  </c:pt>
                  <c:pt idx="178">
                    <c:v>192,2</c:v>
                  </c:pt>
                  <c:pt idx="179">
                    <c:v>247</c:v>
                  </c:pt>
                  <c:pt idx="180">
                    <c:v>289</c:v>
                  </c:pt>
                  <c:pt idx="181">
                    <c:v>154</c:v>
                  </c:pt>
                  <c:pt idx="182">
                    <c:v>187</c:v>
                  </c:pt>
                  <c:pt idx="183">
                    <c:v>242</c:v>
                  </c:pt>
                  <c:pt idx="184">
                    <c:v>297</c:v>
                  </c:pt>
                  <c:pt idx="185">
                    <c:v>324</c:v>
                  </c:pt>
                  <c:pt idx="186">
                    <c:v>550</c:v>
                  </c:pt>
                  <c:pt idx="187">
                    <c:v>650</c:v>
                  </c:pt>
                  <c:pt idx="188">
                    <c:v>61</c:v>
                  </c:pt>
                  <c:pt idx="189">
                    <c:v>85</c:v>
                  </c:pt>
                  <c:pt idx="190">
                    <c:v>198</c:v>
                  </c:pt>
                  <c:pt idx="191">
                    <c:v>276</c:v>
                  </c:pt>
                  <c:pt idx="192">
                    <c:v>130</c:v>
                  </c:pt>
                  <c:pt idx="193">
                    <c:v>75</c:v>
                  </c:pt>
                  <c:pt idx="194">
                    <c:v>95</c:v>
                  </c:pt>
                  <c:pt idx="195">
                    <c:v>230</c:v>
                  </c:pt>
                  <c:pt idx="196">
                    <c:v>51</c:v>
                  </c:pt>
                  <c:pt idx="197">
                    <c:v>61</c:v>
                  </c:pt>
                  <c:pt idx="198">
                    <c:v>72</c:v>
                  </c:pt>
                  <c:pt idx="199">
                    <c:v>81</c:v>
                  </c:pt>
                  <c:pt idx="200">
                    <c:v>107</c:v>
                  </c:pt>
                  <c:pt idx="201">
                    <c:v>100</c:v>
                  </c:pt>
                  <c:pt idx="202">
                    <c:v>120</c:v>
                  </c:pt>
                  <c:pt idx="203">
                    <c:v>180</c:v>
                  </c:pt>
                  <c:pt idx="204">
                    <c:v>180</c:v>
                  </c:pt>
                  <c:pt idx="205">
                    <c:v>180</c:v>
                  </c:pt>
                  <c:pt idx="206">
                    <c:v>2459,02</c:v>
                  </c:pt>
                  <c:pt idx="207">
                    <c:v>0</c:v>
                  </c:pt>
                  <c:pt idx="208">
                    <c:v>600</c:v>
                  </c:pt>
                  <c:pt idx="209">
                    <c:v>600</c:v>
                  </c:pt>
                  <c:pt idx="210">
                    <c:v>39,9</c:v>
                  </c:pt>
                  <c:pt idx="211">
                    <c:v>290</c:v>
                  </c:pt>
                  <c:pt idx="212">
                    <c:v>130</c:v>
                  </c:pt>
                  <c:pt idx="213">
                    <c:v>220,5</c:v>
                  </c:pt>
                  <c:pt idx="214">
                    <c:v>173,25</c:v>
                  </c:pt>
                  <c:pt idx="215">
                    <c:v>141,75</c:v>
                  </c:pt>
                  <c:pt idx="216">
                    <c:v>267,75</c:v>
                  </c:pt>
                  <c:pt idx="217">
                    <c:v>233,25</c:v>
                  </c:pt>
                  <c:pt idx="218">
                    <c:v>98,6</c:v>
                  </c:pt>
                  <c:pt idx="219">
                    <c:v>25</c:v>
                  </c:pt>
                  <c:pt idx="220">
                    <c:v>30</c:v>
                  </c:pt>
                  <c:pt idx="221">
                    <c:v>266,4</c:v>
                  </c:pt>
                  <c:pt idx="222">
                    <c:v>420,24</c:v>
                  </c:pt>
                  <c:pt idx="223">
                    <c:v>469,8</c:v>
                  </c:pt>
                  <c:pt idx="224">
                    <c:v>742,6</c:v>
                  </c:pt>
                  <c:pt idx="225">
                    <c:v>284,92</c:v>
                  </c:pt>
                  <c:pt idx="226">
                    <c:v>366,3</c:v>
                  </c:pt>
                  <c:pt idx="227">
                    <c:v>99,9</c:v>
                  </c:pt>
                  <c:pt idx="228">
                    <c:v>72</c:v>
                  </c:pt>
                  <c:pt idx="229">
                    <c:v>483</c:v>
                  </c:pt>
                  <c:pt idx="230">
                    <c:v>239</c:v>
                  </c:pt>
                  <c:pt idx="231">
                    <c:v>260</c:v>
                  </c:pt>
                  <c:pt idx="232">
                    <c:v>295</c:v>
                  </c:pt>
                  <c:pt idx="233">
                    <c:v>51</c:v>
                  </c:pt>
                  <c:pt idx="234">
                    <c:v>185</c:v>
                  </c:pt>
                  <c:pt idx="235">
                    <c:v>50</c:v>
                  </c:pt>
                  <c:pt idx="236">
                    <c:v>1128</c:v>
                  </c:pt>
                  <c:pt idx="237">
                    <c:v>76</c:v>
                  </c:pt>
                  <c:pt idx="238">
                    <c:v>48</c:v>
                  </c:pt>
                  <c:pt idx="239">
                    <c:v>163</c:v>
                  </c:pt>
                  <c:pt idx="240">
                    <c:v>140</c:v>
                  </c:pt>
                  <c:pt idx="241">
                    <c:v>202,01</c:v>
                  </c:pt>
                  <c:pt idx="242">
                    <c:v>168</c:v>
                  </c:pt>
                  <c:pt idx="243">
                    <c:v>237,17</c:v>
                  </c:pt>
                  <c:pt idx="244">
                    <c:v>221</c:v>
                  </c:pt>
                  <c:pt idx="245">
                    <c:v>163</c:v>
                  </c:pt>
                  <c:pt idx="246">
                    <c:v>144</c:v>
                  </c:pt>
                  <c:pt idx="247">
                    <c:v>25</c:v>
                  </c:pt>
                  <c:pt idx="249">
                    <c:v>70</c:v>
                  </c:pt>
                  <c:pt idx="250">
                    <c:v>111</c:v>
                  </c:pt>
                  <c:pt idx="251">
                    <c:v>179,24</c:v>
                  </c:pt>
                  <c:pt idx="252">
                    <c:v>230,85</c:v>
                  </c:pt>
                  <c:pt idx="253">
                    <c:v>222,3</c:v>
                  </c:pt>
                  <c:pt idx="254">
                    <c:v>550</c:v>
                  </c:pt>
                  <c:pt idx="255">
                    <c:v>231,99</c:v>
                  </c:pt>
                  <c:pt idx="256">
                    <c:v>599</c:v>
                  </c:pt>
                  <c:pt idx="257">
                    <c:v>799</c:v>
                  </c:pt>
                  <c:pt idx="258">
                    <c:v>278</c:v>
                  </c:pt>
                  <c:pt idx="259">
                    <c:v>25</c:v>
                  </c:pt>
                  <c:pt idx="260">
                    <c:v>13</c:v>
                  </c:pt>
                  <c:pt idx="261">
                    <c:v>118,5</c:v>
                  </c:pt>
                  <c:pt idx="262">
                    <c:v>171,66</c:v>
                  </c:pt>
                  <c:pt idx="263">
                    <c:v>182</c:v>
                  </c:pt>
                  <c:pt idx="264">
                    <c:v>2,97</c:v>
                  </c:pt>
                  <c:pt idx="265">
                    <c:v>383,94</c:v>
                  </c:pt>
                  <c:pt idx="266">
                    <c:v>0</c:v>
                  </c:pt>
                  <c:pt idx="267">
                    <c:v>0</c:v>
                  </c:pt>
                  <c:pt idx="268">
                    <c:v>58,2</c:v>
                  </c:pt>
                  <c:pt idx="269">
                    <c:v>67,05</c:v>
                  </c:pt>
                  <c:pt idx="270">
                    <c:v>175</c:v>
                  </c:pt>
                  <c:pt idx="271">
                    <c:v>121,6</c:v>
                  </c:pt>
                  <c:pt idx="272">
                    <c:v>92</c:v>
                  </c:pt>
                  <c:pt idx="273">
                    <c:v>5720</c:v>
                  </c:pt>
                  <c:pt idx="274">
                    <c:v>103</c:v>
                  </c:pt>
                  <c:pt idx="275">
                    <c:v>263,98</c:v>
                  </c:pt>
                  <c:pt idx="276">
                    <c:v>279</c:v>
                  </c:pt>
                  <c:pt idx="277">
                    <c:v>266</c:v>
                  </c:pt>
                  <c:pt idx="278">
                    <c:v>59,9</c:v>
                  </c:pt>
                  <c:pt idx="279">
                    <c:v>50</c:v>
                  </c:pt>
                  <c:pt idx="280">
                    <c:v>90</c:v>
                  </c:pt>
                  <c:pt idx="281">
                    <c:v>190</c:v>
                  </c:pt>
                  <c:pt idx="282">
                    <c:v>399,9</c:v>
                  </c:pt>
                  <c:pt idx="283">
                    <c:v>66</c:v>
                  </c:pt>
                  <c:pt idx="284">
                    <c:v>87</c:v>
                  </c:pt>
                  <c:pt idx="285">
                    <c:v>279</c:v>
                  </c:pt>
                  <c:pt idx="286">
                    <c:v>138</c:v>
                  </c:pt>
                  <c:pt idx="287">
                    <c:v>142</c:v>
                  </c:pt>
                  <c:pt idx="288">
                    <c:v>176</c:v>
                  </c:pt>
                  <c:pt idx="289">
                    <c:v>119</c:v>
                  </c:pt>
                  <c:pt idx="290">
                    <c:v>219</c:v>
                  </c:pt>
                  <c:pt idx="291">
                    <c:v>165</c:v>
                  </c:pt>
                  <c:pt idx="292">
                    <c:v>169</c:v>
                  </c:pt>
                  <c:pt idx="293">
                    <c:v>305</c:v>
                  </c:pt>
                  <c:pt idx="294">
                    <c:v>200</c:v>
                  </c:pt>
                  <c:pt idx="295">
                    <c:v>206</c:v>
                  </c:pt>
                  <c:pt idx="296">
                    <c:v>270,16</c:v>
                  </c:pt>
                  <c:pt idx="297">
                    <c:v>145</c:v>
                  </c:pt>
                  <c:pt idx="298">
                    <c:v>224</c:v>
                  </c:pt>
                  <c:pt idx="299">
                    <c:v>0</c:v>
                  </c:pt>
                  <c:pt idx="300">
                    <c:v>0</c:v>
                  </c:pt>
                  <c:pt idx="301">
                    <c:v>3307</c:v>
                  </c:pt>
                  <c:pt idx="302">
                    <c:v>7488</c:v>
                  </c:pt>
                  <c:pt idx="303">
                    <c:v>1760</c:v>
                  </c:pt>
                  <c:pt idx="304">
                    <c:v>0</c:v>
                  </c:pt>
                  <c:pt idx="306">
                    <c:v>0</c:v>
                  </c:pt>
                  <c:pt idx="307">
                    <c:v>3485</c:v>
                  </c:pt>
                  <c:pt idx="308">
                    <c:v>1085</c:v>
                  </c:pt>
                  <c:pt idx="309">
                    <c:v>120</c:v>
                  </c:pt>
                  <c:pt idx="310">
                    <c:v>305</c:v>
                  </c:pt>
                  <c:pt idx="311">
                    <c:v>49,9</c:v>
                  </c:pt>
                  <c:pt idx="312">
                    <c:v>18,9</c:v>
                  </c:pt>
                  <c:pt idx="313">
                    <c:v>60</c:v>
                  </c:pt>
                  <c:pt idx="314">
                    <c:v>12</c:v>
                  </c:pt>
                  <c:pt idx="315">
                    <c:v>24,9</c:v>
                  </c:pt>
                  <c:pt idx="316">
                    <c:v>123</c:v>
                  </c:pt>
                  <c:pt idx="317">
                    <c:v>367</c:v>
                  </c:pt>
                  <c:pt idx="318">
                    <c:v>630</c:v>
                  </c:pt>
                  <c:pt idx="319">
                    <c:v>2692,83</c:v>
                  </c:pt>
                  <c:pt idx="320">
                    <c:v>208,54</c:v>
                  </c:pt>
                  <c:pt idx="321">
                    <c:v>14</c:v>
                  </c:pt>
                  <c:pt idx="322">
                    <c:v>29</c:v>
                  </c:pt>
                  <c:pt idx="323">
                    <c:v>140</c:v>
                  </c:pt>
                  <c:pt idx="324">
                    <c:v>242</c:v>
                  </c:pt>
                  <c:pt idx="325">
                    <c:v>295</c:v>
                  </c:pt>
                  <c:pt idx="326">
                    <c:v>390</c:v>
                  </c:pt>
                  <c:pt idx="327">
                    <c:v>150</c:v>
                  </c:pt>
                  <c:pt idx="328">
                    <c:v>250</c:v>
                  </c:pt>
                  <c:pt idx="329">
                    <c:v>350</c:v>
                  </c:pt>
                  <c:pt idx="330">
                    <c:v>3250</c:v>
                  </c:pt>
                  <c:pt idx="331">
                    <c:v>88</c:v>
                  </c:pt>
                  <c:pt idx="332">
                    <c:v>108</c:v>
                  </c:pt>
                  <c:pt idx="333">
                    <c:v>224</c:v>
                  </c:pt>
                  <c:pt idx="334">
                    <c:v>165</c:v>
                  </c:pt>
                  <c:pt idx="335">
                    <c:v>97</c:v>
                  </c:pt>
                  <c:pt idx="336">
                    <c:v>69,56</c:v>
                  </c:pt>
                  <c:pt idx="337">
                    <c:v>143,01</c:v>
                  </c:pt>
                  <c:pt idx="338">
                    <c:v>95</c:v>
                  </c:pt>
                  <c:pt idx="339">
                    <c:v>212</c:v>
                  </c:pt>
                  <c:pt idx="340">
                    <c:v>101</c:v>
                  </c:pt>
                  <c:pt idx="341">
                    <c:v>105</c:v>
                  </c:pt>
                  <c:pt idx="342">
                    <c:v>88</c:v>
                  </c:pt>
                  <c:pt idx="343">
                    <c:v>185</c:v>
                  </c:pt>
                  <c:pt idx="344">
                    <c:v>129</c:v>
                  </c:pt>
                  <c:pt idx="345">
                    <c:v>135</c:v>
                  </c:pt>
                  <c:pt idx="346">
                    <c:v>67</c:v>
                  </c:pt>
                  <c:pt idx="347">
                    <c:v>156</c:v>
                  </c:pt>
                  <c:pt idx="348">
                    <c:v>54</c:v>
                  </c:pt>
                  <c:pt idx="349">
                    <c:v>70,01</c:v>
                  </c:pt>
                  <c:pt idx="350">
                    <c:v>81</c:v>
                  </c:pt>
                  <c:pt idx="351">
                    <c:v>141,8</c:v>
                  </c:pt>
                  <c:pt idx="352">
                    <c:v>150</c:v>
                  </c:pt>
                  <c:pt idx="353">
                    <c:v>51,23</c:v>
                  </c:pt>
                  <c:pt idx="354">
                    <c:v>187</c:v>
                  </c:pt>
                  <c:pt idx="355">
                    <c:v>138</c:v>
                  </c:pt>
                  <c:pt idx="356">
                    <c:v>59</c:v>
                  </c:pt>
                  <c:pt idx="357">
                    <c:v>152,02</c:v>
                  </c:pt>
                  <c:pt idx="358">
                    <c:v>209</c:v>
                  </c:pt>
                  <c:pt idx="359">
                    <c:v>205,1</c:v>
                  </c:pt>
                  <c:pt idx="360">
                    <c:v>275</c:v>
                  </c:pt>
                  <c:pt idx="361">
                    <c:v>300,81</c:v>
                  </c:pt>
                  <c:pt idx="362">
                    <c:v>468,85</c:v>
                  </c:pt>
                  <c:pt idx="363">
                    <c:v>299,18</c:v>
                  </c:pt>
                  <c:pt idx="364">
                    <c:v>299,18</c:v>
                  </c:pt>
                  <c:pt idx="365">
                    <c:v>310</c:v>
                  </c:pt>
                  <c:pt idx="366">
                    <c:v>394,26</c:v>
                  </c:pt>
                  <c:pt idx="367">
                    <c:v>314,75</c:v>
                  </c:pt>
                  <c:pt idx="368">
                    <c:v>290</c:v>
                  </c:pt>
                  <c:pt idx="369">
                    <c:v>32</c:v>
                  </c:pt>
                  <c:pt idx="370">
                    <c:v>66</c:v>
                  </c:pt>
                  <c:pt idx="371">
                    <c:v>29</c:v>
                  </c:pt>
                  <c:pt idx="372">
                    <c:v>49</c:v>
                  </c:pt>
                  <c:pt idx="373">
                    <c:v>56,09</c:v>
                  </c:pt>
                  <c:pt idx="374">
                    <c:v>147</c:v>
                  </c:pt>
                  <c:pt idx="375">
                    <c:v>37,83</c:v>
                  </c:pt>
                  <c:pt idx="376">
                    <c:v>89</c:v>
                  </c:pt>
                  <c:pt idx="377">
                    <c:v>209</c:v>
                  </c:pt>
                  <c:pt idx="378">
                    <c:v>279</c:v>
                  </c:pt>
                  <c:pt idx="379">
                    <c:v>413</c:v>
                  </c:pt>
                  <c:pt idx="380">
                    <c:v>69</c:v>
                  </c:pt>
                  <c:pt idx="381">
                    <c:v>50</c:v>
                  </c:pt>
                  <c:pt idx="382">
                    <c:v>71,25</c:v>
                  </c:pt>
                  <c:pt idx="383">
                    <c:v>50</c:v>
                  </c:pt>
                  <c:pt idx="384">
                    <c:v>1250</c:v>
                  </c:pt>
                  <c:pt idx="385">
                    <c:v>65</c:v>
                  </c:pt>
                  <c:pt idx="386">
                    <c:v>150</c:v>
                  </c:pt>
                  <c:pt idx="387">
                    <c:v>98</c:v>
                  </c:pt>
                  <c:pt idx="388">
                    <c:v>266,81</c:v>
                  </c:pt>
                  <c:pt idx="389">
                    <c:v>80</c:v>
                  </c:pt>
                  <c:pt idx="390">
                    <c:v>345</c:v>
                  </c:pt>
                  <c:pt idx="391">
                    <c:v>438,35</c:v>
                  </c:pt>
                  <c:pt idx="392">
                    <c:v>81</c:v>
                  </c:pt>
                  <c:pt idx="393">
                    <c:v>109</c:v>
                  </c:pt>
                  <c:pt idx="394">
                    <c:v>73,2</c:v>
                  </c:pt>
                  <c:pt idx="395">
                    <c:v>65</c:v>
                  </c:pt>
                  <c:pt idx="396">
                    <c:v>47,01</c:v>
                  </c:pt>
                  <c:pt idx="397">
                    <c:v>122</c:v>
                  </c:pt>
                  <c:pt idx="398">
                    <c:v>55</c:v>
                  </c:pt>
                  <c:pt idx="399">
                    <c:v>179</c:v>
                  </c:pt>
                  <c:pt idx="400">
                    <c:v>43,07</c:v>
                  </c:pt>
                  <c:pt idx="401">
                    <c:v>98</c:v>
                  </c:pt>
                  <c:pt idx="402">
                    <c:v>25</c:v>
                  </c:pt>
                  <c:pt idx="403">
                    <c:v>177,87</c:v>
                  </c:pt>
                  <c:pt idx="404">
                    <c:v>91,22</c:v>
                  </c:pt>
                  <c:pt idx="405">
                    <c:v>47,92</c:v>
                  </c:pt>
                  <c:pt idx="406">
                    <c:v>67,366</c:v>
                  </c:pt>
                  <c:pt idx="407">
                    <c:v>150</c:v>
                  </c:pt>
                  <c:pt idx="408">
                    <c:v>35,16</c:v>
                  </c:pt>
                  <c:pt idx="409">
                    <c:v>143</c:v>
                  </c:pt>
                  <c:pt idx="410">
                    <c:v>3,47</c:v>
                  </c:pt>
                  <c:pt idx="411">
                    <c:v>45</c:v>
                  </c:pt>
                  <c:pt idx="412">
                    <c:v>200</c:v>
                  </c:pt>
                  <c:pt idx="413">
                    <c:v>320</c:v>
                  </c:pt>
                  <c:pt idx="414">
                    <c:v>49,92</c:v>
                  </c:pt>
                  <c:pt idx="415">
                    <c:v>78,01</c:v>
                  </c:pt>
                  <c:pt idx="416">
                    <c:v>176</c:v>
                  </c:pt>
                  <c:pt idx="417">
                    <c:v>92</c:v>
                  </c:pt>
                  <c:pt idx="418">
                    <c:v>19,9</c:v>
                  </c:pt>
                  <c:pt idx="419">
                    <c:v>9,9</c:v>
                  </c:pt>
                  <c:pt idx="420">
                    <c:v>17,9</c:v>
                  </c:pt>
                  <c:pt idx="421">
                    <c:v>8,9</c:v>
                  </c:pt>
                  <c:pt idx="422">
                    <c:v>164</c:v>
                  </c:pt>
                  <c:pt idx="423">
                    <c:v>99</c:v>
                  </c:pt>
                  <c:pt idx="424">
                    <c:v>1500</c:v>
                  </c:pt>
                  <c:pt idx="425">
                    <c:v>3200</c:v>
                  </c:pt>
                  <c:pt idx="426">
                    <c:v>3000</c:v>
                  </c:pt>
                  <c:pt idx="427">
                    <c:v>2500</c:v>
                  </c:pt>
                  <c:pt idx="428">
                    <c:v>92</c:v>
                  </c:pt>
                  <c:pt idx="429">
                    <c:v>91</c:v>
                  </c:pt>
                  <c:pt idx="430">
                    <c:v>147</c:v>
                  </c:pt>
                  <c:pt idx="431">
                    <c:v>158</c:v>
                  </c:pt>
                  <c:pt idx="432">
                    <c:v>73</c:v>
                  </c:pt>
                  <c:pt idx="433">
                    <c:v>324</c:v>
                  </c:pt>
                  <c:pt idx="434">
                    <c:v>183</c:v>
                  </c:pt>
                  <c:pt idx="435">
                    <c:v>176</c:v>
                  </c:pt>
                  <c:pt idx="436">
                    <c:v>220</c:v>
                  </c:pt>
                  <c:pt idx="437">
                    <c:v>305</c:v>
                  </c:pt>
                  <c:pt idx="438">
                    <c:v>254</c:v>
                  </c:pt>
                  <c:pt idx="439">
                    <c:v>47,5</c:v>
                  </c:pt>
                  <c:pt idx="440">
                    <c:v>217</c:v>
                  </c:pt>
                  <c:pt idx="441">
                    <c:v>243</c:v>
                  </c:pt>
                  <c:pt idx="442">
                    <c:v>139,5</c:v>
                  </c:pt>
                  <c:pt idx="443">
                    <c:v>46</c:v>
                  </c:pt>
                  <c:pt idx="444">
                    <c:v>155</c:v>
                  </c:pt>
                  <c:pt idx="445">
                    <c:v>331</c:v>
                  </c:pt>
                  <c:pt idx="446">
                    <c:v>224</c:v>
                  </c:pt>
                  <c:pt idx="447">
                    <c:v>163</c:v>
                  </c:pt>
                  <c:pt idx="448">
                    <c:v>295</c:v>
                  </c:pt>
                  <c:pt idx="449">
                    <c:v>209</c:v>
                  </c:pt>
                  <c:pt idx="450">
                    <c:v>49</c:v>
                  </c:pt>
                  <c:pt idx="451">
                    <c:v>169</c:v>
                  </c:pt>
                  <c:pt idx="452">
                    <c:v>84,31</c:v>
                  </c:pt>
                  <c:pt idx="453">
                    <c:v>172,13</c:v>
                  </c:pt>
                  <c:pt idx="454">
                    <c:v>240</c:v>
                  </c:pt>
                  <c:pt idx="455">
                    <c:v>517</c:v>
                  </c:pt>
                  <c:pt idx="456">
                    <c:v>285</c:v>
                  </c:pt>
                  <c:pt idx="457">
                    <c:v>158</c:v>
                  </c:pt>
                  <c:pt idx="458">
                    <c:v>63,21</c:v>
                  </c:pt>
                  <c:pt idx="459">
                    <c:v>435</c:v>
                  </c:pt>
                  <c:pt idx="460">
                    <c:v>100,56</c:v>
                  </c:pt>
                  <c:pt idx="461">
                    <c:v>0</c:v>
                  </c:pt>
                  <c:pt idx="462">
                    <c:v>165</c:v>
                  </c:pt>
                  <c:pt idx="463">
                    <c:v>108,13</c:v>
                  </c:pt>
                  <c:pt idx="464">
                    <c:v>128,78</c:v>
                  </c:pt>
                  <c:pt idx="465">
                    <c:v>121,87</c:v>
                  </c:pt>
                  <c:pt idx="466">
                    <c:v>205,01</c:v>
                  </c:pt>
                  <c:pt idx="467">
                    <c:v>1572</c:v>
                  </c:pt>
                  <c:pt idx="468">
                    <c:v>896</c:v>
                  </c:pt>
                  <c:pt idx="469">
                    <c:v>650</c:v>
                  </c:pt>
                  <c:pt idx="470">
                    <c:v>444</c:v>
                  </c:pt>
                  <c:pt idx="471">
                    <c:v>896</c:v>
                  </c:pt>
                  <c:pt idx="472">
                    <c:v>734</c:v>
                  </c:pt>
                  <c:pt idx="473">
                    <c:v>885</c:v>
                  </c:pt>
                  <c:pt idx="474">
                    <c:v>377</c:v>
                  </c:pt>
                  <c:pt idx="475">
                    <c:v>203,38</c:v>
                  </c:pt>
                  <c:pt idx="476">
                    <c:v>105</c:v>
                  </c:pt>
                  <c:pt idx="477">
                    <c:v>1350</c:v>
                  </c:pt>
                  <c:pt idx="478">
                    <c:v>65,01</c:v>
                  </c:pt>
                  <c:pt idx="479">
                    <c:v>56</c:v>
                  </c:pt>
                  <c:pt idx="480">
                    <c:v>29,9</c:v>
                  </c:pt>
                  <c:pt idx="481">
                    <c:v>240</c:v>
                  </c:pt>
                  <c:pt idx="482">
                    <c:v>1107</c:v>
                  </c:pt>
                  <c:pt idx="483">
                    <c:v>73,5</c:v>
                  </c:pt>
                  <c:pt idx="484">
                    <c:v>370</c:v>
                  </c:pt>
                  <c:pt idx="485">
                    <c:v>150</c:v>
                  </c:pt>
                  <c:pt idx="486">
                    <c:v>59</c:v>
                  </c:pt>
                  <c:pt idx="487">
                    <c:v>59</c:v>
                  </c:pt>
                  <c:pt idx="488">
                    <c:v>102</c:v>
                  </c:pt>
                  <c:pt idx="489">
                    <c:v>157</c:v>
                  </c:pt>
                  <c:pt idx="490">
                    <c:v>730</c:v>
                  </c:pt>
                  <c:pt idx="491">
                    <c:v>102</c:v>
                  </c:pt>
                  <c:pt idx="492">
                    <c:v>310</c:v>
                  </c:pt>
                  <c:pt idx="493">
                    <c:v>233,89</c:v>
                  </c:pt>
                  <c:pt idx="495">
                    <c:v>143,82</c:v>
                  </c:pt>
                  <c:pt idx="496">
                    <c:v>141,75</c:v>
                  </c:pt>
                  <c:pt idx="497">
                    <c:v>194</c:v>
                  </c:pt>
                  <c:pt idx="498">
                    <c:v>120,27</c:v>
                  </c:pt>
                  <c:pt idx="499">
                    <c:v>133</c:v>
                  </c:pt>
                  <c:pt idx="500">
                    <c:v>138,65</c:v>
                  </c:pt>
                  <c:pt idx="501">
                    <c:v>135</c:v>
                  </c:pt>
                  <c:pt idx="502">
                    <c:v>92</c:v>
                  </c:pt>
                  <c:pt idx="503">
                    <c:v>12</c:v>
                  </c:pt>
                  <c:pt idx="504">
                    <c:v>23,88</c:v>
                  </c:pt>
                  <c:pt idx="505">
                    <c:v>125</c:v>
                  </c:pt>
                  <c:pt idx="506">
                    <c:v>179,9</c:v>
                  </c:pt>
                  <c:pt idx="507">
                    <c:v>179,9</c:v>
                  </c:pt>
                  <c:pt idx="508">
                    <c:v>79,9</c:v>
                  </c:pt>
                  <c:pt idx="509">
                    <c:v>94</c:v>
                  </c:pt>
                  <c:pt idx="510">
                    <c:v>265</c:v>
                  </c:pt>
                  <c:pt idx="511">
                    <c:v>235,27</c:v>
                  </c:pt>
                  <c:pt idx="512">
                    <c:v>124</c:v>
                  </c:pt>
                  <c:pt idx="513">
                    <c:v>50</c:v>
                  </c:pt>
                  <c:pt idx="514">
                    <c:v>472</c:v>
                  </c:pt>
                  <c:pt idx="515">
                    <c:v>472</c:v>
                  </c:pt>
                  <c:pt idx="516">
                    <c:v>137,86</c:v>
                  </c:pt>
                  <c:pt idx="517">
                    <c:v>102,92</c:v>
                  </c:pt>
                  <c:pt idx="518">
                    <c:v>202,5</c:v>
                  </c:pt>
                  <c:pt idx="519">
                    <c:v>165</c:v>
                  </c:pt>
                  <c:pt idx="520">
                    <c:v>112,49</c:v>
                  </c:pt>
                  <c:pt idx="521">
                    <c:v>0</c:v>
                  </c:pt>
                  <c:pt idx="522">
                    <c:v>138</c:v>
                  </c:pt>
                  <c:pt idx="524">
                    <c:v>220</c:v>
                  </c:pt>
                  <c:pt idx="525">
                    <c:v>0</c:v>
                  </c:pt>
                  <c:pt idx="526">
                    <c:v>258</c:v>
                  </c:pt>
                  <c:pt idx="527">
                    <c:v>327</c:v>
                  </c:pt>
                  <c:pt idx="528">
                    <c:v>455</c:v>
                  </c:pt>
                  <c:pt idx="529">
                    <c:v>496</c:v>
                  </c:pt>
                  <c:pt idx="530">
                    <c:v>96</c:v>
                  </c:pt>
                  <c:pt idx="531">
                    <c:v>79</c:v>
                  </c:pt>
                  <c:pt idx="532">
                    <c:v>110</c:v>
                  </c:pt>
                  <c:pt idx="534">
                    <c:v>0</c:v>
                  </c:pt>
                  <c:pt idx="535">
                    <c:v>1333,5</c:v>
                  </c:pt>
                  <c:pt idx="536">
                    <c:v>234</c:v>
                  </c:pt>
                  <c:pt idx="537">
                    <c:v>101,45</c:v>
                  </c:pt>
                  <c:pt idx="538">
                    <c:v>208,41</c:v>
                  </c:pt>
                  <c:pt idx="539">
                    <c:v>680,71</c:v>
                  </c:pt>
                  <c:pt idx="540">
                    <c:v>5,95</c:v>
                  </c:pt>
                  <c:pt idx="541">
                    <c:v>88,9</c:v>
                  </c:pt>
                  <c:pt idx="542">
                    <c:v>451</c:v>
                  </c:pt>
                  <c:pt idx="543">
                    <c:v>451</c:v>
                  </c:pt>
                  <c:pt idx="544">
                    <c:v>104</c:v>
                  </c:pt>
                  <c:pt idx="545">
                    <c:v>230</c:v>
                  </c:pt>
                  <c:pt idx="546">
                    <c:v>18,03</c:v>
                  </c:pt>
                  <c:pt idx="547">
                    <c:v>216,36</c:v>
                  </c:pt>
                  <c:pt idx="548">
                    <c:v>65</c:v>
                  </c:pt>
                  <c:pt idx="549">
                    <c:v>220</c:v>
                  </c:pt>
                  <c:pt idx="550">
                    <c:v>89</c:v>
                  </c:pt>
                  <c:pt idx="551">
                    <c:v>122</c:v>
                  </c:pt>
                  <c:pt idx="552">
                    <c:v>89</c:v>
                  </c:pt>
                  <c:pt idx="553">
                    <c:v>34</c:v>
                  </c:pt>
                  <c:pt idx="554">
                    <c:v>5,58</c:v>
                  </c:pt>
                  <c:pt idx="555">
                    <c:v>241,73</c:v>
                  </c:pt>
                  <c:pt idx="556">
                    <c:v>24,18</c:v>
                  </c:pt>
                  <c:pt idx="557">
                    <c:v>200</c:v>
                  </c:pt>
                  <c:pt idx="558">
                    <c:v>88,81</c:v>
                  </c:pt>
                  <c:pt idx="559">
                    <c:v>348</c:v>
                  </c:pt>
                  <c:pt idx="560">
                    <c:v>121</c:v>
                  </c:pt>
                  <c:pt idx="561">
                    <c:v>45</c:v>
                  </c:pt>
                  <c:pt idx="562">
                    <c:v>20</c:v>
                  </c:pt>
                  <c:pt idx="563">
                    <c:v>182,9</c:v>
                  </c:pt>
                  <c:pt idx="564">
                    <c:v>217</c:v>
                  </c:pt>
                  <c:pt idx="565">
                    <c:v>167</c:v>
                  </c:pt>
                  <c:pt idx="566">
                    <c:v>210</c:v>
                  </c:pt>
                  <c:pt idx="567">
                    <c:v>130</c:v>
                  </c:pt>
                  <c:pt idx="568">
                    <c:v>124</c:v>
                  </c:pt>
                  <c:pt idx="569">
                    <c:v>119</c:v>
                  </c:pt>
                  <c:pt idx="570">
                    <c:v>123</c:v>
                  </c:pt>
                  <c:pt idx="571">
                    <c:v>149,9</c:v>
                  </c:pt>
                  <c:pt idx="572">
                    <c:v>0</c:v>
                  </c:pt>
                  <c:pt idx="573">
                    <c:v>590</c:v>
                  </c:pt>
                  <c:pt idx="575">
                    <c:v>227</c:v>
                  </c:pt>
                  <c:pt idx="576">
                    <c:v>153</c:v>
                  </c:pt>
                  <c:pt idx="577">
                    <c:v>199</c:v>
                  </c:pt>
                  <c:pt idx="579">
                    <c:v>400,21</c:v>
                  </c:pt>
                  <c:pt idx="580">
                    <c:v>227,19</c:v>
                  </c:pt>
                  <c:pt idx="582">
                    <c:v>53</c:v>
                  </c:pt>
                  <c:pt idx="583">
                    <c:v>336</c:v>
                  </c:pt>
                  <c:pt idx="584">
                    <c:v>694</c:v>
                  </c:pt>
                  <c:pt idx="585">
                    <c:v>18</c:v>
                  </c:pt>
                  <c:pt idx="586">
                    <c:v>3,9</c:v>
                  </c:pt>
                  <c:pt idx="587">
                    <c:v>78</c:v>
                  </c:pt>
                  <c:pt idx="588">
                    <c:v>78,68</c:v>
                  </c:pt>
                  <c:pt idx="589">
                    <c:v>118</c:v>
                  </c:pt>
                  <c:pt idx="591">
                    <c:v>140</c:v>
                  </c:pt>
                  <c:pt idx="592">
                    <c:v>740</c:v>
                  </c:pt>
                  <c:pt idx="593">
                    <c:v>83,31</c:v>
                  </c:pt>
                  <c:pt idx="594">
                    <c:v>41,4</c:v>
                  </c:pt>
                  <c:pt idx="595">
                    <c:v>31</c:v>
                  </c:pt>
                  <c:pt idx="597">
                    <c:v>16</c:v>
                  </c:pt>
                  <c:pt idx="599">
                    <c:v>69</c:v>
                  </c:pt>
                  <c:pt idx="600">
                    <c:v>1856</c:v>
                  </c:pt>
                  <c:pt idx="601">
                    <c:v>96</c:v>
                  </c:pt>
                  <c:pt idx="602">
                    <c:v>2400</c:v>
                  </c:pt>
                  <c:pt idx="603">
                    <c:v>172</c:v>
                  </c:pt>
                  <c:pt idx="604">
                    <c:v>20</c:v>
                  </c:pt>
                  <c:pt idx="605">
                    <c:v>68</c:v>
                  </c:pt>
                  <c:pt idx="606">
                    <c:v>73</c:v>
                  </c:pt>
                  <c:pt idx="607">
                    <c:v>86</c:v>
                  </c:pt>
                  <c:pt idx="608">
                    <c:v>62</c:v>
                  </c:pt>
                  <c:pt idx="609">
                    <c:v>77</c:v>
                  </c:pt>
                  <c:pt idx="610">
                    <c:v>97</c:v>
                  </c:pt>
                  <c:pt idx="611">
                    <c:v>69</c:v>
                  </c:pt>
                  <c:pt idx="612">
                    <c:v>68</c:v>
                  </c:pt>
                  <c:pt idx="613">
                    <c:v>95</c:v>
                  </c:pt>
                  <c:pt idx="614">
                    <c:v>473</c:v>
                  </c:pt>
                  <c:pt idx="615">
                    <c:v>111</c:v>
                  </c:pt>
                  <c:pt idx="616">
                    <c:v>48</c:v>
                  </c:pt>
                  <c:pt idx="617">
                    <c:v>128</c:v>
                  </c:pt>
                  <c:pt idx="618">
                    <c:v>150</c:v>
                  </c:pt>
                  <c:pt idx="619">
                    <c:v>765</c:v>
                  </c:pt>
                  <c:pt idx="620">
                    <c:v>294</c:v>
                  </c:pt>
                  <c:pt idx="621">
                    <c:v>220,86</c:v>
                  </c:pt>
                  <c:pt idx="622">
                    <c:v>191,6</c:v>
                  </c:pt>
                  <c:pt idx="623">
                    <c:v>231</c:v>
                  </c:pt>
                  <c:pt idx="624">
                    <c:v>477,09</c:v>
                  </c:pt>
                  <c:pt idx="625">
                    <c:v>418</c:v>
                  </c:pt>
                  <c:pt idx="626">
                    <c:v>312</c:v>
                  </c:pt>
                  <c:pt idx="627">
                    <c:v>331,5</c:v>
                  </c:pt>
                  <c:pt idx="628">
                    <c:v>379,76</c:v>
                  </c:pt>
                  <c:pt idx="629">
                    <c:v>351,48</c:v>
                  </c:pt>
                  <c:pt idx="630">
                    <c:v>307,04</c:v>
                  </c:pt>
                  <c:pt idx="631">
                    <c:v>765</c:v>
                  </c:pt>
                  <c:pt idx="632">
                    <c:v>411,12</c:v>
                  </c:pt>
                  <c:pt idx="633">
                    <c:v>159,6</c:v>
                  </c:pt>
                  <c:pt idx="634">
                    <c:v>1045</c:v>
                  </c:pt>
                  <c:pt idx="635">
                    <c:v>92</c:v>
                  </c:pt>
                  <c:pt idx="636">
                    <c:v>56</c:v>
                  </c:pt>
                  <c:pt idx="637">
                    <c:v>19,8</c:v>
                  </c:pt>
                  <c:pt idx="638">
                    <c:v>39,9</c:v>
                  </c:pt>
                  <c:pt idx="639">
                    <c:v>9,08</c:v>
                  </c:pt>
                  <c:pt idx="640">
                    <c:v>30</c:v>
                  </c:pt>
                  <c:pt idx="641">
                    <c:v>89,9</c:v>
                  </c:pt>
                  <c:pt idx="642">
                    <c:v>139,9</c:v>
                  </c:pt>
                  <c:pt idx="643">
                    <c:v>29,9</c:v>
                  </c:pt>
                  <c:pt idx="644">
                    <c:v>99,9</c:v>
                  </c:pt>
                  <c:pt idx="645">
                    <c:v>43</c:v>
                  </c:pt>
                  <c:pt idx="646">
                    <c:v>189</c:v>
                  </c:pt>
                  <c:pt idx="647">
                    <c:v>99,9</c:v>
                  </c:pt>
                  <c:pt idx="648">
                    <c:v>69</c:v>
                  </c:pt>
                  <c:pt idx="649">
                    <c:v>99</c:v>
                  </c:pt>
                  <c:pt idx="650">
                    <c:v>79</c:v>
                  </c:pt>
                  <c:pt idx="651">
                    <c:v>152</c:v>
                  </c:pt>
                  <c:pt idx="652">
                    <c:v>119,9</c:v>
                  </c:pt>
                  <c:pt idx="653">
                    <c:v>189,9</c:v>
                  </c:pt>
                  <c:pt idx="654">
                    <c:v>79,9</c:v>
                  </c:pt>
                  <c:pt idx="655">
                    <c:v>75</c:v>
                  </c:pt>
                  <c:pt idx="656">
                    <c:v>164</c:v>
                  </c:pt>
                  <c:pt idx="657">
                    <c:v>260</c:v>
                  </c:pt>
                  <c:pt idx="658">
                    <c:v>160</c:v>
                  </c:pt>
                  <c:pt idx="659">
                    <c:v>16</c:v>
                  </c:pt>
                  <c:pt idx="660">
                    <c:v>135</c:v>
                  </c:pt>
                  <c:pt idx="661">
                    <c:v>120</c:v>
                  </c:pt>
                  <c:pt idx="662">
                    <c:v>135</c:v>
                  </c:pt>
                  <c:pt idx="663">
                    <c:v>249</c:v>
                  </c:pt>
                  <c:pt idx="664">
                    <c:v>159</c:v>
                  </c:pt>
                  <c:pt idx="665">
                    <c:v>110</c:v>
                  </c:pt>
                  <c:pt idx="666">
                    <c:v>14,9</c:v>
                  </c:pt>
                  <c:pt idx="667">
                    <c:v>9</c:v>
                  </c:pt>
                  <c:pt idx="668">
                    <c:v>9,8</c:v>
                  </c:pt>
                  <c:pt idx="670">
                    <c:v>429,9</c:v>
                  </c:pt>
                  <c:pt idx="671">
                    <c:v>179,9</c:v>
                  </c:pt>
                  <c:pt idx="672">
                    <c:v>316,8</c:v>
                  </c:pt>
                  <c:pt idx="673">
                    <c:v>1592</c:v>
                  </c:pt>
                  <c:pt idx="674">
                    <c:v>254</c:v>
                  </c:pt>
                  <c:pt idx="675">
                    <c:v>2150</c:v>
                  </c:pt>
                  <c:pt idx="676">
                    <c:v>215</c:v>
                  </c:pt>
                  <c:pt idx="677">
                    <c:v>158</c:v>
                  </c:pt>
                  <c:pt idx="678">
                    <c:v>23</c:v>
                  </c:pt>
                  <c:pt idx="679">
                    <c:v>1639,21</c:v>
                  </c:pt>
                  <c:pt idx="680">
                    <c:v>350</c:v>
                  </c:pt>
                  <c:pt idx="681">
                    <c:v>1445</c:v>
                  </c:pt>
                  <c:pt idx="682">
                    <c:v>96</c:v>
                  </c:pt>
                  <c:pt idx="683">
                    <c:v>2422,82</c:v>
                  </c:pt>
                  <c:pt idx="684">
                    <c:v>48,46</c:v>
                  </c:pt>
                  <c:pt idx="685">
                    <c:v>833</c:v>
                  </c:pt>
                  <c:pt idx="686">
                    <c:v>59,57</c:v>
                  </c:pt>
                  <c:pt idx="687">
                    <c:v>46,64</c:v>
                  </c:pt>
                  <c:pt idx="688">
                    <c:v>60</c:v>
                  </c:pt>
                  <c:pt idx="689">
                    <c:v>81</c:v>
                  </c:pt>
                  <c:pt idx="690">
                    <c:v>76,38</c:v>
                  </c:pt>
                  <c:pt idx="691">
                    <c:v>1960</c:v>
                  </c:pt>
                  <c:pt idx="692">
                    <c:v>2291,44</c:v>
                  </c:pt>
                  <c:pt idx="693">
                    <c:v>96,6</c:v>
                  </c:pt>
                  <c:pt idx="694">
                    <c:v>97,54</c:v>
                  </c:pt>
                  <c:pt idx="695">
                    <c:v>157,37</c:v>
                  </c:pt>
                  <c:pt idx="696">
                    <c:v>1043,44</c:v>
                  </c:pt>
                  <c:pt idx="697">
                    <c:v>516,39</c:v>
                  </c:pt>
                  <c:pt idx="698">
                    <c:v>92,62</c:v>
                  </c:pt>
                  <c:pt idx="699">
                    <c:v>96,33</c:v>
                  </c:pt>
                  <c:pt idx="700">
                    <c:v>1445,08</c:v>
                  </c:pt>
                  <c:pt idx="701">
                    <c:v>1853,51</c:v>
                  </c:pt>
                  <c:pt idx="702">
                    <c:v>61,78</c:v>
                  </c:pt>
                  <c:pt idx="703">
                    <c:v>85,24</c:v>
                  </c:pt>
                  <c:pt idx="704">
                    <c:v>532,79</c:v>
                  </c:pt>
                  <c:pt idx="705">
                    <c:v>38,06</c:v>
                  </c:pt>
                  <c:pt idx="706">
                    <c:v>0</c:v>
                  </c:pt>
                  <c:pt idx="707">
                    <c:v>3575</c:v>
                  </c:pt>
                  <c:pt idx="708">
                    <c:v>84</c:v>
                  </c:pt>
                  <c:pt idx="709">
                    <c:v>2617,5</c:v>
                  </c:pt>
                  <c:pt idx="710">
                    <c:v>87</c:v>
                  </c:pt>
                  <c:pt idx="711">
                    <c:v>1886,25</c:v>
                  </c:pt>
                  <c:pt idx="712">
                    <c:v>94</c:v>
                  </c:pt>
                  <c:pt idx="713">
                    <c:v>541</c:v>
                  </c:pt>
                  <c:pt idx="714">
                    <c:v>1229</c:v>
                  </c:pt>
                  <c:pt idx="715">
                    <c:v>1572,3</c:v>
                  </c:pt>
                  <c:pt idx="716">
                    <c:v>78,61</c:v>
                  </c:pt>
                  <c:pt idx="717">
                    <c:v>32,92</c:v>
                  </c:pt>
                  <c:pt idx="718">
                    <c:v>73,26</c:v>
                  </c:pt>
                  <c:pt idx="719">
                    <c:v>81,96</c:v>
                  </c:pt>
                  <c:pt idx="720">
                    <c:v>1639,21</c:v>
                  </c:pt>
                  <c:pt idx="721">
                    <c:v>1465,26</c:v>
                  </c:pt>
                  <c:pt idx="722">
                    <c:v>497</c:v>
                  </c:pt>
                  <c:pt idx="723">
                    <c:v>246,82</c:v>
                  </c:pt>
                  <c:pt idx="724">
                    <c:v>2500</c:v>
                  </c:pt>
                  <c:pt idx="725">
                    <c:v>100</c:v>
                  </c:pt>
                  <c:pt idx="726">
                    <c:v>1400</c:v>
                  </c:pt>
                  <c:pt idx="727">
                    <c:v>70</c:v>
                  </c:pt>
                  <c:pt idx="728">
                    <c:v>0</c:v>
                  </c:pt>
                  <c:pt idx="730">
                    <c:v>2640</c:v>
                  </c:pt>
                  <c:pt idx="731">
                    <c:v>132</c:v>
                  </c:pt>
                  <c:pt idx="732">
                    <c:v>50</c:v>
                  </c:pt>
                  <c:pt idx="733">
                    <c:v>214</c:v>
                  </c:pt>
                  <c:pt idx="734">
                    <c:v>251,57</c:v>
                  </c:pt>
                  <c:pt idx="735">
                    <c:v>630</c:v>
                  </c:pt>
                  <c:pt idx="736">
                    <c:v>56</c:v>
                  </c:pt>
                  <c:pt idx="737">
                    <c:v>29,9</c:v>
                  </c:pt>
                  <c:pt idx="738">
                    <c:v>79,9</c:v>
                  </c:pt>
                  <c:pt idx="739">
                    <c:v>109</c:v>
                  </c:pt>
                  <c:pt idx="740">
                    <c:v>99</c:v>
                  </c:pt>
                  <c:pt idx="741">
                    <c:v>148</c:v>
                  </c:pt>
                  <c:pt idx="742">
                    <c:v>33</c:v>
                  </c:pt>
                  <c:pt idx="743">
                    <c:v>90</c:v>
                  </c:pt>
                  <c:pt idx="744">
                    <c:v>99,9</c:v>
                  </c:pt>
                  <c:pt idx="747">
                    <c:v>269,9</c:v>
                  </c:pt>
                  <c:pt idx="748">
                    <c:v>269,9</c:v>
                  </c:pt>
                  <c:pt idx="749">
                    <c:v>265</c:v>
                  </c:pt>
                  <c:pt idx="750">
                    <c:v>170</c:v>
                  </c:pt>
                  <c:pt idx="751">
                    <c:v>0</c:v>
                  </c:pt>
                  <c:pt idx="754">
                    <c:v>0</c:v>
                  </c:pt>
                  <c:pt idx="755">
                    <c:v>229,28</c:v>
                  </c:pt>
                  <c:pt idx="756">
                    <c:v>122,55</c:v>
                  </c:pt>
                  <c:pt idx="757">
                    <c:v>2451</c:v>
                  </c:pt>
                  <c:pt idx="758">
                    <c:v>89,9</c:v>
                  </c:pt>
                  <c:pt idx="759">
                    <c:v>79,9</c:v>
                  </c:pt>
                  <c:pt idx="760">
                    <c:v>25</c:v>
                  </c:pt>
                  <c:pt idx="761">
                    <c:v>0</c:v>
                  </c:pt>
                  <c:pt idx="762">
                    <c:v>0</c:v>
                  </c:pt>
                  <c:pt idx="763">
                    <c:v>15</c:v>
                  </c:pt>
                  <c:pt idx="764">
                    <c:v>79</c:v>
                  </c:pt>
                  <c:pt idx="765">
                    <c:v>2,1</c:v>
                  </c:pt>
                  <c:pt idx="766">
                    <c:v>2,3</c:v>
                  </c:pt>
                  <c:pt idx="767">
                    <c:v>0</c:v>
                  </c:pt>
                  <c:pt idx="768">
                    <c:v>1</c:v>
                  </c:pt>
                  <c:pt idx="769">
                    <c:v>0</c:v>
                  </c:pt>
                  <c:pt idx="770">
                    <c:v>164,8</c:v>
                  </c:pt>
                  <c:pt idx="771">
                    <c:v>98,12</c:v>
                  </c:pt>
                  <c:pt idx="772">
                    <c:v>184,95</c:v>
                  </c:pt>
                  <c:pt idx="773">
                    <c:v>0</c:v>
                  </c:pt>
                  <c:pt idx="774">
                    <c:v>105,49</c:v>
                  </c:pt>
                  <c:pt idx="775">
                    <c:v>39</c:v>
                  </c:pt>
                  <c:pt idx="776">
                    <c:v>122,67</c:v>
                  </c:pt>
                  <c:pt idx="777">
                    <c:v>26,72</c:v>
                  </c:pt>
                  <c:pt idx="778">
                    <c:v>26,15</c:v>
                  </c:pt>
                  <c:pt idx="779">
                    <c:v>1600</c:v>
                  </c:pt>
                  <c:pt idx="780">
                    <c:v>130</c:v>
                  </c:pt>
                  <c:pt idx="781">
                    <c:v>35</c:v>
                  </c:pt>
                  <c:pt idx="782">
                    <c:v>104</c:v>
                  </c:pt>
                  <c:pt idx="783">
                    <c:v>125</c:v>
                  </c:pt>
                  <c:pt idx="784">
                    <c:v>98</c:v>
                  </c:pt>
                  <c:pt idx="785">
                    <c:v>210</c:v>
                  </c:pt>
                  <c:pt idx="786">
                    <c:v>112,48</c:v>
                  </c:pt>
                  <c:pt idx="787">
                    <c:v>78,68</c:v>
                  </c:pt>
                  <c:pt idx="788">
                    <c:v>51</c:v>
                  </c:pt>
                  <c:pt idx="789">
                    <c:v>699</c:v>
                  </c:pt>
                  <c:pt idx="790">
                    <c:v>819</c:v>
                  </c:pt>
                  <c:pt idx="791">
                    <c:v>779</c:v>
                  </c:pt>
                  <c:pt idx="792">
                    <c:v>175</c:v>
                  </c:pt>
                  <c:pt idx="793">
                    <c:v>167</c:v>
                  </c:pt>
                  <c:pt idx="794">
                    <c:v>6,96</c:v>
                  </c:pt>
                  <c:pt idx="796">
                    <c:v>897</c:v>
                  </c:pt>
                  <c:pt idx="797">
                    <c:v>175</c:v>
                  </c:pt>
                  <c:pt idx="798">
                    <c:v>80,5</c:v>
                  </c:pt>
                  <c:pt idx="799">
                    <c:v>162</c:v>
                  </c:pt>
                  <c:pt idx="800">
                    <c:v>123,68</c:v>
                  </c:pt>
                  <c:pt idx="801">
                    <c:v>84</c:v>
                  </c:pt>
                  <c:pt idx="802">
                    <c:v>310</c:v>
                  </c:pt>
                  <c:pt idx="803">
                    <c:v>560</c:v>
                  </c:pt>
                  <c:pt idx="804">
                    <c:v>3700</c:v>
                  </c:pt>
                  <c:pt idx="805">
                    <c:v>265</c:v>
                  </c:pt>
                  <c:pt idx="806">
                    <c:v>91</c:v>
                  </c:pt>
                  <c:pt idx="807">
                    <c:v>115</c:v>
                  </c:pt>
                  <c:pt idx="808">
                    <c:v>155</c:v>
                  </c:pt>
                  <c:pt idx="809">
                    <c:v>220</c:v>
                  </c:pt>
                  <c:pt idx="810">
                    <c:v>250</c:v>
                  </c:pt>
                  <c:pt idx="811">
                    <c:v>128,14</c:v>
                  </c:pt>
                  <c:pt idx="812">
                    <c:v>662,18</c:v>
                  </c:pt>
                  <c:pt idx="813">
                    <c:v>149</c:v>
                  </c:pt>
                  <c:pt idx="814">
                    <c:v>74</c:v>
                  </c:pt>
                  <c:pt idx="815">
                    <c:v>133</c:v>
                  </c:pt>
                  <c:pt idx="816">
                    <c:v>164</c:v>
                  </c:pt>
                  <c:pt idx="817">
                    <c:v>194</c:v>
                  </c:pt>
                  <c:pt idx="818">
                    <c:v>431</c:v>
                  </c:pt>
                  <c:pt idx="819">
                    <c:v>121,14</c:v>
                  </c:pt>
                  <c:pt idx="820">
                    <c:v>50,66</c:v>
                  </c:pt>
                  <c:pt idx="821">
                    <c:v>60</c:v>
                  </c:pt>
                  <c:pt idx="822">
                    <c:v>113</c:v>
                  </c:pt>
                  <c:pt idx="823">
                    <c:v>75</c:v>
                  </c:pt>
                  <c:pt idx="824">
                    <c:v>85</c:v>
                  </c:pt>
                  <c:pt idx="825">
                    <c:v>95</c:v>
                  </c:pt>
                  <c:pt idx="826">
                    <c:v>120</c:v>
                  </c:pt>
                  <c:pt idx="827">
                    <c:v>300</c:v>
                  </c:pt>
                  <c:pt idx="828">
                    <c:v>1653</c:v>
                  </c:pt>
                  <c:pt idx="829">
                    <c:v>94</c:v>
                  </c:pt>
                  <c:pt idx="830">
                    <c:v>175</c:v>
                  </c:pt>
                  <c:pt idx="831">
                    <c:v>184</c:v>
                  </c:pt>
                  <c:pt idx="832">
                    <c:v>1600</c:v>
                  </c:pt>
                  <c:pt idx="833">
                    <c:v>147</c:v>
                  </c:pt>
                  <c:pt idx="834">
                    <c:v>218</c:v>
                  </c:pt>
                  <c:pt idx="835">
                    <c:v>328</c:v>
                  </c:pt>
                  <c:pt idx="836">
                    <c:v>670</c:v>
                  </c:pt>
                  <c:pt idx="837">
                    <c:v>320</c:v>
                  </c:pt>
                  <c:pt idx="838">
                    <c:v>93</c:v>
                  </c:pt>
                  <c:pt idx="839">
                    <c:v>150</c:v>
                  </c:pt>
                  <c:pt idx="840">
                    <c:v>91</c:v>
                  </c:pt>
                  <c:pt idx="841">
                    <c:v>123</c:v>
                  </c:pt>
                  <c:pt idx="842">
                    <c:v>662,94</c:v>
                  </c:pt>
                  <c:pt idx="843">
                    <c:v>1636</c:v>
                  </c:pt>
                  <c:pt idx="844">
                    <c:v>2454</c:v>
                  </c:pt>
                  <c:pt idx="845">
                    <c:v>1104</c:v>
                  </c:pt>
                  <c:pt idx="846">
                    <c:v>1075,31</c:v>
                  </c:pt>
                  <c:pt idx="847">
                    <c:v>418,43</c:v>
                  </c:pt>
                  <c:pt idx="848">
                    <c:v>731,97</c:v>
                  </c:pt>
                  <c:pt idx="849">
                    <c:v>290</c:v>
                  </c:pt>
                  <c:pt idx="850">
                    <c:v>680</c:v>
                  </c:pt>
                  <c:pt idx="851">
                    <c:v>1900</c:v>
                  </c:pt>
                  <c:pt idx="852">
                    <c:v>1300</c:v>
                  </c:pt>
                  <c:pt idx="853">
                    <c:v>430</c:v>
                  </c:pt>
                  <c:pt idx="854">
                    <c:v>1774,33</c:v>
                  </c:pt>
                  <c:pt idx="855">
                    <c:v>1774,33</c:v>
                  </c:pt>
                  <c:pt idx="856">
                    <c:v>2788,35</c:v>
                  </c:pt>
                  <c:pt idx="857">
                    <c:v>428,06</c:v>
                  </c:pt>
                  <c:pt idx="858">
                    <c:v>400</c:v>
                  </c:pt>
                  <c:pt idx="859">
                    <c:v>1245,97</c:v>
                  </c:pt>
                  <c:pt idx="860">
                    <c:v>430</c:v>
                  </c:pt>
                  <c:pt idx="861">
                    <c:v>430</c:v>
                  </c:pt>
                  <c:pt idx="862">
                    <c:v>1700</c:v>
                  </c:pt>
                  <c:pt idx="863">
                    <c:v>205,7</c:v>
                  </c:pt>
                  <c:pt idx="864">
                    <c:v>178,42</c:v>
                  </c:pt>
                  <c:pt idx="865">
                    <c:v>198</c:v>
                  </c:pt>
                  <c:pt idx="866">
                    <c:v>288</c:v>
                  </c:pt>
                  <c:pt idx="867">
                    <c:v>146,68</c:v>
                  </c:pt>
                  <c:pt idx="868">
                    <c:v>139</c:v>
                  </c:pt>
                  <c:pt idx="869">
                    <c:v>528,05</c:v>
                  </c:pt>
                  <c:pt idx="870">
                    <c:v>119</c:v>
                  </c:pt>
                  <c:pt idx="871">
                    <c:v>128,52</c:v>
                  </c:pt>
                  <c:pt idx="872">
                    <c:v>117</c:v>
                  </c:pt>
                  <c:pt idx="873">
                    <c:v>1452</c:v>
                  </c:pt>
                  <c:pt idx="874">
                    <c:v>1980</c:v>
                  </c:pt>
                  <c:pt idx="875">
                    <c:v>1650</c:v>
                  </c:pt>
                  <c:pt idx="876">
                    <c:v>132,7</c:v>
                  </c:pt>
                  <c:pt idx="877">
                    <c:v>141</c:v>
                  </c:pt>
                  <c:pt idx="878">
                    <c:v>87</c:v>
                  </c:pt>
                  <c:pt idx="879">
                    <c:v>132,67</c:v>
                  </c:pt>
                  <c:pt idx="880">
                    <c:v>75</c:v>
                  </c:pt>
                  <c:pt idx="881">
                    <c:v>119</c:v>
                  </c:pt>
                  <c:pt idx="882">
                    <c:v>10,19</c:v>
                  </c:pt>
                  <c:pt idx="883">
                    <c:v>10,19</c:v>
                  </c:pt>
                  <c:pt idx="884">
                    <c:v>114</c:v>
                  </c:pt>
                  <c:pt idx="885">
                    <c:v>227</c:v>
                  </c:pt>
                  <c:pt idx="886">
                    <c:v>129</c:v>
                  </c:pt>
                  <c:pt idx="887">
                    <c:v>102</c:v>
                  </c:pt>
                  <c:pt idx="888">
                    <c:v>88</c:v>
                  </c:pt>
                  <c:pt idx="889">
                    <c:v>140</c:v>
                  </c:pt>
                  <c:pt idx="890">
                    <c:v>59</c:v>
                  </c:pt>
                  <c:pt idx="891">
                    <c:v>81</c:v>
                  </c:pt>
                  <c:pt idx="892">
                    <c:v>58</c:v>
                  </c:pt>
                  <c:pt idx="893">
                    <c:v>90</c:v>
                  </c:pt>
                  <c:pt idx="894">
                    <c:v>99,9</c:v>
                  </c:pt>
                  <c:pt idx="895">
                    <c:v>124</c:v>
                  </c:pt>
                  <c:pt idx="896">
                    <c:v>48</c:v>
                  </c:pt>
                  <c:pt idx="897">
                    <c:v>97</c:v>
                  </c:pt>
                  <c:pt idx="898">
                    <c:v>50</c:v>
                  </c:pt>
                  <c:pt idx="899">
                    <c:v>46</c:v>
                  </c:pt>
                  <c:pt idx="900">
                    <c:v>94</c:v>
                  </c:pt>
                  <c:pt idx="901">
                    <c:v>67</c:v>
                  </c:pt>
                  <c:pt idx="902">
                    <c:v>69,09</c:v>
                  </c:pt>
                  <c:pt idx="903">
                    <c:v>99</c:v>
                  </c:pt>
                  <c:pt idx="904">
                    <c:v>48</c:v>
                  </c:pt>
                  <c:pt idx="905">
                    <c:v>178,5</c:v>
                  </c:pt>
                  <c:pt idx="906">
                    <c:v>278</c:v>
                  </c:pt>
                  <c:pt idx="907">
                    <c:v>140</c:v>
                  </c:pt>
                  <c:pt idx="908">
                    <c:v>100</c:v>
                  </c:pt>
                  <c:pt idx="909">
                    <c:v>17</c:v>
                  </c:pt>
                  <c:pt idx="910">
                    <c:v>1046,81</c:v>
                  </c:pt>
                  <c:pt idx="911">
                    <c:v>67,78</c:v>
                  </c:pt>
                  <c:pt idx="912">
                    <c:v>10</c:v>
                  </c:pt>
                  <c:pt idx="913">
                    <c:v>492</c:v>
                  </c:pt>
                  <c:pt idx="914">
                    <c:v>620,45</c:v>
                  </c:pt>
                  <c:pt idx="915">
                    <c:v>574</c:v>
                  </c:pt>
                  <c:pt idx="916">
                    <c:v>397</c:v>
                  </c:pt>
                  <c:pt idx="917">
                    <c:v>456</c:v>
                  </c:pt>
                  <c:pt idx="918">
                    <c:v>110</c:v>
                  </c:pt>
                  <c:pt idx="919">
                    <c:v>95</c:v>
                  </c:pt>
                  <c:pt idx="920">
                    <c:v>29,9</c:v>
                  </c:pt>
                  <c:pt idx="922">
                    <c:v>39,8</c:v>
                  </c:pt>
                  <c:pt idx="923">
                    <c:v>49,9</c:v>
                  </c:pt>
                  <c:pt idx="924">
                    <c:v>69,9</c:v>
                  </c:pt>
                  <c:pt idx="925">
                    <c:v>29,9</c:v>
                  </c:pt>
                  <c:pt idx="926">
                    <c:v>41</c:v>
                  </c:pt>
                  <c:pt idx="927">
                    <c:v>129</c:v>
                  </c:pt>
                  <c:pt idx="928">
                    <c:v>288</c:v>
                  </c:pt>
                  <c:pt idx="929">
                    <c:v>654</c:v>
                  </c:pt>
                  <c:pt idx="930">
                    <c:v>1118</c:v>
                  </c:pt>
                  <c:pt idx="931">
                    <c:v>25</c:v>
                  </c:pt>
                  <c:pt idx="932">
                    <c:v>40</c:v>
                  </c:pt>
                  <c:pt idx="933">
                    <c:v>43</c:v>
                  </c:pt>
                  <c:pt idx="934">
                    <c:v>110</c:v>
                  </c:pt>
                  <c:pt idx="935">
                    <c:v>62</c:v>
                  </c:pt>
                  <c:pt idx="936">
                    <c:v>92</c:v>
                  </c:pt>
                  <c:pt idx="937">
                    <c:v>173</c:v>
                  </c:pt>
                  <c:pt idx="938">
                    <c:v>55</c:v>
                  </c:pt>
                  <c:pt idx="939">
                    <c:v>236</c:v>
                  </c:pt>
                  <c:pt idx="940">
                    <c:v>147</c:v>
                  </c:pt>
                  <c:pt idx="941">
                    <c:v>436</c:v>
                  </c:pt>
                  <c:pt idx="942">
                    <c:v>274</c:v>
                  </c:pt>
                  <c:pt idx="943">
                    <c:v>164</c:v>
                  </c:pt>
                  <c:pt idx="944">
                    <c:v>57</c:v>
                  </c:pt>
                  <c:pt idx="945">
                    <c:v>63</c:v>
                  </c:pt>
                  <c:pt idx="946">
                    <c:v>79</c:v>
                  </c:pt>
                  <c:pt idx="947">
                    <c:v>99</c:v>
                  </c:pt>
                  <c:pt idx="948">
                    <c:v>137</c:v>
                  </c:pt>
                  <c:pt idx="949">
                    <c:v>168</c:v>
                  </c:pt>
                  <c:pt idx="950">
                    <c:v>270</c:v>
                  </c:pt>
                  <c:pt idx="951">
                    <c:v>424</c:v>
                  </c:pt>
                  <c:pt idx="952">
                    <c:v>576</c:v>
                  </c:pt>
                  <c:pt idx="953">
                    <c:v>34</c:v>
                  </c:pt>
                  <c:pt idx="954">
                    <c:v>54</c:v>
                  </c:pt>
                  <c:pt idx="955">
                    <c:v>114</c:v>
                  </c:pt>
                  <c:pt idx="956">
                    <c:v>253</c:v>
                  </c:pt>
                  <c:pt idx="957">
                    <c:v>471</c:v>
                  </c:pt>
                  <c:pt idx="958">
                    <c:v>790</c:v>
                  </c:pt>
                  <c:pt idx="960">
                    <c:v>556</c:v>
                  </c:pt>
                  <c:pt idx="962">
                    <c:v>486</c:v>
                  </c:pt>
                  <c:pt idx="963">
                    <c:v>98</c:v>
                  </c:pt>
                  <c:pt idx="964">
                    <c:v>128</c:v>
                  </c:pt>
                  <c:pt idx="965">
                    <c:v>190</c:v>
                  </c:pt>
                  <c:pt idx="966">
                    <c:v>68</c:v>
                  </c:pt>
                  <c:pt idx="967">
                    <c:v>224</c:v>
                  </c:pt>
                  <c:pt idx="968">
                    <c:v>63</c:v>
                  </c:pt>
                  <c:pt idx="969">
                    <c:v>99</c:v>
                  </c:pt>
                  <c:pt idx="971">
                    <c:v>1185</c:v>
                  </c:pt>
                  <c:pt idx="972">
                    <c:v>1809</c:v>
                  </c:pt>
                  <c:pt idx="973">
                    <c:v>2835</c:v>
                  </c:pt>
                  <c:pt idx="974">
                    <c:v>256</c:v>
                  </c:pt>
                  <c:pt idx="975">
                    <c:v>256</c:v>
                  </c:pt>
                  <c:pt idx="976">
                    <c:v>295</c:v>
                  </c:pt>
                  <c:pt idx="977">
                    <c:v>150</c:v>
                  </c:pt>
                  <c:pt idx="978">
                    <c:v>1015</c:v>
                  </c:pt>
                  <c:pt idx="979">
                    <c:v>2300</c:v>
                  </c:pt>
                  <c:pt idx="980">
                    <c:v>537</c:v>
                  </c:pt>
                  <c:pt idx="981">
                    <c:v>897</c:v>
                  </c:pt>
                  <c:pt idx="983">
                    <c:v>110</c:v>
                  </c:pt>
                  <c:pt idx="984">
                    <c:v>13,56</c:v>
                  </c:pt>
                  <c:pt idx="985">
                    <c:v>3,32</c:v>
                  </c:pt>
                  <c:pt idx="986">
                    <c:v>814</c:v>
                  </c:pt>
                  <c:pt idx="987">
                    <c:v>624</c:v>
                  </c:pt>
                  <c:pt idx="988">
                    <c:v>1,73</c:v>
                  </c:pt>
                  <c:pt idx="989">
                    <c:v>1</c:v>
                  </c:pt>
                  <c:pt idx="990">
                    <c:v>506</c:v>
                  </c:pt>
                  <c:pt idx="991">
                    <c:v>519</c:v>
                  </c:pt>
                  <c:pt idx="992">
                    <c:v>64,6</c:v>
                  </c:pt>
                  <c:pt idx="993">
                    <c:v>79</c:v>
                  </c:pt>
                  <c:pt idx="994">
                    <c:v>67,15</c:v>
                  </c:pt>
                  <c:pt idx="995">
                    <c:v>89,26</c:v>
                  </c:pt>
                  <c:pt idx="996">
                    <c:v>76</c:v>
                  </c:pt>
                  <c:pt idx="997">
                    <c:v>52</c:v>
                  </c:pt>
                  <c:pt idx="998">
                    <c:v>75</c:v>
                  </c:pt>
                  <c:pt idx="999">
                    <c:v>130</c:v>
                  </c:pt>
                  <c:pt idx="1000">
                    <c:v>65</c:v>
                  </c:pt>
                  <c:pt idx="1001">
                    <c:v>130</c:v>
                  </c:pt>
                  <c:pt idx="1002">
                    <c:v>23</c:v>
                  </c:pt>
                  <c:pt idx="1003">
                    <c:v>487</c:v>
                  </c:pt>
                  <c:pt idx="1004">
                    <c:v>87</c:v>
                  </c:pt>
                  <c:pt idx="1005">
                    <c:v>114</c:v>
                  </c:pt>
                  <c:pt idx="1006">
                    <c:v>163</c:v>
                  </c:pt>
                  <c:pt idx="1007">
                    <c:v>245</c:v>
                  </c:pt>
                  <c:pt idx="1008">
                    <c:v>356</c:v>
                  </c:pt>
                  <c:pt idx="1009">
                    <c:v>487</c:v>
                  </c:pt>
                  <c:pt idx="1010">
                    <c:v>612</c:v>
                  </c:pt>
                  <c:pt idx="1011">
                    <c:v>375</c:v>
                  </c:pt>
                  <c:pt idx="1012">
                    <c:v>22,09</c:v>
                  </c:pt>
                  <c:pt idx="1013">
                    <c:v>824</c:v>
                  </c:pt>
                  <c:pt idx="1014">
                    <c:v>597</c:v>
                  </c:pt>
                  <c:pt idx="1015">
                    <c:v>546</c:v>
                  </c:pt>
                  <c:pt idx="1016">
                    <c:v>378</c:v>
                  </c:pt>
                  <c:pt idx="1017">
                    <c:v>726</c:v>
                  </c:pt>
                  <c:pt idx="1018">
                    <c:v>86</c:v>
                  </c:pt>
                  <c:pt idx="1019">
                    <c:v>198</c:v>
                  </c:pt>
                  <c:pt idx="1020">
                    <c:v>358</c:v>
                  </c:pt>
                  <c:pt idx="1021">
                    <c:v>555</c:v>
                  </c:pt>
                  <c:pt idx="1022">
                    <c:v>75</c:v>
                  </c:pt>
                  <c:pt idx="1023">
                    <c:v>145</c:v>
                  </c:pt>
                  <c:pt idx="1024">
                    <c:v>120</c:v>
                  </c:pt>
                  <c:pt idx="1025">
                    <c:v>140</c:v>
                  </c:pt>
                  <c:pt idx="1026">
                    <c:v>90</c:v>
                  </c:pt>
                  <c:pt idx="1027">
                    <c:v>102</c:v>
                  </c:pt>
                  <c:pt idx="1028">
                    <c:v>170</c:v>
                  </c:pt>
                  <c:pt idx="1029">
                    <c:v>234</c:v>
                  </c:pt>
                  <c:pt idx="1030">
                    <c:v>149</c:v>
                  </c:pt>
                  <c:pt idx="1031">
                    <c:v>195</c:v>
                  </c:pt>
                  <c:pt idx="1032">
                    <c:v>270</c:v>
                  </c:pt>
                  <c:pt idx="1033">
                    <c:v>62</c:v>
                  </c:pt>
                  <c:pt idx="1034">
                    <c:v>24,23</c:v>
                  </c:pt>
                  <c:pt idx="1035">
                    <c:v>45</c:v>
                  </c:pt>
                  <c:pt idx="1036">
                    <c:v>63</c:v>
                  </c:pt>
                  <c:pt idx="1037">
                    <c:v>75</c:v>
                  </c:pt>
                  <c:pt idx="1038">
                    <c:v>99</c:v>
                  </c:pt>
                  <c:pt idx="1039">
                    <c:v>137</c:v>
                  </c:pt>
                  <c:pt idx="1040">
                    <c:v>168</c:v>
                  </c:pt>
                  <c:pt idx="1041">
                    <c:v>270</c:v>
                  </c:pt>
                  <c:pt idx="1042">
                    <c:v>342</c:v>
                  </c:pt>
                  <c:pt idx="1043">
                    <c:v>424</c:v>
                  </c:pt>
                  <c:pt idx="1044">
                    <c:v>576</c:v>
                  </c:pt>
                  <c:pt idx="1045">
                    <c:v>755</c:v>
                  </c:pt>
                  <c:pt idx="1046">
                    <c:v>1185</c:v>
                  </c:pt>
                  <c:pt idx="1047">
                    <c:v>59</c:v>
                  </c:pt>
                  <c:pt idx="1048">
                    <c:v>117</c:v>
                  </c:pt>
                  <c:pt idx="1049">
                    <c:v>376</c:v>
                  </c:pt>
                  <c:pt idx="1050">
                    <c:v>10,57</c:v>
                  </c:pt>
                  <c:pt idx="1051">
                    <c:v>19,82</c:v>
                  </c:pt>
                  <c:pt idx="1052">
                    <c:v>549,9</c:v>
                  </c:pt>
                  <c:pt idx="1053">
                    <c:v>59,9</c:v>
                  </c:pt>
                  <c:pt idx="1054">
                    <c:v>19</c:v>
                  </c:pt>
                  <c:pt idx="1055">
                    <c:v>24</c:v>
                  </c:pt>
                  <c:pt idx="1056">
                    <c:v>30</c:v>
                  </c:pt>
                  <c:pt idx="1057">
                    <c:v>137</c:v>
                  </c:pt>
                  <c:pt idx="1058">
                    <c:v>83</c:v>
                  </c:pt>
                  <c:pt idx="1059">
                    <c:v>169</c:v>
                  </c:pt>
                  <c:pt idx="1060">
                    <c:v>174</c:v>
                  </c:pt>
                  <c:pt idx="1061">
                    <c:v>129</c:v>
                  </c:pt>
                  <c:pt idx="1062">
                    <c:v>94</c:v>
                  </c:pt>
                  <c:pt idx="1063">
                    <c:v>128</c:v>
                  </c:pt>
                  <c:pt idx="1064">
                    <c:v>142</c:v>
                  </c:pt>
                  <c:pt idx="1065">
                    <c:v>269</c:v>
                  </c:pt>
                  <c:pt idx="1066">
                    <c:v>173</c:v>
                  </c:pt>
                  <c:pt idx="1067">
                    <c:v>199,8</c:v>
                  </c:pt>
                  <c:pt idx="1068">
                    <c:v>257</c:v>
                  </c:pt>
                  <c:pt idx="1069">
                    <c:v>207</c:v>
                  </c:pt>
                  <c:pt idx="1070">
                    <c:v>153</c:v>
                  </c:pt>
                  <c:pt idx="1071">
                    <c:v>74</c:v>
                  </c:pt>
                  <c:pt idx="1072">
                    <c:v>130</c:v>
                  </c:pt>
                  <c:pt idx="1073">
                    <c:v>158</c:v>
                  </c:pt>
                  <c:pt idx="1074">
                    <c:v>202</c:v>
                  </c:pt>
                  <c:pt idx="1075">
                    <c:v>252</c:v>
                  </c:pt>
                  <c:pt idx="1076">
                    <c:v>278</c:v>
                  </c:pt>
                  <c:pt idx="1078">
                    <c:v>103</c:v>
                  </c:pt>
                  <c:pt idx="1079">
                    <c:v>84</c:v>
                  </c:pt>
                  <c:pt idx="1080">
                    <c:v>49</c:v>
                  </c:pt>
                  <c:pt idx="1081">
                    <c:v>104</c:v>
                  </c:pt>
                  <c:pt idx="1082">
                    <c:v>199</c:v>
                  </c:pt>
                  <c:pt idx="1083">
                    <c:v>265</c:v>
                  </c:pt>
                  <c:pt idx="1085">
                    <c:v>84</c:v>
                  </c:pt>
                  <c:pt idx="1086">
                    <c:v>86</c:v>
                  </c:pt>
                  <c:pt idx="1091">
                    <c:v>45,94</c:v>
                  </c:pt>
                  <c:pt idx="1092">
                    <c:v>230</c:v>
                  </c:pt>
                  <c:pt idx="1093">
                    <c:v>588</c:v>
                  </c:pt>
                  <c:pt idx="1094">
                    <c:v>291</c:v>
                  </c:pt>
                  <c:pt idx="1096">
                    <c:v>24,8</c:v>
                  </c:pt>
                  <c:pt idx="1097">
                    <c:v>10,88</c:v>
                  </c:pt>
                  <c:pt idx="1098">
                    <c:v>172</c:v>
                  </c:pt>
                  <c:pt idx="1099">
                    <c:v>153</c:v>
                  </c:pt>
                  <c:pt idx="1100">
                    <c:v>121</c:v>
                  </c:pt>
                  <c:pt idx="1101">
                    <c:v>154</c:v>
                  </c:pt>
                  <c:pt idx="1102">
                    <c:v>119</c:v>
                  </c:pt>
                  <c:pt idx="1103">
                    <c:v>126</c:v>
                  </c:pt>
                  <c:pt idx="1104">
                    <c:v>102</c:v>
                  </c:pt>
                  <c:pt idx="1105">
                    <c:v>216</c:v>
                  </c:pt>
                  <c:pt idx="1106">
                    <c:v>23</c:v>
                  </c:pt>
                  <c:pt idx="1107">
                    <c:v>97</c:v>
                  </c:pt>
                  <c:pt idx="1108">
                    <c:v>79</c:v>
                  </c:pt>
                  <c:pt idx="1109">
                    <c:v>4,8</c:v>
                  </c:pt>
                  <c:pt idx="1110">
                    <c:v>155</c:v>
                  </c:pt>
                  <c:pt idx="1111">
                    <c:v>95</c:v>
                  </c:pt>
                  <c:pt idx="1112">
                    <c:v>37</c:v>
                  </c:pt>
                  <c:pt idx="1113">
                    <c:v>27</c:v>
                  </c:pt>
                  <c:pt idx="1114">
                    <c:v>27</c:v>
                  </c:pt>
                  <c:pt idx="1115">
                    <c:v>4,8</c:v>
                  </c:pt>
                  <c:pt idx="1116">
                    <c:v>4,8</c:v>
                  </c:pt>
                  <c:pt idx="1117">
                    <c:v>2,8</c:v>
                  </c:pt>
                  <c:pt idx="1118">
                    <c:v>137</c:v>
                  </c:pt>
                  <c:pt idx="1119">
                    <c:v>60</c:v>
                  </c:pt>
                  <c:pt idx="1120">
                    <c:v>95</c:v>
                  </c:pt>
                  <c:pt idx="1121">
                    <c:v>184</c:v>
                  </c:pt>
                  <c:pt idx="1122">
                    <c:v>60</c:v>
                  </c:pt>
                  <c:pt idx="1123">
                    <c:v>95</c:v>
                  </c:pt>
                  <c:pt idx="1124">
                    <c:v>131</c:v>
                  </c:pt>
                  <c:pt idx="1125">
                    <c:v>211</c:v>
                  </c:pt>
                  <c:pt idx="1126">
                    <c:v>436</c:v>
                  </c:pt>
                  <c:pt idx="1127">
                    <c:v>160</c:v>
                  </c:pt>
                  <c:pt idx="1128">
                    <c:v>36</c:v>
                  </c:pt>
                  <c:pt idx="1129">
                    <c:v>38</c:v>
                  </c:pt>
                  <c:pt idx="1130">
                    <c:v>42</c:v>
                  </c:pt>
                  <c:pt idx="1131">
                    <c:v>47</c:v>
                  </c:pt>
                  <c:pt idx="1132">
                    <c:v>59</c:v>
                  </c:pt>
                  <c:pt idx="1133">
                    <c:v>78</c:v>
                  </c:pt>
                  <c:pt idx="1134">
                    <c:v>113</c:v>
                  </c:pt>
                  <c:pt idx="1135">
                    <c:v>133</c:v>
                  </c:pt>
                  <c:pt idx="1136">
                    <c:v>105</c:v>
                  </c:pt>
                  <c:pt idx="1137">
                    <c:v>131</c:v>
                  </c:pt>
                  <c:pt idx="1138">
                    <c:v>182</c:v>
                  </c:pt>
                  <c:pt idx="1139">
                    <c:v>249</c:v>
                  </c:pt>
                  <c:pt idx="1140">
                    <c:v>254</c:v>
                  </c:pt>
                  <c:pt idx="1141">
                    <c:v>432</c:v>
                  </c:pt>
                  <c:pt idx="1142">
                    <c:v>110</c:v>
                  </c:pt>
                  <c:pt idx="1143">
                    <c:v>177</c:v>
                  </c:pt>
                  <c:pt idx="1144">
                    <c:v>17,22</c:v>
                  </c:pt>
                  <c:pt idx="1145">
                    <c:v>160</c:v>
                  </c:pt>
                  <c:pt idx="1146">
                    <c:v>10,57</c:v>
                  </c:pt>
                  <c:pt idx="1147">
                    <c:v>194</c:v>
                  </c:pt>
                  <c:pt idx="1148">
                    <c:v>226</c:v>
                  </c:pt>
                  <c:pt idx="1149">
                    <c:v>79</c:v>
                  </c:pt>
                  <c:pt idx="1150">
                    <c:v>91</c:v>
                  </c:pt>
                  <c:pt idx="1151">
                    <c:v>73</c:v>
                  </c:pt>
                  <c:pt idx="1152">
                    <c:v>194</c:v>
                  </c:pt>
                  <c:pt idx="1153">
                    <c:v>249</c:v>
                  </c:pt>
                  <c:pt idx="1154">
                    <c:v>142</c:v>
                  </c:pt>
                  <c:pt idx="1155">
                    <c:v>256</c:v>
                  </c:pt>
                  <c:pt idx="1156">
                    <c:v>102</c:v>
                  </c:pt>
                  <c:pt idx="1157">
                    <c:v>84</c:v>
                  </c:pt>
                  <c:pt idx="1158">
                    <c:v>44</c:v>
                  </c:pt>
                  <c:pt idx="1159">
                    <c:v>54</c:v>
                  </c:pt>
                  <c:pt idx="1160">
                    <c:v>279</c:v>
                  </c:pt>
                  <c:pt idx="1161">
                    <c:v>51</c:v>
                  </c:pt>
                  <c:pt idx="1162">
                    <c:v>142</c:v>
                  </c:pt>
                  <c:pt idx="1163">
                    <c:v>68</c:v>
                  </c:pt>
                  <c:pt idx="1164">
                    <c:v>90</c:v>
                  </c:pt>
                  <c:pt idx="1165">
                    <c:v>130</c:v>
                  </c:pt>
                  <c:pt idx="1166">
                    <c:v>58</c:v>
                  </c:pt>
                  <c:pt idx="1167">
                    <c:v>38</c:v>
                  </c:pt>
                  <c:pt idx="1168">
                    <c:v>64</c:v>
                  </c:pt>
                  <c:pt idx="1169">
                    <c:v>64</c:v>
                  </c:pt>
                  <c:pt idx="1170">
                    <c:v>31</c:v>
                  </c:pt>
                  <c:pt idx="1171">
                    <c:v>11</c:v>
                  </c:pt>
                  <c:pt idx="1172">
                    <c:v>17</c:v>
                  </c:pt>
                  <c:pt idx="1173">
                    <c:v>35</c:v>
                  </c:pt>
                  <c:pt idx="1174">
                    <c:v>39</c:v>
                  </c:pt>
                  <c:pt idx="1175">
                    <c:v>41</c:v>
                  </c:pt>
                  <c:pt idx="1176">
                    <c:v>49</c:v>
                  </c:pt>
                  <c:pt idx="1177">
                    <c:v>145</c:v>
                  </c:pt>
                  <c:pt idx="1178">
                    <c:v>19</c:v>
                  </c:pt>
                  <c:pt idx="1179">
                    <c:v>21</c:v>
                  </c:pt>
                  <c:pt idx="1180">
                    <c:v>25</c:v>
                  </c:pt>
                  <c:pt idx="1181">
                    <c:v>15</c:v>
                  </c:pt>
                  <c:pt idx="1182">
                    <c:v>698</c:v>
                  </c:pt>
                  <c:pt idx="1183">
                    <c:v>524</c:v>
                  </c:pt>
                  <c:pt idx="1184">
                    <c:v>85</c:v>
                  </c:pt>
                  <c:pt idx="1185">
                    <c:v>145</c:v>
                  </c:pt>
                  <c:pt idx="1186">
                    <c:v>234</c:v>
                  </c:pt>
                  <c:pt idx="1187">
                    <c:v>214</c:v>
                  </c:pt>
                  <c:pt idx="1188">
                    <c:v>339</c:v>
                  </c:pt>
                  <c:pt idx="1189">
                    <c:v>177</c:v>
                  </c:pt>
                  <c:pt idx="1190">
                    <c:v>91</c:v>
                  </c:pt>
                  <c:pt idx="1191">
                    <c:v>123</c:v>
                  </c:pt>
                  <c:pt idx="1192">
                    <c:v>388</c:v>
                  </c:pt>
                  <c:pt idx="1193">
                    <c:v>186</c:v>
                  </c:pt>
                  <c:pt idx="1194">
                    <c:v>257</c:v>
                  </c:pt>
                  <c:pt idx="1195">
                    <c:v>257</c:v>
                  </c:pt>
                  <c:pt idx="1196">
                    <c:v>144</c:v>
                  </c:pt>
                  <c:pt idx="1197">
                    <c:v>324</c:v>
                  </c:pt>
                  <c:pt idx="1198">
                    <c:v>107,92</c:v>
                  </c:pt>
                  <c:pt idx="1199">
                    <c:v>38</c:v>
                  </c:pt>
                  <c:pt idx="1200">
                    <c:v>47</c:v>
                  </c:pt>
                  <c:pt idx="1201">
                    <c:v>184</c:v>
                  </c:pt>
                  <c:pt idx="1202">
                    <c:v>319</c:v>
                  </c:pt>
                  <c:pt idx="1203">
                    <c:v>40</c:v>
                  </c:pt>
                  <c:pt idx="1204">
                    <c:v>38</c:v>
                  </c:pt>
                  <c:pt idx="1205">
                    <c:v>47</c:v>
                  </c:pt>
                  <c:pt idx="1206">
                    <c:v>120</c:v>
                  </c:pt>
                  <c:pt idx="1207">
                    <c:v>129</c:v>
                  </c:pt>
                  <c:pt idx="1208">
                    <c:v>296</c:v>
                  </c:pt>
                  <c:pt idx="1209">
                    <c:v>169</c:v>
                  </c:pt>
                  <c:pt idx="1210">
                    <c:v>99</c:v>
                  </c:pt>
                  <c:pt idx="1211">
                    <c:v>55</c:v>
                  </c:pt>
                  <c:pt idx="1212">
                    <c:v>77</c:v>
                  </c:pt>
                  <c:pt idx="1213">
                    <c:v>62</c:v>
                  </c:pt>
                  <c:pt idx="1214">
                    <c:v>94</c:v>
                  </c:pt>
                  <c:pt idx="1215">
                    <c:v>105</c:v>
                  </c:pt>
                  <c:pt idx="1216">
                    <c:v>190</c:v>
                  </c:pt>
                  <c:pt idx="1217">
                    <c:v>326</c:v>
                  </c:pt>
                  <c:pt idx="1218">
                    <c:v>5,12</c:v>
                  </c:pt>
                  <c:pt idx="1219">
                    <c:v>3,13</c:v>
                  </c:pt>
                  <c:pt idx="1220">
                    <c:v>1,5</c:v>
                  </c:pt>
                  <c:pt idx="1221">
                    <c:v>1,81</c:v>
                  </c:pt>
                  <c:pt idx="1222">
                    <c:v>7,21</c:v>
                  </c:pt>
                  <c:pt idx="1223">
                    <c:v>2078,7</c:v>
                  </c:pt>
                  <c:pt idx="1224">
                    <c:v>163</c:v>
                  </c:pt>
                  <c:pt idx="1225">
                    <c:v>133</c:v>
                  </c:pt>
                  <c:pt idx="1226">
                    <c:v>101</c:v>
                  </c:pt>
                  <c:pt idx="1227">
                    <c:v>93</c:v>
                  </c:pt>
                  <c:pt idx="1228">
                    <c:v>59</c:v>
                  </c:pt>
                  <c:pt idx="1229">
                    <c:v>39</c:v>
                  </c:pt>
                  <c:pt idx="1230">
                    <c:v>99</c:v>
                  </c:pt>
                  <c:pt idx="1231">
                    <c:v>76</c:v>
                  </c:pt>
                  <c:pt idx="1232">
                    <c:v>57</c:v>
                  </c:pt>
                  <c:pt idx="1233">
                    <c:v>56</c:v>
                  </c:pt>
                  <c:pt idx="1234">
                    <c:v>125</c:v>
                  </c:pt>
                  <c:pt idx="1235">
                    <c:v>190</c:v>
                  </c:pt>
                  <c:pt idx="1236">
                    <c:v>295</c:v>
                  </c:pt>
                  <c:pt idx="1237">
                    <c:v>44</c:v>
                  </c:pt>
                  <c:pt idx="1238">
                    <c:v>51</c:v>
                  </c:pt>
                  <c:pt idx="1239">
                    <c:v>66</c:v>
                  </c:pt>
                  <c:pt idx="1240">
                    <c:v>160</c:v>
                  </c:pt>
                  <c:pt idx="1241">
                    <c:v>32</c:v>
                  </c:pt>
                  <c:pt idx="1242">
                    <c:v>36</c:v>
                  </c:pt>
                  <c:pt idx="1243">
                    <c:v>45</c:v>
                  </c:pt>
                  <c:pt idx="1244">
                    <c:v>124</c:v>
                  </c:pt>
                  <c:pt idx="1245">
                    <c:v>69,9</c:v>
                  </c:pt>
                  <c:pt idx="1246">
                    <c:v>38</c:v>
                  </c:pt>
                  <c:pt idx="1247">
                    <c:v>39,9</c:v>
                  </c:pt>
                  <c:pt idx="1248">
                    <c:v>99,9</c:v>
                  </c:pt>
                  <c:pt idx="1249">
                    <c:v>28,9</c:v>
                  </c:pt>
                  <c:pt idx="1250">
                    <c:v>22,09</c:v>
                  </c:pt>
                  <c:pt idx="1251">
                    <c:v>89,9</c:v>
                  </c:pt>
                  <c:pt idx="1252">
                    <c:v>39,1</c:v>
                  </c:pt>
                  <c:pt idx="1253">
                    <c:v>74</c:v>
                  </c:pt>
                  <c:pt idx="1254">
                    <c:v>49,9</c:v>
                  </c:pt>
                  <c:pt idx="1255">
                    <c:v>240</c:v>
                  </c:pt>
                  <c:pt idx="1256">
                    <c:v>250</c:v>
                  </c:pt>
                  <c:pt idx="1257">
                    <c:v>78</c:v>
                  </c:pt>
                  <c:pt idx="1258">
                    <c:v>80</c:v>
                  </c:pt>
                  <c:pt idx="1259">
                    <c:v>72</c:v>
                  </c:pt>
                  <c:pt idx="1260">
                    <c:v>51</c:v>
                  </c:pt>
                  <c:pt idx="1261">
                    <c:v>636</c:v>
                  </c:pt>
                  <c:pt idx="1262">
                    <c:v>199</c:v>
                  </c:pt>
                  <c:pt idx="1263">
                    <c:v>119</c:v>
                  </c:pt>
                  <c:pt idx="1264">
                    <c:v>6</c:v>
                  </c:pt>
                  <c:pt idx="1265">
                    <c:v>4</c:v>
                  </c:pt>
                  <c:pt idx="1266">
                    <c:v>150</c:v>
                  </c:pt>
                  <c:pt idx="1267">
                    <c:v>52</c:v>
                  </c:pt>
                  <c:pt idx="1268">
                    <c:v>78</c:v>
                  </c:pt>
                  <c:pt idx="1269">
                    <c:v>105</c:v>
                  </c:pt>
                  <c:pt idx="1270">
                    <c:v>157</c:v>
                  </c:pt>
                  <c:pt idx="1271">
                    <c:v>249</c:v>
                  </c:pt>
                  <c:pt idx="1272">
                    <c:v>326</c:v>
                  </c:pt>
                  <c:pt idx="1273">
                    <c:v>80</c:v>
                  </c:pt>
                  <c:pt idx="1274">
                    <c:v>66</c:v>
                  </c:pt>
                  <c:pt idx="1275">
                    <c:v>94</c:v>
                  </c:pt>
                  <c:pt idx="1276">
                    <c:v>140</c:v>
                  </c:pt>
                  <c:pt idx="1277">
                    <c:v>184</c:v>
                  </c:pt>
                  <c:pt idx="1278">
                    <c:v>68</c:v>
                  </c:pt>
                  <c:pt idx="1279">
                    <c:v>339</c:v>
                  </c:pt>
                  <c:pt idx="1280">
                    <c:v>252</c:v>
                  </c:pt>
                  <c:pt idx="1281">
                    <c:v>217</c:v>
                  </c:pt>
                  <c:pt idx="1282">
                    <c:v>79</c:v>
                  </c:pt>
                  <c:pt idx="1283">
                    <c:v>458</c:v>
                  </c:pt>
                  <c:pt idx="1284">
                    <c:v>297</c:v>
                  </c:pt>
                  <c:pt idx="1285">
                    <c:v>87</c:v>
                  </c:pt>
                  <c:pt idx="1286">
                    <c:v>115</c:v>
                  </c:pt>
                  <c:pt idx="1287">
                    <c:v>209</c:v>
                  </c:pt>
                  <c:pt idx="1288">
                    <c:v>290</c:v>
                  </c:pt>
                  <c:pt idx="1289">
                    <c:v>22</c:v>
                  </c:pt>
                  <c:pt idx="1290">
                    <c:v>450,8</c:v>
                  </c:pt>
                  <c:pt idx="1291">
                    <c:v>614,75</c:v>
                  </c:pt>
                  <c:pt idx="1292">
                    <c:v>112</c:v>
                  </c:pt>
                  <c:pt idx="1293">
                    <c:v>16</c:v>
                  </c:pt>
                  <c:pt idx="1294">
                    <c:v>27</c:v>
                  </c:pt>
                  <c:pt idx="1295">
                    <c:v>42</c:v>
                  </c:pt>
                  <c:pt idx="1296">
                    <c:v>56</c:v>
                  </c:pt>
                  <c:pt idx="1297">
                    <c:v>8</c:v>
                  </c:pt>
                  <c:pt idx="1298">
                    <c:v>11</c:v>
                  </c:pt>
                  <c:pt idx="1299">
                    <c:v>14</c:v>
                  </c:pt>
                  <c:pt idx="1300">
                    <c:v>16</c:v>
                  </c:pt>
                  <c:pt idx="1302">
                    <c:v>7,26</c:v>
                  </c:pt>
                  <c:pt idx="1303">
                    <c:v>11</c:v>
                  </c:pt>
                  <c:pt idx="1304">
                    <c:v>14,85</c:v>
                  </c:pt>
                  <c:pt idx="1305">
                    <c:v>18,7</c:v>
                  </c:pt>
                  <c:pt idx="1306">
                    <c:v>12,1</c:v>
                  </c:pt>
                  <c:pt idx="1307">
                    <c:v>16,5</c:v>
                  </c:pt>
                  <c:pt idx="1308">
                    <c:v>17,05</c:v>
                  </c:pt>
                  <c:pt idx="1309">
                    <c:v>21,67</c:v>
                  </c:pt>
                  <c:pt idx="1310">
                    <c:v>37,95</c:v>
                  </c:pt>
                  <c:pt idx="1311">
                    <c:v>10,45</c:v>
                  </c:pt>
                  <c:pt idx="1312">
                    <c:v>39,6</c:v>
                  </c:pt>
                  <c:pt idx="1313">
                    <c:v>52,8</c:v>
                  </c:pt>
                  <c:pt idx="1314">
                    <c:v>1,21</c:v>
                  </c:pt>
                  <c:pt idx="1319">
                    <c:v>1218</c:v>
                  </c:pt>
                  <c:pt idx="1320">
                    <c:v>600</c:v>
                  </c:pt>
                  <c:pt idx="1321">
                    <c:v>495</c:v>
                  </c:pt>
                  <c:pt idx="1322">
                    <c:v>800</c:v>
                  </c:pt>
                  <c:pt idx="1323">
                    <c:v>574</c:v>
                  </c:pt>
                  <c:pt idx="1324">
                    <c:v>920</c:v>
                  </c:pt>
                  <c:pt idx="1325">
                    <c:v>1008</c:v>
                  </c:pt>
                  <c:pt idx="1328">
                    <c:v>0</c:v>
                  </c:pt>
                  <c:pt idx="1329">
                    <c:v>1035</c:v>
                  </c:pt>
                  <c:pt idx="1330">
                    <c:v>1012</c:v>
                  </c:pt>
                  <c:pt idx="1331">
                    <c:v>1653</c:v>
                  </c:pt>
                  <c:pt idx="1332">
                    <c:v>2280</c:v>
                  </c:pt>
                  <c:pt idx="1335">
                    <c:v>960</c:v>
                  </c:pt>
                  <c:pt idx="1339">
                    <c:v>720</c:v>
                  </c:pt>
                  <c:pt idx="1340">
                    <c:v>1520</c:v>
                  </c:pt>
                  <c:pt idx="1341">
                    <c:v>3760</c:v>
                  </c:pt>
                  <c:pt idx="1348">
                    <c:v>1273</c:v>
                  </c:pt>
                  <c:pt idx="1349">
                    <c:v>1247</c:v>
                  </c:pt>
                  <c:pt idx="1353">
                    <c:v>22</c:v>
                  </c:pt>
                  <c:pt idx="1355">
                    <c:v>836</c:v>
                  </c:pt>
                  <c:pt idx="1356">
                    <c:v>1232</c:v>
                  </c:pt>
                  <c:pt idx="1357">
                    <c:v>1934</c:v>
                  </c:pt>
                  <c:pt idx="1358">
                    <c:v>800</c:v>
                  </c:pt>
                  <c:pt idx="1359">
                    <c:v>153</c:v>
                  </c:pt>
                  <c:pt idx="1360">
                    <c:v>1281</c:v>
                  </c:pt>
                  <c:pt idx="1361">
                    <c:v>125</c:v>
                  </c:pt>
                  <c:pt idx="1362">
                    <c:v>100</c:v>
                  </c:pt>
                  <c:pt idx="1363">
                    <c:v>69</c:v>
                  </c:pt>
                  <c:pt idx="1364">
                    <c:v>115</c:v>
                  </c:pt>
                  <c:pt idx="1365">
                    <c:v>24</c:v>
                  </c:pt>
                  <c:pt idx="1366">
                    <c:v>31</c:v>
                  </c:pt>
                  <c:pt idx="1367">
                    <c:v>44</c:v>
                  </c:pt>
                  <c:pt idx="1368">
                    <c:v>56</c:v>
                  </c:pt>
                  <c:pt idx="1369">
                    <c:v>81</c:v>
                  </c:pt>
                  <c:pt idx="1370">
                    <c:v>20</c:v>
                  </c:pt>
                  <c:pt idx="1371">
                    <c:v>26</c:v>
                  </c:pt>
                  <c:pt idx="1372">
                    <c:v>30</c:v>
                  </c:pt>
                  <c:pt idx="1373">
                    <c:v>45</c:v>
                  </c:pt>
                  <c:pt idx="1374">
                    <c:v>647,54</c:v>
                  </c:pt>
                  <c:pt idx="1375">
                    <c:v>209</c:v>
                  </c:pt>
                  <c:pt idx="1376">
                    <c:v>7</c:v>
                  </c:pt>
                  <c:pt idx="1377">
                    <c:v>18,37</c:v>
                  </c:pt>
                  <c:pt idx="1378">
                    <c:v>31,89</c:v>
                  </c:pt>
                  <c:pt idx="1379">
                    <c:v>42</c:v>
                  </c:pt>
                  <c:pt idx="1380">
                    <c:v>38</c:v>
                  </c:pt>
                  <c:pt idx="1381">
                    <c:v>47</c:v>
                  </c:pt>
                  <c:pt idx="1382">
                    <c:v>8</c:v>
                  </c:pt>
                  <c:pt idx="1383">
                    <c:v>12</c:v>
                  </c:pt>
                  <c:pt idx="1384">
                    <c:v>9</c:v>
                  </c:pt>
                  <c:pt idx="1385">
                    <c:v>9</c:v>
                  </c:pt>
                  <c:pt idx="1386">
                    <c:v>48,46</c:v>
                  </c:pt>
                  <c:pt idx="1388">
                    <c:v>80</c:v>
                  </c:pt>
                  <c:pt idx="1389">
                    <c:v>138</c:v>
                  </c:pt>
                  <c:pt idx="1390">
                    <c:v>192</c:v>
                  </c:pt>
                  <c:pt idx="1391">
                    <c:v>259</c:v>
                  </c:pt>
                  <c:pt idx="1392">
                    <c:v>59</c:v>
                  </c:pt>
                  <c:pt idx="1393">
                    <c:v>138</c:v>
                  </c:pt>
                  <c:pt idx="1394">
                    <c:v>285</c:v>
                  </c:pt>
                  <c:pt idx="1395">
                    <c:v>739</c:v>
                  </c:pt>
                  <c:pt idx="1398">
                    <c:v>254</c:v>
                  </c:pt>
                  <c:pt idx="1399">
                    <c:v>3,93</c:v>
                  </c:pt>
                  <c:pt idx="1400">
                    <c:v>162</c:v>
                  </c:pt>
                  <c:pt idx="1401">
                    <c:v>235</c:v>
                  </c:pt>
                  <c:pt idx="1402">
                    <c:v>127,1</c:v>
                  </c:pt>
                  <c:pt idx="1403">
                    <c:v>137</c:v>
                  </c:pt>
                  <c:pt idx="1404">
                    <c:v>94</c:v>
                  </c:pt>
                  <c:pt idx="1405">
                    <c:v>662</c:v>
                  </c:pt>
                  <c:pt idx="1406">
                    <c:v>270</c:v>
                  </c:pt>
                  <c:pt idx="1407">
                    <c:v>80</c:v>
                  </c:pt>
                  <c:pt idx="1408">
                    <c:v>25</c:v>
                  </c:pt>
                  <c:pt idx="1409">
                    <c:v>31</c:v>
                  </c:pt>
                  <c:pt idx="1410">
                    <c:v>46</c:v>
                  </c:pt>
                  <c:pt idx="1411">
                    <c:v>59</c:v>
                  </c:pt>
                  <c:pt idx="1412">
                    <c:v>67</c:v>
                  </c:pt>
                  <c:pt idx="1413">
                    <c:v>89</c:v>
                  </c:pt>
                  <c:pt idx="1414">
                    <c:v>140</c:v>
                  </c:pt>
                  <c:pt idx="1415">
                    <c:v>185</c:v>
                  </c:pt>
                  <c:pt idx="1416">
                    <c:v>340</c:v>
                  </c:pt>
                  <c:pt idx="1417">
                    <c:v>446</c:v>
                  </c:pt>
                  <c:pt idx="1418">
                    <c:v>990</c:v>
                  </c:pt>
                  <c:pt idx="1419">
                    <c:v>28</c:v>
                  </c:pt>
                  <c:pt idx="1420">
                    <c:v>36</c:v>
                  </c:pt>
                  <c:pt idx="1421">
                    <c:v>40</c:v>
                  </c:pt>
                  <c:pt idx="1422">
                    <c:v>52</c:v>
                  </c:pt>
                  <c:pt idx="1423">
                    <c:v>55</c:v>
                  </c:pt>
                  <c:pt idx="1424">
                    <c:v>57,4</c:v>
                  </c:pt>
                  <c:pt idx="1425">
                    <c:v>71</c:v>
                  </c:pt>
                  <c:pt idx="1426">
                    <c:v>84</c:v>
                  </c:pt>
                  <c:pt idx="1427">
                    <c:v>180,6</c:v>
                  </c:pt>
                  <c:pt idx="1428">
                    <c:v>212</c:v>
                  </c:pt>
                  <c:pt idx="1429">
                    <c:v>317</c:v>
                  </c:pt>
                  <c:pt idx="1430">
                    <c:v>199</c:v>
                  </c:pt>
                  <c:pt idx="1431">
                    <c:v>299</c:v>
                  </c:pt>
                  <c:pt idx="1432">
                    <c:v>259</c:v>
                  </c:pt>
                  <c:pt idx="1433">
                    <c:v>69</c:v>
                  </c:pt>
                  <c:pt idx="1434">
                    <c:v>106</c:v>
                  </c:pt>
                  <c:pt idx="1435">
                    <c:v>269,9</c:v>
                  </c:pt>
                  <c:pt idx="1436">
                    <c:v>11,4</c:v>
                  </c:pt>
                  <c:pt idx="1437">
                    <c:v>285</c:v>
                  </c:pt>
                  <c:pt idx="1438">
                    <c:v>288,6</c:v>
                  </c:pt>
                  <c:pt idx="1439">
                    <c:v>11,7</c:v>
                  </c:pt>
                  <c:pt idx="1440">
                    <c:v>68,03</c:v>
                  </c:pt>
                  <c:pt idx="1441">
                    <c:v>57,6</c:v>
                  </c:pt>
                  <c:pt idx="1442">
                    <c:v>62,32</c:v>
                  </c:pt>
                  <c:pt idx="1443">
                    <c:v>38,124</c:v>
                  </c:pt>
                  <c:pt idx="1446">
                    <c:v>0</c:v>
                  </c:pt>
                  <c:pt idx="1449">
                    <c:v>166</c:v>
                  </c:pt>
                  <c:pt idx="1450">
                    <c:v>189</c:v>
                  </c:pt>
                  <c:pt idx="1451">
                    <c:v>180</c:v>
                  </c:pt>
                  <c:pt idx="1452">
                    <c:v>199,9</c:v>
                  </c:pt>
                  <c:pt idx="1453">
                    <c:v>499,9</c:v>
                  </c:pt>
                  <c:pt idx="1454">
                    <c:v>199,9</c:v>
                  </c:pt>
                  <c:pt idx="1455">
                    <c:v>249,9</c:v>
                  </c:pt>
                  <c:pt idx="1456">
                    <c:v>269,9</c:v>
                  </c:pt>
                  <c:pt idx="1457">
                    <c:v>269,9</c:v>
                  </c:pt>
                  <c:pt idx="1458">
                    <c:v>199,9</c:v>
                  </c:pt>
                  <c:pt idx="1459">
                    <c:v>650</c:v>
                  </c:pt>
                  <c:pt idx="1460">
                    <c:v>70</c:v>
                  </c:pt>
                  <c:pt idx="1461">
                    <c:v>65</c:v>
                  </c:pt>
                  <c:pt idx="1462">
                    <c:v>14,9</c:v>
                  </c:pt>
                  <c:pt idx="1463">
                    <c:v>632</c:v>
                  </c:pt>
                  <c:pt idx="1464">
                    <c:v>5,3</c:v>
                  </c:pt>
                  <c:pt idx="1465">
                    <c:v>79,9</c:v>
                  </c:pt>
                  <c:pt idx="1466">
                    <c:v>71</c:v>
                  </c:pt>
                  <c:pt idx="1467">
                    <c:v>80</c:v>
                  </c:pt>
                  <c:pt idx="1468">
                    <c:v>138,71</c:v>
                  </c:pt>
                  <c:pt idx="1469">
                    <c:v>41</c:v>
                  </c:pt>
                  <c:pt idx="1470">
                    <c:v>179,9</c:v>
                  </c:pt>
                  <c:pt idx="1474">
                    <c:v>380</c:v>
                  </c:pt>
                  <c:pt idx="1475">
                    <c:v>130</c:v>
                  </c:pt>
                  <c:pt idx="1476">
                    <c:v>760</c:v>
                  </c:pt>
                  <c:pt idx="1477">
                    <c:v>0</c:v>
                  </c:pt>
                  <c:pt idx="1478">
                    <c:v>29</c:v>
                  </c:pt>
                  <c:pt idx="1479">
                    <c:v>240</c:v>
                  </c:pt>
                  <c:pt idx="1480">
                    <c:v>79</c:v>
                  </c:pt>
                  <c:pt idx="1481">
                    <c:v>20</c:v>
                  </c:pt>
                  <c:pt idx="1482">
                    <c:v>890</c:v>
                  </c:pt>
                  <c:pt idx="1483">
                    <c:v>1225</c:v>
                  </c:pt>
                  <c:pt idx="1484">
                    <c:v>399,9</c:v>
                  </c:pt>
                  <c:pt idx="1485">
                    <c:v>1200</c:v>
                  </c:pt>
                  <c:pt idx="1486">
                    <c:v>2320</c:v>
                  </c:pt>
                  <c:pt idx="1487">
                    <c:v>58</c:v>
                  </c:pt>
                  <c:pt idx="1488">
                    <c:v>83</c:v>
                  </c:pt>
                  <c:pt idx="1489">
                    <c:v>48</c:v>
                  </c:pt>
                  <c:pt idx="1490">
                    <c:v>130</c:v>
                  </c:pt>
                  <c:pt idx="1491">
                    <c:v>59,9</c:v>
                  </c:pt>
                  <c:pt idx="1492">
                    <c:v>59,9</c:v>
                  </c:pt>
                  <c:pt idx="1493">
                    <c:v>59,9</c:v>
                  </c:pt>
                  <c:pt idx="1494">
                    <c:v>49,9</c:v>
                  </c:pt>
                  <c:pt idx="1495">
                    <c:v>129,9</c:v>
                  </c:pt>
                  <c:pt idx="1496">
                    <c:v>49,9</c:v>
                  </c:pt>
                  <c:pt idx="1497">
                    <c:v>149,09</c:v>
                  </c:pt>
                  <c:pt idx="1498">
                    <c:v>188</c:v>
                  </c:pt>
                  <c:pt idx="1499">
                    <c:v>17,68</c:v>
                  </c:pt>
                  <c:pt idx="1500">
                    <c:v>39,1</c:v>
                  </c:pt>
                  <c:pt idx="1501">
                    <c:v>57,8</c:v>
                  </c:pt>
                  <c:pt idx="1502">
                    <c:v>77,35</c:v>
                  </c:pt>
                  <c:pt idx="1503">
                    <c:v>320</c:v>
                  </c:pt>
                  <c:pt idx="1504">
                    <c:v>551</c:v>
                  </c:pt>
                  <c:pt idx="1505">
                    <c:v>369</c:v>
                  </c:pt>
                  <c:pt idx="1506">
                    <c:v>380</c:v>
                  </c:pt>
                  <c:pt idx="1507">
                    <c:v>16,4</c:v>
                  </c:pt>
                  <c:pt idx="1508">
                    <c:v>2509,92</c:v>
                  </c:pt>
                  <c:pt idx="1509">
                    <c:v>209</c:v>
                  </c:pt>
                  <c:pt idx="1510">
                    <c:v>242</c:v>
                  </c:pt>
                  <c:pt idx="1511">
                    <c:v>245,4</c:v>
                  </c:pt>
                  <c:pt idx="1512">
                    <c:v>217</c:v>
                  </c:pt>
                  <c:pt idx="1513">
                    <c:v>155</c:v>
                  </c:pt>
                  <c:pt idx="1514">
                    <c:v>245,4</c:v>
                  </c:pt>
                  <c:pt idx="1515">
                    <c:v>150</c:v>
                  </c:pt>
                  <c:pt idx="1516">
                    <c:v>140</c:v>
                  </c:pt>
                  <c:pt idx="1517">
                    <c:v>139</c:v>
                  </c:pt>
                  <c:pt idx="1518">
                    <c:v>170</c:v>
                  </c:pt>
                  <c:pt idx="1519">
                    <c:v>1933,8</c:v>
                  </c:pt>
                  <c:pt idx="1520">
                    <c:v>194</c:v>
                  </c:pt>
                  <c:pt idx="1521">
                    <c:v>345</c:v>
                  </c:pt>
                  <c:pt idx="1522">
                    <c:v>261,12</c:v>
                  </c:pt>
                  <c:pt idx="1523">
                    <c:v>150</c:v>
                  </c:pt>
                  <c:pt idx="1524">
                    <c:v>1544</c:v>
                  </c:pt>
                  <c:pt idx="1525">
                    <c:v>59</c:v>
                  </c:pt>
                  <c:pt idx="1526">
                    <c:v>47</c:v>
                  </c:pt>
                  <c:pt idx="1527">
                    <c:v>42</c:v>
                  </c:pt>
                  <c:pt idx="1528">
                    <c:v>47,11</c:v>
                  </c:pt>
                  <c:pt idx="1529">
                    <c:v>0</c:v>
                  </c:pt>
                  <c:pt idx="1530">
                    <c:v>0</c:v>
                  </c:pt>
                  <c:pt idx="1531">
                    <c:v>0</c:v>
                  </c:pt>
                  <c:pt idx="1532">
                    <c:v>62</c:v>
                  </c:pt>
                  <c:pt idx="1533">
                    <c:v>123</c:v>
                  </c:pt>
                  <c:pt idx="1534">
                    <c:v>219</c:v>
                  </c:pt>
                  <c:pt idx="1535">
                    <c:v>80</c:v>
                  </c:pt>
                  <c:pt idx="1536">
                    <c:v>32</c:v>
                  </c:pt>
                  <c:pt idx="1537">
                    <c:v>35,15</c:v>
                  </c:pt>
                  <c:pt idx="1538">
                    <c:v>31,15</c:v>
                  </c:pt>
                  <c:pt idx="1539">
                    <c:v>3,23</c:v>
                  </c:pt>
                  <c:pt idx="1540">
                    <c:v>91</c:v>
                  </c:pt>
                  <c:pt idx="1541">
                    <c:v>62</c:v>
                  </c:pt>
                  <c:pt idx="1542">
                    <c:v>29</c:v>
                  </c:pt>
                  <c:pt idx="1543">
                    <c:v>79</c:v>
                  </c:pt>
                  <c:pt idx="1544">
                    <c:v>209</c:v>
                  </c:pt>
                  <c:pt idx="1545">
                    <c:v>149</c:v>
                  </c:pt>
                  <c:pt idx="1546">
                    <c:v>19,9</c:v>
                  </c:pt>
                  <c:pt idx="1547">
                    <c:v>25,9</c:v>
                  </c:pt>
                  <c:pt idx="1548">
                    <c:v>100</c:v>
                  </c:pt>
                  <c:pt idx="1549">
                    <c:v>184,05</c:v>
                  </c:pt>
                  <c:pt idx="1550">
                    <c:v>409</c:v>
                  </c:pt>
                  <c:pt idx="1551">
                    <c:v>216,77</c:v>
                  </c:pt>
                  <c:pt idx="1552">
                    <c:v>1</c:v>
                  </c:pt>
                  <c:pt idx="1553">
                    <c:v>116,74</c:v>
                  </c:pt>
                  <c:pt idx="1554">
                    <c:v>68,67</c:v>
                  </c:pt>
                  <c:pt idx="1555">
                    <c:v>45</c:v>
                  </c:pt>
                  <c:pt idx="1556">
                    <c:v>330,87</c:v>
                  </c:pt>
                  <c:pt idx="1557">
                    <c:v>410,1</c:v>
                  </c:pt>
                  <c:pt idx="1558">
                    <c:v>243,44</c:v>
                  </c:pt>
                  <c:pt idx="1559">
                    <c:v>212,02</c:v>
                  </c:pt>
                  <c:pt idx="1560">
                    <c:v>86,45</c:v>
                  </c:pt>
                  <c:pt idx="1561">
                    <c:v>1870</c:v>
                  </c:pt>
                  <c:pt idx="1562">
                    <c:v>1220</c:v>
                  </c:pt>
                  <c:pt idx="1563">
                    <c:v>1</c:v>
                  </c:pt>
                  <c:pt idx="1564">
                    <c:v>1</c:v>
                  </c:pt>
                  <c:pt idx="1565">
                    <c:v>1</c:v>
                  </c:pt>
                  <c:pt idx="1566">
                    <c:v>0</c:v>
                  </c:pt>
                  <c:pt idx="1567">
                    <c:v>2940</c:v>
                  </c:pt>
                  <c:pt idx="1568">
                    <c:v>1553</c:v>
                  </c:pt>
                  <c:pt idx="1569">
                    <c:v>153</c:v>
                  </c:pt>
                  <c:pt idx="1570">
                    <c:v>1030,36</c:v>
                  </c:pt>
                  <c:pt idx="1571">
                    <c:v>1935,81</c:v>
                  </c:pt>
                  <c:pt idx="1572">
                    <c:v>24,9</c:v>
                  </c:pt>
                  <c:pt idx="1573">
                    <c:v>145</c:v>
                  </c:pt>
                  <c:pt idx="1574">
                    <c:v>54</c:v>
                  </c:pt>
                  <c:pt idx="1575">
                    <c:v>66</c:v>
                  </c:pt>
                  <c:pt idx="1576">
                    <c:v>108</c:v>
                  </c:pt>
                  <c:pt idx="1577">
                    <c:v>97</c:v>
                  </c:pt>
                  <c:pt idx="1578">
                    <c:v>42,77</c:v>
                  </c:pt>
                  <c:pt idx="1579">
                    <c:v>764,15</c:v>
                  </c:pt>
                  <c:pt idx="1580">
                    <c:v>1319,2</c:v>
                  </c:pt>
                  <c:pt idx="1581">
                    <c:v>578</c:v>
                  </c:pt>
                  <c:pt idx="1582">
                    <c:v>444,56</c:v>
                  </c:pt>
                  <c:pt idx="1583">
                    <c:v>9</c:v>
                  </c:pt>
                  <c:pt idx="1584">
                    <c:v>1805</c:v>
                  </c:pt>
                  <c:pt idx="1585">
                    <c:v>555</c:v>
                  </c:pt>
                  <c:pt idx="1586">
                    <c:v>60</c:v>
                  </c:pt>
                  <c:pt idx="1587">
                    <c:v>461</c:v>
                  </c:pt>
                  <c:pt idx="1588">
                    <c:v>250</c:v>
                  </c:pt>
                  <c:pt idx="1589">
                    <c:v>515</c:v>
                  </c:pt>
                  <c:pt idx="1590">
                    <c:v>265</c:v>
                  </c:pt>
                  <c:pt idx="1591">
                    <c:v>1442,93</c:v>
                  </c:pt>
                  <c:pt idx="1592">
                    <c:v>57</c:v>
                  </c:pt>
                  <c:pt idx="1593">
                    <c:v>1360,81</c:v>
                  </c:pt>
                  <c:pt idx="1594">
                    <c:v>108</c:v>
                  </c:pt>
                  <c:pt idx="1595">
                    <c:v>756,51</c:v>
                  </c:pt>
                  <c:pt idx="1596">
                    <c:v>139,93</c:v>
                  </c:pt>
                  <c:pt idx="1597">
                    <c:v>927,31</c:v>
                  </c:pt>
                  <c:pt idx="1598">
                    <c:v>828</c:v>
                  </c:pt>
                  <c:pt idx="1599">
                    <c:v>882,75</c:v>
                  </c:pt>
                  <c:pt idx="1600">
                    <c:v>49,06</c:v>
                  </c:pt>
                  <c:pt idx="1601">
                    <c:v>362,3</c:v>
                  </c:pt>
                  <c:pt idx="1602">
                    <c:v>980,12</c:v>
                  </c:pt>
                  <c:pt idx="1603">
                    <c:v>54,45</c:v>
                  </c:pt>
                  <c:pt idx="1604">
                    <c:v>457,1</c:v>
                  </c:pt>
                  <c:pt idx="1605">
                    <c:v>1406,17</c:v>
                  </c:pt>
                  <c:pt idx="1606">
                    <c:v>63,92</c:v>
                  </c:pt>
                  <c:pt idx="1607">
                    <c:v>719,67</c:v>
                  </c:pt>
                  <c:pt idx="1608">
                    <c:v>541,66</c:v>
                  </c:pt>
                  <c:pt idx="1609">
                    <c:v>353,28</c:v>
                  </c:pt>
                  <c:pt idx="1610">
                    <c:v>928,24</c:v>
                  </c:pt>
                  <c:pt idx="1611">
                    <c:v>2302,31</c:v>
                  </c:pt>
                  <c:pt idx="1612">
                    <c:v>95,93</c:v>
                  </c:pt>
                  <c:pt idx="1613">
                    <c:v>1970,98</c:v>
                  </c:pt>
                  <c:pt idx="1614">
                    <c:v>82,08</c:v>
                  </c:pt>
                  <c:pt idx="1615">
                    <c:v>1299,18</c:v>
                  </c:pt>
                  <c:pt idx="1616">
                    <c:v>173,224</c:v>
                  </c:pt>
                  <c:pt idx="1617">
                    <c:v>0</c:v>
                  </c:pt>
                  <c:pt idx="1618">
                    <c:v>229</c:v>
                  </c:pt>
                  <c:pt idx="1619">
                    <c:v>767</c:v>
                  </c:pt>
                  <c:pt idx="1621">
                    <c:v>1395</c:v>
                  </c:pt>
                  <c:pt idx="1622">
                    <c:v>715,5</c:v>
                  </c:pt>
                  <c:pt idx="1623">
                    <c:v>63</c:v>
                  </c:pt>
                  <c:pt idx="1624">
                    <c:v>1602</c:v>
                  </c:pt>
                  <c:pt idx="1625">
                    <c:v>285</c:v>
                  </c:pt>
                  <c:pt idx="1626">
                    <c:v>817</c:v>
                  </c:pt>
                  <c:pt idx="1627">
                    <c:v>1097,33</c:v>
                  </c:pt>
                  <c:pt idx="1628">
                    <c:v>2013</c:v>
                  </c:pt>
                  <c:pt idx="1629">
                    <c:v>2142,86</c:v>
                  </c:pt>
                  <c:pt idx="1630">
                    <c:v>1035,07</c:v>
                  </c:pt>
                  <c:pt idx="1631">
                    <c:v>101,8</c:v>
                  </c:pt>
                  <c:pt idx="1632">
                    <c:v>2137,14</c:v>
                  </c:pt>
                  <c:pt idx="1633">
                    <c:v>121</c:v>
                  </c:pt>
                  <c:pt idx="1634">
                    <c:v>142,5</c:v>
                  </c:pt>
                  <c:pt idx="1635">
                    <c:v>742,5</c:v>
                  </c:pt>
                  <c:pt idx="1636">
                    <c:v>1945</c:v>
                  </c:pt>
                  <c:pt idx="1637">
                    <c:v>97</c:v>
                  </c:pt>
                  <c:pt idx="1638">
                    <c:v>145</c:v>
                  </c:pt>
                  <c:pt idx="1639">
                    <c:v>2908,75</c:v>
                  </c:pt>
                  <c:pt idx="1640">
                    <c:v>2232</c:v>
                  </c:pt>
                  <c:pt idx="1641">
                    <c:v>307,38</c:v>
                  </c:pt>
                  <c:pt idx="1642">
                    <c:v>725</c:v>
                  </c:pt>
                  <c:pt idx="1643">
                    <c:v>1165</c:v>
                  </c:pt>
                  <c:pt idx="1644">
                    <c:v>329</c:v>
                  </c:pt>
                  <c:pt idx="1645">
                    <c:v>859</c:v>
                  </c:pt>
                  <c:pt idx="1646">
                    <c:v>639</c:v>
                  </c:pt>
                  <c:pt idx="1647">
                    <c:v>289</c:v>
                  </c:pt>
                  <c:pt idx="1648">
                    <c:v>490</c:v>
                  </c:pt>
                  <c:pt idx="1649">
                    <c:v>158</c:v>
                  </c:pt>
                  <c:pt idx="1650">
                    <c:v>151</c:v>
                  </c:pt>
                  <c:pt idx="1651">
                    <c:v>131,6</c:v>
                  </c:pt>
                  <c:pt idx="1652">
                    <c:v>35</c:v>
                  </c:pt>
                  <c:pt idx="1653">
                    <c:v>1200</c:v>
                  </c:pt>
                  <c:pt idx="1654">
                    <c:v>70</c:v>
                  </c:pt>
                  <c:pt idx="1655">
                    <c:v>138,25</c:v>
                  </c:pt>
                  <c:pt idx="1656">
                    <c:v>18</c:v>
                  </c:pt>
                  <c:pt idx="1657">
                    <c:v>28</c:v>
                  </c:pt>
                  <c:pt idx="1658">
                    <c:v>84</c:v>
                  </c:pt>
                  <c:pt idx="1659">
                    <c:v>46</c:v>
                  </c:pt>
                  <c:pt idx="1660">
                    <c:v>56</c:v>
                  </c:pt>
                  <c:pt idx="1661">
                    <c:v>16,13</c:v>
                  </c:pt>
                  <c:pt idx="1662">
                    <c:v>62,3</c:v>
                  </c:pt>
                  <c:pt idx="1663">
                    <c:v>114,75</c:v>
                  </c:pt>
                  <c:pt idx="1664">
                    <c:v>85</c:v>
                  </c:pt>
                  <c:pt idx="1665">
                    <c:v>260</c:v>
                  </c:pt>
                  <c:pt idx="1666">
                    <c:v>620</c:v>
                  </c:pt>
                  <c:pt idx="1667">
                    <c:v>62</c:v>
                  </c:pt>
                  <c:pt idx="1668">
                    <c:v>44,9</c:v>
                  </c:pt>
                  <c:pt idx="1669">
                    <c:v>28</c:v>
                  </c:pt>
                  <c:pt idx="1670">
                    <c:v>234</c:v>
                  </c:pt>
                  <c:pt idx="1671">
                    <c:v>216</c:v>
                  </c:pt>
                  <c:pt idx="1672">
                    <c:v>155</c:v>
                  </c:pt>
                  <c:pt idx="1673">
                    <c:v>220</c:v>
                  </c:pt>
                  <c:pt idx="1674">
                    <c:v>134,42</c:v>
                  </c:pt>
                  <c:pt idx="1675">
                    <c:v>119,67</c:v>
                  </c:pt>
                  <c:pt idx="1676">
                    <c:v>105,73</c:v>
                  </c:pt>
                  <c:pt idx="1677">
                    <c:v>122,95</c:v>
                  </c:pt>
                  <c:pt idx="1678">
                    <c:v>155,98</c:v>
                  </c:pt>
                  <c:pt idx="1679">
                    <c:v>171,96</c:v>
                  </c:pt>
                  <c:pt idx="1680">
                    <c:v>140,16</c:v>
                  </c:pt>
                  <c:pt idx="1681">
                    <c:v>118,03</c:v>
                  </c:pt>
                  <c:pt idx="1682">
                    <c:v>169,67</c:v>
                  </c:pt>
                  <c:pt idx="1683">
                    <c:v>209,84</c:v>
                  </c:pt>
                  <c:pt idx="1684">
                    <c:v>130</c:v>
                  </c:pt>
                  <c:pt idx="1685">
                    <c:v>102,28</c:v>
                  </c:pt>
                  <c:pt idx="1686">
                    <c:v>93,44</c:v>
                  </c:pt>
                  <c:pt idx="1687">
                    <c:v>111,47</c:v>
                  </c:pt>
                  <c:pt idx="1688">
                    <c:v>156,55</c:v>
                  </c:pt>
                  <c:pt idx="1689">
                    <c:v>98,36</c:v>
                  </c:pt>
                  <c:pt idx="1690">
                    <c:v>285</c:v>
                  </c:pt>
                  <c:pt idx="1691">
                    <c:v>25</c:v>
                  </c:pt>
                  <c:pt idx="1692">
                    <c:v>649,9</c:v>
                  </c:pt>
                  <c:pt idx="1693">
                    <c:v>141</c:v>
                  </c:pt>
                  <c:pt idx="1694">
                    <c:v>86</c:v>
                  </c:pt>
                  <c:pt idx="1695">
                    <c:v>75</c:v>
                  </c:pt>
                  <c:pt idx="1696">
                    <c:v>121,5</c:v>
                  </c:pt>
                  <c:pt idx="1697">
                    <c:v>121,5</c:v>
                  </c:pt>
                  <c:pt idx="1698">
                    <c:v>121,5</c:v>
                  </c:pt>
                  <c:pt idx="1699">
                    <c:v>499,9</c:v>
                  </c:pt>
                  <c:pt idx="1700">
                    <c:v>87,62</c:v>
                  </c:pt>
                  <c:pt idx="1701">
                    <c:v>163,27</c:v>
                  </c:pt>
                  <c:pt idx="1702">
                    <c:v>60,64</c:v>
                  </c:pt>
                  <c:pt idx="1703">
                    <c:v>38,67</c:v>
                  </c:pt>
                  <c:pt idx="1704">
                    <c:v>79,9</c:v>
                  </c:pt>
                  <c:pt idx="1705">
                    <c:v>69,9</c:v>
                  </c:pt>
                  <c:pt idx="1706">
                    <c:v>645</c:v>
                  </c:pt>
                  <c:pt idx="1707">
                    <c:v>195</c:v>
                  </c:pt>
                  <c:pt idx="1708">
                    <c:v>139</c:v>
                  </c:pt>
                  <c:pt idx="1709">
                    <c:v>145,8</c:v>
                  </c:pt>
                  <c:pt idx="1710">
                    <c:v>59</c:v>
                  </c:pt>
                  <c:pt idx="1711">
                    <c:v>64</c:v>
                  </c:pt>
                  <c:pt idx="1712">
                    <c:v>81</c:v>
                  </c:pt>
                  <c:pt idx="1713">
                    <c:v>29</c:v>
                  </c:pt>
                  <c:pt idx="1714">
                    <c:v>238</c:v>
                  </c:pt>
                  <c:pt idx="1715">
                    <c:v>212</c:v>
                  </c:pt>
                  <c:pt idx="1716">
                    <c:v>185</c:v>
                  </c:pt>
                  <c:pt idx="1717">
                    <c:v>46,72</c:v>
                  </c:pt>
                  <c:pt idx="1718">
                    <c:v>68,85</c:v>
                  </c:pt>
                  <c:pt idx="1719">
                    <c:v>100</c:v>
                  </c:pt>
                  <c:pt idx="1720">
                    <c:v>25</c:v>
                  </c:pt>
                  <c:pt idx="1721">
                    <c:v>35</c:v>
                  </c:pt>
                  <c:pt idx="1722">
                    <c:v>90</c:v>
                  </c:pt>
                  <c:pt idx="1723">
                    <c:v>222</c:v>
                  </c:pt>
                  <c:pt idx="1724">
                    <c:v>318</c:v>
                  </c:pt>
                </c:lvl>
                <c:lvl>
                  <c:pt idx="0">
                    <c:v>1,2</c:v>
                  </c:pt>
                  <c:pt idx="1">
                    <c:v>1</c:v>
                  </c:pt>
                  <c:pt idx="2">
                    <c:v>1</c:v>
                  </c:pt>
                  <c:pt idx="3">
                    <c:v>1,22</c:v>
                  </c:pt>
                  <c:pt idx="4">
                    <c:v>1,22</c:v>
                  </c:pt>
                  <c:pt idx="5">
                    <c:v>1</c:v>
                  </c:pt>
                  <c:pt idx="6">
                    <c:v>1</c:v>
                  </c:pt>
                  <c:pt idx="7">
                    <c:v>1</c:v>
                  </c:pt>
                  <c:pt idx="8">
                    <c:v>1,22</c:v>
                  </c:pt>
                  <c:pt idx="9">
                    <c:v>1</c:v>
                  </c:pt>
                  <c:pt idx="10">
                    <c:v>1,22</c:v>
                  </c:pt>
                  <c:pt idx="11">
                    <c:v>1,22</c:v>
                  </c:pt>
                  <c:pt idx="12">
                    <c:v>1,22</c:v>
                  </c:pt>
                  <c:pt idx="13">
                    <c:v>1,22</c:v>
                  </c:pt>
                  <c:pt idx="14">
                    <c:v>1,22</c:v>
                  </c:pt>
                  <c:pt idx="15">
                    <c:v>1,22</c:v>
                  </c:pt>
                  <c:pt idx="16">
                    <c:v>1,22</c:v>
                  </c:pt>
                  <c:pt idx="17">
                    <c:v>1,22</c:v>
                  </c:pt>
                  <c:pt idx="18">
                    <c:v>1,22</c:v>
                  </c:pt>
                  <c:pt idx="19">
                    <c:v>1,22</c:v>
                  </c:pt>
                  <c:pt idx="20">
                    <c:v>1,22</c:v>
                  </c:pt>
                  <c:pt idx="21">
                    <c:v>1,22</c:v>
                  </c:pt>
                  <c:pt idx="22">
                    <c:v>1,22</c:v>
                  </c:pt>
                  <c:pt idx="23">
                    <c:v>1,22</c:v>
                  </c:pt>
                  <c:pt idx="24">
                    <c:v>1</c:v>
                  </c:pt>
                  <c:pt idx="25">
                    <c:v>1</c:v>
                  </c:pt>
                  <c:pt idx="26">
                    <c:v>1,22</c:v>
                  </c:pt>
                  <c:pt idx="27">
                    <c:v>1,22</c:v>
                  </c:pt>
                  <c:pt idx="28">
                    <c:v>1,22</c:v>
                  </c:pt>
                  <c:pt idx="29">
                    <c:v>1,22</c:v>
                  </c:pt>
                  <c:pt idx="30">
                    <c:v>1,22</c:v>
                  </c:pt>
                  <c:pt idx="31">
                    <c:v>1,22</c:v>
                  </c:pt>
                  <c:pt idx="32">
                    <c:v>1,22</c:v>
                  </c:pt>
                  <c:pt idx="33">
                    <c:v>1,22</c:v>
                  </c:pt>
                  <c:pt idx="34">
                    <c:v>1</c:v>
                  </c:pt>
                  <c:pt idx="35">
                    <c:v>1,22</c:v>
                  </c:pt>
                  <c:pt idx="36">
                    <c:v>1,22</c:v>
                  </c:pt>
                  <c:pt idx="37">
                    <c:v>1,22</c:v>
                  </c:pt>
                  <c:pt idx="38">
                    <c:v>1,22</c:v>
                  </c:pt>
                  <c:pt idx="39">
                    <c:v>1,22</c:v>
                  </c:pt>
                  <c:pt idx="40">
                    <c:v>1</c:v>
                  </c:pt>
                  <c:pt idx="41">
                    <c:v>1</c:v>
                  </c:pt>
                  <c:pt idx="42">
                    <c:v>1,22</c:v>
                  </c:pt>
                  <c:pt idx="43">
                    <c:v>1,22</c:v>
                  </c:pt>
                  <c:pt idx="44">
                    <c:v>1</c:v>
                  </c:pt>
                  <c:pt idx="45">
                    <c:v>1</c:v>
                  </c:pt>
                  <c:pt idx="46">
                    <c:v>1,22</c:v>
                  </c:pt>
                  <c:pt idx="47">
                    <c:v>1,22</c:v>
                  </c:pt>
                  <c:pt idx="48">
                    <c:v>1,22</c:v>
                  </c:pt>
                  <c:pt idx="49">
                    <c:v>1,22</c:v>
                  </c:pt>
                  <c:pt idx="50">
                    <c:v>1,22</c:v>
                  </c:pt>
                  <c:pt idx="51">
                    <c:v>1</c:v>
                  </c:pt>
                  <c:pt idx="52">
                    <c:v>1</c:v>
                  </c:pt>
                  <c:pt idx="53">
                    <c:v>1,22</c:v>
                  </c:pt>
                  <c:pt idx="54">
                    <c:v>1,22</c:v>
                  </c:pt>
                  <c:pt idx="55">
                    <c:v>1,22</c:v>
                  </c:pt>
                  <c:pt idx="56">
                    <c:v>1,22</c:v>
                  </c:pt>
                  <c:pt idx="57">
                    <c:v>1,22</c:v>
                  </c:pt>
                  <c:pt idx="58">
                    <c:v>1,22</c:v>
                  </c:pt>
                  <c:pt idx="59">
                    <c:v>1,22</c:v>
                  </c:pt>
                  <c:pt idx="60">
                    <c:v>1</c:v>
                  </c:pt>
                  <c:pt idx="61">
                    <c:v>1,22</c:v>
                  </c:pt>
                  <c:pt idx="62">
                    <c:v>1,22</c:v>
                  </c:pt>
                  <c:pt idx="63">
                    <c:v>1,22</c:v>
                  </c:pt>
                  <c:pt idx="64">
                    <c:v>1,22</c:v>
                  </c:pt>
                  <c:pt idx="65">
                    <c:v>1,22</c:v>
                  </c:pt>
                  <c:pt idx="66">
                    <c:v>1,22</c:v>
                  </c:pt>
                  <c:pt idx="67">
                    <c:v>1,22</c:v>
                  </c:pt>
                  <c:pt idx="68">
                    <c:v>1,22</c:v>
                  </c:pt>
                  <c:pt idx="69">
                    <c:v>1,22</c:v>
                  </c:pt>
                  <c:pt idx="70">
                    <c:v>1,22</c:v>
                  </c:pt>
                  <c:pt idx="71">
                    <c:v>1,22</c:v>
                  </c:pt>
                  <c:pt idx="72">
                    <c:v>1</c:v>
                  </c:pt>
                  <c:pt idx="73">
                    <c:v>1</c:v>
                  </c:pt>
                  <c:pt idx="74">
                    <c:v>1</c:v>
                  </c:pt>
                  <c:pt idx="75">
                    <c:v>1</c:v>
                  </c:pt>
                  <c:pt idx="76">
                    <c:v>1,22</c:v>
                  </c:pt>
                  <c:pt idx="77">
                    <c:v>1,22</c:v>
                  </c:pt>
                  <c:pt idx="78">
                    <c:v>1,22</c:v>
                  </c:pt>
                  <c:pt idx="79">
                    <c:v>1,22</c:v>
                  </c:pt>
                  <c:pt idx="80">
                    <c:v>1,22</c:v>
                  </c:pt>
                  <c:pt idx="81">
                    <c:v>1,22</c:v>
                  </c:pt>
                  <c:pt idx="82">
                    <c:v>1,22</c:v>
                  </c:pt>
                  <c:pt idx="83">
                    <c:v>1,22</c:v>
                  </c:pt>
                  <c:pt idx="84">
                    <c:v>1,22</c:v>
                  </c:pt>
                  <c:pt idx="85">
                    <c:v>1,22</c:v>
                  </c:pt>
                  <c:pt idx="86">
                    <c:v>1,22</c:v>
                  </c:pt>
                  <c:pt idx="87">
                    <c:v>1,22</c:v>
                  </c:pt>
                  <c:pt idx="88">
                    <c:v>1</c:v>
                  </c:pt>
                  <c:pt idx="89">
                    <c:v>1</c:v>
                  </c:pt>
                  <c:pt idx="90">
                    <c:v>1,22</c:v>
                  </c:pt>
                  <c:pt idx="91">
                    <c:v>1,22</c:v>
                  </c:pt>
                  <c:pt idx="92">
                    <c:v>1,22</c:v>
                  </c:pt>
                  <c:pt idx="93">
                    <c:v>1,22</c:v>
                  </c:pt>
                  <c:pt idx="94">
                    <c:v>1,22</c:v>
                  </c:pt>
                  <c:pt idx="95">
                    <c:v>1,22</c:v>
                  </c:pt>
                  <c:pt idx="96">
                    <c:v>1,22</c:v>
                  </c:pt>
                  <c:pt idx="97">
                    <c:v>1</c:v>
                  </c:pt>
                  <c:pt idx="98">
                    <c:v>1,22</c:v>
                  </c:pt>
                  <c:pt idx="99">
                    <c:v>1,22</c:v>
                  </c:pt>
                  <c:pt idx="100">
                    <c:v>1</c:v>
                  </c:pt>
                  <c:pt idx="101">
                    <c:v>1,22</c:v>
                  </c:pt>
                  <c:pt idx="102">
                    <c:v>1,22</c:v>
                  </c:pt>
                  <c:pt idx="103">
                    <c:v>1,22</c:v>
                  </c:pt>
                  <c:pt idx="104">
                    <c:v>1,22</c:v>
                  </c:pt>
                  <c:pt idx="105">
                    <c:v>1,22</c:v>
                  </c:pt>
                  <c:pt idx="106">
                    <c:v>1,22</c:v>
                  </c:pt>
                  <c:pt idx="107">
                    <c:v>1,22</c:v>
                  </c:pt>
                  <c:pt idx="108">
                    <c:v>1,22</c:v>
                  </c:pt>
                  <c:pt idx="109">
                    <c:v>1,22</c:v>
                  </c:pt>
                  <c:pt idx="110">
                    <c:v>1,22</c:v>
                  </c:pt>
                  <c:pt idx="111">
                    <c:v>1,22</c:v>
                  </c:pt>
                  <c:pt idx="112">
                    <c:v>1,22</c:v>
                  </c:pt>
                  <c:pt idx="113">
                    <c:v>1,2</c:v>
                  </c:pt>
                  <c:pt idx="114">
                    <c:v>1,22</c:v>
                  </c:pt>
                  <c:pt idx="115">
                    <c:v>1,22</c:v>
                  </c:pt>
                  <c:pt idx="116">
                    <c:v>1,22</c:v>
                  </c:pt>
                  <c:pt idx="117">
                    <c:v>1,22</c:v>
                  </c:pt>
                  <c:pt idx="118">
                    <c:v>1,22</c:v>
                  </c:pt>
                  <c:pt idx="119">
                    <c:v>1,22</c:v>
                  </c:pt>
                  <c:pt idx="120">
                    <c:v>1,22</c:v>
                  </c:pt>
                  <c:pt idx="121">
                    <c:v>1,22</c:v>
                  </c:pt>
                  <c:pt idx="122">
                    <c:v>1</c:v>
                  </c:pt>
                  <c:pt idx="123">
                    <c:v>1</c:v>
                  </c:pt>
                  <c:pt idx="124">
                    <c:v>1,22</c:v>
                  </c:pt>
                  <c:pt idx="125">
                    <c:v>1,22</c:v>
                  </c:pt>
                  <c:pt idx="126">
                    <c:v>1,22</c:v>
                  </c:pt>
                  <c:pt idx="127">
                    <c:v>1,22</c:v>
                  </c:pt>
                  <c:pt idx="128">
                    <c:v>1,22</c:v>
                  </c:pt>
                  <c:pt idx="129">
                    <c:v>1,22</c:v>
                  </c:pt>
                  <c:pt idx="130">
                    <c:v>1,22</c:v>
                  </c:pt>
                  <c:pt idx="131">
                    <c:v>1,22</c:v>
                  </c:pt>
                  <c:pt idx="132">
                    <c:v>1,22</c:v>
                  </c:pt>
                  <c:pt idx="133">
                    <c:v>1,22</c:v>
                  </c:pt>
                  <c:pt idx="134">
                    <c:v>1,22</c:v>
                  </c:pt>
                  <c:pt idx="135">
                    <c:v>1,22</c:v>
                  </c:pt>
                  <c:pt idx="136">
                    <c:v>1,22</c:v>
                  </c:pt>
                  <c:pt idx="137">
                    <c:v>1,22</c:v>
                  </c:pt>
                  <c:pt idx="138">
                    <c:v>1,22</c:v>
                  </c:pt>
                  <c:pt idx="139">
                    <c:v>1,22</c:v>
                  </c:pt>
                  <c:pt idx="140">
                    <c:v>1,22</c:v>
                  </c:pt>
                  <c:pt idx="141">
                    <c:v>1,22</c:v>
                  </c:pt>
                  <c:pt idx="142">
                    <c:v>1,22</c:v>
                  </c:pt>
                  <c:pt idx="143">
                    <c:v>1,22</c:v>
                  </c:pt>
                  <c:pt idx="144">
                    <c:v>1,22</c:v>
                  </c:pt>
                  <c:pt idx="145">
                    <c:v>1,22</c:v>
                  </c:pt>
                  <c:pt idx="146">
                    <c:v>1,22</c:v>
                  </c:pt>
                  <c:pt idx="147">
                    <c:v>1,22</c:v>
                  </c:pt>
                  <c:pt idx="148">
                    <c:v>1,22</c:v>
                  </c:pt>
                  <c:pt idx="149">
                    <c:v>1,22</c:v>
                  </c:pt>
                  <c:pt idx="150">
                    <c:v>1,22</c:v>
                  </c:pt>
                  <c:pt idx="151">
                    <c:v>1,22</c:v>
                  </c:pt>
                  <c:pt idx="152">
                    <c:v>1,22</c:v>
                  </c:pt>
                  <c:pt idx="153">
                    <c:v>1,22</c:v>
                  </c:pt>
                  <c:pt idx="154">
                    <c:v>1,22</c:v>
                  </c:pt>
                  <c:pt idx="155">
                    <c:v>1,22</c:v>
                  </c:pt>
                  <c:pt idx="156">
                    <c:v>1,22</c:v>
                  </c:pt>
                  <c:pt idx="157">
                    <c:v>1,22</c:v>
                  </c:pt>
                  <c:pt idx="158">
                    <c:v>1,22</c:v>
                  </c:pt>
                  <c:pt idx="159">
                    <c:v>1,22</c:v>
                  </c:pt>
                  <c:pt idx="160">
                    <c:v>1,22</c:v>
                  </c:pt>
                  <c:pt idx="161">
                    <c:v>1</c:v>
                  </c:pt>
                  <c:pt idx="162">
                    <c:v>1,22</c:v>
                  </c:pt>
                  <c:pt idx="163">
                    <c:v>1,22</c:v>
                  </c:pt>
                  <c:pt idx="164">
                    <c:v>1,22</c:v>
                  </c:pt>
                  <c:pt idx="165">
                    <c:v>1</c:v>
                  </c:pt>
                  <c:pt idx="166">
                    <c:v>1,22</c:v>
                  </c:pt>
                  <c:pt idx="167">
                    <c:v>1,22</c:v>
                  </c:pt>
                  <c:pt idx="168">
                    <c:v>1,22</c:v>
                  </c:pt>
                  <c:pt idx="169">
                    <c:v>1,22</c:v>
                  </c:pt>
                  <c:pt idx="170">
                    <c:v>1</c:v>
                  </c:pt>
                  <c:pt idx="171">
                    <c:v>1,22</c:v>
                  </c:pt>
                  <c:pt idx="172">
                    <c:v>1,22</c:v>
                  </c:pt>
                  <c:pt idx="173">
                    <c:v>1</c:v>
                  </c:pt>
                  <c:pt idx="174">
                    <c:v>1,22</c:v>
                  </c:pt>
                  <c:pt idx="175">
                    <c:v>1,22</c:v>
                  </c:pt>
                  <c:pt idx="176">
                    <c:v>1,22</c:v>
                  </c:pt>
                  <c:pt idx="177">
                    <c:v>1,22</c:v>
                  </c:pt>
                  <c:pt idx="178">
                    <c:v>1,22</c:v>
                  </c:pt>
                  <c:pt idx="179">
                    <c:v>1,22</c:v>
                  </c:pt>
                  <c:pt idx="180">
                    <c:v>1,22</c:v>
                  </c:pt>
                  <c:pt idx="181">
                    <c:v>1,22</c:v>
                  </c:pt>
                  <c:pt idx="182">
                    <c:v>1,22</c:v>
                  </c:pt>
                  <c:pt idx="183">
                    <c:v>1,22</c:v>
                  </c:pt>
                  <c:pt idx="184">
                    <c:v>1,22</c:v>
                  </c:pt>
                  <c:pt idx="185">
                    <c:v>1,22</c:v>
                  </c:pt>
                  <c:pt idx="186">
                    <c:v>1,22</c:v>
                  </c:pt>
                  <c:pt idx="187">
                    <c:v>1,22</c:v>
                  </c:pt>
                  <c:pt idx="188">
                    <c:v>1,22</c:v>
                  </c:pt>
                  <c:pt idx="189">
                    <c:v>1,22</c:v>
                  </c:pt>
                  <c:pt idx="190">
                    <c:v>1,22</c:v>
                  </c:pt>
                  <c:pt idx="191">
                    <c:v>1,22</c:v>
                  </c:pt>
                  <c:pt idx="192">
                    <c:v>1,22</c:v>
                  </c:pt>
                  <c:pt idx="193">
                    <c:v>1,22</c:v>
                  </c:pt>
                  <c:pt idx="194">
                    <c:v>1,22</c:v>
                  </c:pt>
                  <c:pt idx="195">
                    <c:v>1,22</c:v>
                  </c:pt>
                  <c:pt idx="196">
                    <c:v>1,22</c:v>
                  </c:pt>
                  <c:pt idx="197">
                    <c:v>1,22</c:v>
                  </c:pt>
                  <c:pt idx="198">
                    <c:v>1,22</c:v>
                  </c:pt>
                  <c:pt idx="199">
                    <c:v>1,22</c:v>
                  </c:pt>
                  <c:pt idx="200">
                    <c:v>1,22</c:v>
                  </c:pt>
                  <c:pt idx="201">
                    <c:v>1,22</c:v>
                  </c:pt>
                  <c:pt idx="202">
                    <c:v>1,22</c:v>
                  </c:pt>
                  <c:pt idx="203">
                    <c:v>1,22</c:v>
                  </c:pt>
                  <c:pt idx="204">
                    <c:v>1,22</c:v>
                  </c:pt>
                  <c:pt idx="205">
                    <c:v>1,22</c:v>
                  </c:pt>
                  <c:pt idx="206">
                    <c:v>1,22</c:v>
                  </c:pt>
                  <c:pt idx="207">
                    <c:v>1,22</c:v>
                  </c:pt>
                  <c:pt idx="208">
                    <c:v>1,22</c:v>
                  </c:pt>
                  <c:pt idx="209">
                    <c:v>1,22</c:v>
                  </c:pt>
                  <c:pt idx="210">
                    <c:v>1,22</c:v>
                  </c:pt>
                  <c:pt idx="211">
                    <c:v>1,22</c:v>
                  </c:pt>
                  <c:pt idx="212">
                    <c:v>1,22</c:v>
                  </c:pt>
                  <c:pt idx="213">
                    <c:v>1,22</c:v>
                  </c:pt>
                  <c:pt idx="214">
                    <c:v>1,22</c:v>
                  </c:pt>
                  <c:pt idx="215">
                    <c:v>1,22</c:v>
                  </c:pt>
                  <c:pt idx="216">
                    <c:v>1</c:v>
                  </c:pt>
                  <c:pt idx="217">
                    <c:v>1</c:v>
                  </c:pt>
                  <c:pt idx="218">
                    <c:v>1,22</c:v>
                  </c:pt>
                  <c:pt idx="219">
                    <c:v>1,22</c:v>
                  </c:pt>
                  <c:pt idx="220">
                    <c:v>1,22</c:v>
                  </c:pt>
                  <c:pt idx="221">
                    <c:v>1,22</c:v>
                  </c:pt>
                  <c:pt idx="222">
                    <c:v>1,22</c:v>
                  </c:pt>
                  <c:pt idx="223">
                    <c:v>1,22</c:v>
                  </c:pt>
                  <c:pt idx="224">
                    <c:v>1,22</c:v>
                  </c:pt>
                  <c:pt idx="225">
                    <c:v>1,22</c:v>
                  </c:pt>
                  <c:pt idx="226">
                    <c:v>1,22</c:v>
                  </c:pt>
                  <c:pt idx="227">
                    <c:v>1,22</c:v>
                  </c:pt>
                  <c:pt idx="228">
                    <c:v>1</c:v>
                  </c:pt>
                  <c:pt idx="229">
                    <c:v>1,22</c:v>
                  </c:pt>
                  <c:pt idx="230">
                    <c:v>1,22</c:v>
                  </c:pt>
                  <c:pt idx="231">
                    <c:v>1,22</c:v>
                  </c:pt>
                  <c:pt idx="232">
                    <c:v>1,22</c:v>
                  </c:pt>
                  <c:pt idx="233">
                    <c:v>1,22</c:v>
                  </c:pt>
                  <c:pt idx="234">
                    <c:v>1,22</c:v>
                  </c:pt>
                  <c:pt idx="235">
                    <c:v>1,22</c:v>
                  </c:pt>
                  <c:pt idx="236">
                    <c:v>1,22</c:v>
                  </c:pt>
                  <c:pt idx="237">
                    <c:v>1,22</c:v>
                  </c:pt>
                  <c:pt idx="238">
                    <c:v>1,22</c:v>
                  </c:pt>
                  <c:pt idx="239">
                    <c:v>1,22</c:v>
                  </c:pt>
                  <c:pt idx="240">
                    <c:v>1,22</c:v>
                  </c:pt>
                  <c:pt idx="241">
                    <c:v>1,22</c:v>
                  </c:pt>
                  <c:pt idx="242">
                    <c:v>1,22</c:v>
                  </c:pt>
                  <c:pt idx="243">
                    <c:v>1,22</c:v>
                  </c:pt>
                  <c:pt idx="244">
                    <c:v>1,22</c:v>
                  </c:pt>
                  <c:pt idx="245">
                    <c:v>1,22</c:v>
                  </c:pt>
                  <c:pt idx="246">
                    <c:v>1,22</c:v>
                  </c:pt>
                  <c:pt idx="247">
                    <c:v>1</c:v>
                  </c:pt>
                  <c:pt idx="248">
                    <c:v>1,22</c:v>
                  </c:pt>
                  <c:pt idx="249">
                    <c:v>1,22</c:v>
                  </c:pt>
                  <c:pt idx="250">
                    <c:v>1,22</c:v>
                  </c:pt>
                  <c:pt idx="251">
                    <c:v>1</c:v>
                  </c:pt>
                  <c:pt idx="252">
                    <c:v>1,22</c:v>
                  </c:pt>
                  <c:pt idx="253">
                    <c:v>1,22</c:v>
                  </c:pt>
                  <c:pt idx="254">
                    <c:v>1,22</c:v>
                  </c:pt>
                  <c:pt idx="255">
                    <c:v>1,22</c:v>
                  </c:pt>
                  <c:pt idx="256">
                    <c:v>1,22</c:v>
                  </c:pt>
                  <c:pt idx="257">
                    <c:v>1,22</c:v>
                  </c:pt>
                  <c:pt idx="258">
                    <c:v>1,22</c:v>
                  </c:pt>
                  <c:pt idx="259">
                    <c:v>1,22</c:v>
                  </c:pt>
                  <c:pt idx="260">
                    <c:v>1,22</c:v>
                  </c:pt>
                  <c:pt idx="261">
                    <c:v>1,22</c:v>
                  </c:pt>
                  <c:pt idx="262">
                    <c:v>1,22</c:v>
                  </c:pt>
                  <c:pt idx="263">
                    <c:v>1</c:v>
                  </c:pt>
                  <c:pt idx="264">
                    <c:v>1</c:v>
                  </c:pt>
                  <c:pt idx="265">
                    <c:v>1</c:v>
                  </c:pt>
                  <c:pt idx="266">
                    <c:v>1</c:v>
                  </c:pt>
                  <c:pt idx="267">
                    <c:v>1</c:v>
                  </c:pt>
                  <c:pt idx="268">
                    <c:v>1,22</c:v>
                  </c:pt>
                  <c:pt idx="269">
                    <c:v>1,22</c:v>
                  </c:pt>
                  <c:pt idx="270">
                    <c:v>1,22</c:v>
                  </c:pt>
                  <c:pt idx="271">
                    <c:v>1,22</c:v>
                  </c:pt>
                  <c:pt idx="272">
                    <c:v>1,22</c:v>
                  </c:pt>
                  <c:pt idx="273">
                    <c:v>1</c:v>
                  </c:pt>
                  <c:pt idx="274">
                    <c:v>1,22</c:v>
                  </c:pt>
                  <c:pt idx="275">
                    <c:v>1,22</c:v>
                  </c:pt>
                  <c:pt idx="276">
                    <c:v>1,22</c:v>
                  </c:pt>
                  <c:pt idx="277">
                    <c:v>1,22</c:v>
                  </c:pt>
                  <c:pt idx="278">
                    <c:v>1,22</c:v>
                  </c:pt>
                  <c:pt idx="279">
                    <c:v>1,22</c:v>
                  </c:pt>
                  <c:pt idx="280">
                    <c:v>1,22</c:v>
                  </c:pt>
                  <c:pt idx="281">
                    <c:v>1,22</c:v>
                  </c:pt>
                  <c:pt idx="282">
                    <c:v>1,22</c:v>
                  </c:pt>
                  <c:pt idx="283">
                    <c:v>1,22</c:v>
                  </c:pt>
                  <c:pt idx="284">
                    <c:v>1,22</c:v>
                  </c:pt>
                  <c:pt idx="285">
                    <c:v>1,22</c:v>
                  </c:pt>
                  <c:pt idx="286">
                    <c:v>1,22</c:v>
                  </c:pt>
                  <c:pt idx="287">
                    <c:v>1,22</c:v>
                  </c:pt>
                  <c:pt idx="288">
                    <c:v>1,22</c:v>
                  </c:pt>
                  <c:pt idx="289">
                    <c:v>1,22</c:v>
                  </c:pt>
                  <c:pt idx="290">
                    <c:v>1,22</c:v>
                  </c:pt>
                  <c:pt idx="291">
                    <c:v>1,22</c:v>
                  </c:pt>
                  <c:pt idx="292">
                    <c:v>1,22</c:v>
                  </c:pt>
                  <c:pt idx="293">
                    <c:v>1,22</c:v>
                  </c:pt>
                  <c:pt idx="294">
                    <c:v>1,22</c:v>
                  </c:pt>
                  <c:pt idx="295">
                    <c:v>1,22</c:v>
                  </c:pt>
                  <c:pt idx="296">
                    <c:v>1,22</c:v>
                  </c:pt>
                  <c:pt idx="297">
                    <c:v>1,22</c:v>
                  </c:pt>
                  <c:pt idx="298">
                    <c:v>1,22</c:v>
                  </c:pt>
                  <c:pt idx="299">
                    <c:v>1</c:v>
                  </c:pt>
                  <c:pt idx="300">
                    <c:v>1</c:v>
                  </c:pt>
                  <c:pt idx="301">
                    <c:v>1</c:v>
                  </c:pt>
                  <c:pt idx="302">
                    <c:v>1</c:v>
                  </c:pt>
                  <c:pt idx="303">
                    <c:v>1</c:v>
                  </c:pt>
                  <c:pt idx="304">
                    <c:v>1</c:v>
                  </c:pt>
                  <c:pt idx="305">
                    <c:v>1</c:v>
                  </c:pt>
                  <c:pt idx="306">
                    <c:v>1</c:v>
                  </c:pt>
                  <c:pt idx="307">
                    <c:v>1</c:v>
                  </c:pt>
                  <c:pt idx="308">
                    <c:v>1</c:v>
                  </c:pt>
                  <c:pt idx="309">
                    <c:v>1,22</c:v>
                  </c:pt>
                  <c:pt idx="310">
                    <c:v>1,22</c:v>
                  </c:pt>
                  <c:pt idx="311">
                    <c:v>1,22</c:v>
                  </c:pt>
                  <c:pt idx="312">
                    <c:v>1,22</c:v>
                  </c:pt>
                  <c:pt idx="313">
                    <c:v>1,22</c:v>
                  </c:pt>
                  <c:pt idx="314">
                    <c:v>1,22</c:v>
                  </c:pt>
                  <c:pt idx="315">
                    <c:v>1,22</c:v>
                  </c:pt>
                  <c:pt idx="316">
                    <c:v>1</c:v>
                  </c:pt>
                  <c:pt idx="317">
                    <c:v>1,22</c:v>
                  </c:pt>
                  <c:pt idx="318">
                    <c:v>1</c:v>
                  </c:pt>
                  <c:pt idx="319">
                    <c:v>1</c:v>
                  </c:pt>
                  <c:pt idx="320">
                    <c:v>1,22</c:v>
                  </c:pt>
                  <c:pt idx="321">
                    <c:v>1,22</c:v>
                  </c:pt>
                  <c:pt idx="322">
                    <c:v>1,22</c:v>
                  </c:pt>
                  <c:pt idx="323">
                    <c:v>1,22</c:v>
                  </c:pt>
                  <c:pt idx="324">
                    <c:v>1,22</c:v>
                  </c:pt>
                  <c:pt idx="325">
                    <c:v>1,22</c:v>
                  </c:pt>
                  <c:pt idx="326">
                    <c:v>1,22</c:v>
                  </c:pt>
                  <c:pt idx="327">
                    <c:v>1</c:v>
                  </c:pt>
                  <c:pt idx="328">
                    <c:v>1,22</c:v>
                  </c:pt>
                  <c:pt idx="329">
                    <c:v>1,22</c:v>
                  </c:pt>
                  <c:pt idx="330">
                    <c:v>1,22</c:v>
                  </c:pt>
                  <c:pt idx="331">
                    <c:v>1,22</c:v>
                  </c:pt>
                  <c:pt idx="332">
                    <c:v>1,22</c:v>
                  </c:pt>
                  <c:pt idx="333">
                    <c:v>1,22</c:v>
                  </c:pt>
                  <c:pt idx="334">
                    <c:v>1,22</c:v>
                  </c:pt>
                  <c:pt idx="335">
                    <c:v>1,22</c:v>
                  </c:pt>
                  <c:pt idx="336">
                    <c:v>1,22</c:v>
                  </c:pt>
                  <c:pt idx="337">
                    <c:v>1,22</c:v>
                  </c:pt>
                  <c:pt idx="338">
                    <c:v>1,22</c:v>
                  </c:pt>
                  <c:pt idx="339">
                    <c:v>1,22</c:v>
                  </c:pt>
                  <c:pt idx="340">
                    <c:v>1,22</c:v>
                  </c:pt>
                  <c:pt idx="341">
                    <c:v>1,22</c:v>
                  </c:pt>
                  <c:pt idx="342">
                    <c:v>1,22</c:v>
                  </c:pt>
                  <c:pt idx="343">
                    <c:v>1,22</c:v>
                  </c:pt>
                  <c:pt idx="344">
                    <c:v>1,22</c:v>
                  </c:pt>
                  <c:pt idx="345">
                    <c:v>1,22</c:v>
                  </c:pt>
                  <c:pt idx="346">
                    <c:v>1,22</c:v>
                  </c:pt>
                  <c:pt idx="347">
                    <c:v>1,22</c:v>
                  </c:pt>
                  <c:pt idx="348">
                    <c:v>1,22</c:v>
                  </c:pt>
                  <c:pt idx="349">
                    <c:v>1,22</c:v>
                  </c:pt>
                  <c:pt idx="350">
                    <c:v>1,22</c:v>
                  </c:pt>
                  <c:pt idx="351">
                    <c:v>1,22</c:v>
                  </c:pt>
                  <c:pt idx="352">
                    <c:v>1,22</c:v>
                  </c:pt>
                  <c:pt idx="353">
                    <c:v>1,22</c:v>
                  </c:pt>
                  <c:pt idx="354">
                    <c:v>1,22</c:v>
                  </c:pt>
                  <c:pt idx="355">
                    <c:v>1,22</c:v>
                  </c:pt>
                  <c:pt idx="356">
                    <c:v>1</c:v>
                  </c:pt>
                  <c:pt idx="357">
                    <c:v>1,22</c:v>
                  </c:pt>
                  <c:pt idx="358">
                    <c:v>1,22</c:v>
                  </c:pt>
                  <c:pt idx="359">
                    <c:v>1,22</c:v>
                  </c:pt>
                  <c:pt idx="360">
                    <c:v>1,22</c:v>
                  </c:pt>
                  <c:pt idx="361">
                    <c:v>1,22</c:v>
                  </c:pt>
                  <c:pt idx="362">
                    <c:v>1,22</c:v>
                  </c:pt>
                  <c:pt idx="363">
                    <c:v>1,22</c:v>
                  </c:pt>
                  <c:pt idx="364">
                    <c:v>1,22</c:v>
                  </c:pt>
                  <c:pt idx="365">
                    <c:v>1,22</c:v>
                  </c:pt>
                  <c:pt idx="366">
                    <c:v>1,22</c:v>
                  </c:pt>
                  <c:pt idx="367">
                    <c:v>1,22</c:v>
                  </c:pt>
                  <c:pt idx="368">
                    <c:v>1,22</c:v>
                  </c:pt>
                  <c:pt idx="369">
                    <c:v>1,22</c:v>
                  </c:pt>
                  <c:pt idx="370">
                    <c:v>1,22</c:v>
                  </c:pt>
                  <c:pt idx="371">
                    <c:v>1,22</c:v>
                  </c:pt>
                  <c:pt idx="372">
                    <c:v>1,22</c:v>
                  </c:pt>
                  <c:pt idx="373">
                    <c:v>1,22</c:v>
                  </c:pt>
                  <c:pt idx="374">
                    <c:v>1,22</c:v>
                  </c:pt>
                  <c:pt idx="375">
                    <c:v>1,22</c:v>
                  </c:pt>
                  <c:pt idx="376">
                    <c:v>1,22</c:v>
                  </c:pt>
                  <c:pt idx="377">
                    <c:v>1,22</c:v>
                  </c:pt>
                  <c:pt idx="378">
                    <c:v>1,22</c:v>
                  </c:pt>
                  <c:pt idx="379">
                    <c:v>1,22</c:v>
                  </c:pt>
                  <c:pt idx="380">
                    <c:v>1,22</c:v>
                  </c:pt>
                  <c:pt idx="381">
                    <c:v>1,22</c:v>
                  </c:pt>
                  <c:pt idx="382">
                    <c:v>1,22</c:v>
                  </c:pt>
                  <c:pt idx="383">
                    <c:v>1</c:v>
                  </c:pt>
                  <c:pt idx="384">
                    <c:v>1</c:v>
                  </c:pt>
                  <c:pt idx="385">
                    <c:v>1,22</c:v>
                  </c:pt>
                  <c:pt idx="386">
                    <c:v>1,22</c:v>
                  </c:pt>
                  <c:pt idx="387">
                    <c:v>1,22</c:v>
                  </c:pt>
                  <c:pt idx="388">
                    <c:v>1,22</c:v>
                  </c:pt>
                  <c:pt idx="389">
                    <c:v>1,22</c:v>
                  </c:pt>
                  <c:pt idx="390">
                    <c:v>1,22</c:v>
                  </c:pt>
                  <c:pt idx="391">
                    <c:v>1,22</c:v>
                  </c:pt>
                  <c:pt idx="392">
                    <c:v>1,22</c:v>
                  </c:pt>
                  <c:pt idx="393">
                    <c:v>1,22</c:v>
                  </c:pt>
                  <c:pt idx="394">
                    <c:v>1,22</c:v>
                  </c:pt>
                  <c:pt idx="395">
                    <c:v>1,22</c:v>
                  </c:pt>
                  <c:pt idx="396">
                    <c:v>1,22</c:v>
                  </c:pt>
                  <c:pt idx="397">
                    <c:v>1,22</c:v>
                  </c:pt>
                  <c:pt idx="398">
                    <c:v>1,22</c:v>
                  </c:pt>
                  <c:pt idx="399">
                    <c:v>1,22</c:v>
                  </c:pt>
                  <c:pt idx="400">
                    <c:v>1,22</c:v>
                  </c:pt>
                  <c:pt idx="401">
                    <c:v>1,22</c:v>
                  </c:pt>
                  <c:pt idx="402">
                    <c:v>1,22</c:v>
                  </c:pt>
                  <c:pt idx="403">
                    <c:v>1,22</c:v>
                  </c:pt>
                  <c:pt idx="404">
                    <c:v>1,22</c:v>
                  </c:pt>
                  <c:pt idx="405">
                    <c:v>1,22</c:v>
                  </c:pt>
                  <c:pt idx="406">
                    <c:v>1,22</c:v>
                  </c:pt>
                  <c:pt idx="407">
                    <c:v>1,22</c:v>
                  </c:pt>
                  <c:pt idx="408">
                    <c:v>1,22</c:v>
                  </c:pt>
                  <c:pt idx="409">
                    <c:v>1,22</c:v>
                  </c:pt>
                  <c:pt idx="410">
                    <c:v>1,22</c:v>
                  </c:pt>
                  <c:pt idx="411">
                    <c:v>1,22</c:v>
                  </c:pt>
                  <c:pt idx="412">
                    <c:v>1,22</c:v>
                  </c:pt>
                  <c:pt idx="413">
                    <c:v>1,22</c:v>
                  </c:pt>
                  <c:pt idx="414">
                    <c:v>1,22</c:v>
                  </c:pt>
                  <c:pt idx="415">
                    <c:v>1,22</c:v>
                  </c:pt>
                  <c:pt idx="416">
                    <c:v>1</c:v>
                  </c:pt>
                  <c:pt idx="417">
                    <c:v>1</c:v>
                  </c:pt>
                  <c:pt idx="418">
                    <c:v>1,22</c:v>
                  </c:pt>
                  <c:pt idx="419">
                    <c:v>1</c:v>
                  </c:pt>
                  <c:pt idx="420">
                    <c:v>1</c:v>
                  </c:pt>
                  <c:pt idx="421">
                    <c:v>1,22</c:v>
                  </c:pt>
                  <c:pt idx="422">
                    <c:v>1,22</c:v>
                  </c:pt>
                  <c:pt idx="423">
                    <c:v>1,22</c:v>
                  </c:pt>
                  <c:pt idx="424">
                    <c:v>1,2</c:v>
                  </c:pt>
                  <c:pt idx="425">
                    <c:v>1,2</c:v>
                  </c:pt>
                  <c:pt idx="426">
                    <c:v>1,2</c:v>
                  </c:pt>
                  <c:pt idx="427">
                    <c:v>1,2</c:v>
                  </c:pt>
                  <c:pt idx="428">
                    <c:v>1,22</c:v>
                  </c:pt>
                  <c:pt idx="429">
                    <c:v>1,22</c:v>
                  </c:pt>
                  <c:pt idx="430">
                    <c:v>1,22</c:v>
                  </c:pt>
                  <c:pt idx="431">
                    <c:v>1,22</c:v>
                  </c:pt>
                  <c:pt idx="432">
                    <c:v>1,22</c:v>
                  </c:pt>
                  <c:pt idx="433">
                    <c:v>1,22</c:v>
                  </c:pt>
                  <c:pt idx="434">
                    <c:v>1,22</c:v>
                  </c:pt>
                  <c:pt idx="435">
                    <c:v>1,22</c:v>
                  </c:pt>
                  <c:pt idx="436">
                    <c:v>1,22</c:v>
                  </c:pt>
                  <c:pt idx="437">
                    <c:v>1,22</c:v>
                  </c:pt>
                  <c:pt idx="438">
                    <c:v>1,22</c:v>
                  </c:pt>
                  <c:pt idx="439">
                    <c:v>1,22</c:v>
                  </c:pt>
                  <c:pt idx="440">
                    <c:v>1,22</c:v>
                  </c:pt>
                  <c:pt idx="441">
                    <c:v>1,22</c:v>
                  </c:pt>
                  <c:pt idx="442">
                    <c:v>1,22</c:v>
                  </c:pt>
                  <c:pt idx="443">
                    <c:v>1,22</c:v>
                  </c:pt>
                  <c:pt idx="444">
                    <c:v>1,22</c:v>
                  </c:pt>
                  <c:pt idx="445">
                    <c:v>1,22</c:v>
                  </c:pt>
                  <c:pt idx="446">
                    <c:v>1,22</c:v>
                  </c:pt>
                  <c:pt idx="447">
                    <c:v>1,22</c:v>
                  </c:pt>
                  <c:pt idx="448">
                    <c:v>1,22</c:v>
                  </c:pt>
                  <c:pt idx="449">
                    <c:v>1,22</c:v>
                  </c:pt>
                  <c:pt idx="450">
                    <c:v>1,22</c:v>
                  </c:pt>
                  <c:pt idx="451">
                    <c:v>1,22</c:v>
                  </c:pt>
                  <c:pt idx="452">
                    <c:v>1,22</c:v>
                  </c:pt>
                  <c:pt idx="453">
                    <c:v>1,22</c:v>
                  </c:pt>
                  <c:pt idx="454">
                    <c:v>1,22</c:v>
                  </c:pt>
                  <c:pt idx="455">
                    <c:v>1,22</c:v>
                  </c:pt>
                  <c:pt idx="456">
                    <c:v>1,22</c:v>
                  </c:pt>
                  <c:pt idx="457">
                    <c:v>1,22</c:v>
                  </c:pt>
                  <c:pt idx="458">
                    <c:v>1,22</c:v>
                  </c:pt>
                  <c:pt idx="459">
                    <c:v>1,22</c:v>
                  </c:pt>
                  <c:pt idx="460">
                    <c:v>1,22</c:v>
                  </c:pt>
                  <c:pt idx="461">
                    <c:v>1,22</c:v>
                  </c:pt>
                  <c:pt idx="462">
                    <c:v>1</c:v>
                  </c:pt>
                  <c:pt idx="463">
                    <c:v>1,22</c:v>
                  </c:pt>
                  <c:pt idx="464">
                    <c:v>1,22</c:v>
                  </c:pt>
                  <c:pt idx="465">
                    <c:v>1,22</c:v>
                  </c:pt>
                  <c:pt idx="466">
                    <c:v>1,22</c:v>
                  </c:pt>
                  <c:pt idx="467">
                    <c:v>1,22</c:v>
                  </c:pt>
                  <c:pt idx="468">
                    <c:v>1,22</c:v>
                  </c:pt>
                  <c:pt idx="469">
                    <c:v>1,22</c:v>
                  </c:pt>
                  <c:pt idx="470">
                    <c:v>1,22</c:v>
                  </c:pt>
                  <c:pt idx="471">
                    <c:v>1,22</c:v>
                  </c:pt>
                  <c:pt idx="472">
                    <c:v>1,22</c:v>
                  </c:pt>
                  <c:pt idx="473">
                    <c:v>1,22</c:v>
                  </c:pt>
                  <c:pt idx="474">
                    <c:v>1</c:v>
                  </c:pt>
                  <c:pt idx="475">
                    <c:v>1</c:v>
                  </c:pt>
                  <c:pt idx="476">
                    <c:v>1,22</c:v>
                  </c:pt>
                  <c:pt idx="477">
                    <c:v>1,22</c:v>
                  </c:pt>
                  <c:pt idx="478">
                    <c:v>1,22</c:v>
                  </c:pt>
                  <c:pt idx="479">
                    <c:v>1,22</c:v>
                  </c:pt>
                  <c:pt idx="480">
                    <c:v>1,22</c:v>
                  </c:pt>
                  <c:pt idx="481">
                    <c:v>1,22</c:v>
                  </c:pt>
                  <c:pt idx="482">
                    <c:v>1,22</c:v>
                  </c:pt>
                  <c:pt idx="483">
                    <c:v>1,22</c:v>
                  </c:pt>
                  <c:pt idx="484">
                    <c:v>1,22</c:v>
                  </c:pt>
                  <c:pt idx="486">
                    <c:v>1,22</c:v>
                  </c:pt>
                  <c:pt idx="487">
                    <c:v>1,22</c:v>
                  </c:pt>
                  <c:pt idx="488">
                    <c:v>1,22</c:v>
                  </c:pt>
                  <c:pt idx="489">
                    <c:v>1,22</c:v>
                  </c:pt>
                  <c:pt idx="490">
                    <c:v>1,22</c:v>
                  </c:pt>
                  <c:pt idx="491">
                    <c:v>1,22</c:v>
                  </c:pt>
                  <c:pt idx="492">
                    <c:v>1,22</c:v>
                  </c:pt>
                  <c:pt idx="493">
                    <c:v>1,22</c:v>
                  </c:pt>
                  <c:pt idx="495">
                    <c:v>1</c:v>
                  </c:pt>
                  <c:pt idx="496">
                    <c:v>1,22</c:v>
                  </c:pt>
                  <c:pt idx="497">
                    <c:v>1,22</c:v>
                  </c:pt>
                  <c:pt idx="498">
                    <c:v>1,22</c:v>
                  </c:pt>
                  <c:pt idx="499">
                    <c:v>1,22</c:v>
                  </c:pt>
                  <c:pt idx="500">
                    <c:v>1,22</c:v>
                  </c:pt>
                  <c:pt idx="501">
                    <c:v>1,22</c:v>
                  </c:pt>
                  <c:pt idx="502">
                    <c:v>1,22</c:v>
                  </c:pt>
                  <c:pt idx="503">
                    <c:v>1,22</c:v>
                  </c:pt>
                  <c:pt idx="504">
                    <c:v>1,22</c:v>
                  </c:pt>
                  <c:pt idx="505">
                    <c:v>1,22</c:v>
                  </c:pt>
                  <c:pt idx="506">
                    <c:v>1,22</c:v>
                  </c:pt>
                  <c:pt idx="507">
                    <c:v>1,22</c:v>
                  </c:pt>
                  <c:pt idx="508">
                    <c:v>1,22</c:v>
                  </c:pt>
                  <c:pt idx="509">
                    <c:v>1,22</c:v>
                  </c:pt>
                  <c:pt idx="510">
                    <c:v>1,22</c:v>
                  </c:pt>
                  <c:pt idx="511">
                    <c:v>1,22</c:v>
                  </c:pt>
                  <c:pt idx="512">
                    <c:v>1,22</c:v>
                  </c:pt>
                  <c:pt idx="513">
                    <c:v>1,22</c:v>
                  </c:pt>
                  <c:pt idx="514">
                    <c:v>1,22</c:v>
                  </c:pt>
                  <c:pt idx="515">
                    <c:v>1,22</c:v>
                  </c:pt>
                  <c:pt idx="516">
                    <c:v>1,22</c:v>
                  </c:pt>
                  <c:pt idx="517">
                    <c:v>1,22</c:v>
                  </c:pt>
                  <c:pt idx="518">
                    <c:v>1,22</c:v>
                  </c:pt>
                  <c:pt idx="519">
                    <c:v>1,22</c:v>
                  </c:pt>
                  <c:pt idx="520">
                    <c:v>1,22</c:v>
                  </c:pt>
                  <c:pt idx="521">
                    <c:v>1</c:v>
                  </c:pt>
                  <c:pt idx="522">
                    <c:v>1,22</c:v>
                  </c:pt>
                  <c:pt idx="524">
                    <c:v>1,22</c:v>
                  </c:pt>
                  <c:pt idx="525">
                    <c:v>1</c:v>
                  </c:pt>
                  <c:pt idx="526">
                    <c:v>1,22</c:v>
                  </c:pt>
                  <c:pt idx="527">
                    <c:v>1,22</c:v>
                  </c:pt>
                  <c:pt idx="528">
                    <c:v>1,22</c:v>
                  </c:pt>
                  <c:pt idx="529">
                    <c:v>1,22</c:v>
                  </c:pt>
                  <c:pt idx="530">
                    <c:v>1,22</c:v>
                  </c:pt>
                  <c:pt idx="531">
                    <c:v>1,22</c:v>
                  </c:pt>
                  <c:pt idx="532">
                    <c:v>1,22</c:v>
                  </c:pt>
                  <c:pt idx="534">
                    <c:v>1,22</c:v>
                  </c:pt>
                  <c:pt idx="535">
                    <c:v>1,22</c:v>
                  </c:pt>
                  <c:pt idx="536">
                    <c:v>1,22</c:v>
                  </c:pt>
                  <c:pt idx="537">
                    <c:v>1,22</c:v>
                  </c:pt>
                  <c:pt idx="538">
                    <c:v>1,22</c:v>
                  </c:pt>
                  <c:pt idx="539">
                    <c:v>1,22</c:v>
                  </c:pt>
                  <c:pt idx="540">
                    <c:v>1,22</c:v>
                  </c:pt>
                  <c:pt idx="541">
                    <c:v>1,22</c:v>
                  </c:pt>
                  <c:pt idx="542">
                    <c:v>1,22</c:v>
                  </c:pt>
                  <c:pt idx="543">
                    <c:v>1,22</c:v>
                  </c:pt>
                  <c:pt idx="544">
                    <c:v>1,22</c:v>
                  </c:pt>
                  <c:pt idx="545">
                    <c:v>1,22</c:v>
                  </c:pt>
                  <c:pt idx="546">
                    <c:v>1,22</c:v>
                  </c:pt>
                  <c:pt idx="547">
                    <c:v>1,22</c:v>
                  </c:pt>
                  <c:pt idx="548">
                    <c:v>1,22</c:v>
                  </c:pt>
                  <c:pt idx="549">
                    <c:v>1</c:v>
                  </c:pt>
                  <c:pt idx="552">
                    <c:v>1,22</c:v>
                  </c:pt>
                  <c:pt idx="553">
                    <c:v>1,22</c:v>
                  </c:pt>
                  <c:pt idx="554">
                    <c:v>1</c:v>
                  </c:pt>
                  <c:pt idx="555">
                    <c:v>1,22</c:v>
                  </c:pt>
                  <c:pt idx="556">
                    <c:v>1,22</c:v>
                  </c:pt>
                  <c:pt idx="557">
                    <c:v>1,22</c:v>
                  </c:pt>
                  <c:pt idx="558">
                    <c:v>1</c:v>
                  </c:pt>
                  <c:pt idx="559">
                    <c:v>1,22</c:v>
                  </c:pt>
                  <c:pt idx="560">
                    <c:v>1,22</c:v>
                  </c:pt>
                  <c:pt idx="561">
                    <c:v>1,22</c:v>
                  </c:pt>
                  <c:pt idx="562">
                    <c:v>1,22</c:v>
                  </c:pt>
                  <c:pt idx="563">
                    <c:v>1,22</c:v>
                  </c:pt>
                  <c:pt idx="564">
                    <c:v>1,22</c:v>
                  </c:pt>
                  <c:pt idx="565">
                    <c:v>1,22</c:v>
                  </c:pt>
                  <c:pt idx="566">
                    <c:v>1</c:v>
                  </c:pt>
                  <c:pt idx="567">
                    <c:v>1,22</c:v>
                  </c:pt>
                  <c:pt idx="568">
                    <c:v>1,22</c:v>
                  </c:pt>
                  <c:pt idx="569">
                    <c:v>1,22</c:v>
                  </c:pt>
                  <c:pt idx="570">
                    <c:v>1,22</c:v>
                  </c:pt>
                  <c:pt idx="571">
                    <c:v>1,22</c:v>
                  </c:pt>
                  <c:pt idx="572">
                    <c:v>1,22</c:v>
                  </c:pt>
                  <c:pt idx="573">
                    <c:v>1,22</c:v>
                  </c:pt>
                  <c:pt idx="574">
                    <c:v>1,22</c:v>
                  </c:pt>
                  <c:pt idx="575">
                    <c:v>1,22</c:v>
                  </c:pt>
                  <c:pt idx="576">
                    <c:v>1,22</c:v>
                  </c:pt>
                  <c:pt idx="577">
                    <c:v>1,22</c:v>
                  </c:pt>
                  <c:pt idx="579">
                    <c:v>1,22</c:v>
                  </c:pt>
                  <c:pt idx="580">
                    <c:v>1,22</c:v>
                  </c:pt>
                  <c:pt idx="582">
                    <c:v>1,22</c:v>
                  </c:pt>
                  <c:pt idx="583">
                    <c:v>1,22</c:v>
                  </c:pt>
                  <c:pt idx="584">
                    <c:v>1</c:v>
                  </c:pt>
                  <c:pt idx="585">
                    <c:v>1,22</c:v>
                  </c:pt>
                  <c:pt idx="586">
                    <c:v>1,22</c:v>
                  </c:pt>
                  <c:pt idx="587">
                    <c:v>1,22</c:v>
                  </c:pt>
                  <c:pt idx="588">
                    <c:v>1,22</c:v>
                  </c:pt>
                  <c:pt idx="589">
                    <c:v>1</c:v>
                  </c:pt>
                  <c:pt idx="590">
                    <c:v>1</c:v>
                  </c:pt>
                  <c:pt idx="591">
                    <c:v>1</c:v>
                  </c:pt>
                  <c:pt idx="592">
                    <c:v>1</c:v>
                  </c:pt>
                  <c:pt idx="593">
                    <c:v>1,22</c:v>
                  </c:pt>
                  <c:pt idx="594">
                    <c:v>1</c:v>
                  </c:pt>
                  <c:pt idx="595">
                    <c:v>1</c:v>
                  </c:pt>
                  <c:pt idx="596">
                    <c:v>1</c:v>
                  </c:pt>
                  <c:pt idx="597">
                    <c:v>1</c:v>
                  </c:pt>
                  <c:pt idx="598">
                    <c:v>1</c:v>
                  </c:pt>
                  <c:pt idx="599">
                    <c:v>1</c:v>
                  </c:pt>
                  <c:pt idx="600">
                    <c:v>1</c:v>
                  </c:pt>
                  <c:pt idx="601">
                    <c:v>1</c:v>
                  </c:pt>
                  <c:pt idx="602">
                    <c:v>1,12</c:v>
                  </c:pt>
                  <c:pt idx="603">
                    <c:v>1,12</c:v>
                  </c:pt>
                  <c:pt idx="604">
                    <c:v>1,22</c:v>
                  </c:pt>
                  <c:pt idx="605">
                    <c:v>1,22</c:v>
                  </c:pt>
                  <c:pt idx="606">
                    <c:v>1,22</c:v>
                  </c:pt>
                  <c:pt idx="607">
                    <c:v>1,22</c:v>
                  </c:pt>
                  <c:pt idx="608">
                    <c:v>1,22</c:v>
                  </c:pt>
                  <c:pt idx="609">
                    <c:v>1,22</c:v>
                  </c:pt>
                  <c:pt idx="610">
                    <c:v>1,22</c:v>
                  </c:pt>
                  <c:pt idx="611">
                    <c:v>1,22</c:v>
                  </c:pt>
                  <c:pt idx="612">
                    <c:v>1,22</c:v>
                  </c:pt>
                  <c:pt idx="613">
                    <c:v>1,22</c:v>
                  </c:pt>
                  <c:pt idx="614">
                    <c:v>1,22</c:v>
                  </c:pt>
                  <c:pt idx="615">
                    <c:v>1,22</c:v>
                  </c:pt>
                  <c:pt idx="616">
                    <c:v>1,22</c:v>
                  </c:pt>
                  <c:pt idx="617">
                    <c:v>1,22</c:v>
                  </c:pt>
                  <c:pt idx="618">
                    <c:v>1,22</c:v>
                  </c:pt>
                  <c:pt idx="619">
                    <c:v>1,22</c:v>
                  </c:pt>
                  <c:pt idx="620">
                    <c:v>1,22</c:v>
                  </c:pt>
                  <c:pt idx="621">
                    <c:v>1,22</c:v>
                  </c:pt>
                  <c:pt idx="622">
                    <c:v>1,22</c:v>
                  </c:pt>
                  <c:pt idx="623">
                    <c:v>1,22</c:v>
                  </c:pt>
                  <c:pt idx="624">
                    <c:v>1,22</c:v>
                  </c:pt>
                  <c:pt idx="625">
                    <c:v>1,22</c:v>
                  </c:pt>
                  <c:pt idx="626">
                    <c:v>1,22</c:v>
                  </c:pt>
                  <c:pt idx="627">
                    <c:v>1,22</c:v>
                  </c:pt>
                  <c:pt idx="628">
                    <c:v>1,22</c:v>
                  </c:pt>
                  <c:pt idx="629">
                    <c:v>1,22</c:v>
                  </c:pt>
                  <c:pt idx="630">
                    <c:v>1,22</c:v>
                  </c:pt>
                  <c:pt idx="631">
                    <c:v>1,22</c:v>
                  </c:pt>
                  <c:pt idx="632">
                    <c:v>1,22</c:v>
                  </c:pt>
                  <c:pt idx="633">
                    <c:v>1,22</c:v>
                  </c:pt>
                  <c:pt idx="634">
                    <c:v>1,22</c:v>
                  </c:pt>
                  <c:pt idx="635">
                    <c:v>1,22</c:v>
                  </c:pt>
                  <c:pt idx="636">
                    <c:v>1,22</c:v>
                  </c:pt>
                  <c:pt idx="637">
                    <c:v>1,22</c:v>
                  </c:pt>
                  <c:pt idx="638">
                    <c:v>1,22</c:v>
                  </c:pt>
                  <c:pt idx="639">
                    <c:v>1,22</c:v>
                  </c:pt>
                  <c:pt idx="640">
                    <c:v>1,22</c:v>
                  </c:pt>
                  <c:pt idx="641">
                    <c:v>1</c:v>
                  </c:pt>
                  <c:pt idx="642">
                    <c:v>1,22</c:v>
                  </c:pt>
                  <c:pt idx="643">
                    <c:v>1,22</c:v>
                  </c:pt>
                  <c:pt idx="644">
                    <c:v>1,22</c:v>
                  </c:pt>
                  <c:pt idx="645">
                    <c:v>1,22</c:v>
                  </c:pt>
                  <c:pt idx="646">
                    <c:v>1,22</c:v>
                  </c:pt>
                  <c:pt idx="647">
                    <c:v>1,22</c:v>
                  </c:pt>
                  <c:pt idx="648">
                    <c:v>1,22</c:v>
                  </c:pt>
                  <c:pt idx="649">
                    <c:v>1,22</c:v>
                  </c:pt>
                  <c:pt idx="650">
                    <c:v>1,22</c:v>
                  </c:pt>
                  <c:pt idx="651">
                    <c:v>1,22</c:v>
                  </c:pt>
                  <c:pt idx="652">
                    <c:v>1,22</c:v>
                  </c:pt>
                  <c:pt idx="653">
                    <c:v>1,22</c:v>
                  </c:pt>
                  <c:pt idx="654">
                    <c:v>1,22</c:v>
                  </c:pt>
                  <c:pt idx="655">
                    <c:v>1,22</c:v>
                  </c:pt>
                  <c:pt idx="656">
                    <c:v>1,22</c:v>
                  </c:pt>
                  <c:pt idx="657">
                    <c:v>1,22</c:v>
                  </c:pt>
                  <c:pt idx="658">
                    <c:v>1,22</c:v>
                  </c:pt>
                  <c:pt idx="659">
                    <c:v>1,22</c:v>
                  </c:pt>
                  <c:pt idx="660">
                    <c:v>1,22</c:v>
                  </c:pt>
                  <c:pt idx="661">
                    <c:v>1,22</c:v>
                  </c:pt>
                  <c:pt idx="662">
                    <c:v>1,22</c:v>
                  </c:pt>
                  <c:pt idx="663">
                    <c:v>1,22</c:v>
                  </c:pt>
                  <c:pt idx="664">
                    <c:v>1,22</c:v>
                  </c:pt>
                  <c:pt idx="665">
                    <c:v>1,22</c:v>
                  </c:pt>
                  <c:pt idx="666">
                    <c:v>1,22</c:v>
                  </c:pt>
                  <c:pt idx="667">
                    <c:v>1,22</c:v>
                  </c:pt>
                  <c:pt idx="668">
                    <c:v>1,22</c:v>
                  </c:pt>
                  <c:pt idx="670">
                    <c:v>1,22</c:v>
                  </c:pt>
                  <c:pt idx="671">
                    <c:v>1,22</c:v>
                  </c:pt>
                  <c:pt idx="672">
                    <c:v>1,22</c:v>
                  </c:pt>
                  <c:pt idx="673">
                    <c:v>1,22</c:v>
                  </c:pt>
                  <c:pt idx="674">
                    <c:v>1,22</c:v>
                  </c:pt>
                  <c:pt idx="675">
                    <c:v>1</c:v>
                  </c:pt>
                  <c:pt idx="676">
                    <c:v>1</c:v>
                  </c:pt>
                  <c:pt idx="677">
                    <c:v>1,22</c:v>
                  </c:pt>
                  <c:pt idx="678">
                    <c:v>1,22</c:v>
                  </c:pt>
                  <c:pt idx="679">
                    <c:v>1,22</c:v>
                  </c:pt>
                  <c:pt idx="680">
                    <c:v>1</c:v>
                  </c:pt>
                  <c:pt idx="681">
                    <c:v>1,22</c:v>
                  </c:pt>
                  <c:pt idx="682">
                    <c:v>1,22</c:v>
                  </c:pt>
                  <c:pt idx="683">
                    <c:v>1,22</c:v>
                  </c:pt>
                  <c:pt idx="684">
                    <c:v>1,22</c:v>
                  </c:pt>
                  <c:pt idx="685">
                    <c:v>1,22</c:v>
                  </c:pt>
                  <c:pt idx="687">
                    <c:v>1</c:v>
                  </c:pt>
                  <c:pt idx="688">
                    <c:v>1,22</c:v>
                  </c:pt>
                  <c:pt idx="689">
                    <c:v>1,22</c:v>
                  </c:pt>
                  <c:pt idx="690">
                    <c:v>1,22</c:v>
                  </c:pt>
                  <c:pt idx="691">
                    <c:v>1,22</c:v>
                  </c:pt>
                  <c:pt idx="692">
                    <c:v>1,22</c:v>
                  </c:pt>
                  <c:pt idx="693">
                    <c:v>1,22</c:v>
                  </c:pt>
                  <c:pt idx="694">
                    <c:v>1,22</c:v>
                  </c:pt>
                  <c:pt idx="695">
                    <c:v>1,22</c:v>
                  </c:pt>
                  <c:pt idx="696">
                    <c:v>1,22</c:v>
                  </c:pt>
                  <c:pt idx="697">
                    <c:v>1,22</c:v>
                  </c:pt>
                  <c:pt idx="698">
                    <c:v>1,22</c:v>
                  </c:pt>
                  <c:pt idx="699">
                    <c:v>1,22</c:v>
                  </c:pt>
                  <c:pt idx="700">
                    <c:v>1,22</c:v>
                  </c:pt>
                  <c:pt idx="701">
                    <c:v>1,22</c:v>
                  </c:pt>
                  <c:pt idx="702">
                    <c:v>1,22</c:v>
                  </c:pt>
                  <c:pt idx="703">
                    <c:v>1,22</c:v>
                  </c:pt>
                  <c:pt idx="704">
                    <c:v>1,22</c:v>
                  </c:pt>
                  <c:pt idx="705">
                    <c:v>1,22</c:v>
                  </c:pt>
                  <c:pt idx="706">
                    <c:v>1,22</c:v>
                  </c:pt>
                  <c:pt idx="707">
                    <c:v>1,22</c:v>
                  </c:pt>
                  <c:pt idx="708">
                    <c:v>1,22</c:v>
                  </c:pt>
                  <c:pt idx="709">
                    <c:v>1,22</c:v>
                  </c:pt>
                  <c:pt idx="710">
                    <c:v>1,22</c:v>
                  </c:pt>
                  <c:pt idx="711">
                    <c:v>1,22</c:v>
                  </c:pt>
                  <c:pt idx="712">
                    <c:v>1,22</c:v>
                  </c:pt>
                  <c:pt idx="713">
                    <c:v>1</c:v>
                  </c:pt>
                  <c:pt idx="714">
                    <c:v>1</c:v>
                  </c:pt>
                  <c:pt idx="715">
                    <c:v>1,22</c:v>
                  </c:pt>
                  <c:pt idx="716">
                    <c:v>1,22</c:v>
                  </c:pt>
                  <c:pt idx="717">
                    <c:v>1,22</c:v>
                  </c:pt>
                  <c:pt idx="718">
                    <c:v>1,22</c:v>
                  </c:pt>
                  <c:pt idx="719">
                    <c:v>1,22</c:v>
                  </c:pt>
                  <c:pt idx="720">
                    <c:v>1,22</c:v>
                  </c:pt>
                  <c:pt idx="721">
                    <c:v>1,22</c:v>
                  </c:pt>
                  <c:pt idx="722">
                    <c:v>1</c:v>
                  </c:pt>
                  <c:pt idx="723">
                    <c:v>1,22</c:v>
                  </c:pt>
                  <c:pt idx="724">
                    <c:v>1</c:v>
                  </c:pt>
                  <c:pt idx="725">
                    <c:v>1</c:v>
                  </c:pt>
                  <c:pt idx="726">
                    <c:v>1</c:v>
                  </c:pt>
                  <c:pt idx="727">
                    <c:v>1</c:v>
                  </c:pt>
                  <c:pt idx="728">
                    <c:v>1</c:v>
                  </c:pt>
                  <c:pt idx="729">
                    <c:v>1</c:v>
                  </c:pt>
                  <c:pt idx="730">
                    <c:v>1</c:v>
                  </c:pt>
                  <c:pt idx="731">
                    <c:v>1</c:v>
                  </c:pt>
                  <c:pt idx="732">
                    <c:v>1</c:v>
                  </c:pt>
                  <c:pt idx="733">
                    <c:v>1,22</c:v>
                  </c:pt>
                  <c:pt idx="734">
                    <c:v>1,22</c:v>
                  </c:pt>
                  <c:pt idx="735">
                    <c:v>1,22</c:v>
                  </c:pt>
                  <c:pt idx="736">
                    <c:v>1,22</c:v>
                  </c:pt>
                  <c:pt idx="737">
                    <c:v>1,22</c:v>
                  </c:pt>
                  <c:pt idx="738">
                    <c:v>1,22</c:v>
                  </c:pt>
                  <c:pt idx="739">
                    <c:v>1,22</c:v>
                  </c:pt>
                  <c:pt idx="740">
                    <c:v>1,22</c:v>
                  </c:pt>
                  <c:pt idx="741">
                    <c:v>1,22</c:v>
                  </c:pt>
                  <c:pt idx="742">
                    <c:v>1,22</c:v>
                  </c:pt>
                  <c:pt idx="743">
                    <c:v>1,22</c:v>
                  </c:pt>
                  <c:pt idx="744">
                    <c:v>1,22</c:v>
                  </c:pt>
                  <c:pt idx="747">
                    <c:v>1,22</c:v>
                  </c:pt>
                  <c:pt idx="748">
                    <c:v>1,22</c:v>
                  </c:pt>
                  <c:pt idx="749">
                    <c:v>1,22</c:v>
                  </c:pt>
                  <c:pt idx="750">
                    <c:v>1,22</c:v>
                  </c:pt>
                  <c:pt idx="751">
                    <c:v>1</c:v>
                  </c:pt>
                  <c:pt idx="752">
                    <c:v>1</c:v>
                  </c:pt>
                  <c:pt idx="753">
                    <c:v>1</c:v>
                  </c:pt>
                  <c:pt idx="754">
                    <c:v>1</c:v>
                  </c:pt>
                  <c:pt idx="755">
                    <c:v>1</c:v>
                  </c:pt>
                  <c:pt idx="756">
                    <c:v>1</c:v>
                  </c:pt>
                  <c:pt idx="757">
                    <c:v>1</c:v>
                  </c:pt>
                  <c:pt idx="758">
                    <c:v>1,22</c:v>
                  </c:pt>
                  <c:pt idx="759">
                    <c:v>1,22</c:v>
                  </c:pt>
                  <c:pt idx="760">
                    <c:v>1,22</c:v>
                  </c:pt>
                  <c:pt idx="761">
                    <c:v>1,22</c:v>
                  </c:pt>
                  <c:pt idx="762">
                    <c:v>1,22</c:v>
                  </c:pt>
                  <c:pt idx="763">
                    <c:v>1,22</c:v>
                  </c:pt>
                  <c:pt idx="764">
                    <c:v>1,22</c:v>
                  </c:pt>
                  <c:pt idx="765">
                    <c:v>1</c:v>
                  </c:pt>
                  <c:pt idx="766">
                    <c:v>1</c:v>
                  </c:pt>
                  <c:pt idx="768">
                    <c:v>1</c:v>
                  </c:pt>
                  <c:pt idx="769">
                    <c:v>1</c:v>
                  </c:pt>
                  <c:pt idx="770">
                    <c:v>1</c:v>
                  </c:pt>
                  <c:pt idx="771">
                    <c:v>1,22</c:v>
                  </c:pt>
                  <c:pt idx="772">
                    <c:v>1</c:v>
                  </c:pt>
                  <c:pt idx="773">
                    <c:v>1</c:v>
                  </c:pt>
                  <c:pt idx="774">
                    <c:v>1,22</c:v>
                  </c:pt>
                  <c:pt idx="775">
                    <c:v>1,22</c:v>
                  </c:pt>
                  <c:pt idx="776">
                    <c:v>1,22</c:v>
                  </c:pt>
                  <c:pt idx="777">
                    <c:v>1,22</c:v>
                  </c:pt>
                  <c:pt idx="778">
                    <c:v>1,22</c:v>
                  </c:pt>
                  <c:pt idx="779">
                    <c:v>1,22</c:v>
                  </c:pt>
                  <c:pt idx="780">
                    <c:v>1</c:v>
                  </c:pt>
                  <c:pt idx="781">
                    <c:v>1,22</c:v>
                  </c:pt>
                  <c:pt idx="782">
                    <c:v>1</c:v>
                  </c:pt>
                  <c:pt idx="783">
                    <c:v>1,22</c:v>
                  </c:pt>
                  <c:pt idx="784">
                    <c:v>1,22</c:v>
                  </c:pt>
                  <c:pt idx="785">
                    <c:v>1,22</c:v>
                  </c:pt>
                  <c:pt idx="786">
                    <c:v>1</c:v>
                  </c:pt>
                  <c:pt idx="787">
                    <c:v>1,22</c:v>
                  </c:pt>
                  <c:pt idx="788">
                    <c:v>1,22</c:v>
                  </c:pt>
                  <c:pt idx="789">
                    <c:v>1,22</c:v>
                  </c:pt>
                  <c:pt idx="790">
                    <c:v>1,22</c:v>
                  </c:pt>
                  <c:pt idx="791">
                    <c:v>1,22</c:v>
                  </c:pt>
                  <c:pt idx="792">
                    <c:v>1,22</c:v>
                  </c:pt>
                  <c:pt idx="793">
                    <c:v>1,22</c:v>
                  </c:pt>
                  <c:pt idx="794">
                    <c:v>1,22</c:v>
                  </c:pt>
                  <c:pt idx="796">
                    <c:v>1,22</c:v>
                  </c:pt>
                  <c:pt idx="797">
                    <c:v>1,22</c:v>
                  </c:pt>
                  <c:pt idx="798">
                    <c:v>1,22</c:v>
                  </c:pt>
                  <c:pt idx="799">
                    <c:v>1,22</c:v>
                  </c:pt>
                  <c:pt idx="800">
                    <c:v>1,22</c:v>
                  </c:pt>
                  <c:pt idx="801">
                    <c:v>1</c:v>
                  </c:pt>
                  <c:pt idx="802">
                    <c:v>1</c:v>
                  </c:pt>
                  <c:pt idx="803">
                    <c:v>1</c:v>
                  </c:pt>
                  <c:pt idx="804">
                    <c:v>1</c:v>
                  </c:pt>
                  <c:pt idx="805">
                    <c:v>1,22</c:v>
                  </c:pt>
                  <c:pt idx="806">
                    <c:v>1,22</c:v>
                  </c:pt>
                  <c:pt idx="807">
                    <c:v>1,22</c:v>
                  </c:pt>
                  <c:pt idx="808">
                    <c:v>1,22</c:v>
                  </c:pt>
                  <c:pt idx="809">
                    <c:v>1,22</c:v>
                  </c:pt>
                  <c:pt idx="810">
                    <c:v>1,22</c:v>
                  </c:pt>
                  <c:pt idx="811">
                    <c:v>1,22</c:v>
                  </c:pt>
                  <c:pt idx="812">
                    <c:v>1,22</c:v>
                  </c:pt>
                  <c:pt idx="813">
                    <c:v>1,22</c:v>
                  </c:pt>
                  <c:pt idx="814">
                    <c:v>1,22</c:v>
                  </c:pt>
                  <c:pt idx="815">
                    <c:v>1,22</c:v>
                  </c:pt>
                  <c:pt idx="816">
                    <c:v>1,22</c:v>
                  </c:pt>
                  <c:pt idx="817">
                    <c:v>1,22</c:v>
                  </c:pt>
                  <c:pt idx="818">
                    <c:v>1,22</c:v>
                  </c:pt>
                  <c:pt idx="819">
                    <c:v>1,22</c:v>
                  </c:pt>
                  <c:pt idx="820">
                    <c:v>1,22</c:v>
                  </c:pt>
                  <c:pt idx="821">
                    <c:v>1,22</c:v>
                  </c:pt>
                  <c:pt idx="822">
                    <c:v>1,22</c:v>
                  </c:pt>
                  <c:pt idx="823">
                    <c:v>1,22</c:v>
                  </c:pt>
                  <c:pt idx="824">
                    <c:v>1,22</c:v>
                  </c:pt>
                  <c:pt idx="825">
                    <c:v>1,22</c:v>
                  </c:pt>
                  <c:pt idx="826">
                    <c:v>1,22</c:v>
                  </c:pt>
                  <c:pt idx="827">
                    <c:v>1,22</c:v>
                  </c:pt>
                  <c:pt idx="828">
                    <c:v>1,22</c:v>
                  </c:pt>
                  <c:pt idx="829">
                    <c:v>1,22</c:v>
                  </c:pt>
                  <c:pt idx="830">
                    <c:v>1,22</c:v>
                  </c:pt>
                  <c:pt idx="831">
                    <c:v>1,22</c:v>
                  </c:pt>
                  <c:pt idx="832">
                    <c:v>1,22</c:v>
                  </c:pt>
                  <c:pt idx="833">
                    <c:v>1,22</c:v>
                  </c:pt>
                  <c:pt idx="834">
                    <c:v>1,22</c:v>
                  </c:pt>
                  <c:pt idx="835">
                    <c:v>1,22</c:v>
                  </c:pt>
                  <c:pt idx="836">
                    <c:v>1,22</c:v>
                  </c:pt>
                  <c:pt idx="837">
                    <c:v>1,22</c:v>
                  </c:pt>
                  <c:pt idx="838">
                    <c:v>1,22</c:v>
                  </c:pt>
                  <c:pt idx="839">
                    <c:v>1,22</c:v>
                  </c:pt>
                  <c:pt idx="840">
                    <c:v>1,22</c:v>
                  </c:pt>
                  <c:pt idx="841">
                    <c:v>1,22</c:v>
                  </c:pt>
                  <c:pt idx="842">
                    <c:v>1,22</c:v>
                  </c:pt>
                  <c:pt idx="843">
                    <c:v>1,22</c:v>
                  </c:pt>
                  <c:pt idx="844">
                    <c:v>1,22</c:v>
                  </c:pt>
                  <c:pt idx="845">
                    <c:v>1,22</c:v>
                  </c:pt>
                  <c:pt idx="846">
                    <c:v>1,22</c:v>
                  </c:pt>
                  <c:pt idx="847">
                    <c:v>1,22</c:v>
                  </c:pt>
                  <c:pt idx="848">
                    <c:v>1,22</c:v>
                  </c:pt>
                  <c:pt idx="849">
                    <c:v>1,22</c:v>
                  </c:pt>
                  <c:pt idx="850">
                    <c:v>1,22</c:v>
                  </c:pt>
                  <c:pt idx="851">
                    <c:v>1,22</c:v>
                  </c:pt>
                  <c:pt idx="852">
                    <c:v>1,22</c:v>
                  </c:pt>
                  <c:pt idx="853">
                    <c:v>1,22</c:v>
                  </c:pt>
                  <c:pt idx="854">
                    <c:v>1,22</c:v>
                  </c:pt>
                  <c:pt idx="855">
                    <c:v>1,22</c:v>
                  </c:pt>
                  <c:pt idx="856">
                    <c:v>1,22</c:v>
                  </c:pt>
                  <c:pt idx="857">
                    <c:v>1,22</c:v>
                  </c:pt>
                  <c:pt idx="858">
                    <c:v>1,22</c:v>
                  </c:pt>
                  <c:pt idx="859">
                    <c:v>1,22</c:v>
                  </c:pt>
                  <c:pt idx="860">
                    <c:v>1,22</c:v>
                  </c:pt>
                  <c:pt idx="861">
                    <c:v>1,22</c:v>
                  </c:pt>
                  <c:pt idx="862">
                    <c:v>1,22</c:v>
                  </c:pt>
                  <c:pt idx="863">
                    <c:v>1,22</c:v>
                  </c:pt>
                  <c:pt idx="864">
                    <c:v>1,22</c:v>
                  </c:pt>
                  <c:pt idx="865">
                    <c:v>1,22</c:v>
                  </c:pt>
                  <c:pt idx="866">
                    <c:v>1</c:v>
                  </c:pt>
                  <c:pt idx="867">
                    <c:v>1,22</c:v>
                  </c:pt>
                  <c:pt idx="868">
                    <c:v>1,22</c:v>
                  </c:pt>
                  <c:pt idx="869">
                    <c:v>1,22</c:v>
                  </c:pt>
                  <c:pt idx="870">
                    <c:v>1,22</c:v>
                  </c:pt>
                  <c:pt idx="871">
                    <c:v>1,22</c:v>
                  </c:pt>
                  <c:pt idx="872">
                    <c:v>1,22</c:v>
                  </c:pt>
                  <c:pt idx="873">
                    <c:v>1,22</c:v>
                  </c:pt>
                  <c:pt idx="874">
                    <c:v>1,22</c:v>
                  </c:pt>
                  <c:pt idx="875">
                    <c:v>1,22</c:v>
                  </c:pt>
                  <c:pt idx="876">
                    <c:v>1,22</c:v>
                  </c:pt>
                  <c:pt idx="877">
                    <c:v>1,22</c:v>
                  </c:pt>
                  <c:pt idx="878">
                    <c:v>1,22</c:v>
                  </c:pt>
                  <c:pt idx="879">
                    <c:v>1,22</c:v>
                  </c:pt>
                  <c:pt idx="880">
                    <c:v>1,22</c:v>
                  </c:pt>
                  <c:pt idx="881">
                    <c:v>1,22</c:v>
                  </c:pt>
                  <c:pt idx="882">
                    <c:v>1,22</c:v>
                  </c:pt>
                  <c:pt idx="883">
                    <c:v>1,22</c:v>
                  </c:pt>
                  <c:pt idx="884">
                    <c:v>1,22</c:v>
                  </c:pt>
                  <c:pt idx="885">
                    <c:v>1,22</c:v>
                  </c:pt>
                  <c:pt idx="886">
                    <c:v>1,22</c:v>
                  </c:pt>
                  <c:pt idx="887">
                    <c:v>1,22</c:v>
                  </c:pt>
                  <c:pt idx="888">
                    <c:v>1,22</c:v>
                  </c:pt>
                  <c:pt idx="889">
                    <c:v>1,22</c:v>
                  </c:pt>
                  <c:pt idx="890">
                    <c:v>1,22</c:v>
                  </c:pt>
                  <c:pt idx="891">
                    <c:v>1,22</c:v>
                  </c:pt>
                  <c:pt idx="892">
                    <c:v>1,22</c:v>
                  </c:pt>
                  <c:pt idx="893">
                    <c:v>1,22</c:v>
                  </c:pt>
                  <c:pt idx="894">
                    <c:v>1,22</c:v>
                  </c:pt>
                  <c:pt idx="895">
                    <c:v>1,22</c:v>
                  </c:pt>
                  <c:pt idx="896">
                    <c:v>1,22</c:v>
                  </c:pt>
                  <c:pt idx="897">
                    <c:v>1,22</c:v>
                  </c:pt>
                  <c:pt idx="898">
                    <c:v>1,22</c:v>
                  </c:pt>
                  <c:pt idx="899">
                    <c:v>1,22</c:v>
                  </c:pt>
                  <c:pt idx="900">
                    <c:v>1,22</c:v>
                  </c:pt>
                  <c:pt idx="901">
                    <c:v>1,22</c:v>
                  </c:pt>
                  <c:pt idx="902">
                    <c:v>1,22</c:v>
                  </c:pt>
                  <c:pt idx="903">
                    <c:v>1,22</c:v>
                  </c:pt>
                  <c:pt idx="904">
                    <c:v>1,22</c:v>
                  </c:pt>
                  <c:pt idx="905">
                    <c:v>1,22</c:v>
                  </c:pt>
                  <c:pt idx="906">
                    <c:v>1,22</c:v>
                  </c:pt>
                  <c:pt idx="907">
                    <c:v>1,22</c:v>
                  </c:pt>
                  <c:pt idx="908">
                    <c:v>1,22</c:v>
                  </c:pt>
                  <c:pt idx="909">
                    <c:v>1,22</c:v>
                  </c:pt>
                  <c:pt idx="910">
                    <c:v>1,22</c:v>
                  </c:pt>
                  <c:pt idx="911">
                    <c:v>1,22</c:v>
                  </c:pt>
                  <c:pt idx="912">
                    <c:v>1,22</c:v>
                  </c:pt>
                  <c:pt idx="913">
                    <c:v>1,22</c:v>
                  </c:pt>
                  <c:pt idx="914">
                    <c:v>1,22</c:v>
                  </c:pt>
                  <c:pt idx="915">
                    <c:v>1,22</c:v>
                  </c:pt>
                  <c:pt idx="916">
                    <c:v>1,22</c:v>
                  </c:pt>
                  <c:pt idx="917">
                    <c:v>1,22</c:v>
                  </c:pt>
                  <c:pt idx="918">
                    <c:v>1,22</c:v>
                  </c:pt>
                  <c:pt idx="919">
                    <c:v>1,22</c:v>
                  </c:pt>
                  <c:pt idx="920">
                    <c:v>1,22</c:v>
                  </c:pt>
                  <c:pt idx="921">
                    <c:v>1,22</c:v>
                  </c:pt>
                  <c:pt idx="922">
                    <c:v>1,22</c:v>
                  </c:pt>
                  <c:pt idx="924">
                    <c:v>1,22</c:v>
                  </c:pt>
                  <c:pt idx="925">
                    <c:v>1,22</c:v>
                  </c:pt>
                  <c:pt idx="926">
                    <c:v>1,22</c:v>
                  </c:pt>
                  <c:pt idx="927">
                    <c:v>1,22</c:v>
                  </c:pt>
                  <c:pt idx="928">
                    <c:v>1,22</c:v>
                  </c:pt>
                  <c:pt idx="929">
                    <c:v>1,22</c:v>
                  </c:pt>
                  <c:pt idx="930">
                    <c:v>1,22</c:v>
                  </c:pt>
                  <c:pt idx="931">
                    <c:v>1,22</c:v>
                  </c:pt>
                  <c:pt idx="932">
                    <c:v>1,22</c:v>
                  </c:pt>
                  <c:pt idx="933">
                    <c:v>1,22</c:v>
                  </c:pt>
                  <c:pt idx="934">
                    <c:v>1,22</c:v>
                  </c:pt>
                  <c:pt idx="935">
                    <c:v>1,22</c:v>
                  </c:pt>
                  <c:pt idx="936">
                    <c:v>1,22</c:v>
                  </c:pt>
                  <c:pt idx="937">
                    <c:v>1,22</c:v>
                  </c:pt>
                  <c:pt idx="938">
                    <c:v>1,22</c:v>
                  </c:pt>
                  <c:pt idx="939">
                    <c:v>1,22</c:v>
                  </c:pt>
                  <c:pt idx="940">
                    <c:v>1,22</c:v>
                  </c:pt>
                  <c:pt idx="941">
                    <c:v>1,22</c:v>
                  </c:pt>
                  <c:pt idx="942">
                    <c:v>1,22</c:v>
                  </c:pt>
                  <c:pt idx="943">
                    <c:v>1,22</c:v>
                  </c:pt>
                  <c:pt idx="944">
                    <c:v>1,22</c:v>
                  </c:pt>
                  <c:pt idx="945">
                    <c:v>1,22</c:v>
                  </c:pt>
                  <c:pt idx="946">
                    <c:v>1,22</c:v>
                  </c:pt>
                  <c:pt idx="947">
                    <c:v>1,22</c:v>
                  </c:pt>
                  <c:pt idx="948">
                    <c:v>1,22</c:v>
                  </c:pt>
                  <c:pt idx="949">
                    <c:v>1,22</c:v>
                  </c:pt>
                  <c:pt idx="950">
                    <c:v>1,22</c:v>
                  </c:pt>
                  <c:pt idx="951">
                    <c:v>1,22</c:v>
                  </c:pt>
                  <c:pt idx="952">
                    <c:v>1,22</c:v>
                  </c:pt>
                  <c:pt idx="953">
                    <c:v>1,22</c:v>
                  </c:pt>
                  <c:pt idx="954">
                    <c:v>1,22</c:v>
                  </c:pt>
                  <c:pt idx="955">
                    <c:v>1,22</c:v>
                  </c:pt>
                  <c:pt idx="956">
                    <c:v>1,22</c:v>
                  </c:pt>
                  <c:pt idx="957">
                    <c:v>1,22</c:v>
                  </c:pt>
                  <c:pt idx="958">
                    <c:v>1,22</c:v>
                  </c:pt>
                  <c:pt idx="959">
                    <c:v>1,22</c:v>
                  </c:pt>
                  <c:pt idx="960">
                    <c:v>1,22</c:v>
                  </c:pt>
                  <c:pt idx="961">
                    <c:v>1,22</c:v>
                  </c:pt>
                  <c:pt idx="962">
                    <c:v>1,22</c:v>
                  </c:pt>
                  <c:pt idx="963">
                    <c:v>1,22</c:v>
                  </c:pt>
                  <c:pt idx="964">
                    <c:v>1,22</c:v>
                  </c:pt>
                  <c:pt idx="965">
                    <c:v>1,22</c:v>
                  </c:pt>
                  <c:pt idx="966">
                    <c:v>1,22</c:v>
                  </c:pt>
                  <c:pt idx="967">
                    <c:v>1,22</c:v>
                  </c:pt>
                  <c:pt idx="968">
                    <c:v>1,22</c:v>
                  </c:pt>
                  <c:pt idx="969">
                    <c:v>1,22</c:v>
                  </c:pt>
                  <c:pt idx="970">
                    <c:v>1,22</c:v>
                  </c:pt>
                  <c:pt idx="971">
                    <c:v>1,22</c:v>
                  </c:pt>
                  <c:pt idx="972">
                    <c:v>1,22</c:v>
                  </c:pt>
                  <c:pt idx="973">
                    <c:v>1,22</c:v>
                  </c:pt>
                  <c:pt idx="974">
                    <c:v>1,22</c:v>
                  </c:pt>
                  <c:pt idx="975">
                    <c:v>1,22</c:v>
                  </c:pt>
                  <c:pt idx="976">
                    <c:v>1,22</c:v>
                  </c:pt>
                  <c:pt idx="977">
                    <c:v>1,22</c:v>
                  </c:pt>
                  <c:pt idx="978">
                    <c:v>1,22</c:v>
                  </c:pt>
                  <c:pt idx="979">
                    <c:v>1,22</c:v>
                  </c:pt>
                  <c:pt idx="980">
                    <c:v>1,22</c:v>
                  </c:pt>
                  <c:pt idx="981">
                    <c:v>1,22</c:v>
                  </c:pt>
                  <c:pt idx="982">
                    <c:v>1,22</c:v>
                  </c:pt>
                  <c:pt idx="983">
                    <c:v>1,22</c:v>
                  </c:pt>
                  <c:pt idx="984">
                    <c:v>1</c:v>
                  </c:pt>
                  <c:pt idx="985">
                    <c:v>1</c:v>
                  </c:pt>
                  <c:pt idx="986">
                    <c:v>1</c:v>
                  </c:pt>
                  <c:pt idx="987">
                    <c:v>1</c:v>
                  </c:pt>
                  <c:pt idx="988">
                    <c:v>1</c:v>
                  </c:pt>
                  <c:pt idx="989">
                    <c:v>1</c:v>
                  </c:pt>
                  <c:pt idx="990">
                    <c:v>1</c:v>
                  </c:pt>
                  <c:pt idx="991">
                    <c:v>1</c:v>
                  </c:pt>
                  <c:pt idx="992">
                    <c:v>1,22</c:v>
                  </c:pt>
                  <c:pt idx="993">
                    <c:v>1,22</c:v>
                  </c:pt>
                  <c:pt idx="994">
                    <c:v>1,22</c:v>
                  </c:pt>
                  <c:pt idx="995">
                    <c:v>1,22</c:v>
                  </c:pt>
                  <c:pt idx="996">
                    <c:v>1,22</c:v>
                  </c:pt>
                  <c:pt idx="997">
                    <c:v>1,22</c:v>
                  </c:pt>
                  <c:pt idx="998">
                    <c:v>1,22</c:v>
                  </c:pt>
                  <c:pt idx="999">
                    <c:v>1,22</c:v>
                  </c:pt>
                  <c:pt idx="1000">
                    <c:v>1,22</c:v>
                  </c:pt>
                  <c:pt idx="1001">
                    <c:v>1,22</c:v>
                  </c:pt>
                  <c:pt idx="1002">
                    <c:v>1,22</c:v>
                  </c:pt>
                  <c:pt idx="1003">
                    <c:v>1,22</c:v>
                  </c:pt>
                  <c:pt idx="1004">
                    <c:v>1,22</c:v>
                  </c:pt>
                  <c:pt idx="1005">
                    <c:v>1,22</c:v>
                  </c:pt>
                  <c:pt idx="1006">
                    <c:v>1,22</c:v>
                  </c:pt>
                  <c:pt idx="1007">
                    <c:v>1,22</c:v>
                  </c:pt>
                  <c:pt idx="1008">
                    <c:v>1,22</c:v>
                  </c:pt>
                  <c:pt idx="1009">
                    <c:v>1,22</c:v>
                  </c:pt>
                  <c:pt idx="1010">
                    <c:v>1,22</c:v>
                  </c:pt>
                  <c:pt idx="1011">
                    <c:v>1,22</c:v>
                  </c:pt>
                  <c:pt idx="1012">
                    <c:v>1,22</c:v>
                  </c:pt>
                  <c:pt idx="1013">
                    <c:v>1</c:v>
                  </c:pt>
                  <c:pt idx="1014">
                    <c:v>1</c:v>
                  </c:pt>
                  <c:pt idx="1015">
                    <c:v>1</c:v>
                  </c:pt>
                  <c:pt idx="1016">
                    <c:v>1</c:v>
                  </c:pt>
                  <c:pt idx="1017">
                    <c:v>1</c:v>
                  </c:pt>
                  <c:pt idx="1018">
                    <c:v>1,22</c:v>
                  </c:pt>
                  <c:pt idx="1019">
                    <c:v>1,22</c:v>
                  </c:pt>
                  <c:pt idx="1020">
                    <c:v>1,22</c:v>
                  </c:pt>
                  <c:pt idx="1021">
                    <c:v>1,22</c:v>
                  </c:pt>
                  <c:pt idx="1022">
                    <c:v>1,22</c:v>
                  </c:pt>
                  <c:pt idx="1023">
                    <c:v>1,22</c:v>
                  </c:pt>
                  <c:pt idx="1024">
                    <c:v>1,22</c:v>
                  </c:pt>
                  <c:pt idx="1025">
                    <c:v>1,22</c:v>
                  </c:pt>
                  <c:pt idx="1026">
                    <c:v>1,22</c:v>
                  </c:pt>
                  <c:pt idx="1027">
                    <c:v>1,22</c:v>
                  </c:pt>
                  <c:pt idx="1028">
                    <c:v>1,22</c:v>
                  </c:pt>
                  <c:pt idx="1029">
                    <c:v>1,22</c:v>
                  </c:pt>
                  <c:pt idx="1030">
                    <c:v>1,22</c:v>
                  </c:pt>
                  <c:pt idx="1031">
                    <c:v>1,22</c:v>
                  </c:pt>
                  <c:pt idx="1032">
                    <c:v>1,22</c:v>
                  </c:pt>
                  <c:pt idx="1033">
                    <c:v>1,22</c:v>
                  </c:pt>
                  <c:pt idx="1034">
                    <c:v>1,22</c:v>
                  </c:pt>
                  <c:pt idx="1035">
                    <c:v>1,22</c:v>
                  </c:pt>
                  <c:pt idx="1036">
                    <c:v>1,22</c:v>
                  </c:pt>
                  <c:pt idx="1037">
                    <c:v>1,22</c:v>
                  </c:pt>
                  <c:pt idx="1038">
                    <c:v>1,22</c:v>
                  </c:pt>
                  <c:pt idx="1039">
                    <c:v>1,22</c:v>
                  </c:pt>
                  <c:pt idx="1040">
                    <c:v>1,22</c:v>
                  </c:pt>
                  <c:pt idx="1041">
                    <c:v>1,22</c:v>
                  </c:pt>
                  <c:pt idx="1042">
                    <c:v>1,22</c:v>
                  </c:pt>
                  <c:pt idx="1043">
                    <c:v>1,22</c:v>
                  </c:pt>
                  <c:pt idx="1044">
                    <c:v>1,22</c:v>
                  </c:pt>
                  <c:pt idx="1045">
                    <c:v>1,22</c:v>
                  </c:pt>
                  <c:pt idx="1046">
                    <c:v>1,22</c:v>
                  </c:pt>
                  <c:pt idx="1047">
                    <c:v>1,22</c:v>
                  </c:pt>
                  <c:pt idx="1048">
                    <c:v>1,22</c:v>
                  </c:pt>
                  <c:pt idx="1049">
                    <c:v>1,22</c:v>
                  </c:pt>
                  <c:pt idx="1050">
                    <c:v>1,22</c:v>
                  </c:pt>
                  <c:pt idx="1051">
                    <c:v>1,22</c:v>
                  </c:pt>
                  <c:pt idx="1052">
                    <c:v>1,22</c:v>
                  </c:pt>
                  <c:pt idx="1053">
                    <c:v>1,22</c:v>
                  </c:pt>
                  <c:pt idx="1054">
                    <c:v>1,22</c:v>
                  </c:pt>
                  <c:pt idx="1055">
                    <c:v>1,22</c:v>
                  </c:pt>
                  <c:pt idx="1056">
                    <c:v>1,22</c:v>
                  </c:pt>
                  <c:pt idx="1057">
                    <c:v>1,22</c:v>
                  </c:pt>
                  <c:pt idx="1058">
                    <c:v>1,22</c:v>
                  </c:pt>
                  <c:pt idx="1059">
                    <c:v>1,22</c:v>
                  </c:pt>
                  <c:pt idx="1060">
                    <c:v>1,22</c:v>
                  </c:pt>
                  <c:pt idx="1061">
                    <c:v>1,22</c:v>
                  </c:pt>
                  <c:pt idx="1062">
                    <c:v>1,22</c:v>
                  </c:pt>
                  <c:pt idx="1063">
                    <c:v>1,22</c:v>
                  </c:pt>
                  <c:pt idx="1064">
                    <c:v>1,22</c:v>
                  </c:pt>
                  <c:pt idx="1065">
                    <c:v>1,22</c:v>
                  </c:pt>
                  <c:pt idx="1066">
                    <c:v>1,22</c:v>
                  </c:pt>
                  <c:pt idx="1067">
                    <c:v>1,22</c:v>
                  </c:pt>
                  <c:pt idx="1068">
                    <c:v>1,22</c:v>
                  </c:pt>
                  <c:pt idx="1069">
                    <c:v>1,22</c:v>
                  </c:pt>
                  <c:pt idx="1070">
                    <c:v>1,22</c:v>
                  </c:pt>
                  <c:pt idx="1071">
                    <c:v>1,22</c:v>
                  </c:pt>
                  <c:pt idx="1072">
                    <c:v>1,22</c:v>
                  </c:pt>
                  <c:pt idx="1073">
                    <c:v>1,22</c:v>
                  </c:pt>
                  <c:pt idx="1074">
                    <c:v>1,22</c:v>
                  </c:pt>
                  <c:pt idx="1075">
                    <c:v>1,22</c:v>
                  </c:pt>
                  <c:pt idx="1076">
                    <c:v>1,22</c:v>
                  </c:pt>
                  <c:pt idx="1078">
                    <c:v>1,22</c:v>
                  </c:pt>
                  <c:pt idx="1079">
                    <c:v>1,22</c:v>
                  </c:pt>
                  <c:pt idx="1080">
                    <c:v>1,22</c:v>
                  </c:pt>
                  <c:pt idx="1081">
                    <c:v>1,22</c:v>
                  </c:pt>
                  <c:pt idx="1082">
                    <c:v>1,22</c:v>
                  </c:pt>
                  <c:pt idx="1083">
                    <c:v>1,22</c:v>
                  </c:pt>
                  <c:pt idx="1084">
                    <c:v>1,22</c:v>
                  </c:pt>
                  <c:pt idx="1085">
                    <c:v>1,22</c:v>
                  </c:pt>
                  <c:pt idx="1086">
                    <c:v>1,22</c:v>
                  </c:pt>
                  <c:pt idx="1087">
                    <c:v>1,22</c:v>
                  </c:pt>
                  <c:pt idx="1088">
                    <c:v>1,22</c:v>
                  </c:pt>
                  <c:pt idx="1089">
                    <c:v>1,22</c:v>
                  </c:pt>
                  <c:pt idx="1090">
                    <c:v>1,22</c:v>
                  </c:pt>
                  <c:pt idx="1091">
                    <c:v>1,22</c:v>
                  </c:pt>
                  <c:pt idx="1092">
                    <c:v>1,22</c:v>
                  </c:pt>
                  <c:pt idx="1093">
                    <c:v>1,22</c:v>
                  </c:pt>
                  <c:pt idx="1094">
                    <c:v>1,22</c:v>
                  </c:pt>
                  <c:pt idx="1095">
                    <c:v>1,22</c:v>
                  </c:pt>
                  <c:pt idx="1096">
                    <c:v>1,22</c:v>
                  </c:pt>
                  <c:pt idx="1097">
                    <c:v>1,22</c:v>
                  </c:pt>
                  <c:pt idx="1098">
                    <c:v>1,22</c:v>
                  </c:pt>
                  <c:pt idx="1099">
                    <c:v>1,22</c:v>
                  </c:pt>
                  <c:pt idx="1100">
                    <c:v>1,22</c:v>
                  </c:pt>
                  <c:pt idx="1101">
                    <c:v>1,22</c:v>
                  </c:pt>
                  <c:pt idx="1102">
                    <c:v>1,22</c:v>
                  </c:pt>
                  <c:pt idx="1103">
                    <c:v>1,22</c:v>
                  </c:pt>
                  <c:pt idx="1104">
                    <c:v>1,22</c:v>
                  </c:pt>
                  <c:pt idx="1105">
                    <c:v>1,22</c:v>
                  </c:pt>
                  <c:pt idx="1106">
                    <c:v>1,22</c:v>
                  </c:pt>
                  <c:pt idx="1107">
                    <c:v>1,22</c:v>
                  </c:pt>
                  <c:pt idx="1108">
                    <c:v>1,22</c:v>
                  </c:pt>
                  <c:pt idx="1109">
                    <c:v>1,22</c:v>
                  </c:pt>
                  <c:pt idx="1110">
                    <c:v>1,22</c:v>
                  </c:pt>
                  <c:pt idx="1111">
                    <c:v>1,22</c:v>
                  </c:pt>
                  <c:pt idx="1112">
                    <c:v>1,22</c:v>
                  </c:pt>
                  <c:pt idx="1113">
                    <c:v>1,22</c:v>
                  </c:pt>
                  <c:pt idx="1114">
                    <c:v>1,22</c:v>
                  </c:pt>
                  <c:pt idx="1115">
                    <c:v>1,22</c:v>
                  </c:pt>
                  <c:pt idx="1116">
                    <c:v>1</c:v>
                  </c:pt>
                  <c:pt idx="1117">
                    <c:v>1</c:v>
                  </c:pt>
                  <c:pt idx="1118">
                    <c:v>1,22</c:v>
                  </c:pt>
                  <c:pt idx="1119">
                    <c:v>1</c:v>
                  </c:pt>
                  <c:pt idx="1120">
                    <c:v>1</c:v>
                  </c:pt>
                  <c:pt idx="1121">
                    <c:v>1,22</c:v>
                  </c:pt>
                  <c:pt idx="1122">
                    <c:v>1,22</c:v>
                  </c:pt>
                  <c:pt idx="1123">
                    <c:v>1,22</c:v>
                  </c:pt>
                  <c:pt idx="1124">
                    <c:v>1,22</c:v>
                  </c:pt>
                  <c:pt idx="1125">
                    <c:v>1,22</c:v>
                  </c:pt>
                  <c:pt idx="1126">
                    <c:v>1,22</c:v>
                  </c:pt>
                  <c:pt idx="1127">
                    <c:v>1,22</c:v>
                  </c:pt>
                  <c:pt idx="1128">
                    <c:v>1,22</c:v>
                  </c:pt>
                  <c:pt idx="1129">
                    <c:v>1,22</c:v>
                  </c:pt>
                  <c:pt idx="1130">
                    <c:v>1,22</c:v>
                  </c:pt>
                  <c:pt idx="1131">
                    <c:v>1,22</c:v>
                  </c:pt>
                  <c:pt idx="1132">
                    <c:v>1,22</c:v>
                  </c:pt>
                  <c:pt idx="1133">
                    <c:v>1,22</c:v>
                  </c:pt>
                  <c:pt idx="1134">
                    <c:v>1,22</c:v>
                  </c:pt>
                  <c:pt idx="1135">
                    <c:v>1,22</c:v>
                  </c:pt>
                  <c:pt idx="1136">
                    <c:v>1,22</c:v>
                  </c:pt>
                  <c:pt idx="1137">
                    <c:v>1,22</c:v>
                  </c:pt>
                  <c:pt idx="1138">
                    <c:v>1,22</c:v>
                  </c:pt>
                  <c:pt idx="1139">
                    <c:v>1,22</c:v>
                  </c:pt>
                  <c:pt idx="1140">
                    <c:v>1,22</c:v>
                  </c:pt>
                  <c:pt idx="1141">
                    <c:v>1,22</c:v>
                  </c:pt>
                  <c:pt idx="1142">
                    <c:v>1,22</c:v>
                  </c:pt>
                  <c:pt idx="1143">
                    <c:v>1,22</c:v>
                  </c:pt>
                  <c:pt idx="1144">
                    <c:v>1,22</c:v>
                  </c:pt>
                  <c:pt idx="1145">
                    <c:v>1,22</c:v>
                  </c:pt>
                  <c:pt idx="1146">
                    <c:v>1,22</c:v>
                  </c:pt>
                  <c:pt idx="1147">
                    <c:v>1,22</c:v>
                  </c:pt>
                  <c:pt idx="1148">
                    <c:v>1,22</c:v>
                  </c:pt>
                  <c:pt idx="1149">
                    <c:v>1,22</c:v>
                  </c:pt>
                  <c:pt idx="1150">
                    <c:v>1,22</c:v>
                  </c:pt>
                  <c:pt idx="1151">
                    <c:v>1,22</c:v>
                  </c:pt>
                  <c:pt idx="1152">
                    <c:v>1,22</c:v>
                  </c:pt>
                  <c:pt idx="1153">
                    <c:v>1,22</c:v>
                  </c:pt>
                  <c:pt idx="1154">
                    <c:v>1,22</c:v>
                  </c:pt>
                  <c:pt idx="1155">
                    <c:v>1,22</c:v>
                  </c:pt>
                  <c:pt idx="1156">
                    <c:v>1,22</c:v>
                  </c:pt>
                  <c:pt idx="1157">
                    <c:v>1,22</c:v>
                  </c:pt>
                  <c:pt idx="1158">
                    <c:v>1,22</c:v>
                  </c:pt>
                  <c:pt idx="1159">
                    <c:v>1,22</c:v>
                  </c:pt>
                  <c:pt idx="1160">
                    <c:v>1,22</c:v>
                  </c:pt>
                  <c:pt idx="1161">
                    <c:v>1,22</c:v>
                  </c:pt>
                  <c:pt idx="1162">
                    <c:v>1,22</c:v>
                  </c:pt>
                  <c:pt idx="1163">
                    <c:v>1,22</c:v>
                  </c:pt>
                  <c:pt idx="1164">
                    <c:v>1,22</c:v>
                  </c:pt>
                  <c:pt idx="1165">
                    <c:v>1,22</c:v>
                  </c:pt>
                  <c:pt idx="1166">
                    <c:v>1,22</c:v>
                  </c:pt>
                  <c:pt idx="1167">
                    <c:v>1,22</c:v>
                  </c:pt>
                  <c:pt idx="1168">
                    <c:v>1,22</c:v>
                  </c:pt>
                  <c:pt idx="1169">
                    <c:v>1,22</c:v>
                  </c:pt>
                  <c:pt idx="1170">
                    <c:v>1,22</c:v>
                  </c:pt>
                  <c:pt idx="1171">
                    <c:v>1,22</c:v>
                  </c:pt>
                  <c:pt idx="1172">
                    <c:v>1,22</c:v>
                  </c:pt>
                  <c:pt idx="1173">
                    <c:v>1,22</c:v>
                  </c:pt>
                  <c:pt idx="1174">
                    <c:v>1,22</c:v>
                  </c:pt>
                  <c:pt idx="1175">
                    <c:v>1,22</c:v>
                  </c:pt>
                  <c:pt idx="1176">
                    <c:v>1,22</c:v>
                  </c:pt>
                  <c:pt idx="1177">
                    <c:v>1,22</c:v>
                  </c:pt>
                  <c:pt idx="1178">
                    <c:v>1,22</c:v>
                  </c:pt>
                  <c:pt idx="1179">
                    <c:v>1,22</c:v>
                  </c:pt>
                  <c:pt idx="1180">
                    <c:v>1,22</c:v>
                  </c:pt>
                  <c:pt idx="1181">
                    <c:v>1,22</c:v>
                  </c:pt>
                  <c:pt idx="1182">
                    <c:v>1</c:v>
                  </c:pt>
                  <c:pt idx="1183">
                    <c:v>1</c:v>
                  </c:pt>
                  <c:pt idx="1184">
                    <c:v>1,22</c:v>
                  </c:pt>
                  <c:pt idx="1185">
                    <c:v>1,22</c:v>
                  </c:pt>
                  <c:pt idx="1186">
                    <c:v>1,22</c:v>
                  </c:pt>
                  <c:pt idx="1187">
                    <c:v>1,22</c:v>
                  </c:pt>
                  <c:pt idx="1188">
                    <c:v>1,22</c:v>
                  </c:pt>
                  <c:pt idx="1189">
                    <c:v>1,22</c:v>
                  </c:pt>
                  <c:pt idx="1190">
                    <c:v>1,22</c:v>
                  </c:pt>
                  <c:pt idx="1191">
                    <c:v>1,22</c:v>
                  </c:pt>
                  <c:pt idx="1192">
                    <c:v>1,22</c:v>
                  </c:pt>
                  <c:pt idx="1193">
                    <c:v>1,22</c:v>
                  </c:pt>
                  <c:pt idx="1194">
                    <c:v>1,22</c:v>
                  </c:pt>
                  <c:pt idx="1195">
                    <c:v>1,22</c:v>
                  </c:pt>
                  <c:pt idx="1196">
                    <c:v>1,22</c:v>
                  </c:pt>
                  <c:pt idx="1197">
                    <c:v>1</c:v>
                  </c:pt>
                  <c:pt idx="1198">
                    <c:v>1,22</c:v>
                  </c:pt>
                  <c:pt idx="1199">
                    <c:v>1,22</c:v>
                  </c:pt>
                  <c:pt idx="1200">
                    <c:v>1,22</c:v>
                  </c:pt>
                  <c:pt idx="1201">
                    <c:v>1,22</c:v>
                  </c:pt>
                  <c:pt idx="1202">
                    <c:v>1</c:v>
                  </c:pt>
                  <c:pt idx="1203">
                    <c:v>1,22</c:v>
                  </c:pt>
                  <c:pt idx="1204">
                    <c:v>1,22</c:v>
                  </c:pt>
                  <c:pt idx="1205">
                    <c:v>1,22</c:v>
                  </c:pt>
                  <c:pt idx="1206">
                    <c:v>1,22</c:v>
                  </c:pt>
                  <c:pt idx="1207">
                    <c:v>1,22</c:v>
                  </c:pt>
                  <c:pt idx="1208">
                    <c:v>1,22</c:v>
                  </c:pt>
                  <c:pt idx="1209">
                    <c:v>1,22</c:v>
                  </c:pt>
                  <c:pt idx="1210">
                    <c:v>1,22</c:v>
                  </c:pt>
                  <c:pt idx="1211">
                    <c:v>1,22</c:v>
                  </c:pt>
                  <c:pt idx="1212">
                    <c:v>1,22</c:v>
                  </c:pt>
                  <c:pt idx="1213">
                    <c:v>1,21</c:v>
                  </c:pt>
                  <c:pt idx="1214">
                    <c:v>1,22</c:v>
                  </c:pt>
                  <c:pt idx="1215">
                    <c:v>1,22</c:v>
                  </c:pt>
                  <c:pt idx="1216">
                    <c:v>1,22</c:v>
                  </c:pt>
                  <c:pt idx="1217">
                    <c:v>1,22</c:v>
                  </c:pt>
                  <c:pt idx="1218">
                    <c:v>1,22</c:v>
                  </c:pt>
                  <c:pt idx="1219">
                    <c:v>1,22</c:v>
                  </c:pt>
                  <c:pt idx="1220">
                    <c:v>1,22</c:v>
                  </c:pt>
                  <c:pt idx="1221">
                    <c:v>1,22</c:v>
                  </c:pt>
                  <c:pt idx="1222">
                    <c:v>1,22</c:v>
                  </c:pt>
                  <c:pt idx="1223">
                    <c:v>1,22</c:v>
                  </c:pt>
                  <c:pt idx="1224">
                    <c:v>1,22</c:v>
                  </c:pt>
                  <c:pt idx="1225">
                    <c:v>1,22</c:v>
                  </c:pt>
                  <c:pt idx="1226">
                    <c:v>1,22</c:v>
                  </c:pt>
                  <c:pt idx="1227">
                    <c:v>1,22</c:v>
                  </c:pt>
                  <c:pt idx="1228">
                    <c:v>1,22</c:v>
                  </c:pt>
                  <c:pt idx="1229">
                    <c:v>1,22</c:v>
                  </c:pt>
                  <c:pt idx="1230">
                    <c:v>1,22</c:v>
                  </c:pt>
                  <c:pt idx="1231">
                    <c:v>1,22</c:v>
                  </c:pt>
                  <c:pt idx="1232">
                    <c:v>1,22</c:v>
                  </c:pt>
                  <c:pt idx="1233">
                    <c:v>1,22</c:v>
                  </c:pt>
                  <c:pt idx="1234">
                    <c:v>1,22</c:v>
                  </c:pt>
                  <c:pt idx="1235">
                    <c:v>1,22</c:v>
                  </c:pt>
                  <c:pt idx="1236">
                    <c:v>1,22</c:v>
                  </c:pt>
                  <c:pt idx="1237">
                    <c:v>1,22</c:v>
                  </c:pt>
                  <c:pt idx="1238">
                    <c:v>1,22</c:v>
                  </c:pt>
                  <c:pt idx="1239">
                    <c:v>1,22</c:v>
                  </c:pt>
                  <c:pt idx="1240">
                    <c:v>1,22</c:v>
                  </c:pt>
                  <c:pt idx="1241">
                    <c:v>1,22</c:v>
                  </c:pt>
                  <c:pt idx="1242">
                    <c:v>1,22</c:v>
                  </c:pt>
                  <c:pt idx="1243">
                    <c:v>1,22</c:v>
                  </c:pt>
                  <c:pt idx="1244">
                    <c:v>1,22</c:v>
                  </c:pt>
                  <c:pt idx="1245">
                    <c:v>1,22</c:v>
                  </c:pt>
                  <c:pt idx="1246">
                    <c:v>1,22</c:v>
                  </c:pt>
                  <c:pt idx="1247">
                    <c:v>1,22</c:v>
                  </c:pt>
                  <c:pt idx="1248">
                    <c:v>1,22</c:v>
                  </c:pt>
                  <c:pt idx="1249">
                    <c:v>1,22</c:v>
                  </c:pt>
                  <c:pt idx="1250">
                    <c:v>1,22</c:v>
                  </c:pt>
                  <c:pt idx="1251">
                    <c:v>1,22</c:v>
                  </c:pt>
                  <c:pt idx="1252">
                    <c:v>1,22</c:v>
                  </c:pt>
                  <c:pt idx="1253">
                    <c:v>1,22</c:v>
                  </c:pt>
                  <c:pt idx="1254">
                    <c:v>1,22</c:v>
                  </c:pt>
                  <c:pt idx="1255">
                    <c:v>1,22</c:v>
                  </c:pt>
                  <c:pt idx="1256">
                    <c:v>1,22</c:v>
                  </c:pt>
                  <c:pt idx="1257">
                    <c:v>1,22</c:v>
                  </c:pt>
                  <c:pt idx="1258">
                    <c:v>1,22</c:v>
                  </c:pt>
                  <c:pt idx="1259">
                    <c:v>1,22</c:v>
                  </c:pt>
                  <c:pt idx="1260">
                    <c:v>1,22</c:v>
                  </c:pt>
                  <c:pt idx="1261">
                    <c:v>1,22</c:v>
                  </c:pt>
                  <c:pt idx="1262">
                    <c:v>1,22</c:v>
                  </c:pt>
                  <c:pt idx="1263">
                    <c:v>1,22</c:v>
                  </c:pt>
                  <c:pt idx="1264">
                    <c:v>1,22</c:v>
                  </c:pt>
                  <c:pt idx="1265">
                    <c:v>1,22</c:v>
                  </c:pt>
                  <c:pt idx="1266">
                    <c:v>1,22</c:v>
                  </c:pt>
                  <c:pt idx="1267">
                    <c:v>1,22</c:v>
                  </c:pt>
                  <c:pt idx="1268">
                    <c:v>1,22</c:v>
                  </c:pt>
                  <c:pt idx="1269">
                    <c:v>1,22</c:v>
                  </c:pt>
                  <c:pt idx="1270">
                    <c:v>1,22</c:v>
                  </c:pt>
                  <c:pt idx="1271">
                    <c:v>1,22</c:v>
                  </c:pt>
                  <c:pt idx="1272">
                    <c:v>1,22</c:v>
                  </c:pt>
                  <c:pt idx="1273">
                    <c:v>1,22</c:v>
                  </c:pt>
                  <c:pt idx="1274">
                    <c:v>1,22</c:v>
                  </c:pt>
                  <c:pt idx="1275">
                    <c:v>1,22</c:v>
                  </c:pt>
                  <c:pt idx="1276">
                    <c:v>1,22</c:v>
                  </c:pt>
                  <c:pt idx="1277">
                    <c:v>1,22</c:v>
                  </c:pt>
                  <c:pt idx="1278">
                    <c:v>1,22</c:v>
                  </c:pt>
                  <c:pt idx="1279">
                    <c:v>1,22</c:v>
                  </c:pt>
                  <c:pt idx="1280">
                    <c:v>1,22</c:v>
                  </c:pt>
                  <c:pt idx="1281">
                    <c:v>1,22</c:v>
                  </c:pt>
                  <c:pt idx="1282">
                    <c:v>1,22</c:v>
                  </c:pt>
                  <c:pt idx="1283">
                    <c:v>1,22</c:v>
                  </c:pt>
                  <c:pt idx="1284">
                    <c:v>1,22</c:v>
                  </c:pt>
                  <c:pt idx="1285">
                    <c:v>1,22</c:v>
                  </c:pt>
                  <c:pt idx="1286">
                    <c:v>1,22</c:v>
                  </c:pt>
                  <c:pt idx="1287">
                    <c:v>1,22</c:v>
                  </c:pt>
                  <c:pt idx="1288">
                    <c:v>1,22</c:v>
                  </c:pt>
                  <c:pt idx="1289">
                    <c:v>1,22</c:v>
                  </c:pt>
                  <c:pt idx="1290">
                    <c:v>1,22</c:v>
                  </c:pt>
                  <c:pt idx="1291">
                    <c:v>1,22</c:v>
                  </c:pt>
                  <c:pt idx="1292">
                    <c:v>1,22</c:v>
                  </c:pt>
                  <c:pt idx="1293">
                    <c:v>1,22</c:v>
                  </c:pt>
                  <c:pt idx="1294">
                    <c:v>1,22</c:v>
                  </c:pt>
                  <c:pt idx="1295">
                    <c:v>1,22</c:v>
                  </c:pt>
                  <c:pt idx="1296">
                    <c:v>1,22</c:v>
                  </c:pt>
                  <c:pt idx="1297">
                    <c:v>1,22</c:v>
                  </c:pt>
                  <c:pt idx="1298">
                    <c:v>1,22</c:v>
                  </c:pt>
                  <c:pt idx="1299">
                    <c:v>1,22</c:v>
                  </c:pt>
                  <c:pt idx="1300">
                    <c:v>1,22</c:v>
                  </c:pt>
                  <c:pt idx="1301">
                    <c:v>1,22</c:v>
                  </c:pt>
                  <c:pt idx="1302">
                    <c:v>1,22</c:v>
                  </c:pt>
                  <c:pt idx="1303">
                    <c:v>1,22</c:v>
                  </c:pt>
                  <c:pt idx="1304">
                    <c:v>1,22</c:v>
                  </c:pt>
                  <c:pt idx="1305">
                    <c:v>1,22</c:v>
                  </c:pt>
                  <c:pt idx="1306">
                    <c:v>1,22</c:v>
                  </c:pt>
                  <c:pt idx="1307">
                    <c:v>1,22</c:v>
                  </c:pt>
                  <c:pt idx="1308">
                    <c:v>1,22</c:v>
                  </c:pt>
                  <c:pt idx="1309">
                    <c:v>1,22</c:v>
                  </c:pt>
                  <c:pt idx="1310">
                    <c:v>1,22</c:v>
                  </c:pt>
                  <c:pt idx="1311">
                    <c:v>1,22</c:v>
                  </c:pt>
                  <c:pt idx="1312">
                    <c:v>1,22</c:v>
                  </c:pt>
                  <c:pt idx="1313">
                    <c:v>1,22</c:v>
                  </c:pt>
                  <c:pt idx="1314">
                    <c:v>1,22</c:v>
                  </c:pt>
                  <c:pt idx="1315">
                    <c:v>1,22</c:v>
                  </c:pt>
                  <c:pt idx="1316">
                    <c:v>1,22</c:v>
                  </c:pt>
                  <c:pt idx="1317">
                    <c:v>1,22</c:v>
                  </c:pt>
                  <c:pt idx="1318">
                    <c:v>1,22</c:v>
                  </c:pt>
                  <c:pt idx="1319">
                    <c:v>1,22</c:v>
                  </c:pt>
                  <c:pt idx="1320">
                    <c:v>1,22</c:v>
                  </c:pt>
                  <c:pt idx="1321">
                    <c:v>1,22</c:v>
                  </c:pt>
                  <c:pt idx="1322">
                    <c:v>1,22</c:v>
                  </c:pt>
                  <c:pt idx="1323">
                    <c:v>1,22</c:v>
                  </c:pt>
                  <c:pt idx="1324">
                    <c:v>1,22</c:v>
                  </c:pt>
                  <c:pt idx="1325">
                    <c:v>1,22</c:v>
                  </c:pt>
                  <c:pt idx="1326">
                    <c:v>1,22</c:v>
                  </c:pt>
                  <c:pt idx="1327">
                    <c:v>1,22</c:v>
                  </c:pt>
                  <c:pt idx="1328">
                    <c:v>1,22</c:v>
                  </c:pt>
                  <c:pt idx="1329">
                    <c:v>1,22</c:v>
                  </c:pt>
                  <c:pt idx="1330">
                    <c:v>1,22</c:v>
                  </c:pt>
                  <c:pt idx="1331">
                    <c:v>1,22</c:v>
                  </c:pt>
                  <c:pt idx="1332">
                    <c:v>1,22</c:v>
                  </c:pt>
                  <c:pt idx="1333">
                    <c:v>1,22</c:v>
                  </c:pt>
                  <c:pt idx="1334">
                    <c:v>1,22</c:v>
                  </c:pt>
                  <c:pt idx="1335">
                    <c:v>1,22</c:v>
                  </c:pt>
                  <c:pt idx="1336">
                    <c:v>1,22</c:v>
                  </c:pt>
                  <c:pt idx="1337">
                    <c:v>1,22</c:v>
                  </c:pt>
                  <c:pt idx="1338">
                    <c:v>1,22</c:v>
                  </c:pt>
                  <c:pt idx="1339">
                    <c:v>1,22</c:v>
                  </c:pt>
                  <c:pt idx="1340">
                    <c:v>1,22</c:v>
                  </c:pt>
                  <c:pt idx="1341">
                    <c:v>1,22</c:v>
                  </c:pt>
                  <c:pt idx="1342">
                    <c:v>1,22</c:v>
                  </c:pt>
                  <c:pt idx="1343">
                    <c:v>1,22</c:v>
                  </c:pt>
                  <c:pt idx="1344">
                    <c:v>1,22</c:v>
                  </c:pt>
                  <c:pt idx="1345">
                    <c:v>1,22</c:v>
                  </c:pt>
                  <c:pt idx="1346">
                    <c:v>1,22</c:v>
                  </c:pt>
                  <c:pt idx="1347">
                    <c:v>1,22</c:v>
                  </c:pt>
                  <c:pt idx="1348">
                    <c:v>1,22</c:v>
                  </c:pt>
                  <c:pt idx="1349">
                    <c:v>1,22</c:v>
                  </c:pt>
                  <c:pt idx="1350">
                    <c:v>1,22</c:v>
                  </c:pt>
                  <c:pt idx="1351">
                    <c:v>1,22</c:v>
                  </c:pt>
                  <c:pt idx="1352">
                    <c:v>1,22</c:v>
                  </c:pt>
                  <c:pt idx="1353">
                    <c:v>1,22</c:v>
                  </c:pt>
                  <c:pt idx="1354">
                    <c:v>1,22</c:v>
                  </c:pt>
                  <c:pt idx="1355">
                    <c:v>1,22</c:v>
                  </c:pt>
                  <c:pt idx="1356">
                    <c:v>1,22</c:v>
                  </c:pt>
                  <c:pt idx="1357">
                    <c:v>1,22</c:v>
                  </c:pt>
                  <c:pt idx="1358">
                    <c:v>1,22</c:v>
                  </c:pt>
                  <c:pt idx="1359">
                    <c:v>1,22</c:v>
                  </c:pt>
                  <c:pt idx="1360">
                    <c:v>1,22</c:v>
                  </c:pt>
                  <c:pt idx="1361">
                    <c:v>1,22</c:v>
                  </c:pt>
                  <c:pt idx="1362">
                    <c:v>1,22</c:v>
                  </c:pt>
                  <c:pt idx="1363">
                    <c:v>1,22</c:v>
                  </c:pt>
                  <c:pt idx="1364">
                    <c:v>1,22</c:v>
                  </c:pt>
                  <c:pt idx="1365">
                    <c:v>1,22</c:v>
                  </c:pt>
                  <c:pt idx="1366">
                    <c:v>1,22</c:v>
                  </c:pt>
                  <c:pt idx="1367">
                    <c:v>1,22</c:v>
                  </c:pt>
                  <c:pt idx="1368">
                    <c:v>1,22</c:v>
                  </c:pt>
                  <c:pt idx="1369">
                    <c:v>1,22</c:v>
                  </c:pt>
                  <c:pt idx="1370">
                    <c:v>1,22</c:v>
                  </c:pt>
                  <c:pt idx="1371">
                    <c:v>1,22</c:v>
                  </c:pt>
                  <c:pt idx="1372">
                    <c:v>1,22</c:v>
                  </c:pt>
                  <c:pt idx="1373">
                    <c:v>1,22</c:v>
                  </c:pt>
                  <c:pt idx="1374">
                    <c:v>1,22</c:v>
                  </c:pt>
                  <c:pt idx="1375">
                    <c:v>1,22</c:v>
                  </c:pt>
                  <c:pt idx="1376">
                    <c:v>1,22</c:v>
                  </c:pt>
                  <c:pt idx="1377">
                    <c:v>1,22</c:v>
                  </c:pt>
                  <c:pt idx="1378">
                    <c:v>1,22</c:v>
                  </c:pt>
                  <c:pt idx="1379">
                    <c:v>1,22</c:v>
                  </c:pt>
                  <c:pt idx="1380">
                    <c:v>1,22</c:v>
                  </c:pt>
                  <c:pt idx="1381">
                    <c:v>1,22</c:v>
                  </c:pt>
                  <c:pt idx="1382">
                    <c:v>1,22</c:v>
                  </c:pt>
                  <c:pt idx="1383">
                    <c:v>1,22</c:v>
                  </c:pt>
                  <c:pt idx="1384">
                    <c:v>1,22</c:v>
                  </c:pt>
                  <c:pt idx="1385">
                    <c:v>1,22</c:v>
                  </c:pt>
                  <c:pt idx="1386">
                    <c:v>1,22</c:v>
                  </c:pt>
                  <c:pt idx="1388">
                    <c:v>1,22</c:v>
                  </c:pt>
                  <c:pt idx="1389">
                    <c:v>1,22</c:v>
                  </c:pt>
                  <c:pt idx="1390">
                    <c:v>1,22</c:v>
                  </c:pt>
                  <c:pt idx="1391">
                    <c:v>1,22</c:v>
                  </c:pt>
                  <c:pt idx="1392">
                    <c:v>1,22</c:v>
                  </c:pt>
                  <c:pt idx="1393">
                    <c:v>1,22</c:v>
                  </c:pt>
                  <c:pt idx="1394">
                    <c:v>1</c:v>
                  </c:pt>
                  <c:pt idx="1395">
                    <c:v>1</c:v>
                  </c:pt>
                  <c:pt idx="1396">
                    <c:v>1</c:v>
                  </c:pt>
                  <c:pt idx="1397">
                    <c:v>1</c:v>
                  </c:pt>
                  <c:pt idx="1398">
                    <c:v>1,22</c:v>
                  </c:pt>
                  <c:pt idx="1399">
                    <c:v>1,22</c:v>
                  </c:pt>
                  <c:pt idx="1400">
                    <c:v>1,22</c:v>
                  </c:pt>
                  <c:pt idx="1401">
                    <c:v>1</c:v>
                  </c:pt>
                  <c:pt idx="1402">
                    <c:v>1,22</c:v>
                  </c:pt>
                  <c:pt idx="1403">
                    <c:v>1,22</c:v>
                  </c:pt>
                  <c:pt idx="1404">
                    <c:v>1,22</c:v>
                  </c:pt>
                  <c:pt idx="1405">
                    <c:v>1,22</c:v>
                  </c:pt>
                  <c:pt idx="1406">
                    <c:v>1,22</c:v>
                  </c:pt>
                  <c:pt idx="1407">
                    <c:v>1,22</c:v>
                  </c:pt>
                  <c:pt idx="1408">
                    <c:v>1,22</c:v>
                  </c:pt>
                  <c:pt idx="1409">
                    <c:v>1,22</c:v>
                  </c:pt>
                  <c:pt idx="1410">
                    <c:v>1,22</c:v>
                  </c:pt>
                  <c:pt idx="1411">
                    <c:v>1,22</c:v>
                  </c:pt>
                  <c:pt idx="1412">
                    <c:v>1,22</c:v>
                  </c:pt>
                  <c:pt idx="1413">
                    <c:v>1,22</c:v>
                  </c:pt>
                  <c:pt idx="1414">
                    <c:v>1,22</c:v>
                  </c:pt>
                  <c:pt idx="1415">
                    <c:v>1,22</c:v>
                  </c:pt>
                  <c:pt idx="1416">
                    <c:v>1,22</c:v>
                  </c:pt>
                  <c:pt idx="1417">
                    <c:v>1,22</c:v>
                  </c:pt>
                  <c:pt idx="1418">
                    <c:v>1,22</c:v>
                  </c:pt>
                  <c:pt idx="1419">
                    <c:v>1,22</c:v>
                  </c:pt>
                  <c:pt idx="1420">
                    <c:v>1,22</c:v>
                  </c:pt>
                  <c:pt idx="1421">
                    <c:v>1,22</c:v>
                  </c:pt>
                  <c:pt idx="1422">
                    <c:v>1,22</c:v>
                  </c:pt>
                  <c:pt idx="1423">
                    <c:v>1,22</c:v>
                  </c:pt>
                  <c:pt idx="1424">
                    <c:v>1,22</c:v>
                  </c:pt>
                  <c:pt idx="1425">
                    <c:v>1,22</c:v>
                  </c:pt>
                  <c:pt idx="1426">
                    <c:v>1,22</c:v>
                  </c:pt>
                  <c:pt idx="1427">
                    <c:v>1,22</c:v>
                  </c:pt>
                  <c:pt idx="1428">
                    <c:v>1,22</c:v>
                  </c:pt>
                  <c:pt idx="1429">
                    <c:v>1,22</c:v>
                  </c:pt>
                  <c:pt idx="1430">
                    <c:v>1,22</c:v>
                  </c:pt>
                  <c:pt idx="1431">
                    <c:v>1,22</c:v>
                  </c:pt>
                  <c:pt idx="1432">
                    <c:v>1,22</c:v>
                  </c:pt>
                  <c:pt idx="1433">
                    <c:v>1,22</c:v>
                  </c:pt>
                  <c:pt idx="1434">
                    <c:v>1,22</c:v>
                  </c:pt>
                  <c:pt idx="1435">
                    <c:v>1,22</c:v>
                  </c:pt>
                  <c:pt idx="1436">
                    <c:v>1</c:v>
                  </c:pt>
                  <c:pt idx="1437">
                    <c:v>1</c:v>
                  </c:pt>
                  <c:pt idx="1438">
                    <c:v>1</c:v>
                  </c:pt>
                  <c:pt idx="1439">
                    <c:v>1</c:v>
                  </c:pt>
                  <c:pt idx="1440">
                    <c:v>1,22</c:v>
                  </c:pt>
                  <c:pt idx="1441">
                    <c:v>1,22</c:v>
                  </c:pt>
                  <c:pt idx="1442">
                    <c:v>1,22</c:v>
                  </c:pt>
                  <c:pt idx="1443">
                    <c:v>1</c:v>
                  </c:pt>
                  <c:pt idx="1444">
                    <c:v>1,22</c:v>
                  </c:pt>
                  <c:pt idx="1446">
                    <c:v>1,22</c:v>
                  </c:pt>
                  <c:pt idx="1447">
                    <c:v>1,22</c:v>
                  </c:pt>
                  <c:pt idx="1448">
                    <c:v>1,22</c:v>
                  </c:pt>
                  <c:pt idx="1449">
                    <c:v>1</c:v>
                  </c:pt>
                  <c:pt idx="1450">
                    <c:v>1,22</c:v>
                  </c:pt>
                  <c:pt idx="1451">
                    <c:v>1,22</c:v>
                  </c:pt>
                  <c:pt idx="1452">
                    <c:v>1,22</c:v>
                  </c:pt>
                  <c:pt idx="1453">
                    <c:v>1,22</c:v>
                  </c:pt>
                  <c:pt idx="1454">
                    <c:v>1,22</c:v>
                  </c:pt>
                  <c:pt idx="1455">
                    <c:v>1,22</c:v>
                  </c:pt>
                  <c:pt idx="1456">
                    <c:v>1,22</c:v>
                  </c:pt>
                  <c:pt idx="1458">
                    <c:v>1,22</c:v>
                  </c:pt>
                  <c:pt idx="1459">
                    <c:v>1,22</c:v>
                  </c:pt>
                  <c:pt idx="1460">
                    <c:v>1,22</c:v>
                  </c:pt>
                  <c:pt idx="1461">
                    <c:v>1,22</c:v>
                  </c:pt>
                  <c:pt idx="1462">
                    <c:v>1,22</c:v>
                  </c:pt>
                  <c:pt idx="1463">
                    <c:v>1,22</c:v>
                  </c:pt>
                  <c:pt idx="1464">
                    <c:v>1,22</c:v>
                  </c:pt>
                  <c:pt idx="1465">
                    <c:v>1,22</c:v>
                  </c:pt>
                  <c:pt idx="1466">
                    <c:v>1,22</c:v>
                  </c:pt>
                  <c:pt idx="1467">
                    <c:v>1,22</c:v>
                  </c:pt>
                  <c:pt idx="1468">
                    <c:v>1,22</c:v>
                  </c:pt>
                  <c:pt idx="1469">
                    <c:v>1,22</c:v>
                  </c:pt>
                  <c:pt idx="1470">
                    <c:v>1,22</c:v>
                  </c:pt>
                  <c:pt idx="1471">
                    <c:v>1,22</c:v>
                  </c:pt>
                  <c:pt idx="1472">
                    <c:v>1,22</c:v>
                  </c:pt>
                  <c:pt idx="1473">
                    <c:v>1,22</c:v>
                  </c:pt>
                  <c:pt idx="1474">
                    <c:v>1,22</c:v>
                  </c:pt>
                  <c:pt idx="1475">
                    <c:v>1,22</c:v>
                  </c:pt>
                  <c:pt idx="1476">
                    <c:v>1,22</c:v>
                  </c:pt>
                  <c:pt idx="1477">
                    <c:v>1</c:v>
                  </c:pt>
                  <c:pt idx="1478">
                    <c:v>1,22</c:v>
                  </c:pt>
                  <c:pt idx="1479">
                    <c:v>1,22</c:v>
                  </c:pt>
                  <c:pt idx="1480">
                    <c:v>1</c:v>
                  </c:pt>
                  <c:pt idx="1481">
                    <c:v>1</c:v>
                  </c:pt>
                  <c:pt idx="1482">
                    <c:v>1,22</c:v>
                  </c:pt>
                  <c:pt idx="1483">
                    <c:v>1,22</c:v>
                  </c:pt>
                  <c:pt idx="1484">
                    <c:v>1,22</c:v>
                  </c:pt>
                  <c:pt idx="1485">
                    <c:v>1</c:v>
                  </c:pt>
                  <c:pt idx="1486">
                    <c:v>1</c:v>
                  </c:pt>
                  <c:pt idx="1487">
                    <c:v>1</c:v>
                  </c:pt>
                  <c:pt idx="1488">
                    <c:v>1,22</c:v>
                  </c:pt>
                  <c:pt idx="1489">
                    <c:v>1</c:v>
                  </c:pt>
                  <c:pt idx="1490">
                    <c:v>1,22</c:v>
                  </c:pt>
                  <c:pt idx="1491">
                    <c:v>1,22</c:v>
                  </c:pt>
                  <c:pt idx="1492">
                    <c:v>1,22</c:v>
                  </c:pt>
                  <c:pt idx="1493">
                    <c:v>1,22</c:v>
                  </c:pt>
                  <c:pt idx="1494">
                    <c:v>1,22</c:v>
                  </c:pt>
                  <c:pt idx="1495">
                    <c:v>1,22</c:v>
                  </c:pt>
                  <c:pt idx="1496">
                    <c:v>1,22</c:v>
                  </c:pt>
                  <c:pt idx="1497">
                    <c:v>1,22</c:v>
                  </c:pt>
                  <c:pt idx="1498">
                    <c:v>1,22</c:v>
                  </c:pt>
                  <c:pt idx="1499">
                    <c:v>1,22</c:v>
                  </c:pt>
                  <c:pt idx="1500">
                    <c:v>1,22</c:v>
                  </c:pt>
                  <c:pt idx="1501">
                    <c:v>1,22</c:v>
                  </c:pt>
                  <c:pt idx="1502">
                    <c:v>1,22</c:v>
                  </c:pt>
                  <c:pt idx="1503">
                    <c:v>1,22</c:v>
                  </c:pt>
                  <c:pt idx="1504">
                    <c:v>1,22</c:v>
                  </c:pt>
                  <c:pt idx="1505">
                    <c:v>1,22</c:v>
                  </c:pt>
                  <c:pt idx="1506">
                    <c:v>1,22</c:v>
                  </c:pt>
                  <c:pt idx="1507">
                    <c:v>1,22</c:v>
                  </c:pt>
                  <c:pt idx="1508">
                    <c:v>1,22</c:v>
                  </c:pt>
                  <c:pt idx="1509">
                    <c:v>1,22</c:v>
                  </c:pt>
                  <c:pt idx="1510">
                    <c:v>1,22</c:v>
                  </c:pt>
                  <c:pt idx="1511">
                    <c:v>1,22</c:v>
                  </c:pt>
                  <c:pt idx="1512">
                    <c:v>1,22</c:v>
                  </c:pt>
                  <c:pt idx="1513">
                    <c:v>1,22</c:v>
                  </c:pt>
                  <c:pt idx="1514">
                    <c:v>1,22</c:v>
                  </c:pt>
                  <c:pt idx="1515">
                    <c:v>1,22</c:v>
                  </c:pt>
                  <c:pt idx="1516">
                    <c:v>1,22</c:v>
                  </c:pt>
                  <c:pt idx="1517">
                    <c:v>1,22</c:v>
                  </c:pt>
                  <c:pt idx="1518">
                    <c:v>1,22</c:v>
                  </c:pt>
                  <c:pt idx="1519">
                    <c:v>1</c:v>
                  </c:pt>
                  <c:pt idx="1520">
                    <c:v>1</c:v>
                  </c:pt>
                  <c:pt idx="1521">
                    <c:v>1</c:v>
                  </c:pt>
                  <c:pt idx="1522">
                    <c:v>1,22</c:v>
                  </c:pt>
                  <c:pt idx="1523">
                    <c:v>1,22</c:v>
                  </c:pt>
                  <c:pt idx="1524">
                    <c:v>1,22</c:v>
                  </c:pt>
                  <c:pt idx="1525">
                    <c:v>1,22</c:v>
                  </c:pt>
                  <c:pt idx="1526">
                    <c:v>1,22</c:v>
                  </c:pt>
                  <c:pt idx="1527">
                    <c:v>1,22</c:v>
                  </c:pt>
                  <c:pt idx="1528">
                    <c:v>1,22</c:v>
                  </c:pt>
                  <c:pt idx="1529">
                    <c:v>1,22</c:v>
                  </c:pt>
                  <c:pt idx="1530">
                    <c:v>1</c:v>
                  </c:pt>
                  <c:pt idx="1531">
                    <c:v>1</c:v>
                  </c:pt>
                  <c:pt idx="1532">
                    <c:v>1,22</c:v>
                  </c:pt>
                  <c:pt idx="1533">
                    <c:v>1,22</c:v>
                  </c:pt>
                  <c:pt idx="1534">
                    <c:v>1,22</c:v>
                  </c:pt>
                  <c:pt idx="1535">
                    <c:v>1,22</c:v>
                  </c:pt>
                  <c:pt idx="1536">
                    <c:v>1,22</c:v>
                  </c:pt>
                  <c:pt idx="1537">
                    <c:v>1,22</c:v>
                  </c:pt>
                  <c:pt idx="1538">
                    <c:v>1,22</c:v>
                  </c:pt>
                  <c:pt idx="1539">
                    <c:v>1,22</c:v>
                  </c:pt>
                  <c:pt idx="1540">
                    <c:v>1,22</c:v>
                  </c:pt>
                  <c:pt idx="1541">
                    <c:v>1,22</c:v>
                  </c:pt>
                  <c:pt idx="1542">
                    <c:v>1,22</c:v>
                  </c:pt>
                  <c:pt idx="1543">
                    <c:v>1,22</c:v>
                  </c:pt>
                  <c:pt idx="1544">
                    <c:v>1,22</c:v>
                  </c:pt>
                  <c:pt idx="1545">
                    <c:v>1,22</c:v>
                  </c:pt>
                  <c:pt idx="1546">
                    <c:v>1,22</c:v>
                  </c:pt>
                  <c:pt idx="1547">
                    <c:v>1,22</c:v>
                  </c:pt>
                  <c:pt idx="1548">
                    <c:v>1,22</c:v>
                  </c:pt>
                  <c:pt idx="1549">
                    <c:v>1,22</c:v>
                  </c:pt>
                  <c:pt idx="1550">
                    <c:v>1,22</c:v>
                  </c:pt>
                  <c:pt idx="1551">
                    <c:v>1,22</c:v>
                  </c:pt>
                  <c:pt idx="1552">
                    <c:v>1</c:v>
                  </c:pt>
                  <c:pt idx="1553">
                    <c:v>1,22</c:v>
                  </c:pt>
                  <c:pt idx="1554">
                    <c:v>1,22</c:v>
                  </c:pt>
                  <c:pt idx="1555">
                    <c:v>1</c:v>
                  </c:pt>
                  <c:pt idx="1556">
                    <c:v>1,22</c:v>
                  </c:pt>
                  <c:pt idx="1557">
                    <c:v>1,22</c:v>
                  </c:pt>
                  <c:pt idx="1558">
                    <c:v>1,22</c:v>
                  </c:pt>
                  <c:pt idx="1559">
                    <c:v>1,22</c:v>
                  </c:pt>
                  <c:pt idx="1560">
                    <c:v>1,22</c:v>
                  </c:pt>
                  <c:pt idx="1561">
                    <c:v>1,22</c:v>
                  </c:pt>
                  <c:pt idx="1562">
                    <c:v>1,22</c:v>
                  </c:pt>
                  <c:pt idx="1563">
                    <c:v>1,22</c:v>
                  </c:pt>
                  <c:pt idx="1564">
                    <c:v>1,22</c:v>
                  </c:pt>
                  <c:pt idx="1565">
                    <c:v>1,22</c:v>
                  </c:pt>
                  <c:pt idx="1566">
                    <c:v>1,22</c:v>
                  </c:pt>
                  <c:pt idx="1567">
                    <c:v>1,22</c:v>
                  </c:pt>
                  <c:pt idx="1568">
                    <c:v>1,22</c:v>
                  </c:pt>
                  <c:pt idx="1569">
                    <c:v>1,22</c:v>
                  </c:pt>
                  <c:pt idx="1570">
                    <c:v>1,22</c:v>
                  </c:pt>
                  <c:pt idx="1571">
                    <c:v>1,22</c:v>
                  </c:pt>
                  <c:pt idx="1572">
                    <c:v>1,22</c:v>
                  </c:pt>
                  <c:pt idx="1573">
                    <c:v>1</c:v>
                  </c:pt>
                  <c:pt idx="1574">
                    <c:v>1,22</c:v>
                  </c:pt>
                  <c:pt idx="1575">
                    <c:v>1,22</c:v>
                  </c:pt>
                  <c:pt idx="1576">
                    <c:v>1,22</c:v>
                  </c:pt>
                  <c:pt idx="1577">
                    <c:v>1,22</c:v>
                  </c:pt>
                  <c:pt idx="1578">
                    <c:v>1,22</c:v>
                  </c:pt>
                  <c:pt idx="1579">
                    <c:v>1,22</c:v>
                  </c:pt>
                  <c:pt idx="1580">
                    <c:v>1,22</c:v>
                  </c:pt>
                  <c:pt idx="1581">
                    <c:v>1,22</c:v>
                  </c:pt>
                  <c:pt idx="1582">
                    <c:v>1,22</c:v>
                  </c:pt>
                  <c:pt idx="1583">
                    <c:v>1,22</c:v>
                  </c:pt>
                  <c:pt idx="1584">
                    <c:v>1,22</c:v>
                  </c:pt>
                  <c:pt idx="1585">
                    <c:v>1,22</c:v>
                  </c:pt>
                  <c:pt idx="1586">
                    <c:v>1,22</c:v>
                  </c:pt>
                  <c:pt idx="1587">
                    <c:v>1</c:v>
                  </c:pt>
                  <c:pt idx="1588">
                    <c:v>1</c:v>
                  </c:pt>
                  <c:pt idx="1589">
                    <c:v>1</c:v>
                  </c:pt>
                  <c:pt idx="1590">
                    <c:v>1,22</c:v>
                  </c:pt>
                  <c:pt idx="1591">
                    <c:v>1,22</c:v>
                  </c:pt>
                  <c:pt idx="1592">
                    <c:v>1,22</c:v>
                  </c:pt>
                  <c:pt idx="1593">
                    <c:v>1,22</c:v>
                  </c:pt>
                  <c:pt idx="1594">
                    <c:v>1,22</c:v>
                  </c:pt>
                  <c:pt idx="1595">
                    <c:v>1,22</c:v>
                  </c:pt>
                  <c:pt idx="1596">
                    <c:v>1,22</c:v>
                  </c:pt>
                  <c:pt idx="1597">
                    <c:v>1,22</c:v>
                  </c:pt>
                  <c:pt idx="1598">
                    <c:v>1</c:v>
                  </c:pt>
                  <c:pt idx="1599">
                    <c:v>1,22</c:v>
                  </c:pt>
                  <c:pt idx="1600">
                    <c:v>1,22</c:v>
                  </c:pt>
                  <c:pt idx="1601">
                    <c:v>1,22</c:v>
                  </c:pt>
                  <c:pt idx="1602">
                    <c:v>1,22</c:v>
                  </c:pt>
                  <c:pt idx="1603">
                    <c:v>1,22</c:v>
                  </c:pt>
                  <c:pt idx="1604">
                    <c:v>1,22</c:v>
                  </c:pt>
                  <c:pt idx="1605">
                    <c:v>1,22</c:v>
                  </c:pt>
                  <c:pt idx="1606">
                    <c:v>1,22</c:v>
                  </c:pt>
                  <c:pt idx="1607">
                    <c:v>1,22</c:v>
                  </c:pt>
                  <c:pt idx="1608">
                    <c:v>1,22</c:v>
                  </c:pt>
                  <c:pt idx="1609">
                    <c:v>1,22</c:v>
                  </c:pt>
                  <c:pt idx="1610">
                    <c:v>1,22</c:v>
                  </c:pt>
                  <c:pt idx="1611">
                    <c:v>1,22</c:v>
                  </c:pt>
                  <c:pt idx="1612">
                    <c:v>1,22</c:v>
                  </c:pt>
                  <c:pt idx="1613">
                    <c:v>1,22</c:v>
                  </c:pt>
                  <c:pt idx="1614">
                    <c:v>1,22</c:v>
                  </c:pt>
                  <c:pt idx="1615">
                    <c:v>1,22</c:v>
                  </c:pt>
                  <c:pt idx="1616">
                    <c:v>1,22</c:v>
                  </c:pt>
                  <c:pt idx="1617">
                    <c:v>1,22</c:v>
                  </c:pt>
                  <c:pt idx="1618">
                    <c:v>1</c:v>
                  </c:pt>
                  <c:pt idx="1619">
                    <c:v>1</c:v>
                  </c:pt>
                  <c:pt idx="1620">
                    <c:v>1,22</c:v>
                  </c:pt>
                  <c:pt idx="1621">
                    <c:v>1,22</c:v>
                  </c:pt>
                  <c:pt idx="1622">
                    <c:v>1,22</c:v>
                  </c:pt>
                  <c:pt idx="1623">
                    <c:v>1,22</c:v>
                  </c:pt>
                  <c:pt idx="1624">
                    <c:v>1,22</c:v>
                  </c:pt>
                  <c:pt idx="1625">
                    <c:v>1</c:v>
                  </c:pt>
                  <c:pt idx="1626">
                    <c:v>1</c:v>
                  </c:pt>
                  <c:pt idx="1627">
                    <c:v>1,22</c:v>
                  </c:pt>
                  <c:pt idx="1628">
                    <c:v>1,22</c:v>
                  </c:pt>
                  <c:pt idx="1629">
                    <c:v>1,22</c:v>
                  </c:pt>
                  <c:pt idx="1630">
                    <c:v>1,22</c:v>
                  </c:pt>
                  <c:pt idx="1631">
                    <c:v>1,22</c:v>
                  </c:pt>
                  <c:pt idx="1632">
                    <c:v>1,22</c:v>
                  </c:pt>
                  <c:pt idx="1633">
                    <c:v>1,22</c:v>
                  </c:pt>
                  <c:pt idx="1634">
                    <c:v>1,22</c:v>
                  </c:pt>
                  <c:pt idx="1635">
                    <c:v>1</c:v>
                  </c:pt>
                  <c:pt idx="1636">
                    <c:v>1</c:v>
                  </c:pt>
                  <c:pt idx="1637">
                    <c:v>1</c:v>
                  </c:pt>
                  <c:pt idx="1638">
                    <c:v>1</c:v>
                  </c:pt>
                  <c:pt idx="1639">
                    <c:v>1</c:v>
                  </c:pt>
                  <c:pt idx="1640">
                    <c:v>1,22</c:v>
                  </c:pt>
                  <c:pt idx="1641">
                    <c:v>1,22</c:v>
                  </c:pt>
                  <c:pt idx="1642">
                    <c:v>1</c:v>
                  </c:pt>
                  <c:pt idx="1643">
                    <c:v>1</c:v>
                  </c:pt>
                  <c:pt idx="1644">
                    <c:v>1</c:v>
                  </c:pt>
                  <c:pt idx="1645">
                    <c:v>1</c:v>
                  </c:pt>
                  <c:pt idx="1646">
                    <c:v>1,22</c:v>
                  </c:pt>
                  <c:pt idx="1647">
                    <c:v>1,22</c:v>
                  </c:pt>
                  <c:pt idx="1648">
                    <c:v>1,22</c:v>
                  </c:pt>
                  <c:pt idx="1649">
                    <c:v>1,22</c:v>
                  </c:pt>
                  <c:pt idx="1650">
                    <c:v>1,22</c:v>
                  </c:pt>
                  <c:pt idx="1651">
                    <c:v>1,22</c:v>
                  </c:pt>
                  <c:pt idx="1652">
                    <c:v>1,22</c:v>
                  </c:pt>
                  <c:pt idx="1653">
                    <c:v>1,2</c:v>
                  </c:pt>
                  <c:pt idx="1654">
                    <c:v>1,22</c:v>
                  </c:pt>
                  <c:pt idx="1655">
                    <c:v>1,22</c:v>
                  </c:pt>
                  <c:pt idx="1656">
                    <c:v>1,22</c:v>
                  </c:pt>
                  <c:pt idx="1657">
                    <c:v>1,22</c:v>
                  </c:pt>
                  <c:pt idx="1658">
                    <c:v>1,22</c:v>
                  </c:pt>
                  <c:pt idx="1659">
                    <c:v>1,22</c:v>
                  </c:pt>
                  <c:pt idx="1660">
                    <c:v>1,22</c:v>
                  </c:pt>
                  <c:pt idx="1661">
                    <c:v>1,22</c:v>
                  </c:pt>
                  <c:pt idx="1662">
                    <c:v>1,22</c:v>
                  </c:pt>
                  <c:pt idx="1663">
                    <c:v>1,22</c:v>
                  </c:pt>
                  <c:pt idx="1664">
                    <c:v>1,22</c:v>
                  </c:pt>
                  <c:pt idx="1665">
                    <c:v>1,22</c:v>
                  </c:pt>
                  <c:pt idx="1666">
                    <c:v>1,22</c:v>
                  </c:pt>
                  <c:pt idx="1667">
                    <c:v>1,22</c:v>
                  </c:pt>
                  <c:pt idx="1668">
                    <c:v>1,22</c:v>
                  </c:pt>
                  <c:pt idx="1669">
                    <c:v>1,22</c:v>
                  </c:pt>
                  <c:pt idx="1670">
                    <c:v>1,22</c:v>
                  </c:pt>
                  <c:pt idx="1671">
                    <c:v>1,22</c:v>
                  </c:pt>
                  <c:pt idx="1672">
                    <c:v>1</c:v>
                  </c:pt>
                  <c:pt idx="1673">
                    <c:v>1</c:v>
                  </c:pt>
                  <c:pt idx="1674">
                    <c:v>1,22</c:v>
                  </c:pt>
                  <c:pt idx="1675">
                    <c:v>1,22</c:v>
                  </c:pt>
                  <c:pt idx="1676">
                    <c:v>1,22</c:v>
                  </c:pt>
                  <c:pt idx="1677">
                    <c:v>1,22</c:v>
                  </c:pt>
                  <c:pt idx="1678">
                    <c:v>1,22</c:v>
                  </c:pt>
                  <c:pt idx="1679">
                    <c:v>1,22</c:v>
                  </c:pt>
                  <c:pt idx="1680">
                    <c:v>1,55</c:v>
                  </c:pt>
                  <c:pt idx="1681">
                    <c:v>1,22</c:v>
                  </c:pt>
                  <c:pt idx="1682">
                    <c:v>1,22</c:v>
                  </c:pt>
                  <c:pt idx="1683">
                    <c:v>1,22</c:v>
                  </c:pt>
                  <c:pt idx="1684">
                    <c:v>1,22</c:v>
                  </c:pt>
                  <c:pt idx="1685">
                    <c:v>1,22</c:v>
                  </c:pt>
                  <c:pt idx="1686">
                    <c:v>1,22</c:v>
                  </c:pt>
                  <c:pt idx="1687">
                    <c:v>1</c:v>
                  </c:pt>
                  <c:pt idx="1688">
                    <c:v>1</c:v>
                  </c:pt>
                  <c:pt idx="1689">
                    <c:v>1,22</c:v>
                  </c:pt>
                  <c:pt idx="1690">
                    <c:v>1,22</c:v>
                  </c:pt>
                  <c:pt idx="1691">
                    <c:v>1,22</c:v>
                  </c:pt>
                  <c:pt idx="1692">
                    <c:v>1,22</c:v>
                  </c:pt>
                  <c:pt idx="1693">
                    <c:v>1,22</c:v>
                  </c:pt>
                  <c:pt idx="1694">
                    <c:v>1,22</c:v>
                  </c:pt>
                  <c:pt idx="1695">
                    <c:v>1,22</c:v>
                  </c:pt>
                  <c:pt idx="1696">
                    <c:v>1,22</c:v>
                  </c:pt>
                  <c:pt idx="1697">
                    <c:v>1,22</c:v>
                  </c:pt>
                  <c:pt idx="1698">
                    <c:v>1,22</c:v>
                  </c:pt>
                  <c:pt idx="1699">
                    <c:v>1,22</c:v>
                  </c:pt>
                  <c:pt idx="1700">
                    <c:v>1,22</c:v>
                  </c:pt>
                  <c:pt idx="1701">
                    <c:v>1,22</c:v>
                  </c:pt>
                  <c:pt idx="1702">
                    <c:v>1,22</c:v>
                  </c:pt>
                  <c:pt idx="1703">
                    <c:v>1,22</c:v>
                  </c:pt>
                  <c:pt idx="1704">
                    <c:v>1,22</c:v>
                  </c:pt>
                  <c:pt idx="1705">
                    <c:v>1,22</c:v>
                  </c:pt>
                  <c:pt idx="1706">
                    <c:v>1,22</c:v>
                  </c:pt>
                  <c:pt idx="1707">
                    <c:v>1,22</c:v>
                  </c:pt>
                  <c:pt idx="1708">
                    <c:v>1</c:v>
                  </c:pt>
                  <c:pt idx="1709">
                    <c:v>1,22</c:v>
                  </c:pt>
                  <c:pt idx="1710">
                    <c:v>1,22</c:v>
                  </c:pt>
                  <c:pt idx="1711">
                    <c:v>1,22</c:v>
                  </c:pt>
                  <c:pt idx="1712">
                    <c:v>1,22</c:v>
                  </c:pt>
                  <c:pt idx="1713">
                    <c:v>1,22</c:v>
                  </c:pt>
                  <c:pt idx="1714">
                    <c:v>1,22</c:v>
                  </c:pt>
                  <c:pt idx="1715">
                    <c:v>1</c:v>
                  </c:pt>
                  <c:pt idx="1716">
                    <c:v>1</c:v>
                  </c:pt>
                  <c:pt idx="1717">
                    <c:v>1,22</c:v>
                  </c:pt>
                  <c:pt idx="1718">
                    <c:v>1,22</c:v>
                  </c:pt>
                  <c:pt idx="1719">
                    <c:v>1,22</c:v>
                  </c:pt>
                  <c:pt idx="1720">
                    <c:v>1,22</c:v>
                  </c:pt>
                  <c:pt idx="1721">
                    <c:v>1,22</c:v>
                  </c:pt>
                  <c:pt idx="1722">
                    <c:v>1,22</c:v>
                  </c:pt>
                  <c:pt idx="1723">
                    <c:v>1,22</c:v>
                  </c:pt>
                  <c:pt idx="1724">
                    <c:v>1,22</c:v>
                  </c:pt>
                </c:lvl>
                <c:lvl>
                  <c:pt idx="0">
                    <c:v>corona</c:v>
                  </c:pt>
                  <c:pt idx="1">
                    <c:v>agraciada</c:v>
                  </c:pt>
                  <c:pt idx="2">
                    <c:v>magric</c:v>
                  </c:pt>
                  <c:pt idx="3">
                    <c:v>merlin</c:v>
                  </c:pt>
                  <c:pt idx="4">
                    <c:v>merlin</c:v>
                  </c:pt>
                  <c:pt idx="5">
                    <c:v>copagran</c:v>
                  </c:pt>
                  <c:pt idx="6">
                    <c:v>copagran</c:v>
                  </c:pt>
                  <c:pt idx="7">
                    <c:v>copagran</c:v>
                  </c:pt>
                  <c:pt idx="8">
                    <c:v>merlin</c:v>
                  </c:pt>
                  <c:pt idx="9">
                    <c:v>magric</c:v>
                  </c:pt>
                  <c:pt idx="10">
                    <c:v>grispix</c:v>
                  </c:pt>
                  <c:pt idx="11">
                    <c:v>grispix</c:v>
                  </c:pt>
                  <c:pt idx="12">
                    <c:v>GRISPIX</c:v>
                  </c:pt>
                  <c:pt idx="13">
                    <c:v>bioterra</c:v>
                  </c:pt>
                  <c:pt idx="14">
                    <c:v>denucio</c:v>
                  </c:pt>
                  <c:pt idx="15">
                    <c:v>diego</c:v>
                  </c:pt>
                  <c:pt idx="16">
                    <c:v>diego</c:v>
                  </c:pt>
                  <c:pt idx="17">
                    <c:v>diego</c:v>
                  </c:pt>
                  <c:pt idx="18">
                    <c:v>diego</c:v>
                  </c:pt>
                  <c:pt idx="19">
                    <c:v>diego</c:v>
                  </c:pt>
                  <c:pt idx="20">
                    <c:v>diego</c:v>
                  </c:pt>
                  <c:pt idx="21">
                    <c:v>diego</c:v>
                  </c:pt>
                  <c:pt idx="22">
                    <c:v>diego</c:v>
                  </c:pt>
                  <c:pt idx="24">
                    <c:v>cousa</c:v>
                  </c:pt>
                  <c:pt idx="25">
                    <c:v>cousa</c:v>
                  </c:pt>
                  <c:pt idx="26">
                    <c:v>deribal</c:v>
                  </c:pt>
                  <c:pt idx="27">
                    <c:v>valagu</c:v>
                  </c:pt>
                  <c:pt idx="28">
                    <c:v>valagu</c:v>
                  </c:pt>
                  <c:pt idx="29">
                    <c:v>valagu</c:v>
                  </c:pt>
                  <c:pt idx="30">
                    <c:v>valagu</c:v>
                  </c:pt>
                  <c:pt idx="31">
                    <c:v>valagu</c:v>
                  </c:pt>
                  <c:pt idx="32">
                    <c:v>valagu</c:v>
                  </c:pt>
                  <c:pt idx="33">
                    <c:v>valagu</c:v>
                  </c:pt>
                  <c:pt idx="34">
                    <c:v>agraciada</c:v>
                  </c:pt>
                  <c:pt idx="35">
                    <c:v>grispix</c:v>
                  </c:pt>
                  <c:pt idx="36">
                    <c:v>denucio</c:v>
                  </c:pt>
                  <c:pt idx="37">
                    <c:v>valagu</c:v>
                  </c:pt>
                  <c:pt idx="38">
                    <c:v>valagu</c:v>
                  </c:pt>
                  <c:pt idx="39">
                    <c:v>valagu</c:v>
                  </c:pt>
                  <c:pt idx="40">
                    <c:v>valagu</c:v>
                  </c:pt>
                  <c:pt idx="41">
                    <c:v>valagu</c:v>
                  </c:pt>
                  <c:pt idx="42">
                    <c:v>valagu</c:v>
                  </c:pt>
                  <c:pt idx="43">
                    <c:v>valagu</c:v>
                  </c:pt>
                  <c:pt idx="44">
                    <c:v>valagu</c:v>
                  </c:pt>
                  <c:pt idx="45">
                    <c:v>valagu</c:v>
                  </c:pt>
                  <c:pt idx="46">
                    <c:v>valagu</c:v>
                  </c:pt>
                  <c:pt idx="47">
                    <c:v>valagu</c:v>
                  </c:pt>
                  <c:pt idx="48">
                    <c:v>valagu</c:v>
                  </c:pt>
                  <c:pt idx="49">
                    <c:v>valagu </c:v>
                  </c:pt>
                  <c:pt idx="50">
                    <c:v>valagu</c:v>
                  </c:pt>
                  <c:pt idx="51">
                    <c:v>valagu</c:v>
                  </c:pt>
                  <c:pt idx="52">
                    <c:v>valagu</c:v>
                  </c:pt>
                  <c:pt idx="53">
                    <c:v>valagu</c:v>
                  </c:pt>
                  <c:pt idx="54">
                    <c:v>valagu</c:v>
                  </c:pt>
                  <c:pt idx="55">
                    <c:v>valagu</c:v>
                  </c:pt>
                  <c:pt idx="56">
                    <c:v>valagu</c:v>
                  </c:pt>
                  <c:pt idx="57">
                    <c:v>valagu</c:v>
                  </c:pt>
                  <c:pt idx="58">
                    <c:v>valagu</c:v>
                  </c:pt>
                  <c:pt idx="59">
                    <c:v>denucio</c:v>
                  </c:pt>
                  <c:pt idx="60">
                    <c:v>beltrame</c:v>
                  </c:pt>
                  <c:pt idx="61">
                    <c:v>alvarez</c:v>
                  </c:pt>
                  <c:pt idx="62">
                    <c:v>alvarez</c:v>
                  </c:pt>
                  <c:pt idx="63">
                    <c:v>agraciada</c:v>
                  </c:pt>
                  <c:pt idx="64">
                    <c:v>damian macetas</c:v>
                  </c:pt>
                  <c:pt idx="65">
                    <c:v>damian macetas</c:v>
                  </c:pt>
                  <c:pt idx="66">
                    <c:v>diego</c:v>
                  </c:pt>
                  <c:pt idx="67">
                    <c:v>diego</c:v>
                  </c:pt>
                  <c:pt idx="68">
                    <c:v>diego</c:v>
                  </c:pt>
                  <c:pt idx="69">
                    <c:v>diego</c:v>
                  </c:pt>
                  <c:pt idx="70">
                    <c:v>diego</c:v>
                  </c:pt>
                  <c:pt idx="71">
                    <c:v>maestro</c:v>
                  </c:pt>
                  <c:pt idx="72">
                    <c:v>rimart</c:v>
                  </c:pt>
                  <c:pt idx="73">
                    <c:v>rimart</c:v>
                  </c:pt>
                  <c:pt idx="74">
                    <c:v>lima</c:v>
                  </c:pt>
                  <c:pt idx="75">
                    <c:v>lima</c:v>
                  </c:pt>
                  <c:pt idx="76">
                    <c:v>maestro</c:v>
                  </c:pt>
                  <c:pt idx="77">
                    <c:v>maestro</c:v>
                  </c:pt>
                  <c:pt idx="78">
                    <c:v>diego</c:v>
                  </c:pt>
                  <c:pt idx="79">
                    <c:v>diego</c:v>
                  </c:pt>
                  <c:pt idx="80">
                    <c:v>fermara</c:v>
                  </c:pt>
                  <c:pt idx="81">
                    <c:v>fermara</c:v>
                  </c:pt>
                  <c:pt idx="82">
                    <c:v>fermara</c:v>
                  </c:pt>
                  <c:pt idx="83">
                    <c:v>casa cristina</c:v>
                  </c:pt>
                  <c:pt idx="84">
                    <c:v>casa cristina</c:v>
                  </c:pt>
                  <c:pt idx="85">
                    <c:v>aros y coronas</c:v>
                  </c:pt>
                  <c:pt idx="86">
                    <c:v>aros y coronas</c:v>
                  </c:pt>
                  <c:pt idx="87">
                    <c:v>aros y coronas</c:v>
                  </c:pt>
                  <c:pt idx="88">
                    <c:v>rimart</c:v>
                  </c:pt>
                  <c:pt idx="89">
                    <c:v>rimart</c:v>
                  </c:pt>
                  <c:pt idx="90">
                    <c:v>diego</c:v>
                  </c:pt>
                  <c:pt idx="91">
                    <c:v>DIEGO</c:v>
                  </c:pt>
                  <c:pt idx="93">
                    <c:v>casa cristina</c:v>
                  </c:pt>
                  <c:pt idx="96">
                    <c:v>yaques</c:v>
                  </c:pt>
                  <c:pt idx="97">
                    <c:v>bioterra</c:v>
                  </c:pt>
                  <c:pt idx="98">
                    <c:v>droqueria paysandu</c:v>
                  </c:pt>
                  <c:pt idx="99">
                    <c:v>droqueria paysandu</c:v>
                  </c:pt>
                  <c:pt idx="100">
                    <c:v>drogueria paysandu</c:v>
                  </c:pt>
                  <c:pt idx="101">
                    <c:v>agropecuaria agraciada</c:v>
                  </c:pt>
                  <c:pt idx="102">
                    <c:v>drogueria paysandu</c:v>
                  </c:pt>
                  <c:pt idx="103">
                    <c:v>beltrame</c:v>
                  </c:pt>
                  <c:pt idx="104">
                    <c:v>beltrame</c:v>
                  </c:pt>
                  <c:pt idx="105">
                    <c:v>parque trebol</c:v>
                  </c:pt>
                  <c:pt idx="106">
                    <c:v>parque trebol</c:v>
                  </c:pt>
                  <c:pt idx="107">
                    <c:v>parque trebol</c:v>
                  </c:pt>
                  <c:pt idx="108">
                    <c:v>parque trebol</c:v>
                  </c:pt>
                  <c:pt idx="110">
                    <c:v>empack</c:v>
                  </c:pt>
                  <c:pt idx="111">
                    <c:v>valagu</c:v>
                  </c:pt>
                  <c:pt idx="112">
                    <c:v>MAYORPET</c:v>
                  </c:pt>
                  <c:pt idx="113">
                    <c:v>MAYORPET</c:v>
                  </c:pt>
                  <c:pt idx="114">
                    <c:v>valagu</c:v>
                  </c:pt>
                  <c:pt idx="115">
                    <c:v>valagu</c:v>
                  </c:pt>
                  <c:pt idx="116">
                    <c:v>valagu</c:v>
                  </c:pt>
                  <c:pt idx="117">
                    <c:v>MAYORPET</c:v>
                  </c:pt>
                  <c:pt idx="118">
                    <c:v>MAYORPET</c:v>
                  </c:pt>
                  <c:pt idx="119">
                    <c:v>valagu</c:v>
                  </c:pt>
                  <c:pt idx="120">
                    <c:v>valagu</c:v>
                  </c:pt>
                  <c:pt idx="121">
                    <c:v>beltrame</c:v>
                  </c:pt>
                  <c:pt idx="122">
                    <c:v>volpe</c:v>
                  </c:pt>
                  <c:pt idx="123">
                    <c:v>volpe</c:v>
                  </c:pt>
                  <c:pt idx="124">
                    <c:v>parque trebol</c:v>
                  </c:pt>
                  <c:pt idx="125">
                    <c:v>agroinsumos</c:v>
                  </c:pt>
                  <c:pt idx="126">
                    <c:v>agroinsumos</c:v>
                  </c:pt>
                  <c:pt idx="127">
                    <c:v>agroinsumos</c:v>
                  </c:pt>
                  <c:pt idx="128">
                    <c:v>agroinsumos</c:v>
                  </c:pt>
                  <c:pt idx="129">
                    <c:v>valagu</c:v>
                  </c:pt>
                  <c:pt idx="130">
                    <c:v>beltrame</c:v>
                  </c:pt>
                  <c:pt idx="131">
                    <c:v>beltrame</c:v>
                  </c:pt>
                  <c:pt idx="132">
                    <c:v>beltrame</c:v>
                  </c:pt>
                  <c:pt idx="133">
                    <c:v>beltrame</c:v>
                  </c:pt>
                  <c:pt idx="134">
                    <c:v>MAYORPET</c:v>
                  </c:pt>
                  <c:pt idx="135">
                    <c:v>MAYORPET</c:v>
                  </c:pt>
                  <c:pt idx="136">
                    <c:v>valagu</c:v>
                  </c:pt>
                  <c:pt idx="137">
                    <c:v>beltrame</c:v>
                  </c:pt>
                  <c:pt idx="138">
                    <c:v>MAYORPET</c:v>
                  </c:pt>
                  <c:pt idx="139">
                    <c:v>MAYORPET</c:v>
                  </c:pt>
                  <c:pt idx="140">
                    <c:v>MAYORPET</c:v>
                  </c:pt>
                  <c:pt idx="141">
                    <c:v>MAYORPET</c:v>
                  </c:pt>
                  <c:pt idx="142">
                    <c:v>MAYORPET</c:v>
                  </c:pt>
                  <c:pt idx="143">
                    <c:v>MAYORPET</c:v>
                  </c:pt>
                  <c:pt idx="144">
                    <c:v>valagu</c:v>
                  </c:pt>
                  <c:pt idx="145">
                    <c:v>valagu</c:v>
                  </c:pt>
                  <c:pt idx="146">
                    <c:v>valagu</c:v>
                  </c:pt>
                  <c:pt idx="147">
                    <c:v>damian macetas</c:v>
                  </c:pt>
                  <c:pt idx="148">
                    <c:v>valagu</c:v>
                  </c:pt>
                  <c:pt idx="149">
                    <c:v>valagu</c:v>
                  </c:pt>
                  <c:pt idx="150">
                    <c:v>valagu</c:v>
                  </c:pt>
                  <c:pt idx="151">
                    <c:v>MAYORPET</c:v>
                  </c:pt>
                  <c:pt idx="152">
                    <c:v>damian macetas</c:v>
                  </c:pt>
                  <c:pt idx="153">
                    <c:v>valagu</c:v>
                  </c:pt>
                  <c:pt idx="154">
                    <c:v>valagu</c:v>
                  </c:pt>
                  <c:pt idx="155">
                    <c:v>valagu</c:v>
                  </c:pt>
                  <c:pt idx="156">
                    <c:v>valagu</c:v>
                  </c:pt>
                  <c:pt idx="157">
                    <c:v>valagu</c:v>
                  </c:pt>
                  <c:pt idx="158">
                    <c:v>valagu</c:v>
                  </c:pt>
                  <c:pt idx="159">
                    <c:v>es</c:v>
                  </c:pt>
                  <c:pt idx="160">
                    <c:v>valagu</c:v>
                  </c:pt>
                  <c:pt idx="161">
                    <c:v>drogueria paysandu</c:v>
                  </c:pt>
                  <c:pt idx="165">
                    <c:v>yaques</c:v>
                  </c:pt>
                  <c:pt idx="166">
                    <c:v>agroinsumos</c:v>
                  </c:pt>
                  <c:pt idx="167">
                    <c:v>bioterra</c:v>
                  </c:pt>
                  <c:pt idx="168">
                    <c:v>bioterra</c:v>
                  </c:pt>
                  <c:pt idx="169">
                    <c:v>bioterra</c:v>
                  </c:pt>
                  <c:pt idx="170">
                    <c:v>bioterra</c:v>
                  </c:pt>
                  <c:pt idx="171">
                    <c:v>bioterra</c:v>
                  </c:pt>
                  <c:pt idx="172">
                    <c:v>bioterra</c:v>
                  </c:pt>
                  <c:pt idx="173">
                    <c:v>bioterra</c:v>
                  </c:pt>
                  <c:pt idx="174">
                    <c:v>bioterra</c:v>
                  </c:pt>
                  <c:pt idx="175">
                    <c:v>bioterra</c:v>
                  </c:pt>
                  <c:pt idx="176">
                    <c:v>bioterra</c:v>
                  </c:pt>
                  <c:pt idx="177">
                    <c:v>belsir</c:v>
                  </c:pt>
                  <c:pt idx="178">
                    <c:v>belsir</c:v>
                  </c:pt>
                  <c:pt idx="179">
                    <c:v>GRISPIX</c:v>
                  </c:pt>
                  <c:pt idx="180">
                    <c:v>GRISPIX</c:v>
                  </c:pt>
                  <c:pt idx="181">
                    <c:v>damian macetas</c:v>
                  </c:pt>
                  <c:pt idx="182">
                    <c:v>damian macetas</c:v>
                  </c:pt>
                  <c:pt idx="183">
                    <c:v>damian macetas</c:v>
                  </c:pt>
                  <c:pt idx="184">
                    <c:v>damian macetas</c:v>
                  </c:pt>
                  <c:pt idx="185">
                    <c:v>damian macetas</c:v>
                  </c:pt>
                  <c:pt idx="186">
                    <c:v>damian macetas</c:v>
                  </c:pt>
                  <c:pt idx="187">
                    <c:v>damian macetas</c:v>
                  </c:pt>
                  <c:pt idx="188">
                    <c:v>damian macetas</c:v>
                  </c:pt>
                  <c:pt idx="189">
                    <c:v>damian macetas</c:v>
                  </c:pt>
                  <c:pt idx="190">
                    <c:v>damian macetas</c:v>
                  </c:pt>
                  <c:pt idx="191">
                    <c:v>damian macetas</c:v>
                  </c:pt>
                  <c:pt idx="192">
                    <c:v>damian macetas</c:v>
                  </c:pt>
                  <c:pt idx="193">
                    <c:v>damian macetas</c:v>
                  </c:pt>
                  <c:pt idx="194">
                    <c:v>damian macetas</c:v>
                  </c:pt>
                  <c:pt idx="195">
                    <c:v>damian macetas</c:v>
                  </c:pt>
                  <c:pt idx="196">
                    <c:v>damian macetas</c:v>
                  </c:pt>
                  <c:pt idx="197">
                    <c:v>damian macetas</c:v>
                  </c:pt>
                  <c:pt idx="198">
                    <c:v>damian macetas</c:v>
                  </c:pt>
                  <c:pt idx="199">
                    <c:v>damian macetas</c:v>
                  </c:pt>
                  <c:pt idx="200">
                    <c:v>damian macetas</c:v>
                  </c:pt>
                  <c:pt idx="201">
                    <c:v>damian macetas</c:v>
                  </c:pt>
                  <c:pt idx="202">
                    <c:v>damian macetas</c:v>
                  </c:pt>
                  <c:pt idx="203">
                    <c:v>empack</c:v>
                  </c:pt>
                  <c:pt idx="204">
                    <c:v>empack</c:v>
                  </c:pt>
                  <c:pt idx="205">
                    <c:v>empack</c:v>
                  </c:pt>
                  <c:pt idx="206">
                    <c:v>empack</c:v>
                  </c:pt>
                  <c:pt idx="207">
                    <c:v>empack</c:v>
                  </c:pt>
                  <c:pt idx="208">
                    <c:v>empack</c:v>
                  </c:pt>
                  <c:pt idx="209">
                    <c:v>empack</c:v>
                  </c:pt>
                  <c:pt idx="210">
                    <c:v>diego</c:v>
                  </c:pt>
                  <c:pt idx="211">
                    <c:v>empack</c:v>
                  </c:pt>
                  <c:pt idx="212">
                    <c:v>empack</c:v>
                  </c:pt>
                  <c:pt idx="213">
                    <c:v>baldivia</c:v>
                  </c:pt>
                  <c:pt idx="214">
                    <c:v>baldivia</c:v>
                  </c:pt>
                  <c:pt idx="215">
                    <c:v>baldivia</c:v>
                  </c:pt>
                  <c:pt idx="216">
                    <c:v>baldivia</c:v>
                  </c:pt>
                  <c:pt idx="217">
                    <c:v>baldivia</c:v>
                  </c:pt>
                  <c:pt idx="218">
                    <c:v>maestro</c:v>
                  </c:pt>
                  <c:pt idx="219">
                    <c:v>mazzoni</c:v>
                  </c:pt>
                  <c:pt idx="220">
                    <c:v>mazzoni</c:v>
                  </c:pt>
                  <c:pt idx="221">
                    <c:v>valagu</c:v>
                  </c:pt>
                  <c:pt idx="222">
                    <c:v>valagu</c:v>
                  </c:pt>
                  <c:pt idx="223">
                    <c:v>valagu</c:v>
                  </c:pt>
                  <c:pt idx="224">
                    <c:v>valagu</c:v>
                  </c:pt>
                  <c:pt idx="225">
                    <c:v>valagu</c:v>
                  </c:pt>
                  <c:pt idx="226">
                    <c:v>valagu</c:v>
                  </c:pt>
                  <c:pt idx="227">
                    <c:v>diego</c:v>
                  </c:pt>
                  <c:pt idx="229">
                    <c:v>MAYORPET</c:v>
                  </c:pt>
                  <c:pt idx="230">
                    <c:v>MAYORPET</c:v>
                  </c:pt>
                  <c:pt idx="231">
                    <c:v>MAYORPET</c:v>
                  </c:pt>
                  <c:pt idx="232">
                    <c:v>MAYORPET</c:v>
                  </c:pt>
                  <c:pt idx="233">
                    <c:v>MAYORPET</c:v>
                  </c:pt>
                  <c:pt idx="234">
                    <c:v>denucio</c:v>
                  </c:pt>
                  <c:pt idx="235">
                    <c:v>aros y coronas</c:v>
                  </c:pt>
                  <c:pt idx="236">
                    <c:v>agroinsumos</c:v>
                  </c:pt>
                  <c:pt idx="237">
                    <c:v>grispix</c:v>
                  </c:pt>
                  <c:pt idx="238">
                    <c:v>denucio</c:v>
                  </c:pt>
                  <c:pt idx="239">
                    <c:v>bioterra</c:v>
                  </c:pt>
                  <c:pt idx="240">
                    <c:v>MAYORPET</c:v>
                  </c:pt>
                  <c:pt idx="241">
                    <c:v>MAYORPET</c:v>
                  </c:pt>
                  <c:pt idx="242">
                    <c:v>MAYORPET</c:v>
                  </c:pt>
                  <c:pt idx="243">
                    <c:v>MAYORPET</c:v>
                  </c:pt>
                  <c:pt idx="244">
                    <c:v>MAYORPET</c:v>
                  </c:pt>
                  <c:pt idx="245">
                    <c:v>MAYORPET</c:v>
                  </c:pt>
                  <c:pt idx="246">
                    <c:v>MAYORPET</c:v>
                  </c:pt>
                  <c:pt idx="248">
                    <c:v>ATMA</c:v>
                  </c:pt>
                  <c:pt idx="249">
                    <c:v>valagu</c:v>
                  </c:pt>
                  <c:pt idx="250">
                    <c:v>valagu</c:v>
                  </c:pt>
                  <c:pt idx="251">
                    <c:v>beltrame</c:v>
                  </c:pt>
                  <c:pt idx="252">
                    <c:v>valagu</c:v>
                  </c:pt>
                  <c:pt idx="253">
                    <c:v>valagu</c:v>
                  </c:pt>
                  <c:pt idx="254">
                    <c:v>MAYORPET</c:v>
                  </c:pt>
                  <c:pt idx="255">
                    <c:v>valagu</c:v>
                  </c:pt>
                  <c:pt idx="256">
                    <c:v>valagu</c:v>
                  </c:pt>
                  <c:pt idx="257">
                    <c:v>valagu</c:v>
                  </c:pt>
                  <c:pt idx="258">
                    <c:v>ATMA</c:v>
                  </c:pt>
                  <c:pt idx="259">
                    <c:v>damian macetas</c:v>
                  </c:pt>
                  <c:pt idx="260">
                    <c:v>valagu</c:v>
                  </c:pt>
                  <c:pt idx="261">
                    <c:v>uruquim</c:v>
                  </c:pt>
                  <c:pt idx="262">
                    <c:v>uruquim</c:v>
                  </c:pt>
                  <c:pt idx="263">
                    <c:v>agropecuaria agraciada</c:v>
                  </c:pt>
                  <c:pt idx="264">
                    <c:v>beltrame</c:v>
                  </c:pt>
                  <c:pt idx="265">
                    <c:v>magric</c:v>
                  </c:pt>
                  <c:pt idx="266">
                    <c:v>agritec</c:v>
                  </c:pt>
                  <c:pt idx="267">
                    <c:v>agritec</c:v>
                  </c:pt>
                  <c:pt idx="269">
                    <c:v>BOTICA</c:v>
                  </c:pt>
                  <c:pt idx="270">
                    <c:v>valagu</c:v>
                  </c:pt>
                  <c:pt idx="271">
                    <c:v>valagu</c:v>
                  </c:pt>
                  <c:pt idx="272">
                    <c:v>MAYORPET</c:v>
                  </c:pt>
                  <c:pt idx="273">
                    <c:v>damian macetas</c:v>
                  </c:pt>
                  <c:pt idx="274">
                    <c:v>damian macetas</c:v>
                  </c:pt>
                  <c:pt idx="275">
                    <c:v>lima</c:v>
                  </c:pt>
                  <c:pt idx="276">
                    <c:v>valagu</c:v>
                  </c:pt>
                  <c:pt idx="277">
                    <c:v>valagu</c:v>
                  </c:pt>
                  <c:pt idx="278">
                    <c:v>diego</c:v>
                  </c:pt>
                  <c:pt idx="279">
                    <c:v>damian macetas</c:v>
                  </c:pt>
                  <c:pt idx="280">
                    <c:v>damian macetas</c:v>
                  </c:pt>
                  <c:pt idx="281">
                    <c:v>damian macetas</c:v>
                  </c:pt>
                  <c:pt idx="283">
                    <c:v>grispix</c:v>
                  </c:pt>
                  <c:pt idx="284">
                    <c:v>grispix</c:v>
                  </c:pt>
                  <c:pt idx="285">
                    <c:v>denucio</c:v>
                  </c:pt>
                  <c:pt idx="286">
                    <c:v>denucio</c:v>
                  </c:pt>
                  <c:pt idx="287">
                    <c:v>denucio</c:v>
                  </c:pt>
                  <c:pt idx="288">
                    <c:v>denucio</c:v>
                  </c:pt>
                  <c:pt idx="289">
                    <c:v>denucio</c:v>
                  </c:pt>
                  <c:pt idx="290">
                    <c:v>denucio</c:v>
                  </c:pt>
                  <c:pt idx="291">
                    <c:v>denucio</c:v>
                  </c:pt>
                  <c:pt idx="292">
                    <c:v>denucio</c:v>
                  </c:pt>
                  <c:pt idx="293">
                    <c:v>denucio</c:v>
                  </c:pt>
                  <c:pt idx="294">
                    <c:v>denucio</c:v>
                  </c:pt>
                  <c:pt idx="295">
                    <c:v>denucio</c:v>
                  </c:pt>
                  <c:pt idx="296">
                    <c:v>denucio</c:v>
                  </c:pt>
                  <c:pt idx="297">
                    <c:v>denucio</c:v>
                  </c:pt>
                  <c:pt idx="298">
                    <c:v>denucio</c:v>
                  </c:pt>
                  <c:pt idx="299">
                    <c:v>beltrame</c:v>
                  </c:pt>
                  <c:pt idx="300">
                    <c:v>beltrame</c:v>
                  </c:pt>
                  <c:pt idx="301">
                    <c:v>agropecuaria santa rosa</c:v>
                  </c:pt>
                  <c:pt idx="302">
                    <c:v>agropecuaria santa rosa</c:v>
                  </c:pt>
                  <c:pt idx="303">
                    <c:v>beltrame</c:v>
                  </c:pt>
                  <c:pt idx="304">
                    <c:v>beltrame</c:v>
                  </c:pt>
                  <c:pt idx="305">
                    <c:v>beltrame</c:v>
                  </c:pt>
                  <c:pt idx="306">
                    <c:v>beltrame</c:v>
                  </c:pt>
                  <c:pt idx="307">
                    <c:v>beltrame</c:v>
                  </c:pt>
                  <c:pt idx="308">
                    <c:v>baldivia</c:v>
                  </c:pt>
                  <c:pt idx="309">
                    <c:v>damian macetas</c:v>
                  </c:pt>
                  <c:pt idx="310">
                    <c:v>damian macetas</c:v>
                  </c:pt>
                  <c:pt idx="311">
                    <c:v>maestro</c:v>
                  </c:pt>
                  <c:pt idx="312">
                    <c:v>grispix</c:v>
                  </c:pt>
                  <c:pt idx="313">
                    <c:v>alvarez</c:v>
                  </c:pt>
                  <c:pt idx="314">
                    <c:v>parque trebol</c:v>
                  </c:pt>
                  <c:pt idx="315">
                    <c:v>diego</c:v>
                  </c:pt>
                  <c:pt idx="316">
                    <c:v>magric</c:v>
                  </c:pt>
                  <c:pt idx="317">
                    <c:v>magric</c:v>
                  </c:pt>
                  <c:pt idx="318">
                    <c:v>volpe</c:v>
                  </c:pt>
                  <c:pt idx="319">
                    <c:v>volpe</c:v>
                  </c:pt>
                  <c:pt idx="320">
                    <c:v>denucio</c:v>
                  </c:pt>
                  <c:pt idx="321">
                    <c:v>yaques</c:v>
                  </c:pt>
                  <c:pt idx="322">
                    <c:v>valagu</c:v>
                  </c:pt>
                  <c:pt idx="323">
                    <c:v>damian macetas</c:v>
                  </c:pt>
                  <c:pt idx="324">
                    <c:v>damian macetas</c:v>
                  </c:pt>
                  <c:pt idx="325">
                    <c:v>damian macetas</c:v>
                  </c:pt>
                  <c:pt idx="326">
                    <c:v>damian macetas</c:v>
                  </c:pt>
                  <c:pt idx="327">
                    <c:v>alvarez</c:v>
                  </c:pt>
                  <c:pt idx="328">
                    <c:v>insumos cultivador</c:v>
                  </c:pt>
                  <c:pt idx="329">
                    <c:v>insumos cultivador</c:v>
                  </c:pt>
                  <c:pt idx="330">
                    <c:v>insumos cultivador</c:v>
                  </c:pt>
                  <c:pt idx="331">
                    <c:v>MAYORPET</c:v>
                  </c:pt>
                  <c:pt idx="332">
                    <c:v>damian macetas</c:v>
                  </c:pt>
                  <c:pt idx="333">
                    <c:v>damian macetas</c:v>
                  </c:pt>
                  <c:pt idx="334">
                    <c:v>damian macetas</c:v>
                  </c:pt>
                  <c:pt idx="335">
                    <c:v>MAYORPET</c:v>
                  </c:pt>
                  <c:pt idx="336">
                    <c:v>MAYORPET</c:v>
                  </c:pt>
                  <c:pt idx="337">
                    <c:v>MAYORPET</c:v>
                  </c:pt>
                  <c:pt idx="338">
                    <c:v>MAYORPET</c:v>
                  </c:pt>
                  <c:pt idx="339">
                    <c:v>MAYORPET</c:v>
                  </c:pt>
                  <c:pt idx="340">
                    <c:v>MAYORPET</c:v>
                  </c:pt>
                  <c:pt idx="341">
                    <c:v>MAYORPET</c:v>
                  </c:pt>
                  <c:pt idx="342">
                    <c:v>MAYORPET</c:v>
                  </c:pt>
                  <c:pt idx="343">
                    <c:v>MAYORPET</c:v>
                  </c:pt>
                  <c:pt idx="344">
                    <c:v>MAYORPET</c:v>
                  </c:pt>
                  <c:pt idx="345">
                    <c:v>MAYORPET</c:v>
                  </c:pt>
                  <c:pt idx="346">
                    <c:v>MAYORPET</c:v>
                  </c:pt>
                  <c:pt idx="347">
                    <c:v>MAYORPET</c:v>
                  </c:pt>
                  <c:pt idx="348">
                    <c:v>MAYORPET</c:v>
                  </c:pt>
                  <c:pt idx="349">
                    <c:v>MAYORPET</c:v>
                  </c:pt>
                  <c:pt idx="350">
                    <c:v>MAYORPET</c:v>
                  </c:pt>
                  <c:pt idx="351">
                    <c:v>MAYORPET</c:v>
                  </c:pt>
                  <c:pt idx="352">
                    <c:v>MAYORPET</c:v>
                  </c:pt>
                  <c:pt idx="353">
                    <c:v>MAYORPET</c:v>
                  </c:pt>
                  <c:pt idx="354">
                    <c:v>grispix</c:v>
                  </c:pt>
                  <c:pt idx="355">
                    <c:v>grispix</c:v>
                  </c:pt>
                  <c:pt idx="356">
                    <c:v>grispix</c:v>
                  </c:pt>
                  <c:pt idx="357">
                    <c:v>MAYORPET</c:v>
                  </c:pt>
                  <c:pt idx="358">
                    <c:v>MAYORPET</c:v>
                  </c:pt>
                  <c:pt idx="359">
                    <c:v>MAYORPET</c:v>
                  </c:pt>
                  <c:pt idx="360">
                    <c:v>MAYORPET</c:v>
                  </c:pt>
                  <c:pt idx="361">
                    <c:v>deribal</c:v>
                  </c:pt>
                  <c:pt idx="362">
                    <c:v>deribal</c:v>
                  </c:pt>
                  <c:pt idx="363">
                    <c:v>fermara</c:v>
                  </c:pt>
                  <c:pt idx="364">
                    <c:v>deribal</c:v>
                  </c:pt>
                  <c:pt idx="365">
                    <c:v>volpe</c:v>
                  </c:pt>
                  <c:pt idx="366">
                    <c:v>deribal</c:v>
                  </c:pt>
                  <c:pt idx="367">
                    <c:v>deribal</c:v>
                  </c:pt>
                  <c:pt idx="368">
                    <c:v>volpe</c:v>
                  </c:pt>
                  <c:pt idx="369">
                    <c:v>MAYORPET</c:v>
                  </c:pt>
                  <c:pt idx="370">
                    <c:v>MAYORPET</c:v>
                  </c:pt>
                  <c:pt idx="371">
                    <c:v>grispix</c:v>
                  </c:pt>
                  <c:pt idx="372">
                    <c:v>grispix</c:v>
                  </c:pt>
                  <c:pt idx="373">
                    <c:v>MAYORPET</c:v>
                  </c:pt>
                  <c:pt idx="374">
                    <c:v>MAYORPET</c:v>
                  </c:pt>
                  <c:pt idx="375">
                    <c:v>MAYORPET</c:v>
                  </c:pt>
                  <c:pt idx="376">
                    <c:v>grispix</c:v>
                  </c:pt>
                  <c:pt idx="377">
                    <c:v>MAYORPET</c:v>
                  </c:pt>
                  <c:pt idx="378">
                    <c:v>MAYORPET</c:v>
                  </c:pt>
                  <c:pt idx="379">
                    <c:v>MAYORPET</c:v>
                  </c:pt>
                  <c:pt idx="380">
                    <c:v>MAYORPET</c:v>
                  </c:pt>
                  <c:pt idx="381">
                    <c:v>MAYORPET</c:v>
                  </c:pt>
                  <c:pt idx="382">
                    <c:v>MAYORPET</c:v>
                  </c:pt>
                  <c:pt idx="383">
                    <c:v>rimart</c:v>
                  </c:pt>
                  <c:pt idx="384">
                    <c:v>rimart</c:v>
                  </c:pt>
                  <c:pt idx="385">
                    <c:v>MAYORPET</c:v>
                  </c:pt>
                  <c:pt idx="386">
                    <c:v>damian macetas</c:v>
                  </c:pt>
                  <c:pt idx="387">
                    <c:v>MAYORPET</c:v>
                  </c:pt>
                  <c:pt idx="388">
                    <c:v>MAYORPET</c:v>
                  </c:pt>
                  <c:pt idx="389">
                    <c:v>MAYORPET</c:v>
                  </c:pt>
                  <c:pt idx="390">
                    <c:v>valagu</c:v>
                  </c:pt>
                  <c:pt idx="391">
                    <c:v>MAYORPET</c:v>
                  </c:pt>
                  <c:pt idx="392">
                    <c:v>MAYORPET</c:v>
                  </c:pt>
                  <c:pt idx="393">
                    <c:v>MAYORPET</c:v>
                  </c:pt>
                  <c:pt idx="394">
                    <c:v>MAYORPET</c:v>
                  </c:pt>
                  <c:pt idx="395">
                    <c:v>MAYORPET</c:v>
                  </c:pt>
                  <c:pt idx="396">
                    <c:v>MAYORPET</c:v>
                  </c:pt>
                  <c:pt idx="397">
                    <c:v>MAYORPET</c:v>
                  </c:pt>
                  <c:pt idx="398">
                    <c:v>MAYORPET</c:v>
                  </c:pt>
                  <c:pt idx="399">
                    <c:v>MAYORPET</c:v>
                  </c:pt>
                  <c:pt idx="400">
                    <c:v>MAYORPET</c:v>
                  </c:pt>
                  <c:pt idx="401">
                    <c:v>MAYORPET</c:v>
                  </c:pt>
                  <c:pt idx="402">
                    <c:v>MAYORPET</c:v>
                  </c:pt>
                  <c:pt idx="403">
                    <c:v>MAYORPET</c:v>
                  </c:pt>
                  <c:pt idx="404">
                    <c:v>MAYORPET</c:v>
                  </c:pt>
                  <c:pt idx="405">
                    <c:v>valagu</c:v>
                  </c:pt>
                  <c:pt idx="406">
                    <c:v>valagu</c:v>
                  </c:pt>
                  <c:pt idx="407">
                    <c:v>damian macetas</c:v>
                  </c:pt>
                  <c:pt idx="408">
                    <c:v>valagu</c:v>
                  </c:pt>
                  <c:pt idx="409">
                    <c:v>beltrame</c:v>
                  </c:pt>
                  <c:pt idx="410">
                    <c:v>valagu</c:v>
                  </c:pt>
                  <c:pt idx="411">
                    <c:v>valagu</c:v>
                  </c:pt>
                  <c:pt idx="412">
                    <c:v>damian macetas</c:v>
                  </c:pt>
                  <c:pt idx="413">
                    <c:v>MAYORPET</c:v>
                  </c:pt>
                  <c:pt idx="414">
                    <c:v>damian macetas</c:v>
                  </c:pt>
                  <c:pt idx="415">
                    <c:v>MAYORPET</c:v>
                  </c:pt>
                  <c:pt idx="416">
                    <c:v>bioterra</c:v>
                  </c:pt>
                  <c:pt idx="417">
                    <c:v>bioterra</c:v>
                  </c:pt>
                  <c:pt idx="418">
                    <c:v>diego</c:v>
                  </c:pt>
                  <c:pt idx="419">
                    <c:v>damian macetas</c:v>
                  </c:pt>
                  <c:pt idx="420">
                    <c:v>damian macetas</c:v>
                  </c:pt>
                  <c:pt idx="422">
                    <c:v>valagu</c:v>
                  </c:pt>
                  <c:pt idx="423">
                    <c:v>yaques</c:v>
                  </c:pt>
                  <c:pt idx="424">
                    <c:v>corona</c:v>
                  </c:pt>
                  <c:pt idx="425">
                    <c:v>corona</c:v>
                  </c:pt>
                  <c:pt idx="426">
                    <c:v>corona</c:v>
                  </c:pt>
                  <c:pt idx="427">
                    <c:v>corona</c:v>
                  </c:pt>
                  <c:pt idx="428">
                    <c:v>MAYORPET</c:v>
                  </c:pt>
                  <c:pt idx="429">
                    <c:v>MAYORPET</c:v>
                  </c:pt>
                  <c:pt idx="430">
                    <c:v>MAYORPET</c:v>
                  </c:pt>
                  <c:pt idx="431">
                    <c:v>MAYORPET</c:v>
                  </c:pt>
                  <c:pt idx="432">
                    <c:v>grispix</c:v>
                  </c:pt>
                  <c:pt idx="433">
                    <c:v>MAYORPET</c:v>
                  </c:pt>
                  <c:pt idx="434">
                    <c:v>mayorpet</c:v>
                  </c:pt>
                  <c:pt idx="435">
                    <c:v>MAYORPET</c:v>
                  </c:pt>
                  <c:pt idx="436">
                    <c:v>MAYORPET</c:v>
                  </c:pt>
                  <c:pt idx="437">
                    <c:v>alvarez</c:v>
                  </c:pt>
                  <c:pt idx="438">
                    <c:v>denucio</c:v>
                  </c:pt>
                  <c:pt idx="439">
                    <c:v>denucio</c:v>
                  </c:pt>
                  <c:pt idx="440">
                    <c:v>denucio</c:v>
                  </c:pt>
                  <c:pt idx="441">
                    <c:v>denucio</c:v>
                  </c:pt>
                  <c:pt idx="442">
                    <c:v>denucio</c:v>
                  </c:pt>
                  <c:pt idx="443">
                    <c:v>denucio</c:v>
                  </c:pt>
                  <c:pt idx="444">
                    <c:v>denucio</c:v>
                  </c:pt>
                  <c:pt idx="445">
                    <c:v>denucio</c:v>
                  </c:pt>
                  <c:pt idx="446">
                    <c:v>denucio</c:v>
                  </c:pt>
                  <c:pt idx="447">
                    <c:v>denucio</c:v>
                  </c:pt>
                  <c:pt idx="448">
                    <c:v>denucio</c:v>
                  </c:pt>
                  <c:pt idx="449">
                    <c:v>denucio</c:v>
                  </c:pt>
                  <c:pt idx="450">
                    <c:v>denucio</c:v>
                  </c:pt>
                  <c:pt idx="451">
                    <c:v>deribal</c:v>
                  </c:pt>
                  <c:pt idx="452">
                    <c:v>lima</c:v>
                  </c:pt>
                  <c:pt idx="453">
                    <c:v>vet volpe</c:v>
                  </c:pt>
                  <c:pt idx="454">
                    <c:v>vet volpe</c:v>
                  </c:pt>
                  <c:pt idx="455">
                    <c:v>parque trebol</c:v>
                  </c:pt>
                  <c:pt idx="456">
                    <c:v>parque trebol</c:v>
                  </c:pt>
                  <c:pt idx="457">
                    <c:v>parque trebol</c:v>
                  </c:pt>
                  <c:pt idx="458">
                    <c:v>lima</c:v>
                  </c:pt>
                  <c:pt idx="459">
                    <c:v>yaques</c:v>
                  </c:pt>
                  <c:pt idx="460">
                    <c:v>uruquim</c:v>
                  </c:pt>
                  <c:pt idx="461">
                    <c:v>uruquim</c:v>
                  </c:pt>
                  <c:pt idx="462">
                    <c:v>deribal</c:v>
                  </c:pt>
                  <c:pt idx="463">
                    <c:v>uruquim</c:v>
                  </c:pt>
                  <c:pt idx="464">
                    <c:v>damian macetas</c:v>
                  </c:pt>
                  <c:pt idx="465">
                    <c:v>damian macetas</c:v>
                  </c:pt>
                  <c:pt idx="466">
                    <c:v>damian macetas</c:v>
                  </c:pt>
                  <c:pt idx="467">
                    <c:v>damian macetas</c:v>
                  </c:pt>
                  <c:pt idx="468">
                    <c:v>damian macetas</c:v>
                  </c:pt>
                  <c:pt idx="469">
                    <c:v>damian macetas</c:v>
                  </c:pt>
                  <c:pt idx="470">
                    <c:v>damian macetas</c:v>
                  </c:pt>
                  <c:pt idx="471">
                    <c:v>damian macetas</c:v>
                  </c:pt>
                  <c:pt idx="472">
                    <c:v>MAYORPET</c:v>
                  </c:pt>
                  <c:pt idx="473">
                    <c:v>MAYORPET</c:v>
                  </c:pt>
                  <c:pt idx="474">
                    <c:v>volpe</c:v>
                  </c:pt>
                  <c:pt idx="475">
                    <c:v>deribal</c:v>
                  </c:pt>
                  <c:pt idx="476">
                    <c:v>damian macetas</c:v>
                  </c:pt>
                  <c:pt idx="477">
                    <c:v>damian macetas</c:v>
                  </c:pt>
                  <c:pt idx="478">
                    <c:v>belsir</c:v>
                  </c:pt>
                  <c:pt idx="479">
                    <c:v>ds</c:v>
                  </c:pt>
                  <c:pt idx="480">
                    <c:v>ds</c:v>
                  </c:pt>
                  <c:pt idx="481">
                    <c:v>ds</c:v>
                  </c:pt>
                  <c:pt idx="482">
                    <c:v>ds</c:v>
                  </c:pt>
                  <c:pt idx="483">
                    <c:v>dsd</c:v>
                  </c:pt>
                  <c:pt idx="484">
                    <c:v>ds</c:v>
                  </c:pt>
                  <c:pt idx="485">
                    <c:v>DS</c:v>
                  </c:pt>
                  <c:pt idx="486">
                    <c:v>DS</c:v>
                  </c:pt>
                  <c:pt idx="487">
                    <c:v>DS</c:v>
                  </c:pt>
                  <c:pt idx="488">
                    <c:v>ds</c:v>
                  </c:pt>
                  <c:pt idx="489">
                    <c:v>ds</c:v>
                  </c:pt>
                  <c:pt idx="490">
                    <c:v>ds</c:v>
                  </c:pt>
                  <c:pt idx="491">
                    <c:v>ds</c:v>
                  </c:pt>
                  <c:pt idx="492">
                    <c:v>ds</c:v>
                  </c:pt>
                  <c:pt idx="493">
                    <c:v>ds</c:v>
                  </c:pt>
                  <c:pt idx="494">
                    <c:v>ds</c:v>
                  </c:pt>
                  <c:pt idx="495">
                    <c:v>ds</c:v>
                  </c:pt>
                  <c:pt idx="496">
                    <c:v>ds</c:v>
                  </c:pt>
                  <c:pt idx="497">
                    <c:v>ds</c:v>
                  </c:pt>
                  <c:pt idx="498">
                    <c:v>ds</c:v>
                  </c:pt>
                  <c:pt idx="499">
                    <c:v>ds</c:v>
                  </c:pt>
                  <c:pt idx="500">
                    <c:v>ds</c:v>
                  </c:pt>
                  <c:pt idx="501">
                    <c:v>ds</c:v>
                  </c:pt>
                  <c:pt idx="502">
                    <c:v>ds</c:v>
                  </c:pt>
                  <c:pt idx="503">
                    <c:v>ds</c:v>
                  </c:pt>
                  <c:pt idx="504">
                    <c:v>ds</c:v>
                  </c:pt>
                  <c:pt idx="505">
                    <c:v>ds</c:v>
                  </c:pt>
                  <c:pt idx="506">
                    <c:v>ds</c:v>
                  </c:pt>
                  <c:pt idx="507">
                    <c:v>ds</c:v>
                  </c:pt>
                  <c:pt idx="508">
                    <c:v>ds</c:v>
                  </c:pt>
                  <c:pt idx="509">
                    <c:v>ds</c:v>
                  </c:pt>
                  <c:pt idx="510">
                    <c:v>ds</c:v>
                  </c:pt>
                  <c:pt idx="511">
                    <c:v>ds</c:v>
                  </c:pt>
                  <c:pt idx="512">
                    <c:v>ds</c:v>
                  </c:pt>
                  <c:pt idx="513">
                    <c:v>ds</c:v>
                  </c:pt>
                  <c:pt idx="514">
                    <c:v>ds</c:v>
                  </c:pt>
                  <c:pt idx="515">
                    <c:v>ds</c:v>
                  </c:pt>
                  <c:pt idx="516">
                    <c:v>ds</c:v>
                  </c:pt>
                  <c:pt idx="517">
                    <c:v>ds</c:v>
                  </c:pt>
                  <c:pt idx="518">
                    <c:v>ds</c:v>
                  </c:pt>
                  <c:pt idx="519">
                    <c:v>ds</c:v>
                  </c:pt>
                  <c:pt idx="520">
                    <c:v>ds</c:v>
                  </c:pt>
                  <c:pt idx="521">
                    <c:v>ds</c:v>
                  </c:pt>
                  <c:pt idx="522">
                    <c:v>damian macetas</c:v>
                  </c:pt>
                  <c:pt idx="536">
                    <c:v>ds</c:v>
                  </c:pt>
                  <c:pt idx="537">
                    <c:v>ds</c:v>
                  </c:pt>
                  <c:pt idx="538">
                    <c:v>ds</c:v>
                  </c:pt>
                  <c:pt idx="542">
                    <c:v>ds</c:v>
                  </c:pt>
                  <c:pt idx="543">
                    <c:v>ds</c:v>
                  </c:pt>
                  <c:pt idx="544">
                    <c:v>ds</c:v>
                  </c:pt>
                  <c:pt idx="545">
                    <c:v>ds</c:v>
                  </c:pt>
                  <c:pt idx="546">
                    <c:v>ds</c:v>
                  </c:pt>
                  <c:pt idx="547">
                    <c:v>ds</c:v>
                  </c:pt>
                  <c:pt idx="548">
                    <c:v>ds</c:v>
                  </c:pt>
                  <c:pt idx="549">
                    <c:v>ds</c:v>
                  </c:pt>
                  <c:pt idx="552">
                    <c:v>damian macetas</c:v>
                  </c:pt>
                  <c:pt idx="553">
                    <c:v>damian macetas</c:v>
                  </c:pt>
                  <c:pt idx="554">
                    <c:v>beltrame</c:v>
                  </c:pt>
                  <c:pt idx="555">
                    <c:v>volpe</c:v>
                  </c:pt>
                  <c:pt idx="556">
                    <c:v>volpe</c:v>
                  </c:pt>
                  <c:pt idx="557">
                    <c:v>damian macetas</c:v>
                  </c:pt>
                  <c:pt idx="558">
                    <c:v>beltrame</c:v>
                  </c:pt>
                  <c:pt idx="559">
                    <c:v>parque trebol</c:v>
                  </c:pt>
                  <c:pt idx="560">
                    <c:v>denucio</c:v>
                  </c:pt>
                  <c:pt idx="561">
                    <c:v>damian macetas</c:v>
                  </c:pt>
                  <c:pt idx="562">
                    <c:v>damian macetas</c:v>
                  </c:pt>
                  <c:pt idx="563">
                    <c:v>beltrame</c:v>
                  </c:pt>
                  <c:pt idx="564">
                    <c:v>denucio</c:v>
                  </c:pt>
                  <c:pt idx="565">
                    <c:v>denucio</c:v>
                  </c:pt>
                  <c:pt idx="567">
                    <c:v>damian macetas</c:v>
                  </c:pt>
                  <c:pt idx="568">
                    <c:v>grispix</c:v>
                  </c:pt>
                  <c:pt idx="569">
                    <c:v>damian macetas</c:v>
                  </c:pt>
                  <c:pt idx="570">
                    <c:v>damian macetas</c:v>
                  </c:pt>
                  <c:pt idx="571">
                    <c:v>damian macetas</c:v>
                  </c:pt>
                  <c:pt idx="572">
                    <c:v>beltrame</c:v>
                  </c:pt>
                  <c:pt idx="573">
                    <c:v>de navarra</c:v>
                  </c:pt>
                  <c:pt idx="577">
                    <c:v>damian macetas</c:v>
                  </c:pt>
                  <c:pt idx="578">
                    <c:v>damian macetas</c:v>
                  </c:pt>
                  <c:pt idx="579">
                    <c:v>valagu</c:v>
                  </c:pt>
                  <c:pt idx="580">
                    <c:v>valagu</c:v>
                  </c:pt>
                  <c:pt idx="582">
                    <c:v>distribuciones KRM</c:v>
                  </c:pt>
                  <c:pt idx="583">
                    <c:v>damian macetas</c:v>
                  </c:pt>
                  <c:pt idx="585">
                    <c:v>valagu</c:v>
                  </c:pt>
                  <c:pt idx="586">
                    <c:v>deribal</c:v>
                  </c:pt>
                  <c:pt idx="587">
                    <c:v>deribal</c:v>
                  </c:pt>
                  <c:pt idx="588">
                    <c:v>deribal</c:v>
                  </c:pt>
                  <c:pt idx="589">
                    <c:v>damian macetas</c:v>
                  </c:pt>
                  <c:pt idx="590">
                    <c:v>magric</c:v>
                  </c:pt>
                  <c:pt idx="591">
                    <c:v>magric</c:v>
                  </c:pt>
                  <c:pt idx="592">
                    <c:v>MAGRIC</c:v>
                  </c:pt>
                  <c:pt idx="593">
                    <c:v>beltrame</c:v>
                  </c:pt>
                  <c:pt idx="594">
                    <c:v>magric</c:v>
                  </c:pt>
                  <c:pt idx="595">
                    <c:v>magric</c:v>
                  </c:pt>
                  <c:pt idx="596">
                    <c:v>magric</c:v>
                  </c:pt>
                  <c:pt idx="598">
                    <c:v>magric</c:v>
                  </c:pt>
                  <c:pt idx="599">
                    <c:v>magric</c:v>
                  </c:pt>
                  <c:pt idx="605">
                    <c:v>alvarez</c:v>
                  </c:pt>
                  <c:pt idx="606">
                    <c:v>alvarez</c:v>
                  </c:pt>
                  <c:pt idx="607">
                    <c:v>alvarez</c:v>
                  </c:pt>
                  <c:pt idx="609">
                    <c:v>alvarez</c:v>
                  </c:pt>
                  <c:pt idx="610">
                    <c:v>alvarez</c:v>
                  </c:pt>
                  <c:pt idx="611">
                    <c:v>alvarez</c:v>
                  </c:pt>
                  <c:pt idx="613">
                    <c:v>alvarez</c:v>
                  </c:pt>
                  <c:pt idx="614">
                    <c:v>bioterra</c:v>
                  </c:pt>
                  <c:pt idx="617">
                    <c:v>alvarez</c:v>
                  </c:pt>
                  <c:pt idx="618">
                    <c:v>alvarez</c:v>
                  </c:pt>
                  <c:pt idx="619">
                    <c:v>valagu</c:v>
                  </c:pt>
                  <c:pt idx="620">
                    <c:v>valagu</c:v>
                  </c:pt>
                  <c:pt idx="621">
                    <c:v>valagu</c:v>
                  </c:pt>
                  <c:pt idx="622">
                    <c:v>valagu</c:v>
                  </c:pt>
                  <c:pt idx="623">
                    <c:v>valagu</c:v>
                  </c:pt>
                  <c:pt idx="624">
                    <c:v>valagu</c:v>
                  </c:pt>
                  <c:pt idx="625">
                    <c:v>valagu</c:v>
                  </c:pt>
                  <c:pt idx="626">
                    <c:v>valagu</c:v>
                  </c:pt>
                  <c:pt idx="627">
                    <c:v>valagu</c:v>
                  </c:pt>
                  <c:pt idx="628">
                    <c:v>valagu</c:v>
                  </c:pt>
                  <c:pt idx="629">
                    <c:v>valagu</c:v>
                  </c:pt>
                  <c:pt idx="630">
                    <c:v>valagu</c:v>
                  </c:pt>
                  <c:pt idx="631">
                    <c:v>damian macetas</c:v>
                  </c:pt>
                  <c:pt idx="632">
                    <c:v>valagu</c:v>
                  </c:pt>
                  <c:pt idx="633">
                    <c:v>parque trebol</c:v>
                  </c:pt>
                  <c:pt idx="634">
                    <c:v>parque trebol</c:v>
                  </c:pt>
                  <c:pt idx="635">
                    <c:v>parque trebol</c:v>
                  </c:pt>
                  <c:pt idx="636">
                    <c:v>parque trebol</c:v>
                  </c:pt>
                  <c:pt idx="637">
                    <c:v>parque trebol</c:v>
                  </c:pt>
                  <c:pt idx="638">
                    <c:v>diego</c:v>
                  </c:pt>
                  <c:pt idx="640">
                    <c:v>damian macetas</c:v>
                  </c:pt>
                  <c:pt idx="641">
                    <c:v>damian macetas</c:v>
                  </c:pt>
                  <c:pt idx="642">
                    <c:v>damian macetas</c:v>
                  </c:pt>
                  <c:pt idx="643">
                    <c:v>damian macetas</c:v>
                  </c:pt>
                  <c:pt idx="644">
                    <c:v>damian macetas</c:v>
                  </c:pt>
                  <c:pt idx="645">
                    <c:v>damian macetas</c:v>
                  </c:pt>
                  <c:pt idx="647">
                    <c:v>diego</c:v>
                  </c:pt>
                  <c:pt idx="651">
                    <c:v>damian macetas</c:v>
                  </c:pt>
                  <c:pt idx="652">
                    <c:v>damian macetas</c:v>
                  </c:pt>
                  <c:pt idx="653">
                    <c:v>damian macetas</c:v>
                  </c:pt>
                  <c:pt idx="654">
                    <c:v>damian macetas</c:v>
                  </c:pt>
                  <c:pt idx="655">
                    <c:v>damian macetas</c:v>
                  </c:pt>
                  <c:pt idx="656">
                    <c:v>grispix</c:v>
                  </c:pt>
                  <c:pt idx="657">
                    <c:v>yaques</c:v>
                  </c:pt>
                  <c:pt idx="658">
                    <c:v>damian macetas</c:v>
                  </c:pt>
                  <c:pt idx="659">
                    <c:v>yaques</c:v>
                  </c:pt>
                  <c:pt idx="660">
                    <c:v>casa cristina</c:v>
                  </c:pt>
                  <c:pt idx="661">
                    <c:v>casa cristina</c:v>
                  </c:pt>
                  <c:pt idx="662">
                    <c:v>casa cristina</c:v>
                  </c:pt>
                  <c:pt idx="663">
                    <c:v>casa cristina</c:v>
                  </c:pt>
                  <c:pt idx="664">
                    <c:v>casa cristina</c:v>
                  </c:pt>
                  <c:pt idx="665">
                    <c:v>casa cristina</c:v>
                  </c:pt>
                  <c:pt idx="666">
                    <c:v>diego</c:v>
                  </c:pt>
                  <c:pt idx="667">
                    <c:v>empack</c:v>
                  </c:pt>
                  <c:pt idx="668">
                    <c:v>empack</c:v>
                  </c:pt>
                  <c:pt idx="670">
                    <c:v>attack</c:v>
                  </c:pt>
                  <c:pt idx="671">
                    <c:v>atack</c:v>
                  </c:pt>
                  <c:pt idx="674">
                    <c:v>parque trebol</c:v>
                  </c:pt>
                  <c:pt idx="675">
                    <c:v>volpe</c:v>
                  </c:pt>
                  <c:pt idx="676">
                    <c:v>volpe</c:v>
                  </c:pt>
                  <c:pt idx="677">
                    <c:v>grispix</c:v>
                  </c:pt>
                  <c:pt idx="678">
                    <c:v>damian macetas</c:v>
                  </c:pt>
                  <c:pt idx="679">
                    <c:v>belsir</c:v>
                  </c:pt>
                  <c:pt idx="680">
                    <c:v>negley</c:v>
                  </c:pt>
                  <c:pt idx="681">
                    <c:v>fermara</c:v>
                  </c:pt>
                  <c:pt idx="682">
                    <c:v>fermara</c:v>
                  </c:pt>
                  <c:pt idx="683">
                    <c:v>damian macetas</c:v>
                  </c:pt>
                  <c:pt idx="684">
                    <c:v>damian macetas</c:v>
                  </c:pt>
                  <c:pt idx="685">
                    <c:v>carrau</c:v>
                  </c:pt>
                  <c:pt idx="686">
                    <c:v>carrau</c:v>
                  </c:pt>
                  <c:pt idx="687">
                    <c:v>negley</c:v>
                  </c:pt>
                  <c:pt idx="688">
                    <c:v>deribal</c:v>
                  </c:pt>
                  <c:pt idx="689">
                    <c:v>belsir</c:v>
                  </c:pt>
                  <c:pt idx="690">
                    <c:v>belsir</c:v>
                  </c:pt>
                  <c:pt idx="691">
                    <c:v>belsir</c:v>
                  </c:pt>
                  <c:pt idx="692">
                    <c:v>belsir</c:v>
                  </c:pt>
                  <c:pt idx="693">
                    <c:v>belsir</c:v>
                  </c:pt>
                  <c:pt idx="694">
                    <c:v>deribal</c:v>
                  </c:pt>
                  <c:pt idx="695">
                    <c:v>REMIPLAT</c:v>
                  </c:pt>
                  <c:pt idx="696">
                    <c:v>REMIPLAT</c:v>
                  </c:pt>
                  <c:pt idx="697">
                    <c:v>REMIPLAT</c:v>
                  </c:pt>
                  <c:pt idx="698">
                    <c:v>REMIPLAT</c:v>
                  </c:pt>
                  <c:pt idx="699">
                    <c:v>fermara</c:v>
                  </c:pt>
                  <c:pt idx="700">
                    <c:v>fermara</c:v>
                  </c:pt>
                  <c:pt idx="703">
                    <c:v>REMIPLAT</c:v>
                  </c:pt>
                  <c:pt idx="704">
                    <c:v>heroica</c:v>
                  </c:pt>
                  <c:pt idx="705">
                    <c:v>heroica</c:v>
                  </c:pt>
                  <c:pt idx="706">
                    <c:v>distribuidora del sol</c:v>
                  </c:pt>
                  <c:pt idx="707">
                    <c:v>distribuidora del sol</c:v>
                  </c:pt>
                  <c:pt idx="708">
                    <c:v>distribuidora del sol</c:v>
                  </c:pt>
                  <c:pt idx="709">
                    <c:v>distribuidora del sol</c:v>
                  </c:pt>
                  <c:pt idx="710">
                    <c:v>distribuidora del sol</c:v>
                  </c:pt>
                  <c:pt idx="711">
                    <c:v>distribuidora del sol</c:v>
                  </c:pt>
                  <c:pt idx="712">
                    <c:v>distribuidora del sol</c:v>
                  </c:pt>
                  <c:pt idx="713">
                    <c:v>negley</c:v>
                  </c:pt>
                  <c:pt idx="714">
                    <c:v>negley</c:v>
                  </c:pt>
                  <c:pt idx="715">
                    <c:v>belsir</c:v>
                  </c:pt>
                  <c:pt idx="716">
                    <c:v>belsir</c:v>
                  </c:pt>
                  <c:pt idx="717">
                    <c:v>belsir</c:v>
                  </c:pt>
                  <c:pt idx="718">
                    <c:v>belsir</c:v>
                  </c:pt>
                  <c:pt idx="719">
                    <c:v>belsir</c:v>
                  </c:pt>
                  <c:pt idx="720">
                    <c:v>belsir</c:v>
                  </c:pt>
                  <c:pt idx="721">
                    <c:v>belsir</c:v>
                  </c:pt>
                  <c:pt idx="722">
                    <c:v>negley</c:v>
                  </c:pt>
                  <c:pt idx="723">
                    <c:v>DERIBAL</c:v>
                  </c:pt>
                  <c:pt idx="726">
                    <c:v>rimart</c:v>
                  </c:pt>
                  <c:pt idx="727">
                    <c:v>rimart</c:v>
                  </c:pt>
                  <c:pt idx="730">
                    <c:v>magric</c:v>
                  </c:pt>
                  <c:pt idx="731">
                    <c:v>magric</c:v>
                  </c:pt>
                  <c:pt idx="732">
                    <c:v>manfredi</c:v>
                  </c:pt>
                  <c:pt idx="733">
                    <c:v>denucio</c:v>
                  </c:pt>
                  <c:pt idx="734">
                    <c:v>denucio</c:v>
                  </c:pt>
                  <c:pt idx="736">
                    <c:v>bioterra</c:v>
                  </c:pt>
                  <c:pt idx="739">
                    <c:v>damian macetas</c:v>
                  </c:pt>
                  <c:pt idx="740">
                    <c:v>grispix</c:v>
                  </c:pt>
                  <c:pt idx="741">
                    <c:v>damian macetas</c:v>
                  </c:pt>
                  <c:pt idx="742">
                    <c:v>grispix</c:v>
                  </c:pt>
                  <c:pt idx="743">
                    <c:v>yaques</c:v>
                  </c:pt>
                  <c:pt idx="744">
                    <c:v>diego</c:v>
                  </c:pt>
                  <c:pt idx="745">
                    <c:v>yaques</c:v>
                  </c:pt>
                  <c:pt idx="746">
                    <c:v>yaques</c:v>
                  </c:pt>
                  <c:pt idx="749">
                    <c:v>alvarez</c:v>
                  </c:pt>
                  <c:pt idx="750">
                    <c:v>damian macetas</c:v>
                  </c:pt>
                  <c:pt idx="751">
                    <c:v>copagran</c:v>
                  </c:pt>
                  <c:pt idx="752">
                    <c:v>copagran</c:v>
                  </c:pt>
                  <c:pt idx="753">
                    <c:v>copagran</c:v>
                  </c:pt>
                  <c:pt idx="754">
                    <c:v>agritec</c:v>
                  </c:pt>
                  <c:pt idx="755">
                    <c:v>magric</c:v>
                  </c:pt>
                  <c:pt idx="756">
                    <c:v>magric</c:v>
                  </c:pt>
                  <c:pt idx="757">
                    <c:v>copagran</c:v>
                  </c:pt>
                  <c:pt idx="758">
                    <c:v>diego</c:v>
                  </c:pt>
                  <c:pt idx="759">
                    <c:v>diego</c:v>
                  </c:pt>
                  <c:pt idx="760">
                    <c:v>damian macetas</c:v>
                  </c:pt>
                  <c:pt idx="761">
                    <c:v>damian macetas</c:v>
                  </c:pt>
                  <c:pt idx="762">
                    <c:v>damian macetas</c:v>
                  </c:pt>
                  <c:pt idx="763">
                    <c:v>yaques</c:v>
                  </c:pt>
                  <c:pt idx="764">
                    <c:v>parque trebol</c:v>
                  </c:pt>
                  <c:pt idx="765">
                    <c:v>beltrame</c:v>
                  </c:pt>
                  <c:pt idx="766">
                    <c:v>magric</c:v>
                  </c:pt>
                  <c:pt idx="767">
                    <c:v>beltrame</c:v>
                  </c:pt>
                  <c:pt idx="768">
                    <c:v>beltrame</c:v>
                  </c:pt>
                  <c:pt idx="769">
                    <c:v>beltrame</c:v>
                  </c:pt>
                  <c:pt idx="770">
                    <c:v>copagran</c:v>
                  </c:pt>
                  <c:pt idx="771">
                    <c:v>parque trebol</c:v>
                  </c:pt>
                  <c:pt idx="772">
                    <c:v>copagran</c:v>
                  </c:pt>
                  <c:pt idx="773">
                    <c:v>beltrame</c:v>
                  </c:pt>
                  <c:pt idx="774">
                    <c:v>uruquim</c:v>
                  </c:pt>
                  <c:pt idx="776">
                    <c:v>damian macetas</c:v>
                  </c:pt>
                  <c:pt idx="777">
                    <c:v>damian macetas</c:v>
                  </c:pt>
                  <c:pt idx="778">
                    <c:v>MAYORPET</c:v>
                  </c:pt>
                  <c:pt idx="779">
                    <c:v>MAYORPET</c:v>
                  </c:pt>
                  <c:pt idx="780">
                    <c:v>MAYORPET</c:v>
                  </c:pt>
                  <c:pt idx="781">
                    <c:v>damian macetas</c:v>
                  </c:pt>
                  <c:pt idx="782">
                    <c:v>damian macetas</c:v>
                  </c:pt>
                  <c:pt idx="783">
                    <c:v>alvarez</c:v>
                  </c:pt>
                  <c:pt idx="787">
                    <c:v>damian macetas</c:v>
                  </c:pt>
                  <c:pt idx="788">
                    <c:v>damian macetas</c:v>
                  </c:pt>
                  <c:pt idx="789">
                    <c:v>MAYORPET</c:v>
                  </c:pt>
                  <c:pt idx="790">
                    <c:v>MAYORPET</c:v>
                  </c:pt>
                  <c:pt idx="791">
                    <c:v>MAYORPET</c:v>
                  </c:pt>
                  <c:pt idx="792">
                    <c:v>parque trebol</c:v>
                  </c:pt>
                  <c:pt idx="796">
                    <c:v>parque trebol</c:v>
                  </c:pt>
                  <c:pt idx="797">
                    <c:v>parque trebol</c:v>
                  </c:pt>
                  <c:pt idx="798">
                    <c:v>distribuidora del sol</c:v>
                  </c:pt>
                  <c:pt idx="799">
                    <c:v>distribuidora del sol</c:v>
                  </c:pt>
                  <c:pt idx="800">
                    <c:v>distribuidora del sol</c:v>
                  </c:pt>
                  <c:pt idx="801">
                    <c:v>meril</c:v>
                  </c:pt>
                  <c:pt idx="802">
                    <c:v>meril</c:v>
                  </c:pt>
                  <c:pt idx="803">
                    <c:v>meril</c:v>
                  </c:pt>
                  <c:pt idx="804">
                    <c:v>meril</c:v>
                  </c:pt>
                  <c:pt idx="805">
                    <c:v>damian macetas</c:v>
                  </c:pt>
                  <c:pt idx="806">
                    <c:v>damian macetas</c:v>
                  </c:pt>
                  <c:pt idx="807">
                    <c:v>damian macetas</c:v>
                  </c:pt>
                  <c:pt idx="808">
                    <c:v>damian macetas</c:v>
                  </c:pt>
                  <c:pt idx="809">
                    <c:v>damian macetas</c:v>
                  </c:pt>
                  <c:pt idx="810">
                    <c:v>damian macetas</c:v>
                  </c:pt>
                  <c:pt idx="811">
                    <c:v>damian macetas</c:v>
                  </c:pt>
                  <c:pt idx="812">
                    <c:v>damian macetas</c:v>
                  </c:pt>
                  <c:pt idx="813">
                    <c:v>damian macetas</c:v>
                  </c:pt>
                  <c:pt idx="814">
                    <c:v>damian macetas</c:v>
                  </c:pt>
                  <c:pt idx="815">
                    <c:v>damian macetas</c:v>
                  </c:pt>
                  <c:pt idx="816">
                    <c:v>damian macetas</c:v>
                  </c:pt>
                  <c:pt idx="817">
                    <c:v>damian macetas</c:v>
                  </c:pt>
                  <c:pt idx="818">
                    <c:v>damian macetas</c:v>
                  </c:pt>
                  <c:pt idx="819">
                    <c:v>alvarez</c:v>
                  </c:pt>
                  <c:pt idx="820">
                    <c:v>alvarez</c:v>
                  </c:pt>
                  <c:pt idx="821">
                    <c:v>damian macetas</c:v>
                  </c:pt>
                  <c:pt idx="822">
                    <c:v>damian macetas</c:v>
                  </c:pt>
                  <c:pt idx="823">
                    <c:v>damian macetas</c:v>
                  </c:pt>
                  <c:pt idx="824">
                    <c:v>damian macetas</c:v>
                  </c:pt>
                  <c:pt idx="825">
                    <c:v>damian macetas</c:v>
                  </c:pt>
                  <c:pt idx="826">
                    <c:v>damian macetas</c:v>
                  </c:pt>
                  <c:pt idx="827">
                    <c:v>damian macetas</c:v>
                  </c:pt>
                  <c:pt idx="828">
                    <c:v>damian macetas</c:v>
                  </c:pt>
                  <c:pt idx="829">
                    <c:v>grispix</c:v>
                  </c:pt>
                  <c:pt idx="830">
                    <c:v>damian macetas</c:v>
                  </c:pt>
                  <c:pt idx="831">
                    <c:v>damian macetas</c:v>
                  </c:pt>
                  <c:pt idx="832">
                    <c:v>damian macetas</c:v>
                  </c:pt>
                  <c:pt idx="833">
                    <c:v>damian macetas</c:v>
                  </c:pt>
                  <c:pt idx="834">
                    <c:v>damian macetas</c:v>
                  </c:pt>
                  <c:pt idx="835">
                    <c:v>damian macetas</c:v>
                  </c:pt>
                  <c:pt idx="836">
                    <c:v>damian macetas</c:v>
                  </c:pt>
                  <c:pt idx="837">
                    <c:v>damian macetas</c:v>
                  </c:pt>
                  <c:pt idx="838">
                    <c:v>damian macetas</c:v>
                  </c:pt>
                  <c:pt idx="839">
                    <c:v>damian macetas</c:v>
                  </c:pt>
                  <c:pt idx="840">
                    <c:v>damian macetas</c:v>
                  </c:pt>
                  <c:pt idx="841">
                    <c:v>damian macetas</c:v>
                  </c:pt>
                  <c:pt idx="842">
                    <c:v>valagu</c:v>
                  </c:pt>
                  <c:pt idx="843">
                    <c:v>valagu</c:v>
                  </c:pt>
                  <c:pt idx="844">
                    <c:v>valagu</c:v>
                  </c:pt>
                  <c:pt idx="845">
                    <c:v>valagu</c:v>
                  </c:pt>
                  <c:pt idx="846">
                    <c:v>valagu</c:v>
                  </c:pt>
                  <c:pt idx="847">
                    <c:v>valagu</c:v>
                  </c:pt>
                  <c:pt idx="848">
                    <c:v>valagu</c:v>
                  </c:pt>
                  <c:pt idx="849">
                    <c:v>valagu</c:v>
                  </c:pt>
                  <c:pt idx="850">
                    <c:v>casciato</c:v>
                  </c:pt>
                  <c:pt idx="853">
                    <c:v>valagu</c:v>
                  </c:pt>
                  <c:pt idx="854">
                    <c:v>valagu</c:v>
                  </c:pt>
                  <c:pt idx="855">
                    <c:v>valagu</c:v>
                  </c:pt>
                  <c:pt idx="856">
                    <c:v>valagu</c:v>
                  </c:pt>
                  <c:pt idx="857">
                    <c:v>valagu</c:v>
                  </c:pt>
                  <c:pt idx="858">
                    <c:v>valagu</c:v>
                  </c:pt>
                  <c:pt idx="859">
                    <c:v>valagu</c:v>
                  </c:pt>
                  <c:pt idx="860">
                    <c:v>valagu</c:v>
                  </c:pt>
                  <c:pt idx="861">
                    <c:v>valagu</c:v>
                  </c:pt>
                  <c:pt idx="864">
                    <c:v>uruquim</c:v>
                  </c:pt>
                  <c:pt idx="865">
                    <c:v>parque trebol</c:v>
                  </c:pt>
                  <c:pt idx="867">
                    <c:v>parque trebol</c:v>
                  </c:pt>
                  <c:pt idx="868">
                    <c:v>parque trebol</c:v>
                  </c:pt>
                  <c:pt idx="869">
                    <c:v>valagu</c:v>
                  </c:pt>
                  <c:pt idx="870">
                    <c:v>delta</c:v>
                  </c:pt>
                  <c:pt idx="871">
                    <c:v>distribuciones KRM</c:v>
                  </c:pt>
                  <c:pt idx="872">
                    <c:v>distribuciones KRM</c:v>
                  </c:pt>
                  <c:pt idx="873">
                    <c:v>damian macetas</c:v>
                  </c:pt>
                  <c:pt idx="874">
                    <c:v>damian macetas</c:v>
                  </c:pt>
                  <c:pt idx="875">
                    <c:v>damian macetas</c:v>
                  </c:pt>
                  <c:pt idx="876">
                    <c:v>MAYORPET</c:v>
                  </c:pt>
                  <c:pt idx="877">
                    <c:v>MAYORPET</c:v>
                  </c:pt>
                  <c:pt idx="878">
                    <c:v>MAYORPET</c:v>
                  </c:pt>
                  <c:pt idx="879">
                    <c:v>MAYORPET</c:v>
                  </c:pt>
                  <c:pt idx="880">
                    <c:v>diego</c:v>
                  </c:pt>
                  <c:pt idx="881">
                    <c:v>MAYORPET</c:v>
                  </c:pt>
                  <c:pt idx="882">
                    <c:v>MAYORPET</c:v>
                  </c:pt>
                  <c:pt idx="883">
                    <c:v>beltrame</c:v>
                  </c:pt>
                  <c:pt idx="884">
                    <c:v>MAYORPET</c:v>
                  </c:pt>
                  <c:pt idx="885">
                    <c:v>MAYORPET</c:v>
                  </c:pt>
                  <c:pt idx="886">
                    <c:v>MAYORPET</c:v>
                  </c:pt>
                  <c:pt idx="887">
                    <c:v>MAYORPET</c:v>
                  </c:pt>
                  <c:pt idx="888">
                    <c:v>MAYORPET</c:v>
                  </c:pt>
                  <c:pt idx="889">
                    <c:v>MAYORPET</c:v>
                  </c:pt>
                  <c:pt idx="890">
                    <c:v>grispix</c:v>
                  </c:pt>
                  <c:pt idx="891">
                    <c:v>MAYORPET</c:v>
                  </c:pt>
                  <c:pt idx="892">
                    <c:v>MAYORPET</c:v>
                  </c:pt>
                  <c:pt idx="893">
                    <c:v>MAYORPET</c:v>
                  </c:pt>
                  <c:pt idx="894">
                    <c:v>DIEGO</c:v>
                  </c:pt>
                  <c:pt idx="895">
                    <c:v>grispix</c:v>
                  </c:pt>
                  <c:pt idx="896">
                    <c:v>grispix</c:v>
                  </c:pt>
                  <c:pt idx="897">
                    <c:v>MAYORPET</c:v>
                  </c:pt>
                  <c:pt idx="898">
                    <c:v>MAYORPET</c:v>
                  </c:pt>
                  <c:pt idx="899">
                    <c:v>MAYORPET</c:v>
                  </c:pt>
                  <c:pt idx="900">
                    <c:v>MAYORPET</c:v>
                  </c:pt>
                  <c:pt idx="901">
                    <c:v>MAYORPET</c:v>
                  </c:pt>
                  <c:pt idx="902">
                    <c:v>MAYORPET</c:v>
                  </c:pt>
                  <c:pt idx="903">
                    <c:v>MAYORPET</c:v>
                  </c:pt>
                  <c:pt idx="904">
                    <c:v>MAYORPET</c:v>
                  </c:pt>
                  <c:pt idx="905">
                    <c:v>lima</c:v>
                  </c:pt>
                  <c:pt idx="906">
                    <c:v>MAYORPET</c:v>
                  </c:pt>
                  <c:pt idx="907">
                    <c:v>damian macetas</c:v>
                  </c:pt>
                  <c:pt idx="908">
                    <c:v>valagu</c:v>
                  </c:pt>
                  <c:pt idx="909">
                    <c:v>valagu</c:v>
                  </c:pt>
                  <c:pt idx="910">
                    <c:v>valagu</c:v>
                  </c:pt>
                  <c:pt idx="911">
                    <c:v>valagu</c:v>
                  </c:pt>
                  <c:pt idx="912">
                    <c:v>valagu</c:v>
                  </c:pt>
                  <c:pt idx="913">
                    <c:v>valagu</c:v>
                  </c:pt>
                  <c:pt idx="914">
                    <c:v>valagu</c:v>
                  </c:pt>
                  <c:pt idx="915">
                    <c:v>valagu</c:v>
                  </c:pt>
                  <c:pt idx="916">
                    <c:v>valagu</c:v>
                  </c:pt>
                  <c:pt idx="917">
                    <c:v>valagu</c:v>
                  </c:pt>
                  <c:pt idx="918">
                    <c:v>damian macetas</c:v>
                  </c:pt>
                  <c:pt idx="919">
                    <c:v>damian macetas</c:v>
                  </c:pt>
                  <c:pt idx="920">
                    <c:v>damian macetas</c:v>
                  </c:pt>
                  <c:pt idx="921">
                    <c:v>damian macetas</c:v>
                  </c:pt>
                  <c:pt idx="922">
                    <c:v>diego</c:v>
                  </c:pt>
                  <c:pt idx="923">
                    <c:v>damian macetas</c:v>
                  </c:pt>
                  <c:pt idx="924">
                    <c:v>damian macetas</c:v>
                  </c:pt>
                  <c:pt idx="925">
                    <c:v>diego</c:v>
                  </c:pt>
                  <c:pt idx="926">
                    <c:v>damian macetas</c:v>
                  </c:pt>
                  <c:pt idx="927">
                    <c:v>alvarez</c:v>
                  </c:pt>
                  <c:pt idx="928">
                    <c:v>alvarez</c:v>
                  </c:pt>
                  <c:pt idx="929">
                    <c:v>alvarez</c:v>
                  </c:pt>
                  <c:pt idx="930">
                    <c:v>alvarez</c:v>
                  </c:pt>
                  <c:pt idx="931">
                    <c:v>damian macetas</c:v>
                  </c:pt>
                  <c:pt idx="932">
                    <c:v>damian macetas</c:v>
                  </c:pt>
                  <c:pt idx="933">
                    <c:v>damian macetas</c:v>
                  </c:pt>
                  <c:pt idx="934">
                    <c:v>damian macetas</c:v>
                  </c:pt>
                  <c:pt idx="935">
                    <c:v>damian macetas</c:v>
                  </c:pt>
                  <c:pt idx="936">
                    <c:v>damian macetas</c:v>
                  </c:pt>
                  <c:pt idx="937">
                    <c:v>damian macetas</c:v>
                  </c:pt>
                  <c:pt idx="938">
                    <c:v>damian macetas</c:v>
                  </c:pt>
                  <c:pt idx="939">
                    <c:v>grispix</c:v>
                  </c:pt>
                  <c:pt idx="940">
                    <c:v>grispix</c:v>
                  </c:pt>
                  <c:pt idx="941">
                    <c:v>damian macetas</c:v>
                  </c:pt>
                  <c:pt idx="942">
                    <c:v>damian macetas</c:v>
                  </c:pt>
                  <c:pt idx="943">
                    <c:v>damian macetas</c:v>
                  </c:pt>
                  <c:pt idx="944">
                    <c:v>damian macetas</c:v>
                  </c:pt>
                  <c:pt idx="945">
                    <c:v>damian macetas</c:v>
                  </c:pt>
                  <c:pt idx="946">
                    <c:v>damian macetas</c:v>
                  </c:pt>
                  <c:pt idx="947">
                    <c:v>damian macetas</c:v>
                  </c:pt>
                  <c:pt idx="948">
                    <c:v>damian macetas</c:v>
                  </c:pt>
                  <c:pt idx="949">
                    <c:v>damian macetas</c:v>
                  </c:pt>
                  <c:pt idx="950">
                    <c:v>damian macetas</c:v>
                  </c:pt>
                  <c:pt idx="951">
                    <c:v>damian macetas</c:v>
                  </c:pt>
                  <c:pt idx="952">
                    <c:v>damian macetas</c:v>
                  </c:pt>
                  <c:pt idx="953">
                    <c:v>damian macetas</c:v>
                  </c:pt>
                  <c:pt idx="954">
                    <c:v>damian macetas</c:v>
                  </c:pt>
                  <c:pt idx="955">
                    <c:v>damian macetas</c:v>
                  </c:pt>
                  <c:pt idx="956">
                    <c:v>damian macetas</c:v>
                  </c:pt>
                  <c:pt idx="957">
                    <c:v>damian macetas</c:v>
                  </c:pt>
                  <c:pt idx="958">
                    <c:v>damian macetas</c:v>
                  </c:pt>
                  <c:pt idx="959">
                    <c:v>alvarez</c:v>
                  </c:pt>
                  <c:pt idx="960">
                    <c:v>damian macetas</c:v>
                  </c:pt>
                  <c:pt idx="961">
                    <c:v>alvarez</c:v>
                  </c:pt>
                  <c:pt idx="962">
                    <c:v>damian macetas</c:v>
                  </c:pt>
                  <c:pt idx="963">
                    <c:v>damian macetas</c:v>
                  </c:pt>
                  <c:pt idx="964">
                    <c:v>damian macetas</c:v>
                  </c:pt>
                  <c:pt idx="965">
                    <c:v>damian macetas</c:v>
                  </c:pt>
                  <c:pt idx="966">
                    <c:v>damian macetas</c:v>
                  </c:pt>
                  <c:pt idx="967">
                    <c:v>damian macetas</c:v>
                  </c:pt>
                  <c:pt idx="968">
                    <c:v>damian macetas</c:v>
                  </c:pt>
                  <c:pt idx="969">
                    <c:v>damian macetas</c:v>
                  </c:pt>
                  <c:pt idx="970">
                    <c:v>damian macetas</c:v>
                  </c:pt>
                  <c:pt idx="971">
                    <c:v>damian macetas</c:v>
                  </c:pt>
                  <c:pt idx="972">
                    <c:v>damian macetas</c:v>
                  </c:pt>
                  <c:pt idx="973">
                    <c:v>damian macetas</c:v>
                  </c:pt>
                  <c:pt idx="974">
                    <c:v>damian macetas</c:v>
                  </c:pt>
                  <c:pt idx="975">
                    <c:v>damian macetas</c:v>
                  </c:pt>
                  <c:pt idx="976">
                    <c:v>damian macetas</c:v>
                  </c:pt>
                  <c:pt idx="977">
                    <c:v>damian macetas</c:v>
                  </c:pt>
                  <c:pt idx="978">
                    <c:v>damian macetas</c:v>
                  </c:pt>
                  <c:pt idx="979">
                    <c:v>damian macetas</c:v>
                  </c:pt>
                  <c:pt idx="980">
                    <c:v>damian macetas</c:v>
                  </c:pt>
                  <c:pt idx="981">
                    <c:v>damian macetas</c:v>
                  </c:pt>
                  <c:pt idx="982">
                    <c:v>alvarez</c:v>
                  </c:pt>
                  <c:pt idx="983">
                    <c:v>damian macetas</c:v>
                  </c:pt>
                  <c:pt idx="984">
                    <c:v>maple vila</c:v>
                  </c:pt>
                  <c:pt idx="985">
                    <c:v>maple vila</c:v>
                  </c:pt>
                  <c:pt idx="986">
                    <c:v>maple vila</c:v>
                  </c:pt>
                  <c:pt idx="987">
                    <c:v>maple vila</c:v>
                  </c:pt>
                  <c:pt idx="988">
                    <c:v>maple vila</c:v>
                  </c:pt>
                  <c:pt idx="989">
                    <c:v>maple vila</c:v>
                  </c:pt>
                  <c:pt idx="990">
                    <c:v>maple vila</c:v>
                  </c:pt>
                  <c:pt idx="991">
                    <c:v>maple vila</c:v>
                  </c:pt>
                  <c:pt idx="992">
                    <c:v>maestro</c:v>
                  </c:pt>
                  <c:pt idx="993">
                    <c:v>damian macetas</c:v>
                  </c:pt>
                  <c:pt idx="994">
                    <c:v>maestro</c:v>
                  </c:pt>
                  <c:pt idx="995">
                    <c:v>maestro</c:v>
                  </c:pt>
                  <c:pt idx="996">
                    <c:v>damian macetas</c:v>
                  </c:pt>
                  <c:pt idx="997">
                    <c:v>damian macetas</c:v>
                  </c:pt>
                  <c:pt idx="998">
                    <c:v>damian macetas</c:v>
                  </c:pt>
                  <c:pt idx="999">
                    <c:v>damian macetas</c:v>
                  </c:pt>
                  <c:pt idx="1000">
                    <c:v>damian macetas</c:v>
                  </c:pt>
                  <c:pt idx="1001">
                    <c:v>damian macetas</c:v>
                  </c:pt>
                  <c:pt idx="1002">
                    <c:v>damian macetas</c:v>
                  </c:pt>
                  <c:pt idx="1003">
                    <c:v>damian macetas</c:v>
                  </c:pt>
                  <c:pt idx="1004">
                    <c:v>damian macetas</c:v>
                  </c:pt>
                  <c:pt idx="1005">
                    <c:v>damian macetas</c:v>
                  </c:pt>
                  <c:pt idx="1006">
                    <c:v>damian macetas</c:v>
                  </c:pt>
                  <c:pt idx="1007">
                    <c:v>damian macetas</c:v>
                  </c:pt>
                  <c:pt idx="1008">
                    <c:v>damian macetas</c:v>
                  </c:pt>
                  <c:pt idx="1009">
                    <c:v>damian macetas</c:v>
                  </c:pt>
                  <c:pt idx="1010">
                    <c:v>damian macetas</c:v>
                  </c:pt>
                  <c:pt idx="1011">
                    <c:v>damian macetas</c:v>
                  </c:pt>
                  <c:pt idx="1012">
                    <c:v>maestro</c:v>
                  </c:pt>
                  <c:pt idx="1013">
                    <c:v>damian macetas</c:v>
                  </c:pt>
                  <c:pt idx="1014">
                    <c:v>damian macetas</c:v>
                  </c:pt>
                  <c:pt idx="1015">
                    <c:v>damian macetas</c:v>
                  </c:pt>
                  <c:pt idx="1016">
                    <c:v>damian macetas</c:v>
                  </c:pt>
                  <c:pt idx="1017">
                    <c:v>damian macetas</c:v>
                  </c:pt>
                  <c:pt idx="1018">
                    <c:v>damian macetas</c:v>
                  </c:pt>
                  <c:pt idx="1019">
                    <c:v>damian macetas</c:v>
                  </c:pt>
                  <c:pt idx="1020">
                    <c:v>damian macetas</c:v>
                  </c:pt>
                  <c:pt idx="1021">
                    <c:v>damian macetas</c:v>
                  </c:pt>
                  <c:pt idx="1022">
                    <c:v>damian macetas</c:v>
                  </c:pt>
                  <c:pt idx="1023">
                    <c:v>damian macetas</c:v>
                  </c:pt>
                  <c:pt idx="1024">
                    <c:v>damian macetas</c:v>
                  </c:pt>
                  <c:pt idx="1025">
                    <c:v>ds</c:v>
                  </c:pt>
                  <c:pt idx="1026">
                    <c:v>damian macetas</c:v>
                  </c:pt>
                  <c:pt idx="1027">
                    <c:v>damian macetas</c:v>
                  </c:pt>
                  <c:pt idx="1028">
                    <c:v>damian macetas</c:v>
                  </c:pt>
                  <c:pt idx="1029">
                    <c:v>damian macetas</c:v>
                  </c:pt>
                  <c:pt idx="1030">
                    <c:v>damian macetas</c:v>
                  </c:pt>
                  <c:pt idx="1031">
                    <c:v>damian macetas</c:v>
                  </c:pt>
                  <c:pt idx="1032">
                    <c:v>damian macetas</c:v>
                  </c:pt>
                  <c:pt idx="1033">
                    <c:v>alvarez</c:v>
                  </c:pt>
                  <c:pt idx="1034">
                    <c:v>alvarez</c:v>
                  </c:pt>
                  <c:pt idx="1035">
                    <c:v>alvarez</c:v>
                  </c:pt>
                  <c:pt idx="1036">
                    <c:v>damian macetas</c:v>
                  </c:pt>
                  <c:pt idx="1037">
                    <c:v>damian macetas</c:v>
                  </c:pt>
                  <c:pt idx="1038">
                    <c:v>damian macetas</c:v>
                  </c:pt>
                  <c:pt idx="1039">
                    <c:v>damian macetas</c:v>
                  </c:pt>
                  <c:pt idx="1040">
                    <c:v>damian macetas</c:v>
                  </c:pt>
                  <c:pt idx="1041">
                    <c:v>damian macetas</c:v>
                  </c:pt>
                  <c:pt idx="1042">
                    <c:v>damian macetas</c:v>
                  </c:pt>
                  <c:pt idx="1043">
                    <c:v>damian macetas</c:v>
                  </c:pt>
                  <c:pt idx="1044">
                    <c:v>damian macetas</c:v>
                  </c:pt>
                  <c:pt idx="1045">
                    <c:v>damian macetas</c:v>
                  </c:pt>
                  <c:pt idx="1046">
                    <c:v>damian macetas</c:v>
                  </c:pt>
                  <c:pt idx="1047">
                    <c:v>damian macetas</c:v>
                  </c:pt>
                  <c:pt idx="1048">
                    <c:v>damian macetas</c:v>
                  </c:pt>
                  <c:pt idx="1049">
                    <c:v>damian macetas</c:v>
                  </c:pt>
                  <c:pt idx="1050">
                    <c:v>alvarez</c:v>
                  </c:pt>
                  <c:pt idx="1051">
                    <c:v>alvarez</c:v>
                  </c:pt>
                  <c:pt idx="1052">
                    <c:v>damian macetas</c:v>
                  </c:pt>
                  <c:pt idx="1053">
                    <c:v>casino</c:v>
                  </c:pt>
                  <c:pt idx="1054">
                    <c:v>alvarez</c:v>
                  </c:pt>
                  <c:pt idx="1055">
                    <c:v>alvarez</c:v>
                  </c:pt>
                  <c:pt idx="1056">
                    <c:v>alvarez</c:v>
                  </c:pt>
                  <c:pt idx="1057">
                    <c:v>grispix</c:v>
                  </c:pt>
                  <c:pt idx="1058">
                    <c:v>grispix</c:v>
                  </c:pt>
                  <c:pt idx="1059">
                    <c:v>grispix</c:v>
                  </c:pt>
                  <c:pt idx="1060">
                    <c:v>grispix</c:v>
                  </c:pt>
                  <c:pt idx="1061">
                    <c:v>grispix</c:v>
                  </c:pt>
                  <c:pt idx="1062">
                    <c:v>grispix</c:v>
                  </c:pt>
                  <c:pt idx="1063">
                    <c:v>damian macetas</c:v>
                  </c:pt>
                  <c:pt idx="1064">
                    <c:v>damian macetas</c:v>
                  </c:pt>
                  <c:pt idx="1065">
                    <c:v>grispix</c:v>
                  </c:pt>
                  <c:pt idx="1066">
                    <c:v>grispix</c:v>
                  </c:pt>
                  <c:pt idx="1067">
                    <c:v>diego</c:v>
                  </c:pt>
                  <c:pt idx="1068">
                    <c:v>damian macetas</c:v>
                  </c:pt>
                  <c:pt idx="1069">
                    <c:v>plastolit</c:v>
                  </c:pt>
                  <c:pt idx="1070">
                    <c:v>plastolit</c:v>
                  </c:pt>
                  <c:pt idx="1071">
                    <c:v>grispix</c:v>
                  </c:pt>
                  <c:pt idx="1072">
                    <c:v>damian macetas</c:v>
                  </c:pt>
                  <c:pt idx="1073">
                    <c:v>damian macetas</c:v>
                  </c:pt>
                  <c:pt idx="1074">
                    <c:v>damian macetas</c:v>
                  </c:pt>
                  <c:pt idx="1075">
                    <c:v>damian macetas</c:v>
                  </c:pt>
                  <c:pt idx="1076">
                    <c:v>damian macetas</c:v>
                  </c:pt>
                  <c:pt idx="1077">
                    <c:v>damian macetas</c:v>
                  </c:pt>
                  <c:pt idx="1078">
                    <c:v>grispix</c:v>
                  </c:pt>
                  <c:pt idx="1079">
                    <c:v>grispix</c:v>
                  </c:pt>
                  <c:pt idx="1080">
                    <c:v>damian macetas</c:v>
                  </c:pt>
                  <c:pt idx="1081">
                    <c:v>damian macetas</c:v>
                  </c:pt>
                  <c:pt idx="1082">
                    <c:v>damian macetas</c:v>
                  </c:pt>
                  <c:pt idx="1083">
                    <c:v>damian macetas</c:v>
                  </c:pt>
                  <c:pt idx="1084">
                    <c:v>damian macetas</c:v>
                  </c:pt>
                  <c:pt idx="1085">
                    <c:v>alvarez</c:v>
                  </c:pt>
                  <c:pt idx="1086">
                    <c:v>alvarez</c:v>
                  </c:pt>
                  <c:pt idx="1087">
                    <c:v>damian macetas</c:v>
                  </c:pt>
                  <c:pt idx="1088">
                    <c:v>damian macetas</c:v>
                  </c:pt>
                  <c:pt idx="1089">
                    <c:v>damian macetas</c:v>
                  </c:pt>
                  <c:pt idx="1090">
                    <c:v>damian macetas</c:v>
                  </c:pt>
                  <c:pt idx="1091">
                    <c:v>damian macetas</c:v>
                  </c:pt>
                  <c:pt idx="1092">
                    <c:v>damian macetas</c:v>
                  </c:pt>
                  <c:pt idx="1093">
                    <c:v>damian macetas</c:v>
                  </c:pt>
                  <c:pt idx="1094">
                    <c:v>damian macetas</c:v>
                  </c:pt>
                  <c:pt idx="1095">
                    <c:v>alvarez</c:v>
                  </c:pt>
                  <c:pt idx="1096">
                    <c:v>damian macetas</c:v>
                  </c:pt>
                  <c:pt idx="1097">
                    <c:v>damian macetas</c:v>
                  </c:pt>
                  <c:pt idx="1098">
                    <c:v>damian macetas</c:v>
                  </c:pt>
                  <c:pt idx="1099">
                    <c:v>damian macetas</c:v>
                  </c:pt>
                  <c:pt idx="1100">
                    <c:v>grspix</c:v>
                  </c:pt>
                  <c:pt idx="1101">
                    <c:v>grispix</c:v>
                  </c:pt>
                  <c:pt idx="1102">
                    <c:v>grispix</c:v>
                  </c:pt>
                  <c:pt idx="1103">
                    <c:v>grispix</c:v>
                  </c:pt>
                  <c:pt idx="1104">
                    <c:v>damian macetas</c:v>
                  </c:pt>
                  <c:pt idx="1105">
                    <c:v>damian macetas</c:v>
                  </c:pt>
                  <c:pt idx="1106">
                    <c:v>damian macetas</c:v>
                  </c:pt>
                  <c:pt idx="1107">
                    <c:v>damian macetas</c:v>
                  </c:pt>
                  <c:pt idx="1108">
                    <c:v>diego</c:v>
                  </c:pt>
                  <c:pt idx="1109">
                    <c:v>damian macetas</c:v>
                  </c:pt>
                  <c:pt idx="1110">
                    <c:v>damian macetas</c:v>
                  </c:pt>
                  <c:pt idx="1111">
                    <c:v>damian macetas</c:v>
                  </c:pt>
                  <c:pt idx="1112">
                    <c:v>damian macetas</c:v>
                  </c:pt>
                  <c:pt idx="1113">
                    <c:v>damian macetas</c:v>
                  </c:pt>
                  <c:pt idx="1114">
                    <c:v>damian macetas</c:v>
                  </c:pt>
                  <c:pt idx="1115">
                    <c:v>beltrame</c:v>
                  </c:pt>
                  <c:pt idx="1116">
                    <c:v>damian macetas</c:v>
                  </c:pt>
                  <c:pt idx="1117">
                    <c:v>damian macetas</c:v>
                  </c:pt>
                  <c:pt idx="1118">
                    <c:v>damian macetas</c:v>
                  </c:pt>
                  <c:pt idx="1119">
                    <c:v>damian macetas</c:v>
                  </c:pt>
                  <c:pt idx="1120">
                    <c:v>damian macetas</c:v>
                  </c:pt>
                  <c:pt idx="1121">
                    <c:v>damian macetas</c:v>
                  </c:pt>
                  <c:pt idx="1122">
                    <c:v>damian macetas</c:v>
                  </c:pt>
                  <c:pt idx="1123">
                    <c:v>damian macetas</c:v>
                  </c:pt>
                  <c:pt idx="1124">
                    <c:v>damian macetas</c:v>
                  </c:pt>
                  <c:pt idx="1125">
                    <c:v>damian macetas</c:v>
                  </c:pt>
                  <c:pt idx="1126">
                    <c:v>damian macetas</c:v>
                  </c:pt>
                  <c:pt idx="1127">
                    <c:v>damian macetas</c:v>
                  </c:pt>
                  <c:pt idx="1128">
                    <c:v>damian macetas</c:v>
                  </c:pt>
                  <c:pt idx="1129">
                    <c:v>damian macetas</c:v>
                  </c:pt>
                  <c:pt idx="1130">
                    <c:v>damian macetas</c:v>
                  </c:pt>
                  <c:pt idx="1131">
                    <c:v>damian macetas</c:v>
                  </c:pt>
                  <c:pt idx="1132">
                    <c:v>damian macetas</c:v>
                  </c:pt>
                  <c:pt idx="1133">
                    <c:v>damian macetas</c:v>
                  </c:pt>
                  <c:pt idx="1134">
                    <c:v>damian macetas</c:v>
                  </c:pt>
                  <c:pt idx="1135">
                    <c:v>damian macetas</c:v>
                  </c:pt>
                  <c:pt idx="1136">
                    <c:v>damian macetas</c:v>
                  </c:pt>
                  <c:pt idx="1137">
                    <c:v>damian macetas</c:v>
                  </c:pt>
                  <c:pt idx="1138">
                    <c:v>damian macetas</c:v>
                  </c:pt>
                  <c:pt idx="1139">
                    <c:v>damian macetas</c:v>
                  </c:pt>
                  <c:pt idx="1140">
                    <c:v>damian macetas</c:v>
                  </c:pt>
                  <c:pt idx="1141">
                    <c:v>damian macetas</c:v>
                  </c:pt>
                  <c:pt idx="1142">
                    <c:v>damian macetas</c:v>
                  </c:pt>
                  <c:pt idx="1143">
                    <c:v>damian macetas</c:v>
                  </c:pt>
                  <c:pt idx="1144">
                    <c:v>alvarez</c:v>
                  </c:pt>
                  <c:pt idx="1145">
                    <c:v>damian macetas</c:v>
                  </c:pt>
                  <c:pt idx="1146">
                    <c:v>alvarez</c:v>
                  </c:pt>
                  <c:pt idx="1147">
                    <c:v>damian macetas</c:v>
                  </c:pt>
                  <c:pt idx="1148">
                    <c:v>grispix</c:v>
                  </c:pt>
                  <c:pt idx="1149">
                    <c:v>grispix</c:v>
                  </c:pt>
                  <c:pt idx="1150">
                    <c:v>damian macetas</c:v>
                  </c:pt>
                  <c:pt idx="1151">
                    <c:v>damian macetas</c:v>
                  </c:pt>
                  <c:pt idx="1152">
                    <c:v>grispix</c:v>
                  </c:pt>
                  <c:pt idx="1153">
                    <c:v>grispix</c:v>
                  </c:pt>
                  <c:pt idx="1154">
                    <c:v>grispix</c:v>
                  </c:pt>
                  <c:pt idx="1155">
                    <c:v>damian macetas</c:v>
                  </c:pt>
                  <c:pt idx="1156">
                    <c:v>damian macetas</c:v>
                  </c:pt>
                  <c:pt idx="1157">
                    <c:v>damian macetas</c:v>
                  </c:pt>
                  <c:pt idx="1158">
                    <c:v>damian macetas</c:v>
                  </c:pt>
                  <c:pt idx="1159">
                    <c:v>damian macetas</c:v>
                  </c:pt>
                  <c:pt idx="1160">
                    <c:v>grispix</c:v>
                  </c:pt>
                  <c:pt idx="1161">
                    <c:v>grispix</c:v>
                  </c:pt>
                  <c:pt idx="1162">
                    <c:v>damian macetas</c:v>
                  </c:pt>
                  <c:pt idx="1163">
                    <c:v>grispix</c:v>
                  </c:pt>
                  <c:pt idx="1164">
                    <c:v>damian macetas</c:v>
                  </c:pt>
                  <c:pt idx="1165">
                    <c:v>damian macetas</c:v>
                  </c:pt>
                  <c:pt idx="1166">
                    <c:v>damian macetas</c:v>
                  </c:pt>
                  <c:pt idx="1167">
                    <c:v>damian macetas</c:v>
                  </c:pt>
                  <c:pt idx="1168">
                    <c:v>damian macetas</c:v>
                  </c:pt>
                  <c:pt idx="1169">
                    <c:v>damian macetas</c:v>
                  </c:pt>
                  <c:pt idx="1170">
                    <c:v>damian macetas</c:v>
                  </c:pt>
                  <c:pt idx="1171">
                    <c:v>damian macetas</c:v>
                  </c:pt>
                  <c:pt idx="1172">
                    <c:v>damian macetas</c:v>
                  </c:pt>
                  <c:pt idx="1173">
                    <c:v>damian macetas</c:v>
                  </c:pt>
                  <c:pt idx="1174">
                    <c:v>damian macetas</c:v>
                  </c:pt>
                  <c:pt idx="1175">
                    <c:v>damian macetas</c:v>
                  </c:pt>
                  <c:pt idx="1176">
                    <c:v>damian macetas</c:v>
                  </c:pt>
                  <c:pt idx="1177">
                    <c:v>damian macetas</c:v>
                  </c:pt>
                  <c:pt idx="1178">
                    <c:v>damian macetas</c:v>
                  </c:pt>
                  <c:pt idx="1179">
                    <c:v>damian macetas</c:v>
                  </c:pt>
                  <c:pt idx="1180">
                    <c:v>damian macetas</c:v>
                  </c:pt>
                  <c:pt idx="1181">
                    <c:v>damian macetas</c:v>
                  </c:pt>
                  <c:pt idx="1182">
                    <c:v>damian macetas</c:v>
                  </c:pt>
                  <c:pt idx="1183">
                    <c:v>damian macetas</c:v>
                  </c:pt>
                  <c:pt idx="1184">
                    <c:v>damian macetas</c:v>
                  </c:pt>
                  <c:pt idx="1185">
                    <c:v>damian macetas</c:v>
                  </c:pt>
                  <c:pt idx="1186">
                    <c:v>damian macetas</c:v>
                  </c:pt>
                  <c:pt idx="1187">
                    <c:v>grispix</c:v>
                  </c:pt>
                  <c:pt idx="1188">
                    <c:v>grispix</c:v>
                  </c:pt>
                  <c:pt idx="1189">
                    <c:v>grispix</c:v>
                  </c:pt>
                  <c:pt idx="1190">
                    <c:v>grispix</c:v>
                  </c:pt>
                  <c:pt idx="1191">
                    <c:v>grispix</c:v>
                  </c:pt>
                  <c:pt idx="1192">
                    <c:v>grispix</c:v>
                  </c:pt>
                  <c:pt idx="1193">
                    <c:v>grispix</c:v>
                  </c:pt>
                  <c:pt idx="1194">
                    <c:v>grispix</c:v>
                  </c:pt>
                  <c:pt idx="1195">
                    <c:v>grispix</c:v>
                  </c:pt>
                  <c:pt idx="1196">
                    <c:v>grispix</c:v>
                  </c:pt>
                  <c:pt idx="1197">
                    <c:v>damian macetas</c:v>
                  </c:pt>
                  <c:pt idx="1198">
                    <c:v>alvarez</c:v>
                  </c:pt>
                  <c:pt idx="1199">
                    <c:v>damian macetas</c:v>
                  </c:pt>
                  <c:pt idx="1200">
                    <c:v>damian macetas</c:v>
                  </c:pt>
                  <c:pt idx="1201">
                    <c:v>damian macetas</c:v>
                  </c:pt>
                  <c:pt idx="1202">
                    <c:v>damian macetas</c:v>
                  </c:pt>
                  <c:pt idx="1203">
                    <c:v>damian macetas</c:v>
                  </c:pt>
                  <c:pt idx="1204">
                    <c:v>damian macetas</c:v>
                  </c:pt>
                  <c:pt idx="1205">
                    <c:v>damian macetas</c:v>
                  </c:pt>
                  <c:pt idx="1206">
                    <c:v>damian macetas</c:v>
                  </c:pt>
                  <c:pt idx="1207">
                    <c:v>damian macetas</c:v>
                  </c:pt>
                  <c:pt idx="1208">
                    <c:v>damian macetas</c:v>
                  </c:pt>
                  <c:pt idx="1209">
                    <c:v>grispix</c:v>
                  </c:pt>
                  <c:pt idx="1210">
                    <c:v>damian macetas</c:v>
                  </c:pt>
                  <c:pt idx="1211">
                    <c:v>damian macetas</c:v>
                  </c:pt>
                  <c:pt idx="1212">
                    <c:v>damian macetas</c:v>
                  </c:pt>
                  <c:pt idx="1213">
                    <c:v>grispix</c:v>
                  </c:pt>
                  <c:pt idx="1214">
                    <c:v>grispix</c:v>
                  </c:pt>
                  <c:pt idx="1215">
                    <c:v>damian macetas</c:v>
                  </c:pt>
                  <c:pt idx="1216">
                    <c:v>damian macetas</c:v>
                  </c:pt>
                  <c:pt idx="1217">
                    <c:v>damian macetas</c:v>
                  </c:pt>
                  <c:pt idx="1218">
                    <c:v>beltrame</c:v>
                  </c:pt>
                  <c:pt idx="1219">
                    <c:v>beltrame</c:v>
                  </c:pt>
                  <c:pt idx="1220">
                    <c:v>beltrame</c:v>
                  </c:pt>
                  <c:pt idx="1221">
                    <c:v>beltrame</c:v>
                  </c:pt>
                  <c:pt idx="1222">
                    <c:v>beltrame</c:v>
                  </c:pt>
                  <c:pt idx="1223">
                    <c:v>grispix</c:v>
                  </c:pt>
                  <c:pt idx="1224">
                    <c:v>grispix</c:v>
                  </c:pt>
                  <c:pt idx="1225">
                    <c:v>grispix</c:v>
                  </c:pt>
                  <c:pt idx="1226">
                    <c:v>grispix</c:v>
                  </c:pt>
                  <c:pt idx="1227">
                    <c:v>grispix</c:v>
                  </c:pt>
                  <c:pt idx="1228">
                    <c:v>grispix</c:v>
                  </c:pt>
                  <c:pt idx="1229">
                    <c:v>grispix</c:v>
                  </c:pt>
                  <c:pt idx="1230">
                    <c:v>grispix</c:v>
                  </c:pt>
                  <c:pt idx="1231">
                    <c:v>grispix</c:v>
                  </c:pt>
                  <c:pt idx="1232">
                    <c:v>grispix</c:v>
                  </c:pt>
                  <c:pt idx="1233">
                    <c:v>grispix</c:v>
                  </c:pt>
                  <c:pt idx="1234">
                    <c:v>damian macetas</c:v>
                  </c:pt>
                  <c:pt idx="1235">
                    <c:v>damian macetas</c:v>
                  </c:pt>
                  <c:pt idx="1236">
                    <c:v>damian macetas</c:v>
                  </c:pt>
                  <c:pt idx="1237">
                    <c:v>damian macetas</c:v>
                  </c:pt>
                  <c:pt idx="1238">
                    <c:v>damian macetas</c:v>
                  </c:pt>
                  <c:pt idx="1239">
                    <c:v>damian macetas</c:v>
                  </c:pt>
                  <c:pt idx="1240">
                    <c:v>damian macetas</c:v>
                  </c:pt>
                  <c:pt idx="1241">
                    <c:v>damian macetas</c:v>
                  </c:pt>
                  <c:pt idx="1242">
                    <c:v>damian macetas</c:v>
                  </c:pt>
                  <c:pt idx="1243">
                    <c:v>damian macetas</c:v>
                  </c:pt>
                  <c:pt idx="1244">
                    <c:v>damian macetas</c:v>
                  </c:pt>
                  <c:pt idx="1245">
                    <c:v>diego</c:v>
                  </c:pt>
                  <c:pt idx="1246">
                    <c:v>damian macetas</c:v>
                  </c:pt>
                  <c:pt idx="1247">
                    <c:v>damian macetas</c:v>
                  </c:pt>
                  <c:pt idx="1249">
                    <c:v>maestro</c:v>
                  </c:pt>
                  <c:pt idx="1250">
                    <c:v>maestro</c:v>
                  </c:pt>
                  <c:pt idx="1251">
                    <c:v>casino</c:v>
                  </c:pt>
                  <c:pt idx="1252">
                    <c:v>maestro</c:v>
                  </c:pt>
                  <c:pt idx="1253">
                    <c:v>grispix</c:v>
                  </c:pt>
                  <c:pt idx="1254">
                    <c:v>diego</c:v>
                  </c:pt>
                  <c:pt idx="1255">
                    <c:v>insumos cultivador</c:v>
                  </c:pt>
                  <c:pt idx="1256">
                    <c:v>insumos cultivador</c:v>
                  </c:pt>
                  <c:pt idx="1257">
                    <c:v>insumos cultivador</c:v>
                  </c:pt>
                  <c:pt idx="1258">
                    <c:v>insumos cultivador</c:v>
                  </c:pt>
                  <c:pt idx="1259">
                    <c:v>insumos cultivador</c:v>
                  </c:pt>
                  <c:pt idx="1260">
                    <c:v>insumos cultivador</c:v>
                  </c:pt>
                  <c:pt idx="1261">
                    <c:v>grispix</c:v>
                  </c:pt>
                  <c:pt idx="1262">
                    <c:v>grispix</c:v>
                  </c:pt>
                  <c:pt idx="1263">
                    <c:v>grispix</c:v>
                  </c:pt>
                  <c:pt idx="1264">
                    <c:v>damian macetas</c:v>
                  </c:pt>
                  <c:pt idx="1265">
                    <c:v>damian macetas</c:v>
                  </c:pt>
                  <c:pt idx="1266">
                    <c:v>damian macetas</c:v>
                  </c:pt>
                  <c:pt idx="1267">
                    <c:v>damian macetas</c:v>
                  </c:pt>
                  <c:pt idx="1268">
                    <c:v>damian macetas</c:v>
                  </c:pt>
                  <c:pt idx="1269">
                    <c:v>damian macetas</c:v>
                  </c:pt>
                  <c:pt idx="1270">
                    <c:v>damian macetas</c:v>
                  </c:pt>
                  <c:pt idx="1271">
                    <c:v>damian macetas</c:v>
                  </c:pt>
                  <c:pt idx="1272">
                    <c:v>damian macetas</c:v>
                  </c:pt>
                  <c:pt idx="1273">
                    <c:v>damian macetas</c:v>
                  </c:pt>
                  <c:pt idx="1274">
                    <c:v>damian macetas</c:v>
                  </c:pt>
                  <c:pt idx="1275">
                    <c:v>damian macetas</c:v>
                  </c:pt>
                  <c:pt idx="1276">
                    <c:v>                                      ,              </c:v>
                  </c:pt>
                  <c:pt idx="1277">
                    <c:v>damian macetas</c:v>
                  </c:pt>
                  <c:pt idx="1278">
                    <c:v>grispix</c:v>
                  </c:pt>
                  <c:pt idx="1279">
                    <c:v>grispix</c:v>
                  </c:pt>
                  <c:pt idx="1280">
                    <c:v>grispix</c:v>
                  </c:pt>
                  <c:pt idx="1281">
                    <c:v>grispix</c:v>
                  </c:pt>
                  <c:pt idx="1282">
                    <c:v>grispix</c:v>
                  </c:pt>
                  <c:pt idx="1283">
                    <c:v>grispix</c:v>
                  </c:pt>
                  <c:pt idx="1284">
                    <c:v>plastolit</c:v>
                  </c:pt>
                  <c:pt idx="1285">
                    <c:v>plastolit</c:v>
                  </c:pt>
                  <c:pt idx="1286">
                    <c:v>plastolit</c:v>
                  </c:pt>
                  <c:pt idx="1287">
                    <c:v>plastolit</c:v>
                  </c:pt>
                  <c:pt idx="1288">
                    <c:v>damian macetas</c:v>
                  </c:pt>
                  <c:pt idx="1289">
                    <c:v>damian macetas</c:v>
                  </c:pt>
                  <c:pt idx="1290">
                    <c:v>mercoplant</c:v>
                  </c:pt>
                  <c:pt idx="1291">
                    <c:v>mercoplant</c:v>
                  </c:pt>
                  <c:pt idx="1292">
                    <c:v>damian macetas</c:v>
                  </c:pt>
                  <c:pt idx="1293">
                    <c:v>damian macetas1,22</c:v>
                  </c:pt>
                  <c:pt idx="1294">
                    <c:v>damian macetas</c:v>
                  </c:pt>
                  <c:pt idx="1295">
                    <c:v>damian macetas</c:v>
                  </c:pt>
                  <c:pt idx="1296">
                    <c:v>damian macetas</c:v>
                  </c:pt>
                  <c:pt idx="1297">
                    <c:v>damian macetas</c:v>
                  </c:pt>
                  <c:pt idx="1298">
                    <c:v>damian macetas</c:v>
                  </c:pt>
                  <c:pt idx="1299">
                    <c:v>damian macetas</c:v>
                  </c:pt>
                  <c:pt idx="1300">
                    <c:v>damian macetas</c:v>
                  </c:pt>
                  <c:pt idx="1301">
                    <c:v>damian macetas</c:v>
                  </c:pt>
                  <c:pt idx="1302">
                    <c:v>rial</c:v>
                  </c:pt>
                  <c:pt idx="1303">
                    <c:v>rial</c:v>
                  </c:pt>
                  <c:pt idx="1304">
                    <c:v>rial</c:v>
                  </c:pt>
                  <c:pt idx="1305">
                    <c:v>rial</c:v>
                  </c:pt>
                  <c:pt idx="1306">
                    <c:v>rial</c:v>
                  </c:pt>
                  <c:pt idx="1307">
                    <c:v>rial</c:v>
                  </c:pt>
                  <c:pt idx="1308">
                    <c:v>rial</c:v>
                  </c:pt>
                  <c:pt idx="1309">
                    <c:v>rial</c:v>
                  </c:pt>
                  <c:pt idx="1310">
                    <c:v>rial</c:v>
                  </c:pt>
                  <c:pt idx="1311">
                    <c:v>rial</c:v>
                  </c:pt>
                  <c:pt idx="1312">
                    <c:v>rial</c:v>
                  </c:pt>
                  <c:pt idx="1313">
                    <c:v>rial</c:v>
                  </c:pt>
                  <c:pt idx="1314">
                    <c:v>rial</c:v>
                  </c:pt>
                  <c:pt idx="1315">
                    <c:v>damian macetas</c:v>
                  </c:pt>
                  <c:pt idx="1316">
                    <c:v>damian macetas</c:v>
                  </c:pt>
                  <c:pt idx="1317">
                    <c:v>damian macetas</c:v>
                  </c:pt>
                  <c:pt idx="1318">
                    <c:v>damian macetas</c:v>
                  </c:pt>
                  <c:pt idx="1319">
                    <c:v>damian macetas</c:v>
                  </c:pt>
                  <c:pt idx="1320">
                    <c:v>damian macetas</c:v>
                  </c:pt>
                  <c:pt idx="1321">
                    <c:v>damian macetas</c:v>
                  </c:pt>
                  <c:pt idx="1322">
                    <c:v>damian macetas</c:v>
                  </c:pt>
                  <c:pt idx="1323">
                    <c:v>damian macetas</c:v>
                  </c:pt>
                  <c:pt idx="1324">
                    <c:v>damian macetas</c:v>
                  </c:pt>
                  <c:pt idx="1325">
                    <c:v>damian macetas</c:v>
                  </c:pt>
                  <c:pt idx="1326">
                    <c:v>damian macetas</c:v>
                  </c:pt>
                  <c:pt idx="1327">
                    <c:v>damian macetas</c:v>
                  </c:pt>
                  <c:pt idx="1328">
                    <c:v>damian macetas</c:v>
                  </c:pt>
                  <c:pt idx="1329">
                    <c:v>damian macetas</c:v>
                  </c:pt>
                  <c:pt idx="1330">
                    <c:v>damian macetas</c:v>
                  </c:pt>
                  <c:pt idx="1331">
                    <c:v>damian macetas</c:v>
                  </c:pt>
                  <c:pt idx="1332">
                    <c:v>damian macetas</c:v>
                  </c:pt>
                  <c:pt idx="1333">
                    <c:v>damian macetas</c:v>
                  </c:pt>
                  <c:pt idx="1334">
                    <c:v>damian macetas</c:v>
                  </c:pt>
                  <c:pt idx="1335">
                    <c:v>damian macetas</c:v>
                  </c:pt>
                  <c:pt idx="1336">
                    <c:v>damian macetas</c:v>
                  </c:pt>
                  <c:pt idx="1337">
                    <c:v>damian macetas</c:v>
                  </c:pt>
                  <c:pt idx="1338">
                    <c:v>damian macetas</c:v>
                  </c:pt>
                  <c:pt idx="1339">
                    <c:v>damian macetas</c:v>
                  </c:pt>
                  <c:pt idx="1340">
                    <c:v>damian macetas</c:v>
                  </c:pt>
                  <c:pt idx="1341">
                    <c:v>damian macetas</c:v>
                  </c:pt>
                  <c:pt idx="1342">
                    <c:v>casa cristina</c:v>
                  </c:pt>
                  <c:pt idx="1343">
                    <c:v>damian macetas</c:v>
                  </c:pt>
                  <c:pt idx="1344">
                    <c:v>damian macetas</c:v>
                  </c:pt>
                  <c:pt idx="1345">
                    <c:v>damian macetas</c:v>
                  </c:pt>
                  <c:pt idx="1346">
                    <c:v>damian macetas</c:v>
                  </c:pt>
                  <c:pt idx="1347">
                    <c:v>damian macetas</c:v>
                  </c:pt>
                  <c:pt idx="1348">
                    <c:v>damian macetas</c:v>
                  </c:pt>
                  <c:pt idx="1349">
                    <c:v>damian macetas</c:v>
                  </c:pt>
                  <c:pt idx="1350">
                    <c:v>damian macetas</c:v>
                  </c:pt>
                  <c:pt idx="1351">
                    <c:v>damian macetas</c:v>
                  </c:pt>
                  <c:pt idx="1352">
                    <c:v>damian macetas</c:v>
                  </c:pt>
                  <c:pt idx="1353">
                    <c:v>damian macetas</c:v>
                  </c:pt>
                  <c:pt idx="1354">
                    <c:v>damian macetas</c:v>
                  </c:pt>
                  <c:pt idx="1355">
                    <c:v>damian macetas</c:v>
                  </c:pt>
                  <c:pt idx="1356">
                    <c:v>damian macetas</c:v>
                  </c:pt>
                  <c:pt idx="1357">
                    <c:v>damian macetas</c:v>
                  </c:pt>
                  <c:pt idx="1358">
                    <c:v>damian macetas</c:v>
                  </c:pt>
                  <c:pt idx="1359">
                    <c:v>alvarez</c:v>
                  </c:pt>
                  <c:pt idx="1360">
                    <c:v>damian macetas</c:v>
                  </c:pt>
                  <c:pt idx="1361">
                    <c:v>damian macetas</c:v>
                  </c:pt>
                  <c:pt idx="1362">
                    <c:v>damian macetas</c:v>
                  </c:pt>
                  <c:pt idx="1363">
                    <c:v>damian macetas</c:v>
                  </c:pt>
                  <c:pt idx="1364">
                    <c:v>damian macetas</c:v>
                  </c:pt>
                  <c:pt idx="1365">
                    <c:v>damian macetas</c:v>
                  </c:pt>
                  <c:pt idx="1366">
                    <c:v>damian macetas</c:v>
                  </c:pt>
                  <c:pt idx="1367">
                    <c:v>damian macetas</c:v>
                  </c:pt>
                  <c:pt idx="1368">
                    <c:v>damian macetas</c:v>
                  </c:pt>
                  <c:pt idx="1369">
                    <c:v>damian macetas</c:v>
                  </c:pt>
                  <c:pt idx="1370">
                    <c:v>damian macetas</c:v>
                  </c:pt>
                  <c:pt idx="1371">
                    <c:v>damian macetas</c:v>
                  </c:pt>
                  <c:pt idx="1372">
                    <c:v>damian macetas</c:v>
                  </c:pt>
                  <c:pt idx="1373">
                    <c:v>damian macetas</c:v>
                  </c:pt>
                  <c:pt idx="1374">
                    <c:v>mercoplant</c:v>
                  </c:pt>
                  <c:pt idx="1375">
                    <c:v>grispix</c:v>
                  </c:pt>
                  <c:pt idx="1376">
                    <c:v>alvarez</c:v>
                  </c:pt>
                  <c:pt idx="1377">
                    <c:v>alvarez</c:v>
                  </c:pt>
                  <c:pt idx="1378">
                    <c:v>alvarez</c:v>
                  </c:pt>
                  <c:pt idx="1379">
                    <c:v>grispix</c:v>
                  </c:pt>
                  <c:pt idx="1380">
                    <c:v>damian macetas</c:v>
                  </c:pt>
                  <c:pt idx="1381">
                    <c:v>damian macetas</c:v>
                  </c:pt>
                  <c:pt idx="1382">
                    <c:v>damian macetas</c:v>
                  </c:pt>
                  <c:pt idx="1383">
                    <c:v>damian macetas</c:v>
                  </c:pt>
                  <c:pt idx="1384">
                    <c:v>damian macetas</c:v>
                  </c:pt>
                  <c:pt idx="1385">
                    <c:v>damian macetas</c:v>
                  </c:pt>
                  <c:pt idx="1386">
                    <c:v>alvarez</c:v>
                  </c:pt>
                  <c:pt idx="1388">
                    <c:v>damian macetas</c:v>
                  </c:pt>
                  <c:pt idx="1389">
                    <c:v>damian macetas</c:v>
                  </c:pt>
                  <c:pt idx="1390">
                    <c:v>damian macetas</c:v>
                  </c:pt>
                  <c:pt idx="1391">
                    <c:v>damian macetas</c:v>
                  </c:pt>
                  <c:pt idx="1392">
                    <c:v>damian macetas</c:v>
                  </c:pt>
                  <c:pt idx="1393">
                    <c:v>damian macetas</c:v>
                  </c:pt>
                  <c:pt idx="1394">
                    <c:v>alvarez</c:v>
                  </c:pt>
                  <c:pt idx="1395">
                    <c:v>alvarez</c:v>
                  </c:pt>
                  <c:pt idx="1396">
                    <c:v>alvarez</c:v>
                  </c:pt>
                  <c:pt idx="1397">
                    <c:v>alvarez</c:v>
                  </c:pt>
                  <c:pt idx="1398">
                    <c:v>alvarez</c:v>
                  </c:pt>
                  <c:pt idx="1399">
                    <c:v>damian macetas</c:v>
                  </c:pt>
                  <c:pt idx="1400">
                    <c:v>damian macetas</c:v>
                  </c:pt>
                  <c:pt idx="1401">
                    <c:v>damian macetas</c:v>
                  </c:pt>
                  <c:pt idx="1402">
                    <c:v>alvarez</c:v>
                  </c:pt>
                  <c:pt idx="1403">
                    <c:v>grispix</c:v>
                  </c:pt>
                  <c:pt idx="1404">
                    <c:v>grispix</c:v>
                  </c:pt>
                  <c:pt idx="1405">
                    <c:v>damian macetas</c:v>
                  </c:pt>
                  <c:pt idx="1406">
                    <c:v>damian macetas</c:v>
                  </c:pt>
                  <c:pt idx="1407">
                    <c:v>damian macetas</c:v>
                  </c:pt>
                  <c:pt idx="1408">
                    <c:v>damian macetas</c:v>
                  </c:pt>
                  <c:pt idx="1409">
                    <c:v>damian macetas</c:v>
                  </c:pt>
                  <c:pt idx="1410">
                    <c:v>damian macetas</c:v>
                  </c:pt>
                  <c:pt idx="1411">
                    <c:v>damian macetas</c:v>
                  </c:pt>
                  <c:pt idx="1412">
                    <c:v>damian macetas</c:v>
                  </c:pt>
                  <c:pt idx="1413">
                    <c:v>damian macetas</c:v>
                  </c:pt>
                  <c:pt idx="1414">
                    <c:v>damian macetas</c:v>
                  </c:pt>
                  <c:pt idx="1415">
                    <c:v>damian macetas</c:v>
                  </c:pt>
                  <c:pt idx="1416">
                    <c:v>damian macetas</c:v>
                  </c:pt>
                  <c:pt idx="1417">
                    <c:v>damian macetas</c:v>
                  </c:pt>
                  <c:pt idx="1418">
                    <c:v>damian macetas</c:v>
                  </c:pt>
                  <c:pt idx="1419">
                    <c:v>alvarez</c:v>
                  </c:pt>
                  <c:pt idx="1420">
                    <c:v>alvarez</c:v>
                  </c:pt>
                  <c:pt idx="1421">
                    <c:v>alvarez</c:v>
                  </c:pt>
                  <c:pt idx="1422">
                    <c:v>alvarez</c:v>
                  </c:pt>
                  <c:pt idx="1423">
                    <c:v>alvarez</c:v>
                  </c:pt>
                  <c:pt idx="1424">
                    <c:v>alvarez</c:v>
                  </c:pt>
                  <c:pt idx="1425">
                    <c:v>alvarez</c:v>
                  </c:pt>
                  <c:pt idx="1426">
                    <c:v>alvarez</c:v>
                  </c:pt>
                  <c:pt idx="1427">
                    <c:v>alvarez</c:v>
                  </c:pt>
                  <c:pt idx="1428">
                    <c:v>alvarez</c:v>
                  </c:pt>
                  <c:pt idx="1429">
                    <c:v>alvarez</c:v>
                  </c:pt>
                  <c:pt idx="1430">
                    <c:v>damian macetas</c:v>
                  </c:pt>
                  <c:pt idx="1431">
                    <c:v>damian macetas</c:v>
                  </c:pt>
                  <c:pt idx="1432">
                    <c:v>damian macetas</c:v>
                  </c:pt>
                  <c:pt idx="1433">
                    <c:v>grispix</c:v>
                  </c:pt>
                  <c:pt idx="1434">
                    <c:v>grispix</c:v>
                  </c:pt>
                  <c:pt idx="1436">
                    <c:v>cousa</c:v>
                  </c:pt>
                  <c:pt idx="1437">
                    <c:v>cousa</c:v>
                  </c:pt>
                  <c:pt idx="1438">
                    <c:v>cousa</c:v>
                  </c:pt>
                  <c:pt idx="1439">
                    <c:v>cousa</c:v>
                  </c:pt>
                  <c:pt idx="1441">
                    <c:v>baldivia</c:v>
                  </c:pt>
                  <c:pt idx="1442">
                    <c:v>baldivia</c:v>
                  </c:pt>
                  <c:pt idx="1443">
                    <c:v>magric</c:v>
                  </c:pt>
                  <c:pt idx="1444">
                    <c:v>baldivia</c:v>
                  </c:pt>
                  <c:pt idx="1445">
                    <c:v>baldivia</c:v>
                  </c:pt>
                  <c:pt idx="1446">
                    <c:v>baldivia</c:v>
                  </c:pt>
                  <c:pt idx="1447">
                    <c:v>baldivia</c:v>
                  </c:pt>
                  <c:pt idx="1448">
                    <c:v>baldivia</c:v>
                  </c:pt>
                  <c:pt idx="1449">
                    <c:v>agraciada</c:v>
                  </c:pt>
                  <c:pt idx="1450">
                    <c:v>agropecuaria agraciada</c:v>
                  </c:pt>
                  <c:pt idx="1452">
                    <c:v>diego</c:v>
                  </c:pt>
                  <c:pt idx="1453">
                    <c:v>diego</c:v>
                  </c:pt>
                  <c:pt idx="1454">
                    <c:v>diego</c:v>
                  </c:pt>
                  <c:pt idx="1456">
                    <c:v>damian macetas</c:v>
                  </c:pt>
                  <c:pt idx="1458">
                    <c:v>diego</c:v>
                  </c:pt>
                  <c:pt idx="1459">
                    <c:v>damian macetas</c:v>
                  </c:pt>
                  <c:pt idx="1460">
                    <c:v>damian macetas</c:v>
                  </c:pt>
                  <c:pt idx="1463">
                    <c:v>maple vila</c:v>
                  </c:pt>
                  <c:pt idx="1464">
                    <c:v>maple vila</c:v>
                  </c:pt>
                  <c:pt idx="1465">
                    <c:v>diego</c:v>
                  </c:pt>
                  <c:pt idx="1466">
                    <c:v>damian macetas</c:v>
                  </c:pt>
                  <c:pt idx="1468">
                    <c:v>distribuidora del sol</c:v>
                  </c:pt>
                  <c:pt idx="1469">
                    <c:v>ATMA</c:v>
                  </c:pt>
                  <c:pt idx="1470">
                    <c:v>casino</c:v>
                  </c:pt>
                  <c:pt idx="1474">
                    <c:v>agroinsumos</c:v>
                  </c:pt>
                  <c:pt idx="1475">
                    <c:v>agroinsumos</c:v>
                  </c:pt>
                  <c:pt idx="1476">
                    <c:v>beltrame</c:v>
                  </c:pt>
                  <c:pt idx="1477">
                    <c:v>beltrame</c:v>
                  </c:pt>
                  <c:pt idx="1478">
                    <c:v>valagu</c:v>
                  </c:pt>
                  <c:pt idx="1479">
                    <c:v>agroinsumos</c:v>
                  </c:pt>
                  <c:pt idx="1481">
                    <c:v>damian macetas</c:v>
                  </c:pt>
                  <c:pt idx="1483">
                    <c:v>damian macetas</c:v>
                  </c:pt>
                  <c:pt idx="1484">
                    <c:v>diego</c:v>
                  </c:pt>
                  <c:pt idx="1485">
                    <c:v>rimart</c:v>
                  </c:pt>
                  <c:pt idx="1486">
                    <c:v>mayans</c:v>
                  </c:pt>
                  <c:pt idx="1487">
                    <c:v>mayans</c:v>
                  </c:pt>
                  <c:pt idx="1488">
                    <c:v>casa cristina</c:v>
                  </c:pt>
                  <c:pt idx="1490">
                    <c:v>casa cristina</c:v>
                  </c:pt>
                  <c:pt idx="1491">
                    <c:v>diego</c:v>
                  </c:pt>
                  <c:pt idx="1492">
                    <c:v>diego</c:v>
                  </c:pt>
                  <c:pt idx="1493">
                    <c:v>diego</c:v>
                  </c:pt>
                  <c:pt idx="1494">
                    <c:v>diego</c:v>
                  </c:pt>
                  <c:pt idx="1495">
                    <c:v>diego</c:v>
                  </c:pt>
                  <c:pt idx="1496">
                    <c:v>damian macetas</c:v>
                  </c:pt>
                  <c:pt idx="1499">
                    <c:v>MAYORPET</c:v>
                  </c:pt>
                  <c:pt idx="1500">
                    <c:v>MAYORPET</c:v>
                  </c:pt>
                  <c:pt idx="1501">
                    <c:v>MAYORPET</c:v>
                  </c:pt>
                  <c:pt idx="1502">
                    <c:v>MAYORPET</c:v>
                  </c:pt>
                  <c:pt idx="1503">
                    <c:v>bioterra</c:v>
                  </c:pt>
                  <c:pt idx="1505">
                    <c:v>yaques</c:v>
                  </c:pt>
                  <c:pt idx="1506">
                    <c:v>musaco</c:v>
                  </c:pt>
                  <c:pt idx="1507">
                    <c:v>merlin</c:v>
                  </c:pt>
                  <c:pt idx="1508">
                    <c:v>beltrame</c:v>
                  </c:pt>
                  <c:pt idx="1509">
                    <c:v>beltrame</c:v>
                  </c:pt>
                  <c:pt idx="1510">
                    <c:v>MAYORPET</c:v>
                  </c:pt>
                  <c:pt idx="1511">
                    <c:v>valagu</c:v>
                  </c:pt>
                  <c:pt idx="1512">
                    <c:v>MAYORPET</c:v>
                  </c:pt>
                  <c:pt idx="1513">
                    <c:v>valagu</c:v>
                  </c:pt>
                  <c:pt idx="1514">
                    <c:v>valagu</c:v>
                  </c:pt>
                  <c:pt idx="1515">
                    <c:v>MAYORPET</c:v>
                  </c:pt>
                  <c:pt idx="1516">
                    <c:v>MAYORPET</c:v>
                  </c:pt>
                  <c:pt idx="1517">
                    <c:v>MAYORPET</c:v>
                  </c:pt>
                  <c:pt idx="1518">
                    <c:v>MAYORPET</c:v>
                  </c:pt>
                  <c:pt idx="1519">
                    <c:v>volpe</c:v>
                  </c:pt>
                  <c:pt idx="1520">
                    <c:v>volpe</c:v>
                  </c:pt>
                  <c:pt idx="1522">
                    <c:v>valagu</c:v>
                  </c:pt>
                  <c:pt idx="1523">
                    <c:v>valagu</c:v>
                  </c:pt>
                  <c:pt idx="1524">
                    <c:v>valagu</c:v>
                  </c:pt>
                  <c:pt idx="1525">
                    <c:v>valagu</c:v>
                  </c:pt>
                  <c:pt idx="1526">
                    <c:v>damian macetas</c:v>
                  </c:pt>
                  <c:pt idx="1527">
                    <c:v>musaco</c:v>
                  </c:pt>
                  <c:pt idx="1528">
                    <c:v>BELSIR</c:v>
                  </c:pt>
                  <c:pt idx="1529">
                    <c:v>exportagro</c:v>
                  </c:pt>
                  <c:pt idx="1530">
                    <c:v>magric</c:v>
                  </c:pt>
                  <c:pt idx="1531">
                    <c:v>magric</c:v>
                  </c:pt>
                  <c:pt idx="1532">
                    <c:v>alvarez</c:v>
                  </c:pt>
                  <c:pt idx="1533">
                    <c:v>damian macetas</c:v>
                  </c:pt>
                  <c:pt idx="1534">
                    <c:v>damian macetas</c:v>
                  </c:pt>
                  <c:pt idx="1535">
                    <c:v>damian macetas</c:v>
                  </c:pt>
                  <c:pt idx="1536">
                    <c:v>grispix</c:v>
                  </c:pt>
                  <c:pt idx="1537">
                    <c:v>damian macetas</c:v>
                  </c:pt>
                  <c:pt idx="1538">
                    <c:v>deribal</c:v>
                  </c:pt>
                  <c:pt idx="1539">
                    <c:v>damian macetas</c:v>
                  </c:pt>
                  <c:pt idx="1540">
                    <c:v>damian macetas</c:v>
                  </c:pt>
                  <c:pt idx="1541">
                    <c:v>MAYORPET</c:v>
                  </c:pt>
                  <c:pt idx="1542">
                    <c:v>damian macetas</c:v>
                  </c:pt>
                  <c:pt idx="1544">
                    <c:v>yaques</c:v>
                  </c:pt>
                  <c:pt idx="1545">
                    <c:v>yaques</c:v>
                  </c:pt>
                  <c:pt idx="1546">
                    <c:v>diego</c:v>
                  </c:pt>
                  <c:pt idx="1547">
                    <c:v>diego</c:v>
                  </c:pt>
                  <c:pt idx="1548">
                    <c:v>empack</c:v>
                  </c:pt>
                  <c:pt idx="1549">
                    <c:v>valagu</c:v>
                  </c:pt>
                  <c:pt idx="1550">
                    <c:v>valagu</c:v>
                  </c:pt>
                  <c:pt idx="1551">
                    <c:v>valagu</c:v>
                  </c:pt>
                  <c:pt idx="1552">
                    <c:v>beltrame</c:v>
                  </c:pt>
                  <c:pt idx="1553">
                    <c:v>uruquim</c:v>
                  </c:pt>
                  <c:pt idx="1554">
                    <c:v>uruquim</c:v>
                  </c:pt>
                  <c:pt idx="1555">
                    <c:v>lezama</c:v>
                  </c:pt>
                  <c:pt idx="1556">
                    <c:v>fermara</c:v>
                  </c:pt>
                  <c:pt idx="1557">
                    <c:v>FERMARA</c:v>
                  </c:pt>
                  <c:pt idx="1558">
                    <c:v>fermara</c:v>
                  </c:pt>
                  <c:pt idx="1559">
                    <c:v>fermara</c:v>
                  </c:pt>
                  <c:pt idx="1560">
                    <c:v>damian macetas</c:v>
                  </c:pt>
                  <c:pt idx="1567">
                    <c:v>valagu</c:v>
                  </c:pt>
                  <c:pt idx="1568">
                    <c:v>valagu</c:v>
                  </c:pt>
                  <c:pt idx="1570">
                    <c:v>belsir</c:v>
                  </c:pt>
                  <c:pt idx="1571">
                    <c:v>belsir</c:v>
                  </c:pt>
                  <c:pt idx="1572">
                    <c:v>valagu</c:v>
                  </c:pt>
                  <c:pt idx="1574">
                    <c:v>MAYORPET</c:v>
                  </c:pt>
                  <c:pt idx="1575">
                    <c:v>MAYORPET</c:v>
                  </c:pt>
                  <c:pt idx="1577">
                    <c:v>grispix</c:v>
                  </c:pt>
                  <c:pt idx="1579">
                    <c:v>damian macetas</c:v>
                  </c:pt>
                  <c:pt idx="1580">
                    <c:v>damian macetas</c:v>
                  </c:pt>
                  <c:pt idx="1581">
                    <c:v>damian macetas</c:v>
                  </c:pt>
                  <c:pt idx="1582">
                    <c:v>damian macetas</c:v>
                  </c:pt>
                  <c:pt idx="1583">
                    <c:v>alvarez</c:v>
                  </c:pt>
                  <c:pt idx="1587">
                    <c:v>bioterra</c:v>
                  </c:pt>
                  <c:pt idx="1588">
                    <c:v>negley</c:v>
                  </c:pt>
                  <c:pt idx="1589">
                    <c:v>negley</c:v>
                  </c:pt>
                  <c:pt idx="1590">
                    <c:v>negley</c:v>
                  </c:pt>
                  <c:pt idx="1591">
                    <c:v>distribuidora del sol</c:v>
                  </c:pt>
                  <c:pt idx="1592">
                    <c:v>distribuidora del sol</c:v>
                  </c:pt>
                  <c:pt idx="1594">
                    <c:v>fermara</c:v>
                  </c:pt>
                  <c:pt idx="1596">
                    <c:v>REMIPLAT</c:v>
                  </c:pt>
                  <c:pt idx="1597">
                    <c:v>REMIPLAT</c:v>
                  </c:pt>
                  <c:pt idx="1599">
                    <c:v>intor</c:v>
                  </c:pt>
                  <c:pt idx="1600">
                    <c:v>intor</c:v>
                  </c:pt>
                  <c:pt idx="1601">
                    <c:v>intor</c:v>
                  </c:pt>
                  <c:pt idx="1602">
                    <c:v>intor</c:v>
                  </c:pt>
                  <c:pt idx="1603">
                    <c:v>intor</c:v>
                  </c:pt>
                  <c:pt idx="1604">
                    <c:v>intor</c:v>
                  </c:pt>
                  <c:pt idx="1607">
                    <c:v>REMIPLAT</c:v>
                  </c:pt>
                  <c:pt idx="1609">
                    <c:v>REMIPLAT</c:v>
                  </c:pt>
                  <c:pt idx="1613">
                    <c:v>damian macetas</c:v>
                  </c:pt>
                  <c:pt idx="1615">
                    <c:v>fermara</c:v>
                  </c:pt>
                  <c:pt idx="1616">
                    <c:v>fermara</c:v>
                  </c:pt>
                  <c:pt idx="1618">
                    <c:v>negley</c:v>
                  </c:pt>
                  <c:pt idx="1619">
                    <c:v>negley</c:v>
                  </c:pt>
                  <c:pt idx="1620">
                    <c:v>intor</c:v>
                  </c:pt>
                  <c:pt idx="1621">
                    <c:v>damian macetas</c:v>
                  </c:pt>
                  <c:pt idx="1624">
                    <c:v>damian macetas</c:v>
                  </c:pt>
                  <c:pt idx="1625">
                    <c:v>negley</c:v>
                  </c:pt>
                  <c:pt idx="1626">
                    <c:v>negley</c:v>
                  </c:pt>
                  <c:pt idx="1627">
                    <c:v>belsir</c:v>
                  </c:pt>
                  <c:pt idx="1629">
                    <c:v>belsir</c:v>
                  </c:pt>
                  <c:pt idx="1630">
                    <c:v>belsir</c:v>
                  </c:pt>
                  <c:pt idx="1631">
                    <c:v>belsir</c:v>
                  </c:pt>
                  <c:pt idx="1632">
                    <c:v>belsir</c:v>
                  </c:pt>
                  <c:pt idx="1633">
                    <c:v>belsir</c:v>
                  </c:pt>
                  <c:pt idx="1634">
                    <c:v>distribuidora del sol</c:v>
                  </c:pt>
                  <c:pt idx="1635">
                    <c:v>distribuidora del sol</c:v>
                  </c:pt>
                  <c:pt idx="1636">
                    <c:v>distribuidora del sol</c:v>
                  </c:pt>
                  <c:pt idx="1637">
                    <c:v>distribuidora del sol</c:v>
                  </c:pt>
                  <c:pt idx="1638">
                    <c:v>distribuidora del sol</c:v>
                  </c:pt>
                  <c:pt idx="1639">
                    <c:v>distribuidora del sol</c:v>
                  </c:pt>
                  <c:pt idx="1640">
                    <c:v>distribuidora del sol</c:v>
                  </c:pt>
                  <c:pt idx="1641">
                    <c:v>negley</c:v>
                  </c:pt>
                  <c:pt idx="1642">
                    <c:v>negley</c:v>
                  </c:pt>
                  <c:pt idx="1643">
                    <c:v>negley</c:v>
                  </c:pt>
                  <c:pt idx="1644">
                    <c:v>negley</c:v>
                  </c:pt>
                  <c:pt idx="1645">
                    <c:v>negley</c:v>
                  </c:pt>
                  <c:pt idx="1646">
                    <c:v>negley</c:v>
                  </c:pt>
                  <c:pt idx="1647">
                    <c:v>negley</c:v>
                  </c:pt>
                  <c:pt idx="1649">
                    <c:v>valagu</c:v>
                  </c:pt>
                  <c:pt idx="1650">
                    <c:v>valagu</c:v>
                  </c:pt>
                  <c:pt idx="1651">
                    <c:v>beltrame</c:v>
                  </c:pt>
                  <c:pt idx="1652">
                    <c:v>valagu</c:v>
                  </c:pt>
                  <c:pt idx="1653">
                    <c:v>corona</c:v>
                  </c:pt>
                  <c:pt idx="1654">
                    <c:v>valagu</c:v>
                  </c:pt>
                  <c:pt idx="1655">
                    <c:v>valagu</c:v>
                  </c:pt>
                  <c:pt idx="1656">
                    <c:v>mayorpet</c:v>
                  </c:pt>
                  <c:pt idx="1657">
                    <c:v>valagu</c:v>
                  </c:pt>
                  <c:pt idx="1658">
                    <c:v>valagu</c:v>
                  </c:pt>
                  <c:pt idx="1659">
                    <c:v>valagu</c:v>
                  </c:pt>
                  <c:pt idx="1660">
                    <c:v>valagu</c:v>
                  </c:pt>
                  <c:pt idx="1661">
                    <c:v>valagu</c:v>
                  </c:pt>
                  <c:pt idx="1662">
                    <c:v>deribal</c:v>
                  </c:pt>
                  <c:pt idx="1663">
                    <c:v>deribal</c:v>
                  </c:pt>
                  <c:pt idx="1664">
                    <c:v>animalitos</c:v>
                  </c:pt>
                  <c:pt idx="1666">
                    <c:v>alvarez</c:v>
                  </c:pt>
                  <c:pt idx="1667">
                    <c:v>alvarez</c:v>
                  </c:pt>
                  <c:pt idx="1668">
                    <c:v>damian macetas</c:v>
                  </c:pt>
                  <c:pt idx="1669">
                    <c:v>MAYORPET</c:v>
                  </c:pt>
                  <c:pt idx="1670">
                    <c:v>ds</c:v>
                  </c:pt>
                  <c:pt idx="1671">
                    <c:v>damian macetas</c:v>
                  </c:pt>
                  <c:pt idx="1672">
                    <c:v>damian macetas</c:v>
                  </c:pt>
                  <c:pt idx="1674">
                    <c:v>fermara</c:v>
                  </c:pt>
                  <c:pt idx="1675">
                    <c:v>fermara</c:v>
                  </c:pt>
                  <c:pt idx="1676">
                    <c:v>fermara</c:v>
                  </c:pt>
                  <c:pt idx="1677">
                    <c:v>fermara</c:v>
                  </c:pt>
                  <c:pt idx="1678">
                    <c:v>DERIBAL</c:v>
                  </c:pt>
                  <c:pt idx="1679">
                    <c:v>DERIBAL</c:v>
                  </c:pt>
                  <c:pt idx="1680">
                    <c:v>DERIBAL</c:v>
                  </c:pt>
                  <c:pt idx="1681">
                    <c:v>fermara</c:v>
                  </c:pt>
                  <c:pt idx="1682">
                    <c:v>deribal</c:v>
                  </c:pt>
                  <c:pt idx="1683">
                    <c:v>deribal</c:v>
                  </c:pt>
                  <c:pt idx="1684">
                    <c:v>DERIBAL</c:v>
                  </c:pt>
                  <c:pt idx="1685">
                    <c:v>deribal</c:v>
                  </c:pt>
                  <c:pt idx="1686">
                    <c:v>deribal</c:v>
                  </c:pt>
                  <c:pt idx="1687">
                    <c:v>fermara</c:v>
                  </c:pt>
                  <c:pt idx="1688">
                    <c:v>fermara</c:v>
                  </c:pt>
                  <c:pt idx="1689">
                    <c:v>fermara</c:v>
                  </c:pt>
                  <c:pt idx="1690">
                    <c:v>damian macetas</c:v>
                  </c:pt>
                  <c:pt idx="1691">
                    <c:v>valagu</c:v>
                  </c:pt>
                  <c:pt idx="1693">
                    <c:v>valagu</c:v>
                  </c:pt>
                  <c:pt idx="1694">
                    <c:v>valagu</c:v>
                  </c:pt>
                  <c:pt idx="1695">
                    <c:v>valagu</c:v>
                  </c:pt>
                  <c:pt idx="1696">
                    <c:v>valagu</c:v>
                  </c:pt>
                  <c:pt idx="1697">
                    <c:v>valagu</c:v>
                  </c:pt>
                  <c:pt idx="1698">
                    <c:v>valagu</c:v>
                  </c:pt>
                  <c:pt idx="1699">
                    <c:v>diego</c:v>
                  </c:pt>
                  <c:pt idx="1700">
                    <c:v>valagu</c:v>
                  </c:pt>
                  <c:pt idx="1701">
                    <c:v>valagu</c:v>
                  </c:pt>
                  <c:pt idx="1702">
                    <c:v>valagu</c:v>
                  </c:pt>
                  <c:pt idx="1703">
                    <c:v>valagu</c:v>
                  </c:pt>
                  <c:pt idx="1704">
                    <c:v>diego</c:v>
                  </c:pt>
                  <c:pt idx="1705">
                    <c:v>diego</c:v>
                  </c:pt>
                  <c:pt idx="1706">
                    <c:v>damian macetas</c:v>
                  </c:pt>
                  <c:pt idx="1707">
                    <c:v>casa cristina</c:v>
                  </c:pt>
                  <c:pt idx="1709">
                    <c:v>valagu</c:v>
                  </c:pt>
                  <c:pt idx="1710">
                    <c:v>valagu</c:v>
                  </c:pt>
                  <c:pt idx="1711">
                    <c:v>valagu</c:v>
                  </c:pt>
                  <c:pt idx="1712">
                    <c:v>valagu</c:v>
                  </c:pt>
                  <c:pt idx="1713">
                    <c:v>valagu</c:v>
                  </c:pt>
                  <c:pt idx="1714">
                    <c:v>agropecuaria agraciada</c:v>
                  </c:pt>
                  <c:pt idx="1715">
                    <c:v>agraciada</c:v>
                  </c:pt>
                  <c:pt idx="1716">
                    <c:v>parque trebol</c:v>
                  </c:pt>
                  <c:pt idx="1717">
                    <c:v>damian macetas</c:v>
                  </c:pt>
                  <c:pt idx="1718">
                    <c:v>damian macetas</c:v>
                  </c:pt>
                  <c:pt idx="1719">
                    <c:v>damian macetas</c:v>
                  </c:pt>
                  <c:pt idx="1720">
                    <c:v>damian macetas</c:v>
                  </c:pt>
                  <c:pt idx="1721">
                    <c:v>damian macetas</c:v>
                  </c:pt>
                  <c:pt idx="1722">
                    <c:v>damian macetas</c:v>
                  </c:pt>
                  <c:pt idx="1723">
                    <c:v>damian macetas</c:v>
                  </c:pt>
                  <c:pt idx="1724">
                    <c:v>damian macetas</c:v>
                  </c:pt>
                </c:lvl>
                <c:lvl>
                  <c:pt idx="0">
                    <c:v>1 doc clavel 2 ilusion 2 rosas</c:v>
                  </c:pt>
                  <c:pt idx="1">
                    <c:v>100 c,c</c:v>
                  </c:pt>
                  <c:pt idx="2">
                    <c:v>100 cc</c:v>
                  </c:pt>
                  <c:pt idx="3">
                    <c:v>10litr</c:v>
                  </c:pt>
                  <c:pt idx="4">
                    <c:v>250 gr</c:v>
                  </c:pt>
                  <c:pt idx="5">
                    <c:v>1lt</c:v>
                  </c:pt>
                  <c:pt idx="6">
                    <c:v>100 cc</c:v>
                  </c:pt>
                  <c:pt idx="7">
                    <c:v>20lt</c:v>
                  </c:pt>
                  <c:pt idx="8">
                    <c:v>1 lt</c:v>
                  </c:pt>
                  <c:pt idx="9">
                    <c:v>1 LT</c:v>
                  </c:pt>
                  <c:pt idx="12">
                    <c:v>4pcs</c:v>
                  </c:pt>
                  <c:pt idx="13">
                    <c:v>600 cc</c:v>
                  </c:pt>
                  <c:pt idx="14">
                    <c:v>1,200 ltr</c:v>
                  </c:pt>
                  <c:pt idx="15">
                    <c:v>c/u</c:v>
                  </c:pt>
                  <c:pt idx="23">
                    <c:v>30 cm</c:v>
                  </c:pt>
                  <c:pt idx="24">
                    <c:v>1 kg</c:v>
                  </c:pt>
                  <c:pt idx="25">
                    <c:v>25 kg</c:v>
                  </c:pt>
                  <c:pt idx="26">
                    <c:v>350 ml</c:v>
                  </c:pt>
                  <c:pt idx="27">
                    <c:v>2,5L/mmrs-RS510</c:v>
                  </c:pt>
                  <c:pt idx="28">
                    <c:v>RS 290</c:v>
                  </c:pt>
                  <c:pt idx="29">
                    <c:v>rs-160</c:v>
                  </c:pt>
                  <c:pt idx="30">
                    <c:v>rs610</c:v>
                  </c:pt>
                  <c:pt idx="31">
                    <c:v>4w 4lt/min</c:v>
                  </c:pt>
                  <c:pt idx="32">
                    <c:v>5w4,5 1/min sile</c:v>
                  </c:pt>
                  <c:pt idx="33">
                    <c:v> 2,5lm  sl-2800</c:v>
                  </c:pt>
                  <c:pt idx="34">
                    <c:v>30 CC</c:v>
                  </c:pt>
                  <c:pt idx="35">
                    <c:v>11,5cm</c:v>
                  </c:pt>
                  <c:pt idx="36">
                    <c:v>60 cc</c:v>
                  </c:pt>
                  <c:pt idx="37">
                    <c:v>400 grs caja</c:v>
                  </c:pt>
                  <c:pt idx="38">
                    <c:v>10gr</c:v>
                  </c:pt>
                  <c:pt idx="39">
                    <c:v>250 gr</c:v>
                  </c:pt>
                  <c:pt idx="40">
                    <c:v>10 gr</c:v>
                  </c:pt>
                  <c:pt idx="41">
                    <c:v>100 gr</c:v>
                  </c:pt>
                  <c:pt idx="42">
                    <c:v>500gr</c:v>
                  </c:pt>
                  <c:pt idx="43">
                    <c:v>120 grs</c:v>
                  </c:pt>
                  <c:pt idx="44">
                    <c:v>100 gr</c:v>
                  </c:pt>
                  <c:pt idx="45">
                    <c:v>15 gr</c:v>
                  </c:pt>
                  <c:pt idx="46">
                    <c:v>500 gr</c:v>
                  </c:pt>
                  <c:pt idx="47">
                    <c:v>500 grs</c:v>
                  </c:pt>
                  <c:pt idx="48">
                    <c:v>270 grs</c:v>
                  </c:pt>
                  <c:pt idx="49">
                    <c:v>kg</c:v>
                  </c:pt>
                  <c:pt idx="50">
                    <c:v>500  GR</c:v>
                  </c:pt>
                  <c:pt idx="51">
                    <c:v>100 GR</c:v>
                  </c:pt>
                  <c:pt idx="52">
                    <c:v>50 gr</c:v>
                  </c:pt>
                  <c:pt idx="53">
                    <c:v>10 GR</c:v>
                  </c:pt>
                  <c:pt idx="54">
                    <c:v>1,1 kg</c:v>
                  </c:pt>
                  <c:pt idx="55">
                    <c:v>75 gr</c:v>
                  </c:pt>
                  <c:pt idx="56">
                    <c:v>1kg</c:v>
                  </c:pt>
                  <c:pt idx="57">
                    <c:v>100 gr</c:v>
                  </c:pt>
                  <c:pt idx="58">
                    <c:v>10 gr</c:v>
                  </c:pt>
                  <c:pt idx="59">
                    <c:v>400 CC</c:v>
                  </c:pt>
                  <c:pt idx="60">
                    <c:v>128 cv,</c:v>
                  </c:pt>
                  <c:pt idx="61">
                    <c:v>32 cav</c:v>
                  </c:pt>
                  <c:pt idx="62">
                    <c:v>50 cavidades</c:v>
                  </c:pt>
                  <c:pt idx="63">
                    <c:v> 105 CAVIDADES</c:v>
                  </c:pt>
                  <c:pt idx="64">
                    <c:v>288 cavidades</c:v>
                  </c:pt>
                  <c:pt idx="65">
                    <c:v>50 cavidades</c:v>
                  </c:pt>
                  <c:pt idx="66">
                    <c:v>98 cavidades</c:v>
                  </c:pt>
                  <c:pt idx="72">
                    <c:v>25 kg</c:v>
                  </c:pt>
                  <c:pt idx="73">
                    <c:v>1 kg</c:v>
                  </c:pt>
                  <c:pt idx="74">
                    <c:v>25 kg</c:v>
                  </c:pt>
                  <c:pt idx="75">
                    <c:v>1 kg</c:v>
                  </c:pt>
                  <c:pt idx="78">
                    <c:v>0</c:v>
                  </c:pt>
                  <c:pt idx="80">
                    <c:v>c/u</c:v>
                  </c:pt>
                  <c:pt idx="81">
                    <c:v>blister de 10 comp</c:v>
                  </c:pt>
                  <c:pt idx="82">
                    <c:v>caja 240 comp</c:v>
                  </c:pt>
                  <c:pt idx="83">
                    <c:v>20 CM</c:v>
                  </c:pt>
                  <c:pt idx="84">
                    <c:v>24 CM</c:v>
                  </c:pt>
                  <c:pt idx="85">
                    <c:v>30 cm</c:v>
                  </c:pt>
                  <c:pt idx="86">
                    <c:v>40 cm</c:v>
                  </c:pt>
                  <c:pt idx="87">
                    <c:v>70 cm</c:v>
                  </c:pt>
                  <c:pt idx="88">
                    <c:v>25 kg</c:v>
                  </c:pt>
                  <c:pt idx="89">
                    <c:v>kg</c:v>
                  </c:pt>
                  <c:pt idx="90">
                    <c:v>0</c:v>
                  </c:pt>
                  <c:pt idx="97">
                    <c:v>500 grs</c:v>
                  </c:pt>
                  <c:pt idx="98">
                    <c:v>kg</c:v>
                  </c:pt>
                  <c:pt idx="99">
                    <c:v>100 gr</c:v>
                  </c:pt>
                  <c:pt idx="100">
                    <c:v>C/U</c:v>
                  </c:pt>
                  <c:pt idx="102">
                    <c:v>kg</c:v>
                  </c:pt>
                  <c:pt idx="103">
                    <c:v>125 grs</c:v>
                  </c:pt>
                  <c:pt idx="104">
                    <c:v>50 gr</c:v>
                  </c:pt>
                  <c:pt idx="105">
                    <c:v>50gr</c:v>
                  </c:pt>
                  <c:pt idx="106">
                    <c:v>500 GRS</c:v>
                  </c:pt>
                  <c:pt idx="107">
                    <c:v>500 grs</c:v>
                  </c:pt>
                  <c:pt idx="108">
                    <c:v>50gr</c:v>
                  </c:pt>
                  <c:pt idx="109">
                    <c:v>21 LTS</c:v>
                  </c:pt>
                  <c:pt idx="110">
                    <c:v>141 cristal</c:v>
                  </c:pt>
                  <c:pt idx="111">
                    <c:v>46x32x10</c:v>
                  </c:pt>
                  <c:pt idx="112">
                    <c:v>40x27x7</c:v>
                  </c:pt>
                  <c:pt idx="113">
                    <c:v>0</c:v>
                  </c:pt>
                  <c:pt idx="115">
                    <c:v>c/u</c:v>
                  </c:pt>
                  <c:pt idx="116">
                    <c:v>gigante</c:v>
                  </c:pt>
                  <c:pt idx="117">
                    <c:v>350 ml</c:v>
                  </c:pt>
                  <c:pt idx="118">
                    <c:v>260ml</c:v>
                  </c:pt>
                  <c:pt idx="121">
                    <c:v>mts</c:v>
                  </c:pt>
                  <c:pt idx="122">
                    <c:v>20 c,c</c:v>
                  </c:pt>
                  <c:pt idx="123">
                    <c:v>20 c,c</c:v>
                  </c:pt>
                  <c:pt idx="124">
                    <c:v>30 c,c,</c:v>
                  </c:pt>
                  <c:pt idx="125">
                    <c:v>500 gr</c:v>
                  </c:pt>
                  <c:pt idx="126">
                    <c:v>100gr</c:v>
                  </c:pt>
                  <c:pt idx="127">
                    <c:v>1 ltr</c:v>
                  </c:pt>
                  <c:pt idx="128">
                    <c:v>1,8 ltr</c:v>
                  </c:pt>
                  <c:pt idx="129">
                    <c:v>3,5 LTR</c:v>
                  </c:pt>
                  <c:pt idx="130">
                    <c:v>6 lt</c:v>
                  </c:pt>
                  <c:pt idx="131">
                    <c:v>1,5 lts</c:v>
                  </c:pt>
                  <c:pt idx="132">
                    <c:v>1,5 lts</c:v>
                  </c:pt>
                  <c:pt idx="133">
                    <c:v>6 lt</c:v>
                  </c:pt>
                  <c:pt idx="134">
                    <c:v>125 ML</c:v>
                  </c:pt>
                  <c:pt idx="135">
                    <c:v>80ml</c:v>
                  </c:pt>
                  <c:pt idx="137">
                    <c:v>5 lt </c:v>
                  </c:pt>
                  <c:pt idx="138">
                    <c:v>7x16</c:v>
                  </c:pt>
                  <c:pt idx="139">
                    <c:v>300ml</c:v>
                  </c:pt>
                  <c:pt idx="140">
                    <c:v>50 ml</c:v>
                  </c:pt>
                  <c:pt idx="141">
                    <c:v>150 ml</c:v>
                  </c:pt>
                  <c:pt idx="142">
                    <c:v>c/u</c:v>
                  </c:pt>
                  <c:pt idx="143">
                    <c:v>0</c:v>
                  </c:pt>
                  <c:pt idx="145">
                    <c:v>c/u</c:v>
                  </c:pt>
                  <c:pt idx="146">
                    <c:v>c/u</c:v>
                  </c:pt>
                  <c:pt idx="148">
                    <c:v>0</c:v>
                  </c:pt>
                  <c:pt idx="149">
                    <c:v>c/u</c:v>
                  </c:pt>
                  <c:pt idx="151">
                    <c:v>17,8x10,5x10,5 cm</c:v>
                  </c:pt>
                  <c:pt idx="152">
                    <c:v>0</c:v>
                  </c:pt>
                  <c:pt idx="153">
                    <c:v>n 1</c:v>
                  </c:pt>
                  <c:pt idx="154">
                    <c:v>n 2</c:v>
                  </c:pt>
                  <c:pt idx="155">
                    <c:v>n 3</c:v>
                  </c:pt>
                  <c:pt idx="156">
                    <c:v>80 ml</c:v>
                  </c:pt>
                  <c:pt idx="157">
                    <c:v>500 ml</c:v>
                  </c:pt>
                  <c:pt idx="158">
                    <c:v>250 cc</c:v>
                  </c:pt>
                  <c:pt idx="159">
                    <c:v>1000 ml</c:v>
                  </c:pt>
                  <c:pt idx="160">
                    <c:v>1000 cc</c:v>
                  </c:pt>
                  <c:pt idx="161">
                    <c:v>kg</c:v>
                  </c:pt>
                  <c:pt idx="166">
                    <c:v>250 CC</c:v>
                  </c:pt>
                  <c:pt idx="167">
                    <c:v>600 cc</c:v>
                  </c:pt>
                  <c:pt idx="168">
                    <c:v>1 lt</c:v>
                  </c:pt>
                  <c:pt idx="169">
                    <c:v>10 ltr</c:v>
                  </c:pt>
                  <c:pt idx="170">
                    <c:v>1 litro suelto</c:v>
                  </c:pt>
                  <c:pt idx="171">
                    <c:v>1 ltr</c:v>
                  </c:pt>
                  <c:pt idx="172">
                    <c:v>20 ltr</c:v>
                  </c:pt>
                  <c:pt idx="173">
                    <c:v>5 lt</c:v>
                  </c:pt>
                  <c:pt idx="174">
                    <c:v>600 ml,</c:v>
                  </c:pt>
                  <c:pt idx="175">
                    <c:v>7lt</c:v>
                  </c:pt>
                  <c:pt idx="176">
                    <c:v>20 ltr</c:v>
                  </c:pt>
                  <c:pt idx="177">
                    <c:v>100 gr</c:v>
                  </c:pt>
                  <c:pt idx="178">
                    <c:v>500 gr</c:v>
                  </c:pt>
                  <c:pt idx="179">
                    <c:v>12 unidades</c:v>
                  </c:pt>
                  <c:pt idx="180">
                    <c:v>X 12 UNID.</c:v>
                  </c:pt>
                  <c:pt idx="181">
                    <c:v>15</c:v>
                  </c:pt>
                  <c:pt idx="182">
                    <c:v>20</c:v>
                  </c:pt>
                  <c:pt idx="183">
                    <c:v>25</c:v>
                  </c:pt>
                  <c:pt idx="184">
                    <c:v>30 cm</c:v>
                  </c:pt>
                  <c:pt idx="185">
                    <c:v>35</c:v>
                  </c:pt>
                  <c:pt idx="186">
                    <c:v>24</c:v>
                  </c:pt>
                  <c:pt idx="187">
                    <c:v>27</c:v>
                  </c:pt>
                  <c:pt idx="188">
                    <c:v>N20</c:v>
                  </c:pt>
                  <c:pt idx="189">
                    <c:v>N24</c:v>
                  </c:pt>
                  <c:pt idx="190">
                    <c:v>28</c:v>
                  </c:pt>
                  <c:pt idx="191">
                    <c:v>34</c:v>
                  </c:pt>
                  <c:pt idx="192">
                    <c:v>22</c:v>
                  </c:pt>
                  <c:pt idx="193">
                    <c:v>chico</c:v>
                  </c:pt>
                  <c:pt idx="194">
                    <c:v>gde</c:v>
                  </c:pt>
                  <c:pt idx="196">
                    <c:v>16cm</c:v>
                  </c:pt>
                  <c:pt idx="197">
                    <c:v>18cm</c:v>
                  </c:pt>
                  <c:pt idx="198">
                    <c:v>20cm</c:v>
                  </c:pt>
                  <c:pt idx="199">
                    <c:v>22 cm</c:v>
                  </c:pt>
                  <c:pt idx="200">
                    <c:v>25cm</c:v>
                  </c:pt>
                  <c:pt idx="201">
                    <c:v>20</c:v>
                  </c:pt>
                  <c:pt idx="202">
                    <c:v>25</c:v>
                  </c:pt>
                  <c:pt idx="203">
                    <c:v>1 kg</c:v>
                  </c:pt>
                  <c:pt idx="204">
                    <c:v>3 kg</c:v>
                  </c:pt>
                  <c:pt idx="205">
                    <c:v>5 kg</c:v>
                  </c:pt>
                  <c:pt idx="206">
                    <c:v>codigo 22</c:v>
                  </c:pt>
                  <c:pt idx="207">
                    <c:v>0</c:v>
                  </c:pt>
                  <c:pt idx="208">
                    <c:v>45x50</c:v>
                  </c:pt>
                  <c:pt idx="209">
                    <c:v>45x60</c:v>
                  </c:pt>
                  <c:pt idx="210">
                    <c:v>c/u</c:v>
                  </c:pt>
                  <c:pt idx="211">
                    <c:v>8x15</c:v>
                  </c:pt>
                  <c:pt idx="212">
                    <c:v>n 3</c:v>
                  </c:pt>
                  <c:pt idx="213">
                    <c:v>24X35 5 LTS</c:v>
                  </c:pt>
                  <c:pt idx="214">
                    <c:v>38X41 10 LTS</c:v>
                  </c:pt>
                  <c:pt idx="215">
                    <c:v>45X49 15 LTS</c:v>
                  </c:pt>
                  <c:pt idx="216">
                    <c:v>14x23 1 lt</c:v>
                  </c:pt>
                  <c:pt idx="217">
                    <c:v>20x24 2 lt</c:v>
                  </c:pt>
                  <c:pt idx="218">
                    <c:v>58x58c14,5</c:v>
                  </c:pt>
                  <c:pt idx="219">
                    <c:v>c/u</c:v>
                  </c:pt>
                  <c:pt idx="220">
                    <c:v>c/u</c:v>
                  </c:pt>
                  <c:pt idx="221">
                    <c:v>3w230lt/hr</c:v>
                  </c:pt>
                  <c:pt idx="222">
                    <c:v>rs-003 15w 1hr/1mts</c:v>
                  </c:pt>
                  <c:pt idx="223">
                    <c:v>RS-3400,12W,8801/H,1,2 MTR</c:v>
                  </c:pt>
                  <c:pt idx="224">
                    <c:v>RS-4100-A</c:v>
                  </c:pt>
                  <c:pt idx="225">
                    <c:v>rs-901</c:v>
                  </c:pt>
                  <c:pt idx="226">
                    <c:v>RS730</c:v>
                  </c:pt>
                  <c:pt idx="227">
                    <c:v>0</c:v>
                  </c:pt>
                  <c:pt idx="229">
                    <c:v>xl</c:v>
                  </c:pt>
                  <c:pt idx="230">
                    <c:v>4</c:v>
                  </c:pt>
                  <c:pt idx="231">
                    <c:v>5</c:v>
                  </c:pt>
                  <c:pt idx="232">
                    <c:v>6</c:v>
                  </c:pt>
                  <c:pt idx="233">
                    <c:v>8</c:v>
                  </c:pt>
                  <c:pt idx="234">
                    <c:v>230 c.c</c:v>
                  </c:pt>
                  <c:pt idx="235">
                    <c:v>40 cm</c:v>
                  </c:pt>
                  <c:pt idx="238">
                    <c:v>sachet</c:v>
                  </c:pt>
                  <c:pt idx="239">
                    <c:v>7 lt</c:v>
                  </c:pt>
                  <c:pt idx="240">
                    <c:v>2mm 120cm</c:v>
                  </c:pt>
                  <c:pt idx="241">
                    <c:v>180*3,5</c:v>
                  </c:pt>
                  <c:pt idx="242">
                    <c:v>3,5x1,5 mtr,</c:v>
                  </c:pt>
                  <c:pt idx="243">
                    <c:v>1,8*4</c:v>
                  </c:pt>
                  <c:pt idx="244">
                    <c:v>180x3,5</c:v>
                  </c:pt>
                  <c:pt idx="245">
                    <c:v>180x3,5</c:v>
                  </c:pt>
                  <c:pt idx="246">
                    <c:v>180x2,5</c:v>
                  </c:pt>
                  <c:pt idx="249">
                    <c:v>15 gr</c:v>
                  </c:pt>
                  <c:pt idx="250">
                    <c:v>30 grs</c:v>
                  </c:pt>
                  <c:pt idx="251">
                    <c:v>100 grs</c:v>
                  </c:pt>
                  <c:pt idx="252">
                    <c:v>30 w</c:v>
                  </c:pt>
                  <c:pt idx="253">
                    <c:v>100 w rs-688</c:v>
                  </c:pt>
                  <c:pt idx="254">
                    <c:v>300 w</c:v>
                  </c:pt>
                  <c:pt idx="256">
                    <c:v>29x29x33</c:v>
                  </c:pt>
                  <c:pt idx="257">
                    <c:v>34x34x36</c:v>
                  </c:pt>
                  <c:pt idx="260">
                    <c:v>mtr</c:v>
                  </c:pt>
                  <c:pt idx="261">
                    <c:v>100 grs,</c:v>
                  </c:pt>
                  <c:pt idx="262">
                    <c:v>100 gr</c:v>
                  </c:pt>
                  <c:pt idx="263">
                    <c:v>100grs</c:v>
                  </c:pt>
                  <c:pt idx="264">
                    <c:v>200 grs</c:v>
                  </c:pt>
                  <c:pt idx="265">
                    <c:v>1 kg</c:v>
                  </c:pt>
                  <c:pt idx="266">
                    <c:v>500 gr</c:v>
                  </c:pt>
                  <c:pt idx="267">
                    <c:v>150 grs</c:v>
                  </c:pt>
                  <c:pt idx="268">
                    <c:v>90 grs,</c:v>
                  </c:pt>
                  <c:pt idx="269">
                    <c:v>90 GR</c:v>
                  </c:pt>
                  <c:pt idx="270">
                    <c:v>500 gr</c:v>
                  </c:pt>
                  <c:pt idx="271">
                    <c:v>100 gr</c:v>
                  </c:pt>
                  <c:pt idx="272">
                    <c:v>14x8,5</c:v>
                  </c:pt>
                  <c:pt idx="273">
                    <c:v>45*35*55</c:v>
                  </c:pt>
                  <c:pt idx="274">
                    <c:v>400 grs caja</c:v>
                  </c:pt>
                  <c:pt idx="275">
                    <c:v>6</c:v>
                  </c:pt>
                  <c:pt idx="283">
                    <c:v>58X32</c:v>
                  </c:pt>
                  <c:pt idx="284">
                    <c:v>50x21</c:v>
                  </c:pt>
                  <c:pt idx="285">
                    <c:v>650 c,c,</c:v>
                  </c:pt>
                  <c:pt idx="286">
                    <c:v>180 cc</c:v>
                  </c:pt>
                  <c:pt idx="287">
                    <c:v>50 cm</c:v>
                  </c:pt>
                  <c:pt idx="288">
                    <c:v>300 CC</c:v>
                  </c:pt>
                  <c:pt idx="289">
                    <c:v>cebo 50 gr</c:v>
                  </c:pt>
                  <c:pt idx="290">
                    <c:v>650 c,c</c:v>
                  </c:pt>
                  <c:pt idx="291">
                    <c:v>100 gr</c:v>
                  </c:pt>
                  <c:pt idx="292">
                    <c:v>300 cc</c:v>
                  </c:pt>
                  <c:pt idx="293">
                    <c:v>650 cc</c:v>
                  </c:pt>
                  <c:pt idx="294">
                    <c:v>225</c:v>
                  </c:pt>
                  <c:pt idx="295">
                    <c:v>225 cc</c:v>
                  </c:pt>
                  <c:pt idx="296">
                    <c:v>650 cc</c:v>
                  </c:pt>
                  <c:pt idx="297">
                    <c:v>300 CC</c:v>
                  </c:pt>
                  <c:pt idx="298">
                    <c:v>300 c,c,</c:v>
                  </c:pt>
                  <c:pt idx="299">
                    <c:v>500 grs</c:v>
                  </c:pt>
                  <c:pt idx="300">
                    <c:v>100 grs</c:v>
                  </c:pt>
                  <c:pt idx="301">
                    <c:v>10 mts 2</c:v>
                  </c:pt>
                  <c:pt idx="302">
                    <c:v>25 mts 2</c:v>
                  </c:pt>
                  <c:pt idx="303">
                    <c:v>4kg</c:v>
                  </c:pt>
                  <c:pt idx="304">
                    <c:v>500 gr</c:v>
                  </c:pt>
                  <c:pt idx="305">
                    <c:v>250 gr</c:v>
                  </c:pt>
                  <c:pt idx="307">
                    <c:v>5 kg</c:v>
                  </c:pt>
                  <c:pt idx="308">
                    <c:v>2 MTS ANCHO</c:v>
                  </c:pt>
                  <c:pt idx="310">
                    <c:v>bolsa 4,250kg</c:v>
                  </c:pt>
                  <c:pt idx="316">
                    <c:v>100c,c,</c:v>
                  </c:pt>
                  <c:pt idx="317">
                    <c:v>1 ltr</c:v>
                  </c:pt>
                  <c:pt idx="318">
                    <c:v>1 lts</c:v>
                  </c:pt>
                  <c:pt idx="319">
                    <c:v>5 ltr</c:v>
                  </c:pt>
                  <c:pt idx="320">
                    <c:v>650 c,c</c:v>
                  </c:pt>
                  <c:pt idx="322">
                    <c:v>30 ml</c:v>
                  </c:pt>
                  <c:pt idx="323">
                    <c:v>15</c:v>
                  </c:pt>
                  <c:pt idx="324">
                    <c:v>25</c:v>
                  </c:pt>
                  <c:pt idx="325">
                    <c:v>35</c:v>
                  </c:pt>
                  <c:pt idx="326">
                    <c:v>40</c:v>
                  </c:pt>
                  <c:pt idx="327">
                    <c:v>10 lt</c:v>
                  </c:pt>
                  <c:pt idx="328">
                    <c:v>7,6</c:v>
                  </c:pt>
                  <c:pt idx="329">
                    <c:v>11,4 lt</c:v>
                  </c:pt>
                  <c:pt idx="330">
                    <c:v>220 lt</c:v>
                  </c:pt>
                  <c:pt idx="331">
                    <c:v>2 kg</c:v>
                  </c:pt>
                  <c:pt idx="335">
                    <c:v>54X2,5</c:v>
                  </c:pt>
                  <c:pt idx="336">
                    <c:v>31 cmx10mm con piedritas</c:v>
                  </c:pt>
                  <c:pt idx="337">
                    <c:v>3,mm 55cm</c:v>
                  </c:pt>
                  <c:pt idx="338">
                    <c:v>2 mm 40 cm</c:v>
                  </c:pt>
                  <c:pt idx="339">
                    <c:v>4mm 65cm</c:v>
                  </c:pt>
                  <c:pt idx="340">
                    <c:v>2,5x50cm</c:v>
                  </c:pt>
                  <c:pt idx="341">
                    <c:v>2,5x55 cm</c:v>
                  </c:pt>
                  <c:pt idx="342">
                    <c:v>2 cmx45cm</c:v>
                  </c:pt>
                  <c:pt idx="343">
                    <c:v>3,5 cmx65 cm</c:v>
                  </c:pt>
                  <c:pt idx="344">
                    <c:v>3,5 cmx75 cm</c:v>
                  </c:pt>
                  <c:pt idx="345">
                    <c:v>1,2 cm-30 cm</c:v>
                  </c:pt>
                  <c:pt idx="346">
                    <c:v>3 cm-60 cm</c:v>
                  </c:pt>
                  <c:pt idx="347">
                    <c:v>3cm *60cm doble cinta</c:v>
                  </c:pt>
                  <c:pt idx="348">
                    <c:v>1,2x25 cm</c:v>
                  </c:pt>
                  <c:pt idx="349">
                    <c:v>35 cm x 1 cm</c:v>
                  </c:pt>
                  <c:pt idx="350">
                    <c:v>40 cm</c:v>
                  </c:pt>
                  <c:pt idx="351">
                    <c:v>3,5x70</c:v>
                  </c:pt>
                  <c:pt idx="352">
                    <c:v>N6 </c:v>
                  </c:pt>
                  <c:pt idx="354">
                    <c:v>72 cm</c:v>
                  </c:pt>
                  <c:pt idx="355">
                    <c:v>63 cm</c:v>
                  </c:pt>
                  <c:pt idx="356">
                    <c:v>40cm</c:v>
                  </c:pt>
                  <c:pt idx="357">
                    <c:v>55x30</c:v>
                  </c:pt>
                  <c:pt idx="358">
                    <c:v>72 cm</c:v>
                  </c:pt>
                  <c:pt idx="359">
                    <c:v>65x4</c:v>
                  </c:pt>
                  <c:pt idx="360">
                    <c:v>80x5</c:v>
                  </c:pt>
                  <c:pt idx="363">
                    <c:v>0</c:v>
                  </c:pt>
                  <c:pt idx="364">
                    <c:v>13 gr</c:v>
                  </c:pt>
                  <c:pt idx="369">
                    <c:v>1 cm</c:v>
                  </c:pt>
                  <c:pt idx="370">
                    <c:v>40x1,5</c:v>
                  </c:pt>
                  <c:pt idx="371">
                    <c:v>36x1,5</c:v>
                  </c:pt>
                  <c:pt idx="372">
                    <c:v>39</c:v>
                  </c:pt>
                  <c:pt idx="373">
                    <c:v>0</c:v>
                  </c:pt>
                  <c:pt idx="374">
                    <c:v>63 cn</c:v>
                  </c:pt>
                  <c:pt idx="375">
                    <c:v>30x14</c:v>
                  </c:pt>
                  <c:pt idx="376">
                    <c:v>55 cm</c:v>
                  </c:pt>
                  <c:pt idx="377">
                    <c:v>72 cm</c:v>
                  </c:pt>
                  <c:pt idx="378">
                    <c:v>2,5mm45cm</c:v>
                  </c:pt>
                  <c:pt idx="379">
                    <c:v>4 mm60cm</c:v>
                  </c:pt>
                  <c:pt idx="380">
                    <c:v>1 CM</c:v>
                  </c:pt>
                  <c:pt idx="382">
                    <c:v>c/u</c:v>
                  </c:pt>
                  <c:pt idx="383">
                    <c:v>1kg</c:v>
                  </c:pt>
                  <c:pt idx="384">
                    <c:v>25 kg</c:v>
                  </c:pt>
                  <c:pt idx="385">
                    <c:v>22 cm</c:v>
                  </c:pt>
                  <c:pt idx="386">
                    <c:v>0</c:v>
                  </c:pt>
                  <c:pt idx="387">
                    <c:v>1100 ml</c:v>
                  </c:pt>
                  <c:pt idx="388">
                    <c:v>15cm</c:v>
                  </c:pt>
                  <c:pt idx="392">
                    <c:v>6,5X5</c:v>
                  </c:pt>
                  <c:pt idx="393">
                    <c:v>10X5</c:v>
                  </c:pt>
                  <c:pt idx="394">
                    <c:v>c/u</c:v>
                  </c:pt>
                  <c:pt idx="395">
                    <c:v>600 ml</c:v>
                  </c:pt>
                  <c:pt idx="396">
                    <c:v>300 ml </c:v>
                  </c:pt>
                  <c:pt idx="397">
                    <c:v>27x14,5</c:v>
                  </c:pt>
                  <c:pt idx="398">
                    <c:v>22 cm</c:v>
                  </c:pt>
                  <c:pt idx="399">
                    <c:v>30*16*5,5</c:v>
                  </c:pt>
                  <c:pt idx="400">
                    <c:v>23x12x3</c:v>
                  </c:pt>
                  <c:pt idx="401">
                    <c:v>22x6</c:v>
                  </c:pt>
                  <c:pt idx="402">
                    <c:v>14,8*3,8</c:v>
                  </c:pt>
                  <c:pt idx="403">
                    <c:v>c/u</c:v>
                  </c:pt>
                  <c:pt idx="405">
                    <c:v>c/u</c:v>
                  </c:pt>
                  <c:pt idx="406">
                    <c:v>0</c:v>
                  </c:pt>
                  <c:pt idx="407">
                    <c:v>grde</c:v>
                  </c:pt>
                  <c:pt idx="408">
                    <c:v>10 cm</c:v>
                  </c:pt>
                  <c:pt idx="409">
                    <c:v>50 cm</c:v>
                  </c:pt>
                  <c:pt idx="410">
                    <c:v>50 cm</c:v>
                  </c:pt>
                  <c:pt idx="411">
                    <c:v>12x8x3,5 cm</c:v>
                  </c:pt>
                  <c:pt idx="413">
                    <c:v>45cm lata</c:v>
                  </c:pt>
                  <c:pt idx="414">
                    <c:v>c/u</c:v>
                  </c:pt>
                  <c:pt idx="415">
                    <c:v>17,5x5</c:v>
                  </c:pt>
                  <c:pt idx="416">
                    <c:v>20 lt,</c:v>
                  </c:pt>
                  <c:pt idx="417">
                    <c:v>7</c:v>
                  </c:pt>
                  <c:pt idx="423">
                    <c:v>6 unidades</c:v>
                  </c:pt>
                  <c:pt idx="424">
                    <c:v>2 doc claveles</c:v>
                  </c:pt>
                  <c:pt idx="426">
                    <c:v>4 doc claveles</c:v>
                  </c:pt>
                  <c:pt idx="427">
                    <c:v>2,5 doc claveles ilusion flpilla</c:v>
                  </c:pt>
                  <c:pt idx="428">
                    <c:v>1,2*120</c:v>
                  </c:pt>
                  <c:pt idx="429">
                    <c:v>1,5x120</c:v>
                  </c:pt>
                  <c:pt idx="430">
                    <c:v>2x116</c:v>
                  </c:pt>
                  <c:pt idx="431">
                    <c:v>2,5x116</c:v>
                  </c:pt>
                  <c:pt idx="434">
                    <c:v>3,5 cm-110cm</c:v>
                  </c:pt>
                  <c:pt idx="435">
                    <c:v>3x110</c:v>
                  </c:pt>
                  <c:pt idx="436">
                    <c:v>resiste 15kg aprox,</c:v>
                  </c:pt>
                  <c:pt idx="437">
                    <c:v>bolsa</c:v>
                  </c:pt>
                  <c:pt idx="438">
                    <c:v>345 c,c</c:v>
                  </c:pt>
                  <c:pt idx="439">
                    <c:v>60 c,c</c:v>
                  </c:pt>
                  <c:pt idx="440">
                    <c:v>345 cc</c:v>
                  </c:pt>
                  <c:pt idx="441">
                    <c:v>345</c:v>
                  </c:pt>
                  <c:pt idx="442">
                    <c:v>600 grs</c:v>
                  </c:pt>
                  <c:pt idx="443">
                    <c:v>60 c,,c</c:v>
                  </c:pt>
                  <c:pt idx="444">
                    <c:v>600 grs</c:v>
                  </c:pt>
                  <c:pt idx="445">
                    <c:v>1,2lt</c:v>
                  </c:pt>
                  <c:pt idx="446">
                    <c:v>345 c,c,</c:v>
                  </c:pt>
                  <c:pt idx="447">
                    <c:v>600 grs</c:v>
                  </c:pt>
                  <c:pt idx="448">
                    <c:v>650 cc</c:v>
                  </c:pt>
                  <c:pt idx="449">
                    <c:v>345 c,c,</c:v>
                  </c:pt>
                  <c:pt idx="450">
                    <c:v>sachet 60 grs</c:v>
                  </c:pt>
                  <c:pt idx="451">
                    <c:v>ltr</c:v>
                  </c:pt>
                  <c:pt idx="452">
                    <c:v>1 ltr</c:v>
                  </c:pt>
                  <c:pt idx="453">
                    <c:v>1/2 ltr</c:v>
                  </c:pt>
                  <c:pt idx="454">
                    <c:v>1 ltr</c:v>
                  </c:pt>
                  <c:pt idx="455">
                    <c:v>1 ltr</c:v>
                  </c:pt>
                  <c:pt idx="456">
                    <c:v>500 c,c,</c:v>
                  </c:pt>
                  <c:pt idx="457">
                    <c:v>250 c.c.</c:v>
                  </c:pt>
                  <c:pt idx="458">
                    <c:v>1/2 ltr</c:v>
                  </c:pt>
                  <c:pt idx="460">
                    <c:v>100 gr</c:v>
                  </c:pt>
                  <c:pt idx="461">
                    <c:v>200 grs</c:v>
                  </c:pt>
                  <c:pt idx="462">
                    <c:v>0</c:v>
                  </c:pt>
                  <c:pt idx="463">
                    <c:v>100 grs</c:v>
                  </c:pt>
                  <c:pt idx="464">
                    <c:v>26 cm 2 nudos 2 pelotas</c:v>
                  </c:pt>
                  <c:pt idx="466">
                    <c:v>0</c:v>
                  </c:pt>
                  <c:pt idx="468">
                    <c:v>grande</c:v>
                  </c:pt>
                  <c:pt idx="469">
                    <c:v>mediana</c:v>
                  </c:pt>
                  <c:pt idx="470">
                    <c:v>chica</c:v>
                  </c:pt>
                  <c:pt idx="471">
                    <c:v>50v29x15</c:v>
                  </c:pt>
                  <c:pt idx="472">
                    <c:v>50*29*15</c:v>
                  </c:pt>
                  <c:pt idx="473">
                    <c:v>56*33*15</c:v>
                  </c:pt>
                  <c:pt idx="474">
                    <c:v>451 c,c</c:v>
                  </c:pt>
                  <c:pt idx="475">
                    <c:v>440 ml</c:v>
                  </c:pt>
                  <c:pt idx="477">
                    <c:v>1 ltr</c:v>
                  </c:pt>
                  <c:pt idx="478">
                    <c:v>47,5 gr</c:v>
                  </c:pt>
                  <c:pt idx="479">
                    <c:v>C/U</c:v>
                  </c:pt>
                  <c:pt idx="480">
                    <c:v>40 CC</c:v>
                  </c:pt>
                  <c:pt idx="481">
                    <c:v>100 CC</c:v>
                  </c:pt>
                  <c:pt idx="482">
                    <c:v>100gr</c:v>
                  </c:pt>
                  <c:pt idx="483">
                    <c:v>360 cc</c:v>
                  </c:pt>
                  <c:pt idx="484">
                    <c:v>50 lts</c:v>
                  </c:pt>
                  <c:pt idx="489">
                    <c:v>24</c:v>
                  </c:pt>
                  <c:pt idx="492">
                    <c:v>c/u</c:v>
                  </c:pt>
                  <c:pt idx="493">
                    <c:v>c/u</c:v>
                  </c:pt>
                  <c:pt idx="495">
                    <c:v>c/u</c:v>
                  </c:pt>
                  <c:pt idx="496">
                    <c:v>2 ltr</c:v>
                  </c:pt>
                  <c:pt idx="497">
                    <c:v>tejido en hilo</c:v>
                  </c:pt>
                  <c:pt idx="498">
                    <c:v>c/u</c:v>
                  </c:pt>
                  <c:pt idx="499">
                    <c:v>MEDIANIO</c:v>
                  </c:pt>
                  <c:pt idx="500">
                    <c:v>madera</c:v>
                  </c:pt>
                  <c:pt idx="502">
                    <c:v>900 gr</c:v>
                  </c:pt>
                  <c:pt idx="503">
                    <c:v>C/U</c:v>
                  </c:pt>
                  <c:pt idx="504">
                    <c:v>2</c:v>
                  </c:pt>
                  <c:pt idx="505">
                    <c:v>N28</c:v>
                  </c:pt>
                  <c:pt idx="507">
                    <c:v>2 lt</c:v>
                  </c:pt>
                  <c:pt idx="509">
                    <c:v>37X30</c:v>
                  </c:pt>
                  <c:pt idx="511">
                    <c:v>18 cm</c:v>
                  </c:pt>
                  <c:pt idx="512">
                    <c:v>12cm</c:v>
                  </c:pt>
                  <c:pt idx="513">
                    <c:v>C/U</c:v>
                  </c:pt>
                  <c:pt idx="516">
                    <c:v>200 grs</c:v>
                  </c:pt>
                  <c:pt idx="517">
                    <c:v>100 grs</c:v>
                  </c:pt>
                  <c:pt idx="519">
                    <c:v>100 gr</c:v>
                  </c:pt>
                  <c:pt idx="520">
                    <c:v>3</c:v>
                  </c:pt>
                  <c:pt idx="521">
                    <c:v>20 lt</c:v>
                  </c:pt>
                  <c:pt idx="522">
                    <c:v>12 PASTILLAS</c:v>
                  </c:pt>
                  <c:pt idx="526">
                    <c:v>5 a 10 kg</c:v>
                  </c:pt>
                  <c:pt idx="527">
                    <c:v>10 a 20 kg</c:v>
                  </c:pt>
                  <c:pt idx="528">
                    <c:v>20 a 40 kg</c:v>
                  </c:pt>
                  <c:pt idx="529">
                    <c:v>40 a 60 kg</c:v>
                  </c:pt>
                  <c:pt idx="530">
                    <c:v>0</c:v>
                  </c:pt>
                  <c:pt idx="532">
                    <c:v>2 kg</c:v>
                  </c:pt>
                  <c:pt idx="534">
                    <c:v>6 grs</c:v>
                  </c:pt>
                  <c:pt idx="535">
                    <c:v>15 kg</c:v>
                  </c:pt>
                  <c:pt idx="536">
                    <c:v>500 c,c,</c:v>
                  </c:pt>
                  <c:pt idx="537">
                    <c:v>100 grs</c:v>
                  </c:pt>
                  <c:pt idx="539">
                    <c:v>7,5 kg</c:v>
                  </c:pt>
                  <c:pt idx="540">
                    <c:v>5 lt c/roseta</c:v>
                  </c:pt>
                  <c:pt idx="541">
                    <c:v>1kg</c:v>
                  </c:pt>
                  <c:pt idx="544">
                    <c:v>23x23x72</c:v>
                  </c:pt>
                  <c:pt idx="545">
                    <c:v>paquete</c:v>
                  </c:pt>
                  <c:pt idx="546">
                    <c:v>c/u</c:v>
                  </c:pt>
                  <c:pt idx="547">
                    <c:v>pte 10</c:v>
                  </c:pt>
                  <c:pt idx="548">
                    <c:v>paq.</c:v>
                  </c:pt>
                  <c:pt idx="550">
                    <c:v>250cc</c:v>
                  </c:pt>
                  <c:pt idx="551">
                    <c:v>1/2lt</c:v>
                  </c:pt>
                  <c:pt idx="552">
                    <c:v>9 cm</c:v>
                  </c:pt>
                  <c:pt idx="553">
                    <c:v>5 cm</c:v>
                  </c:pt>
                  <c:pt idx="555">
                    <c:v>caja</c:v>
                  </c:pt>
                  <c:pt idx="556">
                    <c:v>c/u</c:v>
                  </c:pt>
                  <c:pt idx="558">
                    <c:v>20 ml</c:v>
                  </c:pt>
                  <c:pt idx="559">
                    <c:v>600 cc</c:v>
                  </c:pt>
                  <c:pt idx="560">
                    <c:v>700 cc</c:v>
                  </c:pt>
                  <c:pt idx="562">
                    <c:v>10 cm</c:v>
                  </c:pt>
                  <c:pt idx="563">
                    <c:v>50 grs</c:v>
                  </c:pt>
                  <c:pt idx="564">
                    <c:v>345 c,c,</c:v>
                  </c:pt>
                  <c:pt idx="565">
                    <c:v>4 l</c:v>
                  </c:pt>
                  <c:pt idx="566">
                    <c:v>32,5 gr</c:v>
                  </c:pt>
                  <c:pt idx="568">
                    <c:v>39 cm</c:v>
                  </c:pt>
                  <c:pt idx="569">
                    <c:v>c/u</c:v>
                  </c:pt>
                  <c:pt idx="571">
                    <c:v>40x45</c:v>
                  </c:pt>
                  <c:pt idx="572">
                    <c:v>24 dientes</c:v>
                  </c:pt>
                  <c:pt idx="579">
                    <c:v>20cm</c:v>
                  </c:pt>
                  <c:pt idx="582">
                    <c:v>cajax10</c:v>
                  </c:pt>
                  <c:pt idx="584">
                    <c:v>1x2 mt</c:v>
                  </c:pt>
                  <c:pt idx="586">
                    <c:v>c/u</c:v>
                  </c:pt>
                  <c:pt idx="587">
                    <c:v>blister</c:v>
                  </c:pt>
                  <c:pt idx="588">
                    <c:v>c/u</c:v>
                  </c:pt>
                  <c:pt idx="589">
                    <c:v>450 GR</c:v>
                  </c:pt>
                  <c:pt idx="590">
                    <c:v>25kg</c:v>
                  </c:pt>
                  <c:pt idx="591">
                    <c:v>1 kg</c:v>
                  </c:pt>
                  <c:pt idx="592">
                    <c:v>25 kg</c:v>
                  </c:pt>
                  <c:pt idx="593">
                    <c:v>1 kg</c:v>
                  </c:pt>
                  <c:pt idx="594">
                    <c:v>1 kg</c:v>
                  </c:pt>
                  <c:pt idx="595">
                    <c:v>1 kg</c:v>
                  </c:pt>
                  <c:pt idx="596">
                    <c:v>25 kg</c:v>
                  </c:pt>
                  <c:pt idx="597">
                    <c:v>100 gr</c:v>
                  </c:pt>
                  <c:pt idx="598">
                    <c:v>25kg</c:v>
                  </c:pt>
                  <c:pt idx="599">
                    <c:v>1 kg</c:v>
                  </c:pt>
                  <c:pt idx="600">
                    <c:v>25 kg</c:v>
                  </c:pt>
                  <c:pt idx="601">
                    <c:v>1 kg</c:v>
                  </c:pt>
                  <c:pt idx="602">
                    <c:v>25 kg</c:v>
                  </c:pt>
                  <c:pt idx="603">
                    <c:v>1 kg</c:v>
                  </c:pt>
                  <c:pt idx="604">
                    <c:v>100 gr</c:v>
                  </c:pt>
                  <c:pt idx="606">
                    <c:v>150 gr</c:v>
                  </c:pt>
                  <c:pt idx="607">
                    <c:v>1 kg</c:v>
                  </c:pt>
                  <c:pt idx="608">
                    <c:v>150 grs</c:v>
                  </c:pt>
                  <c:pt idx="609">
                    <c:v>150 gr</c:v>
                  </c:pt>
                  <c:pt idx="611">
                    <c:v>150 gr</c:v>
                  </c:pt>
                  <c:pt idx="612">
                    <c:v>150 gr</c:v>
                  </c:pt>
                  <c:pt idx="613">
                    <c:v>150 gr</c:v>
                  </c:pt>
                  <c:pt idx="614">
                    <c:v>50 ltr</c:v>
                  </c:pt>
                  <c:pt idx="615">
                    <c:v>200 grs</c:v>
                  </c:pt>
                  <c:pt idx="616">
                    <c:v>1 kg</c:v>
                  </c:pt>
                  <c:pt idx="617">
                    <c:v>200 gr</c:v>
                  </c:pt>
                  <c:pt idx="618">
                    <c:v>10 lt</c:v>
                  </c:pt>
                  <c:pt idx="619">
                    <c:v>1 carbon-2esponja</c:v>
                  </c:pt>
                  <c:pt idx="620">
                    <c:v>430 k</c:v>
                  </c:pt>
                  <c:pt idx="621">
                    <c:v>rs-230</c:v>
                  </c:pt>
                  <c:pt idx="622">
                    <c:v>rs-130 k</c:v>
                  </c:pt>
                  <c:pt idx="623">
                    <c:v>rs-280</c:v>
                  </c:pt>
                  <c:pt idx="624">
                    <c:v>RS-1000 600 LT/HR</c:v>
                  </c:pt>
                  <c:pt idx="625">
                    <c:v>RS188 12w 800lt hr</c:v>
                  </c:pt>
                  <c:pt idx="626">
                    <c:v>350 lt / hr</c:v>
                  </c:pt>
                  <c:pt idx="627">
                    <c:v>450 lt / hr</c:v>
                  </c:pt>
                  <c:pt idx="628">
                    <c:v>1000 lt/hr</c:v>
                  </c:pt>
                  <c:pt idx="629">
                    <c:v>600 lt/hr</c:v>
                  </c:pt>
                  <c:pt idx="630">
                    <c:v>300 lt/hr</c:v>
                  </c:pt>
                  <c:pt idx="631">
                    <c:v>c/u</c:v>
                  </c:pt>
                  <c:pt idx="632">
                    <c:v>rs-4500</c:v>
                  </c:pt>
                  <c:pt idx="633">
                    <c:v>250,c,c</c:v>
                  </c:pt>
                  <c:pt idx="634">
                    <c:v>5 ltr</c:v>
                  </c:pt>
                  <c:pt idx="635">
                    <c:v>250 c,c</c:v>
                  </c:pt>
                  <c:pt idx="636">
                    <c:v>250 cc</c:v>
                  </c:pt>
                  <c:pt idx="638">
                    <c:v>c/u</c:v>
                  </c:pt>
                  <c:pt idx="639">
                    <c:v>c/u</c:v>
                  </c:pt>
                  <c:pt idx="645">
                    <c:v>c/u</c:v>
                  </c:pt>
                  <c:pt idx="652">
                    <c:v>9,5X19</c:v>
                  </c:pt>
                  <c:pt idx="653">
                    <c:v>13X23,5</c:v>
                  </c:pt>
                  <c:pt idx="654">
                    <c:v>6X18,5</c:v>
                  </c:pt>
                  <c:pt idx="655">
                    <c:v>839X19</c:v>
                  </c:pt>
                  <c:pt idx="658">
                    <c:v>15 varas</c:v>
                  </c:pt>
                  <c:pt idx="659">
                    <c:v>1v</c:v>
                  </c:pt>
                  <c:pt idx="666">
                    <c:v>0</c:v>
                  </c:pt>
                  <c:pt idx="667">
                    <c:v>30 c,c</c:v>
                  </c:pt>
                  <c:pt idx="668">
                    <c:v>100 c,c</c:v>
                  </c:pt>
                  <c:pt idx="670">
                    <c:v>4 lts</c:v>
                  </c:pt>
                  <c:pt idx="671">
                    <c:v>1,9 lt</c:v>
                  </c:pt>
                  <c:pt idx="672">
                    <c:v>410 ml</c:v>
                  </c:pt>
                  <c:pt idx="673">
                    <c:v>1 LT</c:v>
                  </c:pt>
                  <c:pt idx="674">
                    <c:v>50 cc</c:v>
                  </c:pt>
                  <c:pt idx="675">
                    <c:v>1 ltr</c:v>
                  </c:pt>
                  <c:pt idx="676">
                    <c:v>100 c,c</c:v>
                  </c:pt>
                  <c:pt idx="679">
                    <c:v>10 kg</c:v>
                  </c:pt>
                  <c:pt idx="680">
                    <c:v>5 kg</c:v>
                  </c:pt>
                  <c:pt idx="681">
                    <c:v>7,5 kg</c:v>
                  </c:pt>
                  <c:pt idx="682">
                    <c:v>1/2 kg</c:v>
                  </c:pt>
                  <c:pt idx="683">
                    <c:v>25 kg</c:v>
                  </c:pt>
                  <c:pt idx="684">
                    <c:v>1/2 kg</c:v>
                  </c:pt>
                  <c:pt idx="685">
                    <c:v>7 kg</c:v>
                  </c:pt>
                  <c:pt idx="686">
                    <c:v>1/2 kg</c:v>
                  </c:pt>
                  <c:pt idx="687">
                    <c:v>1/2 kg</c:v>
                  </c:pt>
                  <c:pt idx="688">
                    <c:v>500 gr</c:v>
                  </c:pt>
                  <c:pt idx="689">
                    <c:v>1/2 kg</c:v>
                  </c:pt>
                  <c:pt idx="690">
                    <c:v>1/2 kg</c:v>
                  </c:pt>
                  <c:pt idx="691">
                    <c:v>15 kg</c:v>
                  </c:pt>
                  <c:pt idx="692">
                    <c:v>15 kg</c:v>
                  </c:pt>
                  <c:pt idx="693">
                    <c:v>1/2 kg</c:v>
                  </c:pt>
                  <c:pt idx="694">
                    <c:v>kg</c:v>
                  </c:pt>
                  <c:pt idx="695">
                    <c:v>1 KG</c:v>
                  </c:pt>
                  <c:pt idx="696">
                    <c:v>8 KG</c:v>
                  </c:pt>
                  <c:pt idx="697">
                    <c:v>7 KG</c:v>
                  </c:pt>
                  <c:pt idx="698">
                    <c:v>1 KG</c:v>
                  </c:pt>
                  <c:pt idx="699">
                    <c:v>1/2 kg</c:v>
                  </c:pt>
                  <c:pt idx="700">
                    <c:v>7,5 kg</c:v>
                  </c:pt>
                  <c:pt idx="701">
                    <c:v>15 kg</c:v>
                  </c:pt>
                  <c:pt idx="702">
                    <c:v>1/2 kg</c:v>
                  </c:pt>
                  <c:pt idx="703">
                    <c:v>0,5</c:v>
                  </c:pt>
                  <c:pt idx="704">
                    <c:v>7 kg</c:v>
                  </c:pt>
                  <c:pt idx="705">
                    <c:v>500 gr</c:v>
                  </c:pt>
                  <c:pt idx="706">
                    <c:v>10 kg</c:v>
                  </c:pt>
                  <c:pt idx="707">
                    <c:v>22</c:v>
                  </c:pt>
                  <c:pt idx="708">
                    <c:v>1/2 kg</c:v>
                  </c:pt>
                  <c:pt idx="709">
                    <c:v>15 kg</c:v>
                  </c:pt>
                  <c:pt idx="710">
                    <c:v>1/2 kg</c:v>
                  </c:pt>
                  <c:pt idx="711">
                    <c:v>10 kg</c:v>
                  </c:pt>
                  <c:pt idx="712">
                    <c:v>1/2 kg</c:v>
                  </c:pt>
                  <c:pt idx="713">
                    <c:v>8 kgr</c:v>
                  </c:pt>
                  <c:pt idx="714">
                    <c:v>20kg</c:v>
                  </c:pt>
                  <c:pt idx="715">
                    <c:v>60x35</c:v>
                  </c:pt>
                  <c:pt idx="716">
                    <c:v>1 kg</c:v>
                  </c:pt>
                  <c:pt idx="717">
                    <c:v>85grs</c:v>
                  </c:pt>
                  <c:pt idx="718">
                    <c:v>1/2 kg</c:v>
                  </c:pt>
                  <c:pt idx="719">
                    <c:v>1/2 kg</c:v>
                  </c:pt>
                  <c:pt idx="720">
                    <c:v>10kg</c:v>
                  </c:pt>
                  <c:pt idx="721">
                    <c:v>10kg</c:v>
                  </c:pt>
                  <c:pt idx="722">
                    <c:v>7kg</c:v>
                  </c:pt>
                  <c:pt idx="724">
                    <c:v>25 kg</c:v>
                  </c:pt>
                  <c:pt idx="725">
                    <c:v>kg</c:v>
                  </c:pt>
                  <c:pt idx="726">
                    <c:v>20 kg</c:v>
                  </c:pt>
                  <c:pt idx="727">
                    <c:v>kg</c:v>
                  </c:pt>
                  <c:pt idx="728">
                    <c:v>1 kg</c:v>
                  </c:pt>
                  <c:pt idx="729">
                    <c:v>200 gr</c:v>
                  </c:pt>
                  <c:pt idx="730">
                    <c:v>20 ltr</c:v>
                  </c:pt>
                  <c:pt idx="731">
                    <c:v>1 ltr</c:v>
                  </c:pt>
                  <c:pt idx="732">
                    <c:v>5 kg</c:v>
                  </c:pt>
                  <c:pt idx="733">
                    <c:v>500 c.c.</c:v>
                  </c:pt>
                  <c:pt idx="734">
                    <c:v>500 cc</c:v>
                  </c:pt>
                  <c:pt idx="735">
                    <c:v>250 ml</c:v>
                  </c:pt>
                  <c:pt idx="736">
                    <c:v>500 grs</c:v>
                  </c:pt>
                  <c:pt idx="740">
                    <c:v>j&amp;G</c:v>
                  </c:pt>
                  <c:pt idx="741">
                    <c:v>0</c:v>
                  </c:pt>
                  <c:pt idx="742">
                    <c:v>0</c:v>
                  </c:pt>
                  <c:pt idx="744">
                    <c:v>0</c:v>
                  </c:pt>
                  <c:pt idx="750">
                    <c:v>1 kg</c:v>
                  </c:pt>
                  <c:pt idx="751">
                    <c:v>100 c,c</c:v>
                  </c:pt>
                  <c:pt idx="752">
                    <c:v>1/4 lt</c:v>
                  </c:pt>
                  <c:pt idx="753">
                    <c:v>1/2 lt</c:v>
                  </c:pt>
                  <c:pt idx="754">
                    <c:v>100 cc</c:v>
                  </c:pt>
                  <c:pt idx="755">
                    <c:v>1 ltr</c:v>
                  </c:pt>
                  <c:pt idx="756">
                    <c:v>1 lt</c:v>
                  </c:pt>
                  <c:pt idx="757">
                    <c:v>20 lt</c:v>
                  </c:pt>
                  <c:pt idx="758">
                    <c:v>c/u</c:v>
                  </c:pt>
                  <c:pt idx="759">
                    <c:v>0</c:v>
                  </c:pt>
                  <c:pt idx="760">
                    <c:v>5 grs</c:v>
                  </c:pt>
                  <c:pt idx="761">
                    <c:v>10 ltr</c:v>
                  </c:pt>
                  <c:pt idx="762">
                    <c:v>c/u</c:v>
                  </c:pt>
                  <c:pt idx="764">
                    <c:v>100 gr</c:v>
                  </c:pt>
                  <c:pt idx="765">
                    <c:v>250 grs</c:v>
                  </c:pt>
                  <c:pt idx="766">
                    <c:v>500 grs</c:v>
                  </c:pt>
                  <c:pt idx="767">
                    <c:v>500 gr</c:v>
                  </c:pt>
                  <c:pt idx="768">
                    <c:v>250</c:v>
                  </c:pt>
                  <c:pt idx="769">
                    <c:v>100 gr</c:v>
                  </c:pt>
                  <c:pt idx="770">
                    <c:v>1 kg</c:v>
                  </c:pt>
                  <c:pt idx="771">
                    <c:v>1 kg</c:v>
                  </c:pt>
                  <c:pt idx="772">
                    <c:v>1 kg</c:v>
                  </c:pt>
                  <c:pt idx="773">
                    <c:v>100 gr</c:v>
                  </c:pt>
                  <c:pt idx="774">
                    <c:v>100 gr</c:v>
                  </c:pt>
                  <c:pt idx="777">
                    <c:v>c/u</c:v>
                  </c:pt>
                  <c:pt idx="778">
                    <c:v>c/u</c:v>
                  </c:pt>
                  <c:pt idx="779">
                    <c:v>24 unidades</c:v>
                  </c:pt>
                  <c:pt idx="780">
                    <c:v>1 unidad</c:v>
                  </c:pt>
                  <c:pt idx="781">
                    <c:v>pte. 5 huevos</c:v>
                  </c:pt>
                  <c:pt idx="782">
                    <c:v>2 lt </c:v>
                  </c:pt>
                  <c:pt idx="783">
                    <c:v>6 lt</c:v>
                  </c:pt>
                  <c:pt idx="784">
                    <c:v>4 lts</c:v>
                  </c:pt>
                  <c:pt idx="785">
                    <c:v>10 lts</c:v>
                  </c:pt>
                  <c:pt idx="786">
                    <c:v>360 cc</c:v>
                  </c:pt>
                  <c:pt idx="788">
                    <c:v>c/u</c:v>
                  </c:pt>
                  <c:pt idx="789">
                    <c:v>36*31*31</c:v>
                  </c:pt>
                  <c:pt idx="790">
                    <c:v>45*40*36</c:v>
                  </c:pt>
                  <c:pt idx="791">
                    <c:v>35*35</c:v>
                  </c:pt>
                  <c:pt idx="792">
                    <c:v>50 C.C</c:v>
                  </c:pt>
                  <c:pt idx="793">
                    <c:v>100 c,c</c:v>
                  </c:pt>
                  <c:pt idx="796">
                    <c:v>1 ltr</c:v>
                  </c:pt>
                  <c:pt idx="797">
                    <c:v>50 ml</c:v>
                  </c:pt>
                  <c:pt idx="799">
                    <c:v>1Lt</c:v>
                  </c:pt>
                  <c:pt idx="800">
                    <c:v>360 cc</c:v>
                  </c:pt>
                  <c:pt idx="801">
                    <c:v>100 cc</c:v>
                  </c:pt>
                  <c:pt idx="802">
                    <c:v>500</c:v>
                  </c:pt>
                  <c:pt idx="803">
                    <c:v>1 lt</c:v>
                  </c:pt>
                  <c:pt idx="804">
                    <c:v>5 lts</c:v>
                  </c:pt>
                  <c:pt idx="805">
                    <c:v>50 cm</c:v>
                  </c:pt>
                  <c:pt idx="806">
                    <c:v>31X16X12</c:v>
                  </c:pt>
                  <c:pt idx="807">
                    <c:v>35X14</c:v>
                  </c:pt>
                  <c:pt idx="808">
                    <c:v>44,5X14</c:v>
                  </c:pt>
                  <c:pt idx="809">
                    <c:v>57X22</c:v>
                  </c:pt>
                  <c:pt idx="810">
                    <c:v>DOBLE balcon</c:v>
                  </c:pt>
                  <c:pt idx="811">
                    <c:v>35 cm </c:v>
                  </c:pt>
                  <c:pt idx="812">
                    <c:v>80 cm </c:v>
                  </c:pt>
                  <c:pt idx="814">
                    <c:v>20 cm</c:v>
                  </c:pt>
                  <c:pt idx="815">
                    <c:v>30 cm</c:v>
                  </c:pt>
                  <c:pt idx="816">
                    <c:v>40 cm</c:v>
                  </c:pt>
                  <c:pt idx="817">
                    <c:v>50 cm</c:v>
                  </c:pt>
                  <c:pt idx="818">
                    <c:v>60 cm</c:v>
                  </c:pt>
                  <c:pt idx="819">
                    <c:v>jd45</c:v>
                  </c:pt>
                  <c:pt idx="820">
                    <c:v>jd33</c:v>
                  </c:pt>
                  <c:pt idx="821">
                    <c:v>20</c:v>
                  </c:pt>
                  <c:pt idx="822">
                    <c:v>36</c:v>
                  </c:pt>
                  <c:pt idx="823">
                    <c:v>30 cm</c:v>
                  </c:pt>
                  <c:pt idx="824">
                    <c:v>40 cm</c:v>
                  </c:pt>
                  <c:pt idx="825">
                    <c:v>50 cm</c:v>
                  </c:pt>
                  <c:pt idx="826">
                    <c:v>60 cm</c:v>
                  </c:pt>
                  <c:pt idx="827">
                    <c:v>50 cm</c:v>
                  </c:pt>
                  <c:pt idx="828">
                    <c:v>67 CM</c:v>
                  </c:pt>
                  <c:pt idx="829">
                    <c:v>31x16x13cm</c:v>
                  </c:pt>
                  <c:pt idx="832">
                    <c:v>73 CN</c:v>
                  </c:pt>
                  <c:pt idx="833">
                    <c:v>35</c:v>
                  </c:pt>
                  <c:pt idx="834">
                    <c:v>45</c:v>
                  </c:pt>
                  <c:pt idx="835">
                    <c:v>55</c:v>
                  </c:pt>
                  <c:pt idx="836">
                    <c:v>50cm</c:v>
                  </c:pt>
                  <c:pt idx="837">
                    <c:v>25cm</c:v>
                  </c:pt>
                  <c:pt idx="838">
                    <c:v>37x17x13 </c:v>
                  </c:pt>
                  <c:pt idx="839">
                    <c:v>40x19</c:v>
                  </c:pt>
                  <c:pt idx="840">
                    <c:v>31x16x13</c:v>
                  </c:pt>
                  <c:pt idx="841">
                    <c:v>35 cm</c:v>
                  </c:pt>
                  <c:pt idx="842">
                    <c:v>34,5x28x46</c:v>
                  </c:pt>
                  <c:pt idx="843">
                    <c:v>69x45x36</c:v>
                  </c:pt>
                  <c:pt idx="844">
                    <c:v>85x49x38</c:v>
                  </c:pt>
                  <c:pt idx="845">
                    <c:v>60x36x32</c:v>
                  </c:pt>
                  <c:pt idx="846">
                    <c:v>3 pisos</c:v>
                  </c:pt>
                  <c:pt idx="847">
                    <c:v>30x23x21</c:v>
                  </c:pt>
                  <c:pt idx="848">
                    <c:v>30*23*41</c:v>
                  </c:pt>
                  <c:pt idx="849">
                    <c:v>kg.</c:v>
                  </c:pt>
                  <c:pt idx="851">
                    <c:v>grande</c:v>
                  </c:pt>
                  <c:pt idx="852">
                    <c:v>c/u</c:v>
                  </c:pt>
                  <c:pt idx="853">
                    <c:v>30x23x39</c:v>
                  </c:pt>
                  <c:pt idx="854">
                    <c:v>76,46,46,d610</c:v>
                  </c:pt>
                  <c:pt idx="855">
                    <c:v>76x46x46,d610</c:v>
                  </c:pt>
                  <c:pt idx="857">
                    <c:v>30x23x39</c:v>
                  </c:pt>
                  <c:pt idx="858">
                    <c:v>30x23x39</c:v>
                  </c:pt>
                  <c:pt idx="859">
                    <c:v>60x36x32</c:v>
                  </c:pt>
                  <c:pt idx="860">
                    <c:v>30x23x39</c:v>
                  </c:pt>
                  <c:pt idx="861">
                    <c:v>30*23*39</c:v>
                  </c:pt>
                  <c:pt idx="863">
                    <c:v>6 grs</c:v>
                  </c:pt>
                  <c:pt idx="864">
                    <c:v>8 gr</c:v>
                  </c:pt>
                  <c:pt idx="865">
                    <c:v>6 gr</c:v>
                  </c:pt>
                  <c:pt idx="866">
                    <c:v>3 grs</c:v>
                  </c:pt>
                  <c:pt idx="867">
                    <c:v>c/u</c:v>
                  </c:pt>
                  <c:pt idx="868">
                    <c:v>3gr</c:v>
                  </c:pt>
                  <c:pt idx="870">
                    <c:v>300 cc</c:v>
                  </c:pt>
                  <c:pt idx="871">
                    <c:v>300cc</c:v>
                  </c:pt>
                  <c:pt idx="872">
                    <c:v>2 tarro</c:v>
                  </c:pt>
                  <c:pt idx="876">
                    <c:v>38x1,5</c:v>
                  </c:pt>
                  <c:pt idx="877">
                    <c:v>45X2</c:v>
                  </c:pt>
                  <c:pt idx="878">
                    <c:v>34X1</c:v>
                  </c:pt>
                  <c:pt idx="880">
                    <c:v>0</c:v>
                  </c:pt>
                  <c:pt idx="881">
                    <c:v>3 PIEZAS</c:v>
                  </c:pt>
                  <c:pt idx="882">
                    <c:v>0</c:v>
                  </c:pt>
                  <c:pt idx="886">
                    <c:v>20cm</c:v>
                  </c:pt>
                  <c:pt idx="887">
                    <c:v>1,5cm</c:v>
                  </c:pt>
                  <c:pt idx="888">
                    <c:v>1cm</c:v>
                  </c:pt>
                  <c:pt idx="891">
                    <c:v>40x4 cn</c:v>
                  </c:pt>
                  <c:pt idx="892">
                    <c:v>10 x2,5</c:v>
                  </c:pt>
                  <c:pt idx="893">
                    <c:v>12 CM</c:v>
                  </c:pt>
                  <c:pt idx="898">
                    <c:v>13 CM</c:v>
                  </c:pt>
                  <c:pt idx="899">
                    <c:v>7 cm</c:v>
                  </c:pt>
                  <c:pt idx="900">
                    <c:v>8 cm</c:v>
                  </c:pt>
                  <c:pt idx="901">
                    <c:v>7 cm</c:v>
                  </c:pt>
                  <c:pt idx="902">
                    <c:v>33 cm</c:v>
                  </c:pt>
                  <c:pt idx="903">
                    <c:v>30 CM</c:v>
                  </c:pt>
                  <c:pt idx="904">
                    <c:v>12 cm</c:v>
                  </c:pt>
                  <c:pt idx="905">
                    <c:v>2 unidades</c:v>
                  </c:pt>
                  <c:pt idx="907">
                    <c:v>c/u</c:v>
                  </c:pt>
                  <c:pt idx="908">
                    <c:v>x metro</c:v>
                  </c:pt>
                  <c:pt idx="909">
                    <c:v>10cm </c:v>
                  </c:pt>
                  <c:pt idx="910">
                    <c:v>15MT</c:v>
                  </c:pt>
                  <c:pt idx="911">
                    <c:v>1m </c:v>
                  </c:pt>
                  <c:pt idx="912">
                    <c:v>10 CM X 50 CM</c:v>
                  </c:pt>
                  <c:pt idx="914">
                    <c:v>40-60 CMS RS-68l</c:v>
                  </c:pt>
                  <c:pt idx="916">
                    <c:v>20 a 30 cm</c:v>
                  </c:pt>
                  <c:pt idx="917">
                    <c:v>c/u</c:v>
                  </c:pt>
                  <c:pt idx="918">
                    <c:v>n 12</c:v>
                  </c:pt>
                  <c:pt idx="920">
                    <c:v>b20</c:v>
                  </c:pt>
                  <c:pt idx="921">
                    <c:v>n 44  </c:v>
                  </c:pt>
                  <c:pt idx="922">
                    <c:v>13,6x12,5</c:v>
                  </c:pt>
                  <c:pt idx="923">
                    <c:v>16,5x13,5</c:v>
                  </c:pt>
                  <c:pt idx="925">
                    <c:v>c/u</c:v>
                  </c:pt>
                  <c:pt idx="926">
                    <c:v>18</c:v>
                  </c:pt>
                  <c:pt idx="927">
                    <c:v>2</c:v>
                  </c:pt>
                  <c:pt idx="928">
                    <c:v>4</c:v>
                  </c:pt>
                  <c:pt idx="929">
                    <c:v>6</c:v>
                  </c:pt>
                  <c:pt idx="930">
                    <c:v>7</c:v>
                  </c:pt>
                  <c:pt idx="931">
                    <c:v>14 cm</c:v>
                  </c:pt>
                  <c:pt idx="932">
                    <c:v>17 cm</c:v>
                  </c:pt>
                  <c:pt idx="933">
                    <c:v>20 cm</c:v>
                  </c:pt>
                  <c:pt idx="934">
                    <c:v>27 cm</c:v>
                  </c:pt>
                  <c:pt idx="935">
                    <c:v>23 cm</c:v>
                  </c:pt>
                  <c:pt idx="936">
                    <c:v>25 cm</c:v>
                  </c:pt>
                  <c:pt idx="937">
                    <c:v>30 CM</c:v>
                  </c:pt>
                  <c:pt idx="938">
                    <c:v>16</c:v>
                  </c:pt>
                  <c:pt idx="939">
                    <c:v>30X20,5</c:v>
                  </c:pt>
                  <c:pt idx="940">
                    <c:v>25X16,5</c:v>
                  </c:pt>
                  <c:pt idx="941">
                    <c:v>35X23,5</c:v>
                  </c:pt>
                  <c:pt idx="942">
                    <c:v>30X20</c:v>
                  </c:pt>
                  <c:pt idx="943">
                    <c:v>25X16,5</c:v>
                  </c:pt>
                  <c:pt idx="944">
                    <c:v>10cm</c:v>
                  </c:pt>
                  <c:pt idx="945">
                    <c:v>12 cm</c:v>
                  </c:pt>
                  <c:pt idx="946">
                    <c:v>14 cm</c:v>
                  </c:pt>
                  <c:pt idx="947">
                    <c:v>16cm</c:v>
                  </c:pt>
                  <c:pt idx="948">
                    <c:v>18cm</c:v>
                  </c:pt>
                  <c:pt idx="949">
                    <c:v>20cm</c:v>
                  </c:pt>
                  <c:pt idx="950">
                    <c:v>22cm</c:v>
                  </c:pt>
                  <c:pt idx="951">
                    <c:v>26cm</c:v>
                  </c:pt>
                  <c:pt idx="952">
                    <c:v>30 CM</c:v>
                  </c:pt>
                  <c:pt idx="953">
                    <c:v>7cm</c:v>
                  </c:pt>
                  <c:pt idx="954">
                    <c:v>8cm</c:v>
                  </c:pt>
                  <c:pt idx="955">
                    <c:v>No 3</c:v>
                  </c:pt>
                  <c:pt idx="956">
                    <c:v>23</c:v>
                  </c:pt>
                  <c:pt idx="957">
                    <c:v>29</c:v>
                  </c:pt>
                  <c:pt idx="958">
                    <c:v>36</c:v>
                  </c:pt>
                  <c:pt idx="959">
                    <c:v>0</c:v>
                  </c:pt>
                  <c:pt idx="960">
                    <c:v>38 cm</c:v>
                  </c:pt>
                  <c:pt idx="961">
                    <c:v>1</c:v>
                  </c:pt>
                  <c:pt idx="962">
                    <c:v>n 12</c:v>
                  </c:pt>
                  <c:pt idx="963">
                    <c:v>n 5</c:v>
                  </c:pt>
                  <c:pt idx="964">
                    <c:v>n 6</c:v>
                  </c:pt>
                  <c:pt idx="965">
                    <c:v>n 7</c:v>
                  </c:pt>
                  <c:pt idx="966">
                    <c:v>n 0</c:v>
                  </c:pt>
                  <c:pt idx="967">
                    <c:v>n 8</c:v>
                  </c:pt>
                  <c:pt idx="968">
                    <c:v>12</c:v>
                  </c:pt>
                  <c:pt idx="969">
                    <c:v>16</c:v>
                  </c:pt>
                  <c:pt idx="971">
                    <c:v>40</c:v>
                  </c:pt>
                  <c:pt idx="972">
                    <c:v>48</c:v>
                  </c:pt>
                  <c:pt idx="973">
                    <c:v>52</c:v>
                  </c:pt>
                  <c:pt idx="974">
                    <c:v>22</c:v>
                  </c:pt>
                  <c:pt idx="975">
                    <c:v>22 cm</c:v>
                  </c:pt>
                  <c:pt idx="977">
                    <c:v>20</c:v>
                  </c:pt>
                  <c:pt idx="978">
                    <c:v>40</c:v>
                  </c:pt>
                  <c:pt idx="979">
                    <c:v>50</c:v>
                  </c:pt>
                  <c:pt idx="980">
                    <c:v>n 1</c:v>
                  </c:pt>
                  <c:pt idx="981">
                    <c:v>n 2</c:v>
                  </c:pt>
                  <c:pt idx="982">
                    <c:v>0</c:v>
                  </c:pt>
                  <c:pt idx="984">
                    <c:v>11 cm</c:v>
                  </c:pt>
                  <c:pt idx="985">
                    <c:v>9 cm</c:v>
                  </c:pt>
                  <c:pt idx="986">
                    <c:v>11 cm</c:v>
                  </c:pt>
                  <c:pt idx="987">
                    <c:v>9 cm</c:v>
                  </c:pt>
                  <c:pt idx="988">
                    <c:v>4,5x4,5</c:v>
                  </c:pt>
                  <c:pt idx="989">
                    <c:v>6 cm</c:v>
                  </c:pt>
                  <c:pt idx="990">
                    <c:v>6 cn</c:v>
                  </c:pt>
                  <c:pt idx="991">
                    <c:v>4,5 x4,5-</c:v>
                  </c:pt>
                  <c:pt idx="998">
                    <c:v>20cm</c:v>
                  </c:pt>
                  <c:pt idx="999">
                    <c:v>30cm</c:v>
                  </c:pt>
                  <c:pt idx="1000">
                    <c:v>15cm</c:v>
                  </c:pt>
                  <c:pt idx="1001">
                    <c:v>25 cm</c:v>
                  </c:pt>
                  <c:pt idx="1002">
                    <c:v>c/u</c:v>
                  </c:pt>
                  <c:pt idx="1003">
                    <c:v>48</c:v>
                  </c:pt>
                  <c:pt idx="1004">
                    <c:v>23</c:v>
                  </c:pt>
                  <c:pt idx="1005">
                    <c:v>27</c:v>
                  </c:pt>
                  <c:pt idx="1006">
                    <c:v>32</c:v>
                  </c:pt>
                  <c:pt idx="1007">
                    <c:v>38</c:v>
                  </c:pt>
                  <c:pt idx="1008">
                    <c:v>43</c:v>
                  </c:pt>
                  <c:pt idx="1009">
                    <c:v>48</c:v>
                  </c:pt>
                  <c:pt idx="1010">
                    <c:v>54</c:v>
                  </c:pt>
                  <c:pt idx="1011">
                    <c:v>48</c:v>
                  </c:pt>
                  <c:pt idx="1012">
                    <c:v>6,5x6</c:v>
                  </c:pt>
                  <c:pt idx="1015">
                    <c:v>c/u</c:v>
                  </c:pt>
                  <c:pt idx="1016">
                    <c:v>c/u</c:v>
                  </c:pt>
                  <c:pt idx="1017">
                    <c:v>c/u</c:v>
                  </c:pt>
                  <c:pt idx="1018">
                    <c:v>12 cm</c:v>
                  </c:pt>
                  <c:pt idx="1019">
                    <c:v>14 cm</c:v>
                  </c:pt>
                  <c:pt idx="1020">
                    <c:v>18 cm</c:v>
                  </c:pt>
                  <c:pt idx="1021">
                    <c:v>22cm</c:v>
                  </c:pt>
                  <c:pt idx="1022">
                    <c:v>N22</c:v>
                  </c:pt>
                  <c:pt idx="1023">
                    <c:v>N35</c:v>
                  </c:pt>
                  <c:pt idx="1024">
                    <c:v>N28</c:v>
                  </c:pt>
                  <c:pt idx="1025">
                    <c:v>N35</c:v>
                  </c:pt>
                  <c:pt idx="1026">
                    <c:v>N16</c:v>
                  </c:pt>
                  <c:pt idx="1027">
                    <c:v>N22</c:v>
                  </c:pt>
                  <c:pt idx="1028">
                    <c:v>N28</c:v>
                  </c:pt>
                  <c:pt idx="1029">
                    <c:v>N35</c:v>
                  </c:pt>
                  <c:pt idx="1030">
                    <c:v>35</c:v>
                  </c:pt>
                  <c:pt idx="1031">
                    <c:v>40</c:v>
                  </c:pt>
                  <c:pt idx="1032">
                    <c:v>48</c:v>
                  </c:pt>
                  <c:pt idx="1033">
                    <c:v>cl24</c:v>
                  </c:pt>
                  <c:pt idx="1034">
                    <c:v>cl15</c:v>
                  </c:pt>
                  <c:pt idx="1035">
                    <c:v>cl19</c:v>
                  </c:pt>
                  <c:pt idx="1036">
                    <c:v>12</c:v>
                  </c:pt>
                  <c:pt idx="1037">
                    <c:v>14</c:v>
                  </c:pt>
                  <c:pt idx="1038">
                    <c:v>16</c:v>
                  </c:pt>
                  <c:pt idx="1039">
                    <c:v>18</c:v>
                  </c:pt>
                  <c:pt idx="1040">
                    <c:v>20</c:v>
                  </c:pt>
                  <c:pt idx="1041">
                    <c:v>22</c:v>
                  </c:pt>
                  <c:pt idx="1042">
                    <c:v>24</c:v>
                  </c:pt>
                  <c:pt idx="1043">
                    <c:v>26</c:v>
                  </c:pt>
                  <c:pt idx="1044">
                    <c:v>30</c:v>
                  </c:pt>
                  <c:pt idx="1045">
                    <c:v>35</c:v>
                  </c:pt>
                  <c:pt idx="1046">
                    <c:v>40</c:v>
                  </c:pt>
                  <c:pt idx="1047">
                    <c:v>17</c:v>
                  </c:pt>
                  <c:pt idx="1048">
                    <c:v>24</c:v>
                  </c:pt>
                  <c:pt idx="1049">
                    <c:v>35</c:v>
                  </c:pt>
                  <c:pt idx="1050">
                    <c:v>cl10</c:v>
                  </c:pt>
                  <c:pt idx="1051">
                    <c:v>cl13</c:v>
                  </c:pt>
                  <c:pt idx="1053">
                    <c:v>16,5x12,5x51</c:v>
                  </c:pt>
                  <c:pt idx="1054">
                    <c:v>C13</c:v>
                  </c:pt>
                  <c:pt idx="1055">
                    <c:v>C18</c:v>
                  </c:pt>
                  <c:pt idx="1056">
                    <c:v>C21</c:v>
                  </c:pt>
                  <c:pt idx="1057">
                    <c:v>14,5x25,5</c:v>
                  </c:pt>
                  <c:pt idx="1058">
                    <c:v>11,5x20</c:v>
                  </c:pt>
                  <c:pt idx="1059">
                    <c:v>23,5x14,5cm</c:v>
                  </c:pt>
                  <c:pt idx="1061">
                    <c:v>20x12</c:v>
                  </c:pt>
                  <c:pt idx="1062">
                    <c:v>24X15</c:v>
                  </c:pt>
                  <c:pt idx="1063">
                    <c:v>20X13</c:v>
                  </c:pt>
                  <c:pt idx="1064">
                    <c:v>20X12</c:v>
                  </c:pt>
                  <c:pt idx="1068">
                    <c:v>37x29</c:v>
                  </c:pt>
                  <c:pt idx="1069">
                    <c:v>grde</c:v>
                  </c:pt>
                  <c:pt idx="1070">
                    <c:v>med</c:v>
                  </c:pt>
                  <c:pt idx="1071">
                    <c:v>20x16</c:v>
                  </c:pt>
                  <c:pt idx="1079">
                    <c:v>18x18x14,5</c:v>
                  </c:pt>
                  <c:pt idx="1084">
                    <c:v>21</c:v>
                  </c:pt>
                  <c:pt idx="1085">
                    <c:v>1,5</c:v>
                  </c:pt>
                  <c:pt idx="1086">
                    <c:v>2</c:v>
                  </c:pt>
                  <c:pt idx="1087">
                    <c:v>16 cm</c:v>
                  </c:pt>
                  <c:pt idx="1088">
                    <c:v>23 cm</c:v>
                  </c:pt>
                  <c:pt idx="1089">
                    <c:v>30 cm</c:v>
                  </c:pt>
                  <c:pt idx="1090">
                    <c:v>36 cm</c:v>
                  </c:pt>
                  <c:pt idx="1091">
                    <c:v>7 cm</c:v>
                  </c:pt>
                  <c:pt idx="1092">
                    <c:v>26 cm</c:v>
                  </c:pt>
                  <c:pt idx="1093">
                    <c:v>38 cm</c:v>
                  </c:pt>
                  <c:pt idx="1094">
                    <c:v>c/u</c:v>
                  </c:pt>
                  <c:pt idx="1095">
                    <c:v>1</c:v>
                  </c:pt>
                  <c:pt idx="1096">
                    <c:v>2</c:v>
                  </c:pt>
                  <c:pt idx="1097">
                    <c:v>4</c:v>
                  </c:pt>
                  <c:pt idx="1098">
                    <c:v>c/u</c:v>
                  </c:pt>
                  <c:pt idx="1103">
                    <c:v>26X11</c:v>
                  </c:pt>
                  <c:pt idx="1106">
                    <c:v>n 15</c:v>
                  </c:pt>
                  <c:pt idx="1107">
                    <c:v>23X12X11</c:v>
                  </c:pt>
                  <c:pt idx="1109">
                    <c:v>12 cm</c:v>
                  </c:pt>
                  <c:pt idx="1110">
                    <c:v>20lts</c:v>
                  </c:pt>
                  <c:pt idx="1111">
                    <c:v>11 lts</c:v>
                  </c:pt>
                  <c:pt idx="1112">
                    <c:v>5lt</c:v>
                  </c:pt>
                  <c:pt idx="1113">
                    <c:v>3lt</c:v>
                  </c:pt>
                  <c:pt idx="1114">
                    <c:v>2lt</c:v>
                  </c:pt>
                  <c:pt idx="1115">
                    <c:v>12 CM</c:v>
                  </c:pt>
                  <c:pt idx="1116">
                    <c:v>12 cm</c:v>
                  </c:pt>
                  <c:pt idx="1117">
                    <c:v>9 cm</c:v>
                  </c:pt>
                  <c:pt idx="1118">
                    <c:v>15lts</c:v>
                  </c:pt>
                  <c:pt idx="1119">
                    <c:v>15</c:v>
                  </c:pt>
                  <c:pt idx="1120">
                    <c:v>19</c:v>
                  </c:pt>
                  <c:pt idx="1122">
                    <c:v>15</c:v>
                  </c:pt>
                  <c:pt idx="1123">
                    <c:v>19</c:v>
                  </c:pt>
                  <c:pt idx="1124">
                    <c:v>17</c:v>
                  </c:pt>
                  <c:pt idx="1125">
                    <c:v>21</c:v>
                  </c:pt>
                  <c:pt idx="1126">
                    <c:v>25</c:v>
                  </c:pt>
                  <c:pt idx="1127">
                    <c:v>negra</c:v>
                  </c:pt>
                  <c:pt idx="1128">
                    <c:v>12</c:v>
                  </c:pt>
                  <c:pt idx="1129">
                    <c:v>14</c:v>
                  </c:pt>
                  <c:pt idx="1130">
                    <c:v>16</c:v>
                  </c:pt>
                  <c:pt idx="1131">
                    <c:v>N18</c:v>
                  </c:pt>
                  <c:pt idx="1132">
                    <c:v>N20</c:v>
                  </c:pt>
                  <c:pt idx="1133">
                    <c:v>N23</c:v>
                  </c:pt>
                  <c:pt idx="1134">
                    <c:v>N26</c:v>
                  </c:pt>
                  <c:pt idx="1135">
                    <c:v>N30</c:v>
                  </c:pt>
                  <c:pt idx="1136">
                    <c:v>22 cm</c:v>
                  </c:pt>
                  <c:pt idx="1137">
                    <c:v>25 cm</c:v>
                  </c:pt>
                  <c:pt idx="1138">
                    <c:v>30 cm</c:v>
                  </c:pt>
                  <c:pt idx="1139">
                    <c:v>34 cm</c:v>
                  </c:pt>
                  <c:pt idx="1140">
                    <c:v>38 cm</c:v>
                  </c:pt>
                  <c:pt idx="1141">
                    <c:v>43 cm</c:v>
                  </c:pt>
                  <c:pt idx="1142">
                    <c:v>20</c:v>
                  </c:pt>
                  <c:pt idx="1143">
                    <c:v>21,5x 18 cm</c:v>
                  </c:pt>
                  <c:pt idx="1144">
                    <c:v>ca21</c:v>
                  </c:pt>
                  <c:pt idx="1145">
                    <c:v>24 cm</c:v>
                  </c:pt>
                  <c:pt idx="1146">
                    <c:v>13 cm</c:v>
                  </c:pt>
                  <c:pt idx="1147">
                    <c:v>35X19,5X14,5</c:v>
                  </c:pt>
                  <c:pt idx="1148">
                    <c:v>43x21,5x16,5</c:v>
                  </c:pt>
                  <c:pt idx="1149">
                    <c:v>31x16x13</c:v>
                  </c:pt>
                  <c:pt idx="1150">
                    <c:v>31x16x13</c:v>
                  </c:pt>
                  <c:pt idx="1151">
                    <c:v>37X17X13</c:v>
                  </c:pt>
                  <c:pt idx="1152">
                    <c:v>45X20X14</c:v>
                  </c:pt>
                  <c:pt idx="1153">
                    <c:v>57x22x14</c:v>
                  </c:pt>
                  <c:pt idx="1154">
                    <c:v>35x20x14</c:v>
                  </c:pt>
                  <c:pt idx="1155">
                    <c:v>22</c:v>
                  </c:pt>
                  <c:pt idx="1158">
                    <c:v>17x13</c:v>
                  </c:pt>
                  <c:pt idx="1159">
                    <c:v>18x15x10</c:v>
                  </c:pt>
                  <c:pt idx="1160">
                    <c:v>42x29</c:v>
                  </c:pt>
                  <c:pt idx="1161">
                    <c:v>19x15</c:v>
                  </c:pt>
                  <c:pt idx="1162">
                    <c:v>30X23X17,5</c:v>
                  </c:pt>
                  <c:pt idx="1163">
                    <c:v>21X17X12</c:v>
                  </c:pt>
                  <c:pt idx="1164">
                    <c:v>16</c:v>
                  </c:pt>
                  <c:pt idx="1165">
                    <c:v>20</c:v>
                  </c:pt>
                  <c:pt idx="1166">
                    <c:v>c/u</c:v>
                  </c:pt>
                  <c:pt idx="1167">
                    <c:v>15 cm</c:v>
                  </c:pt>
                  <c:pt idx="1168">
                    <c:v>20 cm</c:v>
                  </c:pt>
                  <c:pt idx="1169">
                    <c:v>20 CM</c:v>
                  </c:pt>
                  <c:pt idx="1170">
                    <c:v>12 cm</c:v>
                  </c:pt>
                  <c:pt idx="1171">
                    <c:v>7 cm</c:v>
                  </c:pt>
                  <c:pt idx="1172">
                    <c:v>10cm</c:v>
                  </c:pt>
                  <c:pt idx="1173">
                    <c:v>14 cm</c:v>
                  </c:pt>
                  <c:pt idx="1174">
                    <c:v>16 cm</c:v>
                  </c:pt>
                  <c:pt idx="1175">
                    <c:v>18 cm</c:v>
                  </c:pt>
                  <c:pt idx="1176">
                    <c:v>20 cm</c:v>
                  </c:pt>
                  <c:pt idx="1177">
                    <c:v>35</c:v>
                  </c:pt>
                  <c:pt idx="1178">
                    <c:v>14</c:v>
                  </c:pt>
                  <c:pt idx="1179">
                    <c:v>16</c:v>
                  </c:pt>
                  <c:pt idx="1180">
                    <c:v>18</c:v>
                  </c:pt>
                  <c:pt idx="1181">
                    <c:v>12 CM</c:v>
                  </c:pt>
                  <c:pt idx="1182">
                    <c:v>c/u</c:v>
                  </c:pt>
                  <c:pt idx="1183">
                    <c:v>c/u</c:v>
                  </c:pt>
                  <c:pt idx="1184">
                    <c:v>N22</c:v>
                  </c:pt>
                  <c:pt idx="1185">
                    <c:v>N35</c:v>
                  </c:pt>
                  <c:pt idx="1186">
                    <c:v>N35</c:v>
                  </c:pt>
                  <c:pt idx="1188">
                    <c:v>31,5X25</c:v>
                  </c:pt>
                  <c:pt idx="1189">
                    <c:v>31,5X18</c:v>
                  </c:pt>
                  <c:pt idx="1190">
                    <c:v>15X12,5</c:v>
                  </c:pt>
                  <c:pt idx="1191">
                    <c:v>18X14,5</c:v>
                  </c:pt>
                  <c:pt idx="1192">
                    <c:v>35X27</c:v>
                  </c:pt>
                  <c:pt idx="1193">
                    <c:v>25X19,5</c:v>
                  </c:pt>
                  <c:pt idx="1194">
                    <c:v>30,5x23,5</c:v>
                  </c:pt>
                  <c:pt idx="1195">
                    <c:v>30,5/23,5</c:v>
                  </c:pt>
                  <c:pt idx="1196">
                    <c:v>22x22</c:v>
                  </c:pt>
                  <c:pt idx="1197">
                    <c:v>c/u</c:v>
                  </c:pt>
                  <c:pt idx="1198">
                    <c:v>25 lts</c:v>
                  </c:pt>
                  <c:pt idx="1199">
                    <c:v>14</c:v>
                  </c:pt>
                  <c:pt idx="1200">
                    <c:v>18</c:v>
                  </c:pt>
                  <c:pt idx="1203">
                    <c:v>15 cm</c:v>
                  </c:pt>
                  <c:pt idx="1204">
                    <c:v>14 cm</c:v>
                  </c:pt>
                  <c:pt idx="1205">
                    <c:v>18 cm</c:v>
                  </c:pt>
                  <c:pt idx="1206">
                    <c:v>22 CM</c:v>
                  </c:pt>
                  <c:pt idx="1207">
                    <c:v>35</c:v>
                  </c:pt>
                  <c:pt idx="1208">
                    <c:v>23</c:v>
                  </c:pt>
                  <c:pt idx="1209">
                    <c:v>25x22,5x19</c:v>
                  </c:pt>
                  <c:pt idx="1210">
                    <c:v>TA</c:v>
                  </c:pt>
                  <c:pt idx="1211">
                    <c:v>ch</c:v>
                  </c:pt>
                  <c:pt idx="1212">
                    <c:v>gde</c:v>
                  </c:pt>
                  <c:pt idx="1213">
                    <c:v>13X16X14</c:v>
                  </c:pt>
                  <c:pt idx="1215">
                    <c:v>18</c:v>
                  </c:pt>
                  <c:pt idx="1216">
                    <c:v>22</c:v>
                  </c:pt>
                  <c:pt idx="1217">
                    <c:v>27</c:v>
                  </c:pt>
                  <c:pt idx="1218">
                    <c:v>29 cm</c:v>
                  </c:pt>
                  <c:pt idx="1219">
                    <c:v>24 cm</c:v>
                  </c:pt>
                  <c:pt idx="1220">
                    <c:v>18</c:v>
                  </c:pt>
                  <c:pt idx="1221">
                    <c:v>20 cm</c:v>
                  </c:pt>
                  <c:pt idx="1222">
                    <c:v>35 cm</c:v>
                  </c:pt>
                  <c:pt idx="1223">
                    <c:v>67cm</c:v>
                  </c:pt>
                  <c:pt idx="1224">
                    <c:v>29x22</c:v>
                  </c:pt>
                  <c:pt idx="1225">
                    <c:v>25X20</c:v>
                  </c:pt>
                  <c:pt idx="1226">
                    <c:v>23x18cm</c:v>
                  </c:pt>
                  <c:pt idx="1227">
                    <c:v>19x20</c:v>
                  </c:pt>
                  <c:pt idx="1228">
                    <c:v>14x15</c:v>
                  </c:pt>
                  <c:pt idx="1229">
                    <c:v>10,5x11</c:v>
                  </c:pt>
                  <c:pt idx="1230">
                    <c:v>18x24</c:v>
                  </c:pt>
                  <c:pt idx="1231">
                    <c:v>16,5x18,5</c:v>
                  </c:pt>
                  <c:pt idx="1232">
                    <c:v>13,5x13</c:v>
                  </c:pt>
                  <c:pt idx="1233">
                    <c:v>18 x13</c:v>
                  </c:pt>
                  <c:pt idx="1235">
                    <c:v>N35</c:v>
                  </c:pt>
                  <c:pt idx="1236">
                    <c:v>N45</c:v>
                  </c:pt>
                  <c:pt idx="1237">
                    <c:v>17</c:v>
                  </c:pt>
                  <c:pt idx="1238">
                    <c:v>20</c:v>
                  </c:pt>
                  <c:pt idx="1239">
                    <c:v>24</c:v>
                  </c:pt>
                  <c:pt idx="1240">
                    <c:v>30</c:v>
                  </c:pt>
                  <c:pt idx="1241">
                    <c:v>17</c:v>
                  </c:pt>
                  <c:pt idx="1242">
                    <c:v>20</c:v>
                  </c:pt>
                  <c:pt idx="1243">
                    <c:v>24</c:v>
                  </c:pt>
                  <c:pt idx="1244">
                    <c:v>30</c:v>
                  </c:pt>
                  <c:pt idx="1245">
                    <c:v>34x18x14</c:v>
                  </c:pt>
                  <c:pt idx="1246">
                    <c:v>16x13</c:v>
                  </c:pt>
                  <c:pt idx="1247">
                    <c:v>0</c:v>
                  </c:pt>
                  <c:pt idx="1248">
                    <c:v>43x18x14</c:v>
                  </c:pt>
                  <c:pt idx="1249">
                    <c:v>15,5x12,3</c:v>
                  </c:pt>
                  <c:pt idx="1250">
                    <c:v>7,8x7</c:v>
                  </c:pt>
                  <c:pt idx="1251">
                    <c:v>25x20</c:v>
                  </c:pt>
                  <c:pt idx="1252">
                    <c:v>15,5x12,3</c:v>
                  </c:pt>
                  <c:pt idx="1253">
                    <c:v>20x16</c:v>
                  </c:pt>
                  <c:pt idx="1255">
                    <c:v>19 lts</c:v>
                  </c:pt>
                  <c:pt idx="1256">
                    <c:v>14 lts</c:v>
                  </c:pt>
                  <c:pt idx="1257">
                    <c:v>11 lts</c:v>
                  </c:pt>
                  <c:pt idx="1258">
                    <c:v>7 lts</c:v>
                  </c:pt>
                  <c:pt idx="1259">
                    <c:v>5 lts</c:v>
                  </c:pt>
                  <c:pt idx="1260">
                    <c:v>3 lts</c:v>
                  </c:pt>
                  <c:pt idx="1262">
                    <c:v>25x20</c:v>
                  </c:pt>
                  <c:pt idx="1263">
                    <c:v>20x16</c:v>
                  </c:pt>
                  <c:pt idx="1264">
                    <c:v>c/u</c:v>
                  </c:pt>
                  <c:pt idx="1265">
                    <c:v>0</c:v>
                  </c:pt>
                  <c:pt idx="1266">
                    <c:v>20</c:v>
                  </c:pt>
                  <c:pt idx="1267">
                    <c:v>12 CM</c:v>
                  </c:pt>
                  <c:pt idx="1268">
                    <c:v>16</c:v>
                  </c:pt>
                  <c:pt idx="1269">
                    <c:v>18</c:v>
                  </c:pt>
                  <c:pt idx="1270">
                    <c:v>20</c:v>
                  </c:pt>
                  <c:pt idx="1271">
                    <c:v>24</c:v>
                  </c:pt>
                  <c:pt idx="1274">
                    <c:v>,75 LT</c:v>
                  </c:pt>
                  <c:pt idx="1275">
                    <c:v>1,6 LT</c:v>
                  </c:pt>
                  <c:pt idx="1276">
                    <c:v>3 lts</c:v>
                  </c:pt>
                  <c:pt idx="1277">
                    <c:v>4,3 LT</c:v>
                  </c:pt>
                  <c:pt idx="1278">
                    <c:v>16X13</c:v>
                  </c:pt>
                  <c:pt idx="1279">
                    <c:v>39X29</c:v>
                  </c:pt>
                  <c:pt idx="1280">
                    <c:v>36X26</c:v>
                  </c:pt>
                  <c:pt idx="1281">
                    <c:v>32X24</c:v>
                  </c:pt>
                  <c:pt idx="1282">
                    <c:v>16X21</c:v>
                  </c:pt>
                  <c:pt idx="1283">
                    <c:v>43 x31</c:v>
                  </c:pt>
                  <c:pt idx="1288">
                    <c:v>24</c:v>
                  </c:pt>
                  <c:pt idx="1290">
                    <c:v>24x28</c:v>
                  </c:pt>
                  <c:pt idx="1291">
                    <c:v>36x40</c:v>
                  </c:pt>
                  <c:pt idx="1293">
                    <c:v>12</c:v>
                  </c:pt>
                  <c:pt idx="1294">
                    <c:v>15</c:v>
                  </c:pt>
                  <c:pt idx="1295">
                    <c:v>17</c:v>
                  </c:pt>
                  <c:pt idx="1296">
                    <c:v>20</c:v>
                  </c:pt>
                  <c:pt idx="1297">
                    <c:v>6</c:v>
                  </c:pt>
                  <c:pt idx="1298">
                    <c:v>8</c:v>
                  </c:pt>
                  <c:pt idx="1299">
                    <c:v>10</c:v>
                  </c:pt>
                  <c:pt idx="1300">
                    <c:v>12</c:v>
                  </c:pt>
                  <c:pt idx="1301">
                    <c:v>14</c:v>
                  </c:pt>
                  <c:pt idx="1302">
                    <c:v>DX1</c:v>
                  </c:pt>
                  <c:pt idx="1303">
                    <c:v>DX2</c:v>
                  </c:pt>
                  <c:pt idx="1304">
                    <c:v>DX3</c:v>
                  </c:pt>
                  <c:pt idx="1305">
                    <c:v>DX4</c:v>
                  </c:pt>
                  <c:pt idx="1306">
                    <c:v>7S2</c:v>
                  </c:pt>
                  <c:pt idx="1307">
                    <c:v>7S3</c:v>
                  </c:pt>
                  <c:pt idx="1308">
                    <c:v>7F2</c:v>
                  </c:pt>
                  <c:pt idx="1309">
                    <c:v>YT2</c:v>
                  </c:pt>
                  <c:pt idx="1310">
                    <c:v>YT3</c:v>
                  </c:pt>
                  <c:pt idx="1311">
                    <c:v>WLI</c:v>
                  </c:pt>
                  <c:pt idx="1312">
                    <c:v>GP3</c:v>
                  </c:pt>
                  <c:pt idx="1313">
                    <c:v>GP4</c:v>
                  </c:pt>
                  <c:pt idx="1314">
                    <c:v>X0</c:v>
                  </c:pt>
                  <c:pt idx="1315">
                    <c:v>JVER 24</c:v>
                  </c:pt>
                  <c:pt idx="1316">
                    <c:v>JVER 33</c:v>
                  </c:pt>
                  <c:pt idx="1317">
                    <c:v>JVER 42</c:v>
                  </c:pt>
                  <c:pt idx="1318">
                    <c:v>IVOM 30</c:v>
                  </c:pt>
                  <c:pt idx="1319">
                    <c:v>IVOM 38</c:v>
                  </c:pt>
                  <c:pt idx="1320">
                    <c:v>IVPM 25</c:v>
                  </c:pt>
                  <c:pt idx="1321">
                    <c:v>IVQM20</c:v>
                  </c:pt>
                  <c:pt idx="1322">
                    <c:v>JVEO 41</c:v>
                  </c:pt>
                  <c:pt idx="1323">
                    <c:v>JVEF 34</c:v>
                  </c:pt>
                  <c:pt idx="1324">
                    <c:v>JVEF 42</c:v>
                  </c:pt>
                  <c:pt idx="1325">
                    <c:v>IVEC 33</c:v>
                  </c:pt>
                  <c:pt idx="1326">
                    <c:v>JVEO 55</c:v>
                  </c:pt>
                  <c:pt idx="1327">
                    <c:v>JVHR 42</c:v>
                  </c:pt>
                  <c:pt idx="1328">
                    <c:v>JVHR33</c:v>
                  </c:pt>
                  <c:pt idx="1329">
                    <c:v>JVUM 30 S</c:v>
                  </c:pt>
                  <c:pt idx="1330">
                    <c:v>JVUM 38</c:v>
                  </c:pt>
                  <c:pt idx="1331">
                    <c:v>JFQF 67</c:v>
                  </c:pt>
                  <c:pt idx="1332">
                    <c:v>JFQF 77</c:v>
                  </c:pt>
                  <c:pt idx="1333">
                    <c:v>JVQM20</c:v>
                  </c:pt>
                  <c:pt idx="1334">
                    <c:v>45</c:v>
                  </c:pt>
                  <c:pt idx="1335">
                    <c:v>34</c:v>
                  </c:pt>
                  <c:pt idx="1336">
                    <c:v>25</c:v>
                  </c:pt>
                  <c:pt idx="1337">
                    <c:v>33</c:v>
                  </c:pt>
                  <c:pt idx="1339">
                    <c:v>28</c:v>
                  </c:pt>
                  <c:pt idx="1340">
                    <c:v>35</c:v>
                  </c:pt>
                  <c:pt idx="1341">
                    <c:v>45</c:v>
                  </c:pt>
                  <c:pt idx="1342">
                    <c:v>JVERH 33</c:v>
                  </c:pt>
                  <c:pt idx="1343">
                    <c:v>33</c:v>
                  </c:pt>
                  <c:pt idx="1344">
                    <c:v>JVLL45</c:v>
                  </c:pt>
                  <c:pt idx="1346">
                    <c:v>IVIP 34</c:v>
                  </c:pt>
                  <c:pt idx="1347">
                    <c:v>JVQM30</c:v>
                  </c:pt>
                  <c:pt idx="1348">
                    <c:v>IVQM36</c:v>
                  </c:pt>
                  <c:pt idx="1349">
                    <c:v>JVMO38C</c:v>
                  </c:pt>
                  <c:pt idx="1353">
                    <c:v>JVCB 30</c:v>
                  </c:pt>
                  <c:pt idx="1354">
                    <c:v>JVQM36</c:v>
                  </c:pt>
                  <c:pt idx="1355">
                    <c:v>37AC</c:v>
                  </c:pt>
                  <c:pt idx="1356">
                    <c:v>46 AC</c:v>
                  </c:pt>
                  <c:pt idx="1357">
                    <c:v>57 AC</c:v>
                  </c:pt>
                  <c:pt idx="1360">
                    <c:v>IVIP 43</c:v>
                  </c:pt>
                  <c:pt idx="1361">
                    <c:v>25</c:v>
                  </c:pt>
                  <c:pt idx="1362">
                    <c:v>20</c:v>
                  </c:pt>
                  <c:pt idx="1363">
                    <c:v>16</c:v>
                  </c:pt>
                  <c:pt idx="1364">
                    <c:v>23</c:v>
                  </c:pt>
                  <c:pt idx="1365">
                    <c:v>8</c:v>
                  </c:pt>
                  <c:pt idx="1366">
                    <c:v>10</c:v>
                  </c:pt>
                  <c:pt idx="1367">
                    <c:v>12</c:v>
                  </c:pt>
                  <c:pt idx="1368">
                    <c:v>14</c:v>
                  </c:pt>
                  <c:pt idx="1369">
                    <c:v>18</c:v>
                  </c:pt>
                  <c:pt idx="1370">
                    <c:v>12</c:v>
                  </c:pt>
                  <c:pt idx="1371">
                    <c:v>15</c:v>
                  </c:pt>
                  <c:pt idx="1372">
                    <c:v>17</c:v>
                  </c:pt>
                  <c:pt idx="1373">
                    <c:v>20</c:v>
                  </c:pt>
                  <c:pt idx="1374">
                    <c:v>30x40</c:v>
                  </c:pt>
                  <c:pt idx="1375">
                    <c:v>40X30</c:v>
                  </c:pt>
                  <c:pt idx="1376">
                    <c:v>11 cm</c:v>
                  </c:pt>
                  <c:pt idx="1377">
                    <c:v>14 cm</c:v>
                  </c:pt>
                  <c:pt idx="1378">
                    <c:v>19 cm</c:v>
                  </c:pt>
                  <c:pt idx="1379">
                    <c:v>16X13X9</c:v>
                  </c:pt>
                  <c:pt idx="1380">
                    <c:v>14</c:v>
                  </c:pt>
                  <c:pt idx="1381">
                    <c:v>18</c:v>
                  </c:pt>
                  <c:pt idx="1382">
                    <c:v>ch 8 cm </c:v>
                  </c:pt>
                  <c:pt idx="1383">
                    <c:v>gde</c:v>
                  </c:pt>
                  <c:pt idx="1384">
                    <c:v>7 cmx7</c:v>
                  </c:pt>
                  <c:pt idx="1385">
                    <c:v>9 cm</c:v>
                  </c:pt>
                  <c:pt idx="1386">
                    <c:v>1,5</c:v>
                  </c:pt>
                  <c:pt idx="1388">
                    <c:v>*</c:v>
                  </c:pt>
                  <c:pt idx="1389">
                    <c:v>n 5</c:v>
                  </c:pt>
                  <c:pt idx="1390">
                    <c:v>n 6</c:v>
                  </c:pt>
                  <c:pt idx="1391">
                    <c:v>n 7</c:v>
                  </c:pt>
                  <c:pt idx="1392">
                    <c:v>3,5</c:v>
                  </c:pt>
                  <c:pt idx="1393">
                    <c:v>5</c:v>
                  </c:pt>
                  <c:pt idx="1402">
                    <c:v>3</c:v>
                  </c:pt>
                  <c:pt idx="1403">
                    <c:v>30X24</c:v>
                  </c:pt>
                  <c:pt idx="1404">
                    <c:v>26x20</c:v>
                  </c:pt>
                  <c:pt idx="1405">
                    <c:v>33 cm</c:v>
                  </c:pt>
                  <c:pt idx="1406">
                    <c:v>18 cm</c:v>
                  </c:pt>
                  <c:pt idx="1407">
                    <c:v>colores brillosos</c:v>
                  </c:pt>
                  <c:pt idx="1408">
                    <c:v>13</c:v>
                  </c:pt>
                  <c:pt idx="1409">
                    <c:v>15</c:v>
                  </c:pt>
                  <c:pt idx="1410">
                    <c:v>17</c:v>
                  </c:pt>
                  <c:pt idx="1411">
                    <c:v>19</c:v>
                  </c:pt>
                  <c:pt idx="1412">
                    <c:v>21</c:v>
                  </c:pt>
                  <c:pt idx="1413">
                    <c:v>24</c:v>
                  </c:pt>
                  <c:pt idx="1414">
                    <c:v>27</c:v>
                  </c:pt>
                  <c:pt idx="1415">
                    <c:v>30</c:v>
                  </c:pt>
                  <c:pt idx="1416">
                    <c:v>35</c:v>
                  </c:pt>
                  <c:pt idx="1417">
                    <c:v>40</c:v>
                  </c:pt>
                  <c:pt idx="1418">
                    <c:v>60</c:v>
                  </c:pt>
                  <c:pt idx="1419">
                    <c:v>3,6 lt</c:v>
                  </c:pt>
                  <c:pt idx="1420">
                    <c:v>5 lts</c:v>
                  </c:pt>
                  <c:pt idx="1421">
                    <c:v>8,5 lt</c:v>
                  </c:pt>
                  <c:pt idx="1422">
                    <c:v>7 lts</c:v>
                  </c:pt>
                  <c:pt idx="1423">
                    <c:v>10 lts</c:v>
                  </c:pt>
                  <c:pt idx="1424">
                    <c:v>11 lt</c:v>
                  </c:pt>
                  <c:pt idx="1425">
                    <c:v>14,3 lt</c:v>
                  </c:pt>
                  <c:pt idx="1426">
                    <c:v>18 lt</c:v>
                  </c:pt>
                  <c:pt idx="1427">
                    <c:v>33 lts</c:v>
                  </c:pt>
                  <c:pt idx="1428">
                    <c:v>39,5 lt</c:v>
                  </c:pt>
                  <c:pt idx="1429">
                    <c:v>50 lt</c:v>
                  </c:pt>
                  <c:pt idx="1433">
                    <c:v>21x17x12</c:v>
                  </c:pt>
                  <c:pt idx="1435">
                    <c:v>18</c:v>
                  </c:pt>
                  <c:pt idx="1436">
                    <c:v>1 kg</c:v>
                  </c:pt>
                  <c:pt idx="1437">
                    <c:v>25 kg</c:v>
                  </c:pt>
                  <c:pt idx="1438">
                    <c:v>25 kg</c:v>
                  </c:pt>
                  <c:pt idx="1439">
                    <c:v>1 kg</c:v>
                  </c:pt>
                  <c:pt idx="1440">
                    <c:v>20 ml</c:v>
                  </c:pt>
                  <c:pt idx="1441">
                    <c:v>mtr</c:v>
                  </c:pt>
                  <c:pt idx="1442">
                    <c:v>mtr</c:v>
                  </c:pt>
                  <c:pt idx="1443">
                    <c:v>mtr</c:v>
                  </c:pt>
                  <c:pt idx="1444">
                    <c:v>2,1</c:v>
                  </c:pt>
                  <c:pt idx="1446">
                    <c:v>100 mts</c:v>
                  </c:pt>
                  <c:pt idx="1447">
                    <c:v>1 mt lineal</c:v>
                  </c:pt>
                  <c:pt idx="1448">
                    <c:v>mt cuadrado</c:v>
                  </c:pt>
                  <c:pt idx="1449">
                    <c:v>0</c:v>
                  </c:pt>
                  <c:pt idx="1452">
                    <c:v>50 pies</c:v>
                  </c:pt>
                  <c:pt idx="1453">
                    <c:v>3/4x100mtr</c:v>
                  </c:pt>
                  <c:pt idx="1454">
                    <c:v>0</c:v>
                  </c:pt>
                  <c:pt idx="1455">
                    <c:v>10 mt</c:v>
                  </c:pt>
                  <c:pt idx="1456">
                    <c:v>15 mt</c:v>
                  </c:pt>
                  <c:pt idx="1457">
                    <c:v>15 mt</c:v>
                  </c:pt>
                  <c:pt idx="1458">
                    <c:v>60 pies</c:v>
                  </c:pt>
                  <c:pt idx="1460">
                    <c:v>10 CM X 50 CM</c:v>
                  </c:pt>
                  <c:pt idx="1461">
                    <c:v>20 cn</c:v>
                  </c:pt>
                  <c:pt idx="1463">
                    <c:v>120maples</c:v>
                  </c:pt>
                  <c:pt idx="1464">
                    <c:v>c/u</c:v>
                  </c:pt>
                  <c:pt idx="1466">
                    <c:v>1,2 kg</c:v>
                  </c:pt>
                  <c:pt idx="1467">
                    <c:v>100gr</c:v>
                  </c:pt>
                  <c:pt idx="1468">
                    <c:v>360 c,c</c:v>
                  </c:pt>
                  <c:pt idx="1470">
                    <c:v>30x52</c:v>
                  </c:pt>
                  <c:pt idx="1471">
                    <c:v>24 blister</c:v>
                  </c:pt>
                  <c:pt idx="1472">
                    <c:v>pastilla</c:v>
                  </c:pt>
                  <c:pt idx="1473">
                    <c:v>blister</c:v>
                  </c:pt>
                  <c:pt idx="1474">
                    <c:v> 500 grs1 ltr</c:v>
                  </c:pt>
                  <c:pt idx="1475">
                    <c:v>125 grs(250cc)</c:v>
                  </c:pt>
                  <c:pt idx="1476">
                    <c:v>1 ltr</c:v>
                  </c:pt>
                  <c:pt idx="1477">
                    <c:v>50 ml</c:v>
                  </c:pt>
                  <c:pt idx="1478">
                    <c:v>30 ml</c:v>
                  </c:pt>
                  <c:pt idx="1479">
                    <c:v>15 gr</c:v>
                  </c:pt>
                  <c:pt idx="1481">
                    <c:v>c/u</c:v>
                  </c:pt>
                  <c:pt idx="1482">
                    <c:v>16 lt</c:v>
                  </c:pt>
                  <c:pt idx="1483">
                    <c:v>34x25x42</c:v>
                  </c:pt>
                  <c:pt idx="1484">
                    <c:v>0</c:v>
                  </c:pt>
                  <c:pt idx="1485">
                    <c:v>25 kg</c:v>
                  </c:pt>
                  <c:pt idx="1486">
                    <c:v>40 kg</c:v>
                  </c:pt>
                  <c:pt idx="1487">
                    <c:v>kgr</c:v>
                  </c:pt>
                  <c:pt idx="1493">
                    <c:v>c/u</c:v>
                  </c:pt>
                  <c:pt idx="1494">
                    <c:v>0</c:v>
                  </c:pt>
                  <c:pt idx="1495">
                    <c:v>0</c:v>
                  </c:pt>
                  <c:pt idx="1496">
                    <c:v>45 cn</c:v>
                  </c:pt>
                  <c:pt idx="1497">
                    <c:v>600 ml</c:v>
                  </c:pt>
                  <c:pt idx="1498">
                    <c:v>2 unidades</c:v>
                  </c:pt>
                  <c:pt idx="1499">
                    <c:v>50 mm</c:v>
                  </c:pt>
                  <c:pt idx="1500">
                    <c:v>70mm</c:v>
                  </c:pt>
                  <c:pt idx="1501">
                    <c:v>80 mm</c:v>
                  </c:pt>
                  <c:pt idx="1502">
                    <c:v>90 mm</c:v>
                  </c:pt>
                  <c:pt idx="1503">
                    <c:v>50 lt</c:v>
                  </c:pt>
                  <c:pt idx="1506">
                    <c:v>10 lt</c:v>
                  </c:pt>
                  <c:pt idx="1507">
                    <c:v>30 c.c.</c:v>
                  </c:pt>
                  <c:pt idx="1508">
                    <c:v>caja 12</c:v>
                  </c:pt>
                  <c:pt idx="1509">
                    <c:v>20c,c,</c:v>
                  </c:pt>
                  <c:pt idx="1510">
                    <c:v>24x10x10</c:v>
                  </c:pt>
                  <c:pt idx="1512">
                    <c:v>11,5X11,5X24</c:v>
                  </c:pt>
                  <c:pt idx="1513">
                    <c:v>0</c:v>
                  </c:pt>
                  <c:pt idx="1514">
                    <c:v>c/u</c:v>
                  </c:pt>
                  <c:pt idx="1515">
                    <c:v>c/u</c:v>
                  </c:pt>
                  <c:pt idx="1517">
                    <c:v>10x6</c:v>
                  </c:pt>
                  <c:pt idx="1518">
                    <c:v>c/u</c:v>
                  </c:pt>
                  <c:pt idx="1519">
                    <c:v>1 tr</c:v>
                  </c:pt>
                  <c:pt idx="1520">
                    <c:v>100 c,c</c:v>
                  </c:pt>
                  <c:pt idx="1522">
                    <c:v>450 grs,</c:v>
                  </c:pt>
                  <c:pt idx="1523">
                    <c:v>325 grs</c:v>
                  </c:pt>
                  <c:pt idx="1524">
                    <c:v>5 KG</c:v>
                  </c:pt>
                  <c:pt idx="1525">
                    <c:v>100 GRS</c:v>
                  </c:pt>
                  <c:pt idx="1527">
                    <c:v>c/u</c:v>
                  </c:pt>
                  <c:pt idx="1528">
                    <c:v>85 GRS</c:v>
                  </c:pt>
                  <c:pt idx="1529">
                    <c:v>850 gr</c:v>
                  </c:pt>
                  <c:pt idx="1530">
                    <c:v>kg</c:v>
                  </c:pt>
                  <c:pt idx="1531">
                    <c:v>100 gr</c:v>
                  </c:pt>
                  <c:pt idx="1532">
                    <c:v>c/u</c:v>
                  </c:pt>
                  <c:pt idx="1534">
                    <c:v>67 cn</c:v>
                  </c:pt>
                  <c:pt idx="1535">
                    <c:v>c/u</c:v>
                  </c:pt>
                  <c:pt idx="1536">
                    <c:v>30x8 cm</c:v>
                  </c:pt>
                  <c:pt idx="1537">
                    <c:v>26 cm</c:v>
                  </c:pt>
                  <c:pt idx="1538">
                    <c:v>12</c:v>
                  </c:pt>
                  <c:pt idx="1539">
                    <c:v>0</c:v>
                  </c:pt>
                  <c:pt idx="1541">
                    <c:v>35x8</c:v>
                  </c:pt>
                  <c:pt idx="1542">
                    <c:v>25 x9</c:v>
                  </c:pt>
                  <c:pt idx="1543">
                    <c:v>bolsita 5 gr</c:v>
                  </c:pt>
                  <c:pt idx="1546">
                    <c:v>0</c:v>
                  </c:pt>
                  <c:pt idx="1547">
                    <c:v>0</c:v>
                  </c:pt>
                  <c:pt idx="1548">
                    <c:v>kg</c:v>
                  </c:pt>
                  <c:pt idx="1549">
                    <c:v>160 gr</c:v>
                  </c:pt>
                  <c:pt idx="1550">
                    <c:v>600 grs</c:v>
                  </c:pt>
                  <c:pt idx="1551">
                    <c:v>160 ggr</c:v>
                  </c:pt>
                  <c:pt idx="1553">
                    <c:v>186 gr</c:v>
                  </c:pt>
                  <c:pt idx="1554">
                    <c:v>93 grs</c:v>
                  </c:pt>
                  <c:pt idx="1555">
                    <c:v>c/u</c:v>
                  </c:pt>
                  <c:pt idx="1556">
                    <c:v>10-25 kg</c:v>
                  </c:pt>
                  <c:pt idx="1557">
                    <c:v>25-50</c:v>
                  </c:pt>
                  <c:pt idx="1558">
                    <c:v>4-10kg</c:v>
                  </c:pt>
                  <c:pt idx="1559">
                    <c:v>2-4 kg</c:v>
                  </c:pt>
                  <c:pt idx="1560">
                    <c:v>150 grs</c:v>
                  </c:pt>
                  <c:pt idx="1561">
                    <c:v>80x40x25en 4 mm</c:v>
                  </c:pt>
                  <c:pt idx="1562">
                    <c:v>40x40x25 en 4 mm</c:v>
                  </c:pt>
                  <c:pt idx="1563">
                    <c:v>33x30x17</c:v>
                  </c:pt>
                  <c:pt idx="1564">
                    <c:v>38x20x16</c:v>
                  </c:pt>
                  <c:pt idx="1565">
                    <c:v>40x27x16</c:v>
                  </c:pt>
                  <c:pt idx="1566">
                    <c:v>80 x25x 40 h</c:v>
                  </c:pt>
                  <c:pt idx="1567">
                    <c:v>RS 380 C</c:v>
                  </c:pt>
                  <c:pt idx="1568">
                    <c:v>30 LTRS380A</c:v>
                  </c:pt>
                  <c:pt idx="1569">
                    <c:v>17x15</c:v>
                  </c:pt>
                  <c:pt idx="1570">
                    <c:v>8 kg</c:v>
                  </c:pt>
                  <c:pt idx="1571">
                    <c:v>21 kg</c:v>
                  </c:pt>
                  <c:pt idx="1572">
                    <c:v>19x26</c:v>
                  </c:pt>
                  <c:pt idx="1574">
                    <c:v>1*29cm</c:v>
                  </c:pt>
                  <c:pt idx="1575">
                    <c:v>caja 24 unidades</c:v>
                  </c:pt>
                  <c:pt idx="1577">
                    <c:v>3  u nidades</c:v>
                  </c:pt>
                  <c:pt idx="1582">
                    <c:v>35 cm</c:v>
                  </c:pt>
                  <c:pt idx="1584">
                    <c:v>125dm3</c:v>
                  </c:pt>
                  <c:pt idx="1585">
                    <c:v>50 lt-11kg</c:v>
                  </c:pt>
                  <c:pt idx="1586">
                    <c:v>200 gr</c:v>
                  </c:pt>
                  <c:pt idx="1587">
                    <c:v>50 ltr</c:v>
                  </c:pt>
                  <c:pt idx="1588">
                    <c:v>7 kgr</c:v>
                  </c:pt>
                  <c:pt idx="1589">
                    <c:v>15 kg</c:v>
                  </c:pt>
                  <c:pt idx="1590">
                    <c:v>7kg</c:v>
                  </c:pt>
                  <c:pt idx="1591">
                    <c:v>25 kg</c:v>
                  </c:pt>
                  <c:pt idx="1592">
                    <c:v>1 kg</c:v>
                  </c:pt>
                  <c:pt idx="1593">
                    <c:v>25 kg</c:v>
                  </c:pt>
                  <c:pt idx="1594">
                    <c:v>1 kg</c:v>
                  </c:pt>
                  <c:pt idx="1595">
                    <c:v>7 kg</c:v>
                  </c:pt>
                  <c:pt idx="1596">
                    <c:v>1 KG</c:v>
                  </c:pt>
                  <c:pt idx="1597">
                    <c:v>10,1 KG</c:v>
                  </c:pt>
                  <c:pt idx="1598">
                    <c:v>25kg</c:v>
                  </c:pt>
                  <c:pt idx="1599">
                    <c:v>18 kg</c:v>
                  </c:pt>
                  <c:pt idx="1600">
                    <c:v>1kg</c:v>
                  </c:pt>
                  <c:pt idx="1601">
                    <c:v>7kg</c:v>
                  </c:pt>
                  <c:pt idx="1602">
                    <c:v>18 kg</c:v>
                  </c:pt>
                  <c:pt idx="1603">
                    <c:v>1kg</c:v>
                  </c:pt>
                  <c:pt idx="1604">
                    <c:v>8kg</c:v>
                  </c:pt>
                  <c:pt idx="1605">
                    <c:v>22 kg</c:v>
                  </c:pt>
                  <c:pt idx="1606">
                    <c:v>1 kg</c:v>
                  </c:pt>
                  <c:pt idx="1607">
                    <c:v>8 KG</c:v>
                  </c:pt>
                  <c:pt idx="1608">
                    <c:v>8 kg</c:v>
                  </c:pt>
                  <c:pt idx="1609">
                    <c:v>7 KG</c:v>
                  </c:pt>
                  <c:pt idx="1610">
                    <c:v>8 kg</c:v>
                  </c:pt>
                  <c:pt idx="1611">
                    <c:v>24 kg</c:v>
                  </c:pt>
                  <c:pt idx="1612">
                    <c:v>1 kg</c:v>
                  </c:pt>
                  <c:pt idx="1613">
                    <c:v>24 kg</c:v>
                  </c:pt>
                  <c:pt idx="1614">
                    <c:v>kg</c:v>
                  </c:pt>
                  <c:pt idx="1615">
                    <c:v>7,5 KG</c:v>
                  </c:pt>
                  <c:pt idx="1616">
                    <c:v>1 kg</c:v>
                  </c:pt>
                  <c:pt idx="1617">
                    <c:v>15 kg</c:v>
                  </c:pt>
                  <c:pt idx="1618">
                    <c:v>7 kgr</c:v>
                  </c:pt>
                  <c:pt idx="1619">
                    <c:v>25 kgr</c:v>
                  </c:pt>
                  <c:pt idx="1620">
                    <c:v>15 kg</c:v>
                  </c:pt>
                  <c:pt idx="1621">
                    <c:v>22 kg</c:v>
                  </c:pt>
                  <c:pt idx="1622">
                    <c:v>10 kg</c:v>
                  </c:pt>
                  <c:pt idx="1623">
                    <c:v>1 kg</c:v>
                  </c:pt>
                  <c:pt idx="1624">
                    <c:v>21 kg</c:v>
                  </c:pt>
                  <c:pt idx="1625">
                    <c:v>8 kg</c:v>
                  </c:pt>
                  <c:pt idx="1626">
                    <c:v>25 kg</c:v>
                  </c:pt>
                  <c:pt idx="1627">
                    <c:v>8 kg</c:v>
                  </c:pt>
                  <c:pt idx="1628">
                    <c:v>21 kg</c:v>
                  </c:pt>
                  <c:pt idx="1629">
                    <c:v>21 kg</c:v>
                  </c:pt>
                  <c:pt idx="1630">
                    <c:v>8 kg</c:v>
                  </c:pt>
                  <c:pt idx="1631">
                    <c:v>1 kgr</c:v>
                  </c:pt>
                  <c:pt idx="1632">
                    <c:v>21 kg</c:v>
                  </c:pt>
                  <c:pt idx="1633">
                    <c:v>1 kg</c:v>
                  </c:pt>
                  <c:pt idx="1634">
                    <c:v>1 kg</c:v>
                  </c:pt>
                  <c:pt idx="1635">
                    <c:v>7 kg</c:v>
                  </c:pt>
                  <c:pt idx="1636">
                    <c:v>20</c:v>
                  </c:pt>
                  <c:pt idx="1637">
                    <c:v>1 kg</c:v>
                  </c:pt>
                  <c:pt idx="1638">
                    <c:v>1 kg</c:v>
                  </c:pt>
                  <c:pt idx="1639">
                    <c:v>20 kg</c:v>
                  </c:pt>
                  <c:pt idx="1640">
                    <c:v>20 kg</c:v>
                  </c:pt>
                  <c:pt idx="1641">
                    <c:v>8 kg</c:v>
                  </c:pt>
                  <c:pt idx="1642">
                    <c:v>15 kg</c:v>
                  </c:pt>
                  <c:pt idx="1643">
                    <c:v>25 kg</c:v>
                  </c:pt>
                  <c:pt idx="1644">
                    <c:v>5 kg</c:v>
                  </c:pt>
                  <c:pt idx="1645">
                    <c:v>15 kg</c:v>
                  </c:pt>
                  <c:pt idx="1646">
                    <c:v>25 kg</c:v>
                  </c:pt>
                  <c:pt idx="1647">
                    <c:v>8 kg</c:v>
                  </c:pt>
                  <c:pt idx="1648">
                    <c:v>8 kg</c:v>
                  </c:pt>
                  <c:pt idx="1651">
                    <c:v>50 gr</c:v>
                  </c:pt>
                  <c:pt idx="1654">
                    <c:v>8</c:v>
                  </c:pt>
                  <c:pt idx="1655">
                    <c:v>47 gr</c:v>
                  </c:pt>
                  <c:pt idx="1656">
                    <c:v>22 gr</c:v>
                  </c:pt>
                  <c:pt idx="1658">
                    <c:v>10"</c:v>
                  </c:pt>
                  <c:pt idx="1659">
                    <c:v>4"</c:v>
                  </c:pt>
                  <c:pt idx="1660">
                    <c:v>6"</c:v>
                  </c:pt>
                  <c:pt idx="1661">
                    <c:v>c/u</c:v>
                  </c:pt>
                  <c:pt idx="1662">
                    <c:v>2 kg</c:v>
                  </c:pt>
                  <c:pt idx="1663">
                    <c:v>4 kg</c:v>
                  </c:pt>
                  <c:pt idx="1664">
                    <c:v>1,7kg</c:v>
                  </c:pt>
                  <c:pt idx="1665">
                    <c:v>3,800 litros</c:v>
                  </c:pt>
                  <c:pt idx="1666">
                    <c:v>15 kg</c:v>
                  </c:pt>
                  <c:pt idx="1667">
                    <c:v>1 kg</c:v>
                  </c:pt>
                  <c:pt idx="1668">
                    <c:v>500 GR</c:v>
                  </c:pt>
                  <c:pt idx="1669">
                    <c:v>45x17</c:v>
                  </c:pt>
                  <c:pt idx="1670">
                    <c:v>0</c:v>
                  </c:pt>
                  <c:pt idx="1671">
                    <c:v>1835 cm</c:v>
                  </c:pt>
                  <c:pt idx="1672">
                    <c:v>100 cc</c:v>
                  </c:pt>
                  <c:pt idx="1673">
                    <c:v>50 grs</c:v>
                  </c:pt>
                  <c:pt idx="1674">
                    <c:v>10-20 kg</c:v>
                  </c:pt>
                  <c:pt idx="1675">
                    <c:v>hasta 10 kg</c:v>
                  </c:pt>
                  <c:pt idx="1676">
                    <c:v>2-10 kg</c:v>
                  </c:pt>
                  <c:pt idx="1677">
                    <c:v>10-20kg</c:v>
                  </c:pt>
                  <c:pt idx="1678">
                    <c:v>hasta 4 kg</c:v>
                  </c:pt>
                  <c:pt idx="1679">
                    <c:v>mas de 4 kg</c:v>
                  </c:pt>
                  <c:pt idx="1680">
                    <c:v>5A10 KG</c:v>
                  </c:pt>
                  <c:pt idx="1681">
                    <c:v>10-kg</c:v>
                  </c:pt>
                  <c:pt idx="1682">
                    <c:v>10-25 kg</c:v>
                  </c:pt>
                  <c:pt idx="1683">
                    <c:v>25-40 kg</c:v>
                  </c:pt>
                  <c:pt idx="1684">
                    <c:v>HASTA 5 KG</c:v>
                  </c:pt>
                  <c:pt idx="1685">
                    <c:v>mas de 4kg</c:v>
                  </c:pt>
                  <c:pt idx="1686">
                    <c:v>hasta 4 kg</c:v>
                  </c:pt>
                  <c:pt idx="1687">
                    <c:v>0</c:v>
                  </c:pt>
                  <c:pt idx="1688">
                    <c:v>20 a 40 kg</c:v>
                  </c:pt>
                  <c:pt idx="1689">
                    <c:v>gato</c:v>
                  </c:pt>
                  <c:pt idx="1690">
                    <c:v>3</c:v>
                  </c:pt>
                  <c:pt idx="1693">
                    <c:v>16*10*14</c:v>
                  </c:pt>
                  <c:pt idx="1694">
                    <c:v>12*5*28</c:v>
                  </c:pt>
                  <c:pt idx="1695">
                    <c:v>7*3*29</c:v>
                  </c:pt>
                  <c:pt idx="1697">
                    <c:v>12x11</c:v>
                  </c:pt>
                  <c:pt idx="1698">
                    <c:v>c/u</c:v>
                  </c:pt>
                  <c:pt idx="1699">
                    <c:v>0</c:v>
                  </c:pt>
                  <c:pt idx="1700">
                    <c:v>1221</c:v>
                  </c:pt>
                  <c:pt idx="1701">
                    <c:v>frondosa9x6x25</c:v>
                  </c:pt>
                  <c:pt idx="1702">
                    <c:v>30 cm</c:v>
                  </c:pt>
                  <c:pt idx="1704">
                    <c:v>c/u</c:v>
                  </c:pt>
                  <c:pt idx="1705">
                    <c:v>0</c:v>
                  </c:pt>
                  <c:pt idx="1709">
                    <c:v>c/u</c:v>
                  </c:pt>
                  <c:pt idx="1710">
                    <c:v>bolsa 20 cm x 2 unidades</c:v>
                  </c:pt>
                  <c:pt idx="1711">
                    <c:v>30 cm</c:v>
                  </c:pt>
                  <c:pt idx="1712">
                    <c:v>40 cm</c:v>
                  </c:pt>
                  <c:pt idx="1714">
                    <c:v>160 cc</c:v>
                  </c:pt>
                  <c:pt idx="1715">
                    <c:v>160 CC</c:v>
                  </c:pt>
                  <c:pt idx="1716">
                    <c:v>2 plat</c:v>
                  </c:pt>
                  <c:pt idx="1717">
                    <c:v>20</c:v>
                  </c:pt>
                  <c:pt idx="1718">
                    <c:v>25</c:v>
                  </c:pt>
                  <c:pt idx="1719">
                    <c:v>30</c:v>
                  </c:pt>
                  <c:pt idx="1720">
                    <c:v>15x15</c:v>
                  </c:pt>
                  <c:pt idx="1721">
                    <c:v>20x20</c:v>
                  </c:pt>
                  <c:pt idx="1722">
                    <c:v>27x27</c:v>
                  </c:pt>
                  <c:pt idx="1723">
                    <c:v>n 11</c:v>
                  </c:pt>
                  <c:pt idx="1724">
                    <c:v>n 14</c:v>
                  </c:pt>
                </c:lvl>
                <c:lvl>
                  <c:pt idx="0">
                    <c:v> pie sepelio mediano grde</c:v>
                  </c:pt>
                  <c:pt idx="1">
                    <c:v>abamectina100 c,c,</c:v>
                  </c:pt>
                  <c:pt idx="2">
                    <c:v>ABATOP(abamectina)</c:v>
                  </c:pt>
                  <c:pt idx="3">
                    <c:v>Abono de mar</c:v>
                  </c:pt>
                  <c:pt idx="4">
                    <c:v>Abono de mar </c:v>
                  </c:pt>
                  <c:pt idx="5">
                    <c:v>aceite</c:v>
                  </c:pt>
                  <c:pt idx="6">
                    <c:v>aceite</c:v>
                  </c:pt>
                  <c:pt idx="7">
                    <c:v>aceite</c:v>
                  </c:pt>
                  <c:pt idx="8">
                    <c:v>aceite de neem</c:v>
                  </c:pt>
                  <c:pt idx="9">
                    <c:v>ACEITE DE NEEM</c:v>
                  </c:pt>
                  <c:pt idx="10">
                    <c:v>acople para manguera</c:v>
                  </c:pt>
                  <c:pt idx="11">
                    <c:v>acoples para manguera 3 piezas</c:v>
                  </c:pt>
                  <c:pt idx="12">
                    <c:v>acoples plastico p/manguera</c:v>
                  </c:pt>
                  <c:pt idx="13">
                    <c:v>activador </c:v>
                  </c:pt>
                  <c:pt idx="14">
                    <c:v>activador de  flores</c:v>
                  </c:pt>
                  <c:pt idx="15">
                    <c:v>adaptador 1/2</c:v>
                  </c:pt>
                  <c:pt idx="16">
                    <c:v>adaptador 1/2a3/4</c:v>
                  </c:pt>
                  <c:pt idx="17">
                    <c:v>adorno de corazon</c:v>
                  </c:pt>
                  <c:pt idx="18">
                    <c:v>adorno mica</c:v>
                  </c:pt>
                  <c:pt idx="19">
                    <c:v>adorno pecera</c:v>
                  </c:pt>
                  <c:pt idx="20">
                    <c:v>adorno pecera</c:v>
                  </c:pt>
                  <c:pt idx="21">
                    <c:v>adorno pecera</c:v>
                  </c:pt>
                  <c:pt idx="22">
                    <c:v>adorno pecera</c:v>
                  </c:pt>
                  <c:pt idx="23">
                    <c:v>adorno pecera</c:v>
                  </c:pt>
                  <c:pt idx="24">
                    <c:v>afrechillo molido de trigo</c:v>
                  </c:pt>
                  <c:pt idx="25">
                    <c:v>afrechillo molido de trigo </c:v>
                  </c:pt>
                  <c:pt idx="26">
                    <c:v>ahuyentador perro y gatos</c:v>
                  </c:pt>
                  <c:pt idx="27">
                    <c:v>aireador 1 salida 3w</c:v>
                  </c:pt>
                  <c:pt idx="28">
                    <c:v>aireador 1 salida 3w</c:v>
                  </c:pt>
                  <c:pt idx="29">
                    <c:v>aireador 1 salida rs-160</c:v>
                  </c:pt>
                  <c:pt idx="30">
                    <c:v>aireador 2 salida 5w</c:v>
                  </c:pt>
                  <c:pt idx="31">
                    <c:v>aireador 2 salidas rs-360</c:v>
                  </c:pt>
                  <c:pt idx="32">
                    <c:v>aireador 2 salidas rs-390</c:v>
                  </c:pt>
                  <c:pt idx="33">
                    <c:v>aireador 2,5lm  sl-2800</c:v>
                  </c:pt>
                  <c:pt idx="34">
                    <c:v>AKITO</c:v>
                  </c:pt>
                  <c:pt idx="35">
                    <c:v>alicate p/mascota</c:v>
                  </c:pt>
                  <c:pt idx="36">
                    <c:v>alimemtos p/plantas</c:v>
                  </c:pt>
                  <c:pt idx="37">
                    <c:v>alimento de tortuga</c:v>
                  </c:pt>
                  <c:pt idx="38">
                    <c:v>alimento gammarus</c:v>
                  </c:pt>
                  <c:pt idx="39">
                    <c:v>alimento gammarus</c:v>
                  </c:pt>
                  <c:pt idx="40">
                    <c:v>alimento gammarus</c:v>
                  </c:pt>
                  <c:pt idx="41">
                    <c:v>alimento gammarus</c:v>
                  </c:pt>
                  <c:pt idx="42">
                    <c:v>alimento godlfish flakes</c:v>
                  </c:pt>
                  <c:pt idx="43">
                    <c:v>alimento goldfish colour bits</c:v>
                  </c:pt>
                  <c:pt idx="44">
                    <c:v>alimento goldfish flakes </c:v>
                  </c:pt>
                  <c:pt idx="45">
                    <c:v>alimento goldfish flakes </c:v>
                  </c:pt>
                  <c:pt idx="46">
                    <c:v>alimento golfish </c:v>
                  </c:pt>
                  <c:pt idx="47">
                    <c:v>alimento grano mediano marron-verde</c:v>
                  </c:pt>
                  <c:pt idx="48">
                    <c:v>alimento p/tortugas alcon</c:v>
                  </c:pt>
                  <c:pt idx="49">
                    <c:v>alimento para estanque</c:v>
                  </c:pt>
                  <c:pt idx="50">
                    <c:v>alimento peleteado floatin green p/peces</c:v>
                  </c:pt>
                  <c:pt idx="51">
                    <c:v>alimento peleteado floatin green p/peces</c:v>
                  </c:pt>
                  <c:pt idx="52">
                    <c:v>alimento peleteado floatin green p/peces</c:v>
                  </c:pt>
                  <c:pt idx="53">
                    <c:v>alimento peleteado floatin green p/peces</c:v>
                  </c:pt>
                  <c:pt idx="54">
                    <c:v>alimento tortuga reptolife balde1,100 kg</c:v>
                  </c:pt>
                  <c:pt idx="55">
                    <c:v>alimento tortugaalcon</c:v>
                  </c:pt>
                  <c:pt idx="56">
                    <c:v>alimento tortugas tartafood</c:v>
                  </c:pt>
                  <c:pt idx="57">
                    <c:v>alimento tortugas tartafood</c:v>
                  </c:pt>
                  <c:pt idx="58">
                    <c:v>alimento tortugas tartafood</c:v>
                  </c:pt>
                  <c:pt idx="59">
                    <c:v>alimentos p/plantas CRECE MAS</c:v>
                  </c:pt>
                  <c:pt idx="60">
                    <c:v>almaciguera</c:v>
                  </c:pt>
                  <c:pt idx="61">
                    <c:v>almaciguera</c:v>
                  </c:pt>
                  <c:pt idx="62">
                    <c:v>almaciguera</c:v>
                  </c:pt>
                  <c:pt idx="63">
                    <c:v>ALMACIGUERA </c:v>
                  </c:pt>
                  <c:pt idx="64">
                    <c:v>almaciguera 288 cavidades</c:v>
                  </c:pt>
                  <c:pt idx="65">
                    <c:v>almaciguera 50 cavidades </c:v>
                  </c:pt>
                  <c:pt idx="66">
                    <c:v>almacigueras</c:v>
                  </c:pt>
                  <c:pt idx="67">
                    <c:v>almacigueras x 106 espacios</c:v>
                  </c:pt>
                  <c:pt idx="68">
                    <c:v>almacigueras x 200 espacios</c:v>
                  </c:pt>
                  <c:pt idx="69">
                    <c:v>almacigueras x 21 espacios</c:v>
                  </c:pt>
                  <c:pt idx="70">
                    <c:v>almacigueras x 32 espacios</c:v>
                  </c:pt>
                  <c:pt idx="71">
                    <c:v>almohadon corazon</c:v>
                  </c:pt>
                  <c:pt idx="72">
                    <c:v>alpiste</c:v>
                  </c:pt>
                  <c:pt idx="73">
                    <c:v>alpiste</c:v>
                  </c:pt>
                  <c:pt idx="74">
                    <c:v>alpiste</c:v>
                  </c:pt>
                  <c:pt idx="75">
                    <c:v>alpiste</c:v>
                  </c:pt>
                  <c:pt idx="76">
                    <c:v>antorcha</c:v>
                  </c:pt>
                  <c:pt idx="77">
                    <c:v>antorcha</c:v>
                  </c:pt>
                  <c:pt idx="78">
                    <c:v>antorcha 120cc</c:v>
                  </c:pt>
                  <c:pt idx="79">
                    <c:v>antorcha 150cc</c:v>
                  </c:pt>
                  <c:pt idx="80">
                    <c:v>appril antiparasitario</c:v>
                  </c:pt>
                  <c:pt idx="81">
                    <c:v>appril antiparasitario</c:v>
                  </c:pt>
                  <c:pt idx="82">
                    <c:v>appril antiparasitario</c:v>
                  </c:pt>
                  <c:pt idx="83">
                    <c:v>ARO MIMBRE CHICO</c:v>
                  </c:pt>
                  <c:pt idx="84">
                    <c:v>ARO MIMBRE GRANDE</c:v>
                  </c:pt>
                  <c:pt idx="85">
                    <c:v>aros coronas</c:v>
                  </c:pt>
                  <c:pt idx="86">
                    <c:v>aros coronas</c:v>
                  </c:pt>
                  <c:pt idx="87">
                    <c:v>aros coronas</c:v>
                  </c:pt>
                  <c:pt idx="88">
                    <c:v>arrozin</c:v>
                  </c:pt>
                  <c:pt idx="89">
                    <c:v>arrozin</c:v>
                  </c:pt>
                  <c:pt idx="90">
                    <c:v>aspersor giratorio</c:v>
                  </c:pt>
                  <c:pt idx="91">
                    <c:v>ASPERSOR GIRATORIO</c:v>
                  </c:pt>
                  <c:pt idx="92">
                    <c:v>aspersor giratorio</c:v>
                  </c:pt>
                  <c:pt idx="93">
                    <c:v>ATADO FOLLAJE X 3 HOJAS VERDES</c:v>
                  </c:pt>
                  <c:pt idx="94">
                    <c:v>atado ilusion</c:v>
                  </c:pt>
                  <c:pt idx="95">
                    <c:v>atado rosa</c:v>
                  </c:pt>
                  <c:pt idx="96">
                    <c:v>atado x 6 cala</c:v>
                  </c:pt>
                  <c:pt idx="97">
                    <c:v>azomite</c:v>
                  </c:pt>
                  <c:pt idx="98">
                    <c:v>azufre en polvo industrial</c:v>
                  </c:pt>
                  <c:pt idx="99">
                    <c:v>azufre en polvo industrial</c:v>
                  </c:pt>
                  <c:pt idx="100">
                    <c:v>azufre mojable </c:v>
                  </c:pt>
                  <c:pt idx="101">
                    <c:v>azufre mojable sulfagro</c:v>
                  </c:pt>
                  <c:pt idx="102">
                    <c:v>azufre seco</c:v>
                  </c:pt>
                  <c:pt idx="103">
                    <c:v>babocol</c:v>
                  </c:pt>
                  <c:pt idx="104">
                    <c:v>baboxan organico pellet</c:v>
                  </c:pt>
                  <c:pt idx="105">
                    <c:v>baboxan pelets</c:v>
                  </c:pt>
                  <c:pt idx="106">
                    <c:v>baboxan pellets </c:v>
                  </c:pt>
                  <c:pt idx="107">
                    <c:v>baboxan polvo</c:v>
                  </c:pt>
                  <c:pt idx="108">
                    <c:v>baboxan polvo</c:v>
                  </c:pt>
                  <c:pt idx="109">
                    <c:v>BALDE ACERO INOX </c:v>
                  </c:pt>
                  <c:pt idx="110">
                    <c:v>bandeja plastico c/escamas</c:v>
                  </c:pt>
                  <c:pt idx="111">
                    <c:v>bandeja sanitaria</c:v>
                  </c:pt>
                  <c:pt idx="112">
                    <c:v>bandeja sanitaria</c:v>
                  </c:pt>
                  <c:pt idx="113">
                    <c:v>bandeja sanitaria alta luxo</c:v>
                  </c:pt>
                  <c:pt idx="114">
                    <c:v>bañera grande</c:v>
                  </c:pt>
                  <c:pt idx="115">
                    <c:v>bañera plastica chica</c:v>
                  </c:pt>
                  <c:pt idx="116">
                    <c:v>bañera plastica gigante</c:v>
                  </c:pt>
                  <c:pt idx="117">
                    <c:v>bañera plastica grande</c:v>
                  </c:pt>
                  <c:pt idx="118">
                    <c:v>bañera plastica mediada</c:v>
                  </c:pt>
                  <c:pt idx="119">
                    <c:v>barco galeon</c:v>
                  </c:pt>
                  <c:pt idx="120">
                    <c:v>barco hundido</c:v>
                  </c:pt>
                  <c:pt idx="121">
                    <c:v>barrera antihormigas</c:v>
                  </c:pt>
                  <c:pt idx="122">
                    <c:v>barricade </c:v>
                  </c:pt>
                  <c:pt idx="123">
                    <c:v>barricade 36 frascos</c:v>
                  </c:pt>
                  <c:pt idx="124">
                    <c:v>barrisan</c:v>
                  </c:pt>
                  <c:pt idx="125">
                    <c:v>Bat Guano</c:v>
                  </c:pt>
                  <c:pt idx="126">
                    <c:v>Bat Guano</c:v>
                  </c:pt>
                  <c:pt idx="127">
                    <c:v>bat guano</c:v>
                  </c:pt>
                  <c:pt idx="128">
                    <c:v>bat guano</c:v>
                  </c:pt>
                  <c:pt idx="129">
                    <c:v>BEBEDERO</c:v>
                  </c:pt>
                  <c:pt idx="130">
                    <c:v>bebedero </c:v>
                  </c:pt>
                  <c:pt idx="131">
                    <c:v>bebedero </c:v>
                  </c:pt>
                  <c:pt idx="132">
                    <c:v>bebedero con asa</c:v>
                  </c:pt>
                  <c:pt idx="133">
                    <c:v>bebedero con asa</c:v>
                  </c:pt>
                  <c:pt idx="134">
                    <c:v>BEBEDERO HAMSTER</c:v>
                  </c:pt>
                  <c:pt idx="135">
                    <c:v>bebedero hamster</c:v>
                  </c:pt>
                  <c:pt idx="136">
                    <c:v>bebedero jaula pajaro</c:v>
                  </c:pt>
                  <c:pt idx="137">
                    <c:v>bebedero nacional</c:v>
                  </c:pt>
                  <c:pt idx="138">
                    <c:v>bebedero p/pajaro grande</c:v>
                  </c:pt>
                  <c:pt idx="139">
                    <c:v>bebedero p/pajaro tubo</c:v>
                  </c:pt>
                  <c:pt idx="140">
                    <c:v>bebedero p/pajaros tubo</c:v>
                  </c:pt>
                  <c:pt idx="141">
                    <c:v>bebedero p/pajaros tubo</c:v>
                  </c:pt>
                  <c:pt idx="142">
                    <c:v>bebedero picaflor</c:v>
                  </c:pt>
                  <c:pt idx="143">
                    <c:v>bebedero picaflor 3 flores</c:v>
                  </c:pt>
                  <c:pt idx="144">
                    <c:v>bebedero picaflor beija flor gold</c:v>
                  </c:pt>
                  <c:pt idx="145">
                    <c:v>bebedero picaflor beija flor premium</c:v>
                  </c:pt>
                  <c:pt idx="146">
                    <c:v>bebedero picaflor chico</c:v>
                  </c:pt>
                  <c:pt idx="147">
                    <c:v>bebedero picaflor chico</c:v>
                  </c:pt>
                  <c:pt idx="148">
                    <c:v>bebedero picaflor especial</c:v>
                  </c:pt>
                  <c:pt idx="149">
                    <c:v>bebedero picaflor grande</c:v>
                  </c:pt>
                  <c:pt idx="150">
                    <c:v>bebedero picaflor mediano</c:v>
                  </c:pt>
                  <c:pt idx="151">
                    <c:v>bebedero picflor grande</c:v>
                  </c:pt>
                  <c:pt idx="152">
                    <c:v>bebedero picflor grande</c:v>
                  </c:pt>
                  <c:pt idx="153">
                    <c:v>bebedero plastico</c:v>
                  </c:pt>
                  <c:pt idx="154">
                    <c:v>bebedero plastico</c:v>
                  </c:pt>
                  <c:pt idx="155">
                    <c:v>bebedero plastico grande</c:v>
                  </c:pt>
                  <c:pt idx="156">
                    <c:v>bebedero plastico punta metal</c:v>
                  </c:pt>
                  <c:pt idx="157">
                    <c:v>bebedero plastico punta metal</c:v>
                  </c:pt>
                  <c:pt idx="158">
                    <c:v>bebedero plastico punta metal</c:v>
                  </c:pt>
                  <c:pt idx="159">
                    <c:v>bebedero plastico punta metal</c:v>
                  </c:pt>
                  <c:pt idx="160">
                    <c:v>bebedero plastico punta metal</c:v>
                  </c:pt>
                  <c:pt idx="161">
                    <c:v>bicarbonato de sodio</c:v>
                  </c:pt>
                  <c:pt idx="162">
                    <c:v>BICI METAL</c:v>
                  </c:pt>
                  <c:pt idx="163">
                    <c:v>BICI METAL GRANDE</c:v>
                  </c:pt>
                  <c:pt idx="164">
                    <c:v>BICI METAL MINI</c:v>
                  </c:pt>
                  <c:pt idx="165">
                    <c:v>bicicleta adorno</c:v>
                  </c:pt>
                  <c:pt idx="166">
                    <c:v>big one floraCION</c:v>
                  </c:pt>
                  <c:pt idx="167">
                    <c:v>bio funguicida</c:v>
                  </c:pt>
                  <c:pt idx="168">
                    <c:v>bio insecticida</c:v>
                  </c:pt>
                  <c:pt idx="169">
                    <c:v>bio-fertilizante</c:v>
                  </c:pt>
                  <c:pt idx="170">
                    <c:v>bio-fertilizante</c:v>
                  </c:pt>
                  <c:pt idx="171">
                    <c:v>bio-fertilizantes</c:v>
                  </c:pt>
                  <c:pt idx="172">
                    <c:v>biopellet compomite</c:v>
                  </c:pt>
                  <c:pt idx="173">
                    <c:v>biopellet componite</c:v>
                  </c:pt>
                  <c:pt idx="174">
                    <c:v>biorepelente</c:v>
                  </c:pt>
                  <c:pt idx="175">
                    <c:v>biosustrato</c:v>
                  </c:pt>
                  <c:pt idx="176">
                    <c:v>biosustrato</c:v>
                  </c:pt>
                  <c:pt idx="177">
                    <c:v>biscrok</c:v>
                  </c:pt>
                  <c:pt idx="178">
                    <c:v>biscrok</c:v>
                  </c:pt>
                  <c:pt idx="179">
                    <c:v>BLISTER COLLARES MASCOTAS /SONAJERO</c:v>
                  </c:pt>
                  <c:pt idx="180">
                    <c:v>BLISTER COLLARES MASCOTAS MOÑAC /SONAJERO</c:v>
                  </c:pt>
                  <c:pt idx="181">
                    <c:v>BOLS COCO 15</c:v>
                  </c:pt>
                  <c:pt idx="182">
                    <c:v>bols coco bols 20</c:v>
                  </c:pt>
                  <c:pt idx="183">
                    <c:v>bols coco bols 25</c:v>
                  </c:pt>
                  <c:pt idx="184">
                    <c:v>bols coco bols 30</c:v>
                  </c:pt>
                  <c:pt idx="185">
                    <c:v>bols coco bols 35</c:v>
                  </c:pt>
                  <c:pt idx="186">
                    <c:v>bols coco con plato y linga</c:v>
                  </c:pt>
                  <c:pt idx="187">
                    <c:v>bols coco con plato y linga</c:v>
                  </c:pt>
                  <c:pt idx="188">
                    <c:v>bols COLOR c/plato</c:v>
                  </c:pt>
                  <c:pt idx="189">
                    <c:v>bols COLOR c/plato</c:v>
                  </c:pt>
                  <c:pt idx="190">
                    <c:v>bols con cadena </c:v>
                  </c:pt>
                  <c:pt idx="191">
                    <c:v>bols con cadena </c:v>
                  </c:pt>
                  <c:pt idx="192">
                    <c:v>bols con cadena </c:v>
                  </c:pt>
                  <c:pt idx="193">
                    <c:v>bols con cadena chino</c:v>
                  </c:pt>
                  <c:pt idx="194">
                    <c:v>bols con cadena chino</c:v>
                  </c:pt>
                  <c:pt idx="195">
                    <c:v>BOLS RATAN</c:v>
                  </c:pt>
                  <c:pt idx="196">
                    <c:v>bols s/plato vicenza</c:v>
                  </c:pt>
                  <c:pt idx="197">
                    <c:v>bols s/plato VICENZA</c:v>
                  </c:pt>
                  <c:pt idx="198">
                    <c:v>bols s/plato VICENZA</c:v>
                  </c:pt>
                  <c:pt idx="199">
                    <c:v>bols s/plato VICENZA</c:v>
                  </c:pt>
                  <c:pt idx="200">
                    <c:v>bols s/plato VICENZA</c:v>
                  </c:pt>
                  <c:pt idx="201">
                    <c:v>BOLS TERRA</c:v>
                  </c:pt>
                  <c:pt idx="202">
                    <c:v>BOLS TERRA</c:v>
                  </c:pt>
                  <c:pt idx="203">
                    <c:v>bolsa 20x30</c:v>
                  </c:pt>
                  <c:pt idx="204">
                    <c:v>bolsa 28x40</c:v>
                  </c:pt>
                  <c:pt idx="205">
                    <c:v>bolsa 35x50</c:v>
                  </c:pt>
                  <c:pt idx="206">
                    <c:v>BOLSA CAMISETA-</c:v>
                  </c:pt>
                  <c:pt idx="207">
                    <c:v>bolsa camiseta con fuelle</c:v>
                  </c:pt>
                  <c:pt idx="208">
                    <c:v>bolsa camiseta recicble</c:v>
                  </c:pt>
                  <c:pt idx="209">
                    <c:v>bolsa camiseta recicble</c:v>
                  </c:pt>
                  <c:pt idx="210">
                    <c:v>bolsa p/ lavarropa</c:v>
                  </c:pt>
                  <c:pt idx="211">
                    <c:v>bolsa p/semilla p/p</c:v>
                  </c:pt>
                  <c:pt idx="212">
                    <c:v>bolsa papel n 3</c:v>
                  </c:pt>
                  <c:pt idx="213">
                    <c:v>bolsa vivero/kg</c:v>
                  </c:pt>
                  <c:pt idx="214">
                    <c:v>bolsa vivero/kg</c:v>
                  </c:pt>
                  <c:pt idx="215">
                    <c:v>bolsa vivero/kg</c:v>
                  </c:pt>
                  <c:pt idx="216">
                    <c:v>bolsa vivero/kg -1 LTR</c:v>
                  </c:pt>
                  <c:pt idx="217">
                    <c:v>bolsa vivero/kg-2 LTR</c:v>
                  </c:pt>
                  <c:pt idx="218">
                    <c:v>bolsoc/cierre</c:v>
                  </c:pt>
                  <c:pt idx="219">
                    <c:v>bolsos chicos</c:v>
                  </c:pt>
                  <c:pt idx="220">
                    <c:v>bolsos grande</c:v>
                  </c:pt>
                  <c:pt idx="221">
                    <c:v>bomba de agua</c:v>
                  </c:pt>
                  <c:pt idx="222">
                    <c:v>bomba de agua</c:v>
                  </c:pt>
                  <c:pt idx="223">
                    <c:v>Bomba de agua </c:v>
                  </c:pt>
                  <c:pt idx="224">
                    <c:v>bomba de agua 40 w 2000 ltr, hr 2 mtr h</c:v>
                  </c:pt>
                  <c:pt idx="225">
                    <c:v>bomba de agua 5 w350 ltr /h0,65 hrs-901</c:v>
                  </c:pt>
                  <c:pt idx="226">
                    <c:v>BOMBA DE AGUA AQUARIUM</c:v>
                  </c:pt>
                  <c:pt idx="227">
                    <c:v>botelle con rocedor</c:v>
                  </c:pt>
                  <c:pt idx="228">
                    <c:v>boyas con 3 tanzas</c:v>
                  </c:pt>
                  <c:pt idx="229">
                    <c:v>bozal cuero</c:v>
                  </c:pt>
                  <c:pt idx="230">
                    <c:v>bozal plastico</c:v>
                  </c:pt>
                  <c:pt idx="231">
                    <c:v>bozal plastico</c:v>
                  </c:pt>
                  <c:pt idx="232">
                    <c:v>bozal plastico</c:v>
                  </c:pt>
                  <c:pt idx="233">
                    <c:v>bozal plastico</c:v>
                  </c:pt>
                  <c:pt idx="234">
                    <c:v>brillo p/hojas</c:v>
                  </c:pt>
                  <c:pt idx="235">
                    <c:v>buche</c:v>
                  </c:pt>
                  <c:pt idx="236">
                    <c:v>BUD PACK top crop</c:v>
                  </c:pt>
                  <c:pt idx="237">
                    <c:v>cable alambre forrado de atar</c:v>
                  </c:pt>
                  <c:pt idx="238">
                    <c:v>cactus</c:v>
                  </c:pt>
                  <c:pt idx="239">
                    <c:v>cactus mix</c:v>
                  </c:pt>
                  <c:pt idx="240">
                    <c:v>cadena c/mauser y manija antides</c:v>
                  </c:pt>
                  <c:pt idx="241">
                    <c:v>cadena soldada para perro</c:v>
                  </c:pt>
                  <c:pt idx="242">
                    <c:v>cadena soldada para perro</c:v>
                  </c:pt>
                  <c:pt idx="243">
                    <c:v>cadena soldada para perro</c:v>
                  </c:pt>
                  <c:pt idx="244">
                    <c:v>cadena soldada para perro</c:v>
                  </c:pt>
                  <c:pt idx="245">
                    <c:v>cadena soldada para perro</c:v>
                  </c:pt>
                  <c:pt idx="246">
                    <c:v>cadena soldada para perro</c:v>
                  </c:pt>
                  <c:pt idx="247">
                    <c:v>caja anzuelos</c:v>
                  </c:pt>
                  <c:pt idx="248">
                    <c:v>CAJON AGROBOX</c:v>
                  </c:pt>
                  <c:pt idx="249">
                    <c:v>calcio p/tortuga</c:v>
                  </c:pt>
                  <c:pt idx="250">
                    <c:v>calcio-p/tortugas</c:v>
                  </c:pt>
                  <c:pt idx="251">
                    <c:v>caldo bordoles </c:v>
                  </c:pt>
                  <c:pt idx="252">
                    <c:v>calecfator30w</c:v>
                  </c:pt>
                  <c:pt idx="253">
                    <c:v>CALEFACTOR100 W</c:v>
                  </c:pt>
                  <c:pt idx="254">
                    <c:v>calefator </c:v>
                  </c:pt>
                  <c:pt idx="255">
                    <c:v>calefator 75w</c:v>
                  </c:pt>
                  <c:pt idx="256">
                    <c:v>cama mascota rayada</c:v>
                  </c:pt>
                  <c:pt idx="257">
                    <c:v>cama mascota rayada</c:v>
                  </c:pt>
                  <c:pt idx="258">
                    <c:v>CANASTO</c:v>
                  </c:pt>
                  <c:pt idx="259">
                    <c:v>CANTO RODADO</c:v>
                  </c:pt>
                  <c:pt idx="260">
                    <c:v>caño p/pecera</c:v>
                  </c:pt>
                  <c:pt idx="261">
                    <c:v>caracolicida</c:v>
                  </c:pt>
                  <c:pt idx="262">
                    <c:v>caracolicida + hormiguicida</c:v>
                  </c:pt>
                  <c:pt idx="263">
                    <c:v>caracolicida agrol granulado</c:v>
                  </c:pt>
                  <c:pt idx="264">
                    <c:v>caracolicida cara-ba pellets -caja de 24-</c:v>
                  </c:pt>
                  <c:pt idx="265">
                    <c:v>caracolicida metazon</c:v>
                  </c:pt>
                  <c:pt idx="266">
                    <c:v>caracolicida metazon</c:v>
                  </c:pt>
                  <c:pt idx="267">
                    <c:v>caracolicida metazon</c:v>
                  </c:pt>
                  <c:pt idx="268">
                    <c:v>caramelode miel</c:v>
                  </c:pt>
                  <c:pt idx="269">
                    <c:v>CARAMELOS DE MIEL</c:v>
                  </c:pt>
                  <c:pt idx="270">
                    <c:v>carbon activado</c:v>
                  </c:pt>
                  <c:pt idx="271">
                    <c:v>carbon activado polvo</c:v>
                  </c:pt>
                  <c:pt idx="272">
                    <c:v>cardina plastica</c:v>
                  </c:pt>
                  <c:pt idx="273">
                    <c:v>cascada </c:v>
                  </c:pt>
                  <c:pt idx="274">
                    <c:v>cascara de pino</c:v>
                  </c:pt>
                  <c:pt idx="275">
                    <c:v>casita trampa p/cucarachas</c:v>
                  </c:pt>
                  <c:pt idx="276">
                    <c:v>castillo</c:v>
                  </c:pt>
                  <c:pt idx="277">
                    <c:v>castillo 4 puntas y puente</c:v>
                  </c:pt>
                  <c:pt idx="278">
                    <c:v>cepillo silicona</c:v>
                  </c:pt>
                  <c:pt idx="279">
                    <c:v>CERAMICA CHICA</c:v>
                  </c:pt>
                  <c:pt idx="280">
                    <c:v>CERAMICA MEDIANA</c:v>
                  </c:pt>
                  <c:pt idx="281">
                    <c:v>CERAMICA OLLAS</c:v>
                  </c:pt>
                  <c:pt idx="282">
                    <c:v>cerca con hojas</c:v>
                  </c:pt>
                  <c:pt idx="283">
                    <c:v>CERCO PLASTICO COLONIAL</c:v>
                  </c:pt>
                  <c:pt idx="284">
                    <c:v>cerco plastico valla para jardin</c:v>
                  </c:pt>
                  <c:pt idx="285">
                    <c:v>cero plaga 3 en 1</c:v>
                  </c:pt>
                  <c:pt idx="286">
                    <c:v>CERO PLAGA BIO insc polvo diat</c:v>
                  </c:pt>
                  <c:pt idx="287">
                    <c:v>cero plaga brrera antihormigas</c:v>
                  </c:pt>
                  <c:pt idx="288">
                    <c:v>CERO PLAGA CARACOLICIDA</c:v>
                  </c:pt>
                  <c:pt idx="289">
                    <c:v>CERO PLAGA CARACOLICIDA</c:v>
                  </c:pt>
                  <c:pt idx="290">
                    <c:v>cero plaga epray recambio</c:v>
                  </c:pt>
                  <c:pt idx="291">
                    <c:v>cero plaga hormiguicida</c:v>
                  </c:pt>
                  <c:pt idx="292">
                    <c:v>cero plaga hormiguicida</c:v>
                  </c:pt>
                  <c:pt idx="293">
                    <c:v>CERO PLAGA ins org 4 en 1</c:v>
                  </c:pt>
                  <c:pt idx="294">
                    <c:v>CERO PLAGA INSECT ORG CONCENTRADO</c:v>
                  </c:pt>
                  <c:pt idx="295">
                    <c:v>cero plaga insecticida concentrado</c:v>
                  </c:pt>
                  <c:pt idx="296">
                    <c:v>cero plaga jabon potasico spray</c:v>
                  </c:pt>
                  <c:pt idx="297">
                    <c:v>CERO PLAGA RECAMBIO INSECTICIDA</c:v>
                  </c:pt>
                  <c:pt idx="298">
                    <c:v>CERO PLAGA spray organico</c:v>
                  </c:pt>
                  <c:pt idx="299">
                    <c:v>cesped axonopus</c:v>
                  </c:pt>
                  <c:pt idx="300">
                    <c:v>cesped axonopus</c:v>
                  </c:pt>
                  <c:pt idx="301">
                    <c:v>cesped inteligente</c:v>
                  </c:pt>
                  <c:pt idx="302">
                    <c:v>cesped inteligente</c:v>
                  </c:pt>
                  <c:pt idx="303">
                    <c:v>cesped loliumperenne esquire</c:v>
                  </c:pt>
                  <c:pt idx="304">
                    <c:v>cesped mezcla estándar bolsa</c:v>
                  </c:pt>
                  <c:pt idx="305">
                    <c:v>cesped mezcla estándar bolsa</c:v>
                  </c:pt>
                  <c:pt idx="306">
                    <c:v>cesped mezcla estándar disp caja</c:v>
                  </c:pt>
                  <c:pt idx="307">
                    <c:v>cesped premiun ultra rapido</c:v>
                  </c:pt>
                  <c:pt idx="308">
                    <c:v>CESPED SINTETICO</c:v>
                  </c:pt>
                  <c:pt idx="309">
                    <c:v>chip de coco</c:v>
                  </c:pt>
                  <c:pt idx="310">
                    <c:v>chip de pino</c:v>
                  </c:pt>
                  <c:pt idx="311">
                    <c:v>cinta aisladora</c:v>
                  </c:pt>
                  <c:pt idx="312">
                    <c:v>cinta aisladora</c:v>
                  </c:pt>
                  <c:pt idx="313">
                    <c:v>CINTA ATAR</c:v>
                  </c:pt>
                  <c:pt idx="314">
                    <c:v>cinta para insectos</c:v>
                  </c:pt>
                  <c:pt idx="315">
                    <c:v>cinta pegajosa moscas</c:v>
                  </c:pt>
                  <c:pt idx="316">
                    <c:v>cipermetrina</c:v>
                  </c:pt>
                  <c:pt idx="317">
                    <c:v>cipermetrina</c:v>
                  </c:pt>
                  <c:pt idx="318">
                    <c:v>cipermetrina ectosules</c:v>
                  </c:pt>
                  <c:pt idx="319">
                    <c:v>cipermic</c:v>
                  </c:pt>
                  <c:pt idx="320">
                    <c:v>CITRONELLA cero plaga</c:v>
                  </c:pt>
                  <c:pt idx="321">
                    <c:v>clavel grande</c:v>
                  </c:pt>
                  <c:pt idx="322">
                    <c:v>cloraqua liq anticloro</c:v>
                  </c:pt>
                  <c:pt idx="323">
                    <c:v>coco bols 15</c:v>
                  </c:pt>
                  <c:pt idx="324">
                    <c:v>coco bols 25</c:v>
                  </c:pt>
                  <c:pt idx="325">
                    <c:v>coco bols 35</c:v>
                  </c:pt>
                  <c:pt idx="326">
                    <c:v>coco bols 40</c:v>
                  </c:pt>
                  <c:pt idx="327">
                    <c:v>coco expandido</c:v>
                  </c:pt>
                  <c:pt idx="328">
                    <c:v>coigro coco cannablend</c:v>
                  </c:pt>
                  <c:pt idx="329">
                    <c:v>coigro coco cannablend</c:v>
                  </c:pt>
                  <c:pt idx="330">
                    <c:v>coigro coco cannablend</c:v>
                  </c:pt>
                  <c:pt idx="331">
                    <c:v>colchon sanitario ecologico</c:v>
                  </c:pt>
                  <c:pt idx="332">
                    <c:v>colgante n 1</c:v>
                  </c:pt>
                  <c:pt idx="333">
                    <c:v>colgante n 3</c:v>
                  </c:pt>
                  <c:pt idx="334">
                    <c:v>colgante n2</c:v>
                  </c:pt>
                  <c:pt idx="335">
                    <c:v>COLLAR</c:v>
                  </c:pt>
                  <c:pt idx="336">
                    <c:v>collar </c:v>
                  </c:pt>
                  <c:pt idx="337">
                    <c:v>collar ahorque </c:v>
                  </c:pt>
                  <c:pt idx="338">
                    <c:v>collar ahorque </c:v>
                  </c:pt>
                  <c:pt idx="339">
                    <c:v>collar ahorque </c:v>
                  </c:pt>
                  <c:pt idx="340">
                    <c:v>collar cinta lisa</c:v>
                  </c:pt>
                  <c:pt idx="341">
                    <c:v>collar cinta lisa</c:v>
                  </c:pt>
                  <c:pt idx="342">
                    <c:v>collar cinta lisa</c:v>
                  </c:pt>
                  <c:pt idx="343">
                    <c:v>collar cinta lisa</c:v>
                  </c:pt>
                  <c:pt idx="344">
                    <c:v>collar cinta lisa</c:v>
                  </c:pt>
                  <c:pt idx="345">
                    <c:v>collar cinta lisa</c:v>
                  </c:pt>
                  <c:pt idx="346">
                    <c:v>collar cinta lisa </c:v>
                  </c:pt>
                  <c:pt idx="347">
                    <c:v>collar cinta lisa </c:v>
                  </c:pt>
                  <c:pt idx="348">
                    <c:v>collar cinta lisa </c:v>
                  </c:pt>
                  <c:pt idx="349">
                    <c:v>collar cinta lisa 1,5 cm </c:v>
                  </c:pt>
                  <c:pt idx="350">
                    <c:v>collar cinta lisa 2 cm</c:v>
                  </c:pt>
                  <c:pt idx="351">
                    <c:v>collar cinta lisa doble cinta</c:v>
                  </c:pt>
                  <c:pt idx="352">
                    <c:v>COLLAR COLOR CUERO </c:v>
                  </c:pt>
                  <c:pt idx="353">
                    <c:v>collar con huellita</c:v>
                  </c:pt>
                  <c:pt idx="354">
                    <c:v>collar de perro</c:v>
                  </c:pt>
                  <c:pt idx="355">
                    <c:v>collar de perro</c:v>
                  </c:pt>
                  <c:pt idx="356">
                    <c:v>collar de perro</c:v>
                  </c:pt>
                  <c:pt idx="357">
                    <c:v>collar doble cocido</c:v>
                  </c:pt>
                  <c:pt idx="358">
                    <c:v>collar doble fila de ojales</c:v>
                  </c:pt>
                  <c:pt idx="359">
                    <c:v>collar doble ojalillo</c:v>
                  </c:pt>
                  <c:pt idx="360">
                    <c:v>collar doble ojalillo</c:v>
                  </c:pt>
                  <c:pt idx="361">
                    <c:v>collar dominal cachorro</c:v>
                  </c:pt>
                  <c:pt idx="362">
                    <c:v>collar dominal extra grande</c:v>
                  </c:pt>
                  <c:pt idx="363">
                    <c:v>collar dominal gato</c:v>
                  </c:pt>
                  <c:pt idx="364">
                    <c:v>collar dominal gato</c:v>
                  </c:pt>
                  <c:pt idx="365">
                    <c:v>collar dominal gatos</c:v>
                  </c:pt>
                  <c:pt idx="366">
                    <c:v>collar dominal grande</c:v>
                  </c:pt>
                  <c:pt idx="367">
                    <c:v>collar dominal mediano</c:v>
                  </c:pt>
                  <c:pt idx="368">
                    <c:v>collar domiunal mediano</c:v>
                  </c:pt>
                  <c:pt idx="369">
                    <c:v>collar galon </c:v>
                  </c:pt>
                  <c:pt idx="370">
                    <c:v>COLLAR GOM</c:v>
                  </c:pt>
                  <c:pt idx="371">
                    <c:v>collar jyg</c:v>
                  </c:pt>
                  <c:pt idx="372">
                    <c:v>collar jyg</c:v>
                  </c:pt>
                  <c:pt idx="373">
                    <c:v>collar lisoc/moña blister</c:v>
                  </c:pt>
                  <c:pt idx="374">
                    <c:v>collar nylondoble fila ojales</c:v>
                  </c:pt>
                  <c:pt idx="375">
                    <c:v>collar p/gatosperro chico</c:v>
                  </c:pt>
                  <c:pt idx="376">
                    <c:v>collar perro </c:v>
                  </c:pt>
                  <c:pt idx="377">
                    <c:v>collar perro doble filas de ojales</c:v>
                  </c:pt>
                  <c:pt idx="378">
                    <c:v>collar pincho s </c:v>
                  </c:pt>
                  <c:pt idx="379">
                    <c:v>collar pincho xl</c:v>
                  </c:pt>
                  <c:pt idx="380">
                    <c:v>COLLAR REGULABLE BANDANA</c:v>
                  </c:pt>
                  <c:pt idx="381">
                    <c:v>COLLAR REGULABLECON GALON</c:v>
                  </c:pt>
                  <c:pt idx="382">
                    <c:v>collar silicona p/gato</c:v>
                  </c:pt>
                  <c:pt idx="383">
                    <c:v>colza </c:v>
                  </c:pt>
                  <c:pt idx="384">
                    <c:v>colza </c:v>
                  </c:pt>
                  <c:pt idx="385">
                    <c:v>comeder doble</c:v>
                  </c:pt>
                  <c:pt idx="386">
                    <c:v>comedero</c:v>
                  </c:pt>
                  <c:pt idx="387">
                    <c:v>comedero </c:v>
                  </c:pt>
                  <c:pt idx="388">
                    <c:v>comedero acero inox</c:v>
                  </c:pt>
                  <c:pt idx="389">
                    <c:v>comedero acero inox loro  grande</c:v>
                  </c:pt>
                  <c:pt idx="390">
                    <c:v>comedero automatico pajaro</c:v>
                  </c:pt>
                  <c:pt idx="391">
                    <c:v>comedero automatico premier</c:v>
                  </c:pt>
                  <c:pt idx="392">
                    <c:v>COMEDERO BEBEDERO CERAMICA</c:v>
                  </c:pt>
                  <c:pt idx="393">
                    <c:v>COMEDERO BEBEDERO CERAMICA</c:v>
                  </c:pt>
                  <c:pt idx="394">
                    <c:v>comedero bebedero p/pajaro-resorte externo</c:v>
                  </c:pt>
                  <c:pt idx="395">
                    <c:v>COMEDERO CON PATITAS</c:v>
                  </c:pt>
                  <c:pt idx="396">
                    <c:v>COMEDERO CON PATITAS</c:v>
                  </c:pt>
                  <c:pt idx="397">
                    <c:v>comedero doble</c:v>
                  </c:pt>
                  <c:pt idx="398">
                    <c:v>comedero doble</c:v>
                  </c:pt>
                  <c:pt idx="399">
                    <c:v>comedero doble de melamina</c:v>
                  </c:pt>
                  <c:pt idx="400">
                    <c:v>comedero doble p/gato</c:v>
                  </c:pt>
                  <c:pt idx="401">
                    <c:v>comedero economico </c:v>
                  </c:pt>
                  <c:pt idx="402">
                    <c:v>comedero economico bowl</c:v>
                  </c:pt>
                  <c:pt idx="403">
                    <c:v>comedero exterior</c:v>
                  </c:pt>
                  <c:pt idx="404">
                    <c:v>comedero interior</c:v>
                  </c:pt>
                  <c:pt idx="405">
                    <c:v>comedero oval 2agujeros c/gancho</c:v>
                  </c:pt>
                  <c:pt idx="406">
                    <c:v>comedero oval 3 agujeros</c:v>
                  </c:pt>
                  <c:pt idx="407">
                    <c:v>comedero pajaro</c:v>
                  </c:pt>
                  <c:pt idx="408">
                    <c:v>comedero plastico</c:v>
                  </c:pt>
                  <c:pt idx="409">
                    <c:v>comedero rancho plastico</c:v>
                  </c:pt>
                  <c:pt idx="410">
                    <c:v>comedero rancho plastico</c:v>
                  </c:pt>
                  <c:pt idx="411">
                    <c:v>comedero rect,hamster</c:v>
                  </c:pt>
                  <c:pt idx="412">
                    <c:v>comedero silvestre automatico</c:v>
                  </c:pt>
                  <c:pt idx="413">
                    <c:v>comedero tipo rancho</c:v>
                  </c:pt>
                  <c:pt idx="414">
                    <c:v>comedero tubo tolva</c:v>
                  </c:pt>
                  <c:pt idx="415">
                    <c:v>comederoeconomico c/ dibujos</c:v>
                  </c:pt>
                  <c:pt idx="416">
                    <c:v>compost premiun</c:v>
                  </c:pt>
                  <c:pt idx="417">
                    <c:v>compost premiun</c:v>
                  </c:pt>
                  <c:pt idx="418">
                    <c:v>conector de manguera</c:v>
                  </c:pt>
                  <c:pt idx="419">
                    <c:v>conector de manguera</c:v>
                  </c:pt>
                  <c:pt idx="420">
                    <c:v>conector p manguera</c:v>
                  </c:pt>
                  <c:pt idx="421">
                    <c:v>conexiom t</c:v>
                  </c:pt>
                  <c:pt idx="422">
                    <c:v>coral naranja</c:v>
                  </c:pt>
                  <c:pt idx="423">
                    <c:v>corazon espuma</c:v>
                  </c:pt>
                  <c:pt idx="424">
                    <c:v>Corona chica</c:v>
                  </c:pt>
                  <c:pt idx="425">
                    <c:v>Corona extra grande  claveles rosas y lilium</c:v>
                  </c:pt>
                  <c:pt idx="426">
                    <c:v>Corona grande claveles</c:v>
                  </c:pt>
                  <c:pt idx="427">
                    <c:v>corona mediana</c:v>
                  </c:pt>
                  <c:pt idx="428">
                    <c:v>CORREA CINTA LISA GALV</c:v>
                  </c:pt>
                  <c:pt idx="429">
                    <c:v>CORREA CINTA LISA GALV</c:v>
                  </c:pt>
                  <c:pt idx="430">
                    <c:v>CORREA CINTA LISA GALV</c:v>
                  </c:pt>
                  <c:pt idx="431">
                    <c:v>CORREA CINTA LISA GALV</c:v>
                  </c:pt>
                  <c:pt idx="432">
                    <c:v>correa con arnes</c:v>
                  </c:pt>
                  <c:pt idx="433">
                    <c:v>CORREA CON MANIJA Y RESORTE</c:v>
                  </c:pt>
                  <c:pt idx="434">
                    <c:v>correa lisa</c:v>
                  </c:pt>
                  <c:pt idx="435">
                    <c:v>correa lisa</c:v>
                  </c:pt>
                  <c:pt idx="436">
                    <c:v>correa retractil 5mts</c:v>
                  </c:pt>
                  <c:pt idx="437">
                    <c:v>corteza pino</c:v>
                  </c:pt>
                  <c:pt idx="438">
                    <c:v>CRECE MAS ACTIVADOR de flores </c:v>
                  </c:pt>
                  <c:pt idx="439">
                    <c:v>CRECE MAS ACTIVADOR de flores sachet</c:v>
                  </c:pt>
                  <c:pt idx="440">
                    <c:v>crece mas alim p/ todas plantas</c:v>
                  </c:pt>
                  <c:pt idx="441">
                    <c:v>crece mas alimento para cactus</c:v>
                  </c:pt>
                  <c:pt idx="442">
                    <c:v>crece mas arboles y frutales</c:v>
                  </c:pt>
                  <c:pt idx="443">
                    <c:v>crece mas enraizador sachett</c:v>
                  </c:pt>
                  <c:pt idx="444">
                    <c:v>crece mas jardin y huerta</c:v>
                  </c:pt>
                  <c:pt idx="445">
                    <c:v>crece mas p/ todas las plantas</c:v>
                  </c:pt>
                  <c:pt idx="446">
                    <c:v>crece mas p/helechos</c:v>
                  </c:pt>
                  <c:pt idx="447">
                    <c:v>crece mas rosas y flores</c:v>
                  </c:pt>
                  <c:pt idx="448">
                    <c:v>crece mas todas plantas FOLIAR</c:v>
                  </c:pt>
                  <c:pt idx="449">
                    <c:v>crece ms organico p/plantas</c:v>
                  </c:pt>
                  <c:pt idx="450">
                    <c:v>crecemas cactus y suculentas</c:v>
                  </c:pt>
                  <c:pt idx="451">
                    <c:v>creolina</c:v>
                  </c:pt>
                  <c:pt idx="452">
                    <c:v>creolina aromas</c:v>
                  </c:pt>
                  <c:pt idx="453">
                    <c:v>creolina buena estrella</c:v>
                  </c:pt>
                  <c:pt idx="454">
                    <c:v>creolina buena estrella</c:v>
                  </c:pt>
                  <c:pt idx="455">
                    <c:v>creolina concentrada</c:v>
                  </c:pt>
                  <c:pt idx="456">
                    <c:v>creolina concentrada</c:v>
                  </c:pt>
                  <c:pt idx="457">
                    <c:v>creolina concentrada</c:v>
                  </c:pt>
                  <c:pt idx="458">
                    <c:v>creolinas aromas</c:v>
                  </c:pt>
                  <c:pt idx="459">
                    <c:v>CROTON 65 CM</c:v>
                  </c:pt>
                  <c:pt idx="460">
                    <c:v>cucarachicida fulmoline</c:v>
                  </c:pt>
                  <c:pt idx="461">
                    <c:v>cucarachicida fulmolini</c:v>
                  </c:pt>
                  <c:pt idx="462">
                    <c:v>cucarachicida green choice</c:v>
                  </c:pt>
                  <c:pt idx="463">
                    <c:v>cucarachicida talquera</c:v>
                  </c:pt>
                  <c:pt idx="464">
                    <c:v>cuerda</c:v>
                  </c:pt>
                  <c:pt idx="465">
                    <c:v>cuerda con agasrre</c:v>
                  </c:pt>
                  <c:pt idx="466">
                    <c:v>cuerde 3 nudos-pelotas de goma</c:v>
                  </c:pt>
                  <c:pt idx="467">
                    <c:v>cuna 3 piezas</c:v>
                  </c:pt>
                  <c:pt idx="468">
                    <c:v>cuna de tela</c:v>
                  </c:pt>
                  <c:pt idx="469">
                    <c:v>cuna de tela</c:v>
                  </c:pt>
                  <c:pt idx="470">
                    <c:v>cuna de tela</c:v>
                  </c:pt>
                  <c:pt idx="471">
                    <c:v>cuna oval</c:v>
                  </c:pt>
                  <c:pt idx="472">
                    <c:v>cuna oval desmontable chico</c:v>
                  </c:pt>
                  <c:pt idx="473">
                    <c:v>cuna oval desmontable mediano</c:v>
                  </c:pt>
                  <c:pt idx="474">
                    <c:v>curabichera fibrusules</c:v>
                  </c:pt>
                  <c:pt idx="475">
                    <c:v>curabichera fleant ag spray</c:v>
                  </c:pt>
                  <c:pt idx="476">
                    <c:v>d</c:v>
                  </c:pt>
                  <c:pt idx="477">
                    <c:v>deeper under groun</c:v>
                  </c:pt>
                  <c:pt idx="478">
                    <c:v>dentastix</c:v>
                  </c:pt>
                  <c:pt idx="479">
                    <c:v>des</c:v>
                  </c:pt>
                  <c:pt idx="480">
                    <c:v>des</c:v>
                  </c:pt>
                  <c:pt idx="481">
                    <c:v>des</c:v>
                  </c:pt>
                  <c:pt idx="482">
                    <c:v>des</c:v>
                  </c:pt>
                  <c:pt idx="483">
                    <c:v>des</c:v>
                  </c:pt>
                  <c:pt idx="484">
                    <c:v>des</c:v>
                  </c:pt>
                  <c:pt idx="485">
                    <c:v>DES</c:v>
                  </c:pt>
                  <c:pt idx="486">
                    <c:v>DES</c:v>
                  </c:pt>
                  <c:pt idx="487">
                    <c:v>DES</c:v>
                  </c:pt>
                  <c:pt idx="488">
                    <c:v>des</c:v>
                  </c:pt>
                  <c:pt idx="489">
                    <c:v>des</c:v>
                  </c:pt>
                  <c:pt idx="490">
                    <c:v>des</c:v>
                  </c:pt>
                  <c:pt idx="491">
                    <c:v>des</c:v>
                  </c:pt>
                  <c:pt idx="492">
                    <c:v>des</c:v>
                  </c:pt>
                  <c:pt idx="493">
                    <c:v>des</c:v>
                  </c:pt>
                  <c:pt idx="494">
                    <c:v>des</c:v>
                  </c:pt>
                  <c:pt idx="495">
                    <c:v>des</c:v>
                  </c:pt>
                  <c:pt idx="496">
                    <c:v>des</c:v>
                  </c:pt>
                  <c:pt idx="497">
                    <c:v>des</c:v>
                  </c:pt>
                  <c:pt idx="498">
                    <c:v>des</c:v>
                  </c:pt>
                  <c:pt idx="499">
                    <c:v>des</c:v>
                  </c:pt>
                  <c:pt idx="500">
                    <c:v>des</c:v>
                  </c:pt>
                  <c:pt idx="501">
                    <c:v>des</c:v>
                  </c:pt>
                  <c:pt idx="502">
                    <c:v>des</c:v>
                  </c:pt>
                  <c:pt idx="503">
                    <c:v>des</c:v>
                  </c:pt>
                  <c:pt idx="504">
                    <c:v>des</c:v>
                  </c:pt>
                  <c:pt idx="505">
                    <c:v>des</c:v>
                  </c:pt>
                  <c:pt idx="506">
                    <c:v>des</c:v>
                  </c:pt>
                  <c:pt idx="507">
                    <c:v>des</c:v>
                  </c:pt>
                  <c:pt idx="508">
                    <c:v>des</c:v>
                  </c:pt>
                  <c:pt idx="509">
                    <c:v>des</c:v>
                  </c:pt>
                  <c:pt idx="510">
                    <c:v>des</c:v>
                  </c:pt>
                  <c:pt idx="511">
                    <c:v>des</c:v>
                  </c:pt>
                  <c:pt idx="512">
                    <c:v>des</c:v>
                  </c:pt>
                  <c:pt idx="513">
                    <c:v>des</c:v>
                  </c:pt>
                  <c:pt idx="514">
                    <c:v>des</c:v>
                  </c:pt>
                  <c:pt idx="515">
                    <c:v>des</c:v>
                  </c:pt>
                  <c:pt idx="516">
                    <c:v>des</c:v>
                  </c:pt>
                  <c:pt idx="517">
                    <c:v>des</c:v>
                  </c:pt>
                  <c:pt idx="518">
                    <c:v>des</c:v>
                  </c:pt>
                  <c:pt idx="519">
                    <c:v>des</c:v>
                  </c:pt>
                  <c:pt idx="520">
                    <c:v>des</c:v>
                  </c:pt>
                  <c:pt idx="521">
                    <c:v>des</c:v>
                  </c:pt>
                  <c:pt idx="522">
                    <c:v>des</c:v>
                  </c:pt>
                  <c:pt idx="523">
                    <c:v>des</c:v>
                  </c:pt>
                  <c:pt idx="524">
                    <c:v>des</c:v>
                  </c:pt>
                  <c:pt idx="525">
                    <c:v>des</c:v>
                  </c:pt>
                  <c:pt idx="526">
                    <c:v>des</c:v>
                  </c:pt>
                  <c:pt idx="527">
                    <c:v>des</c:v>
                  </c:pt>
                  <c:pt idx="528">
                    <c:v>des</c:v>
                  </c:pt>
                  <c:pt idx="529">
                    <c:v>des</c:v>
                  </c:pt>
                  <c:pt idx="530">
                    <c:v>des</c:v>
                  </c:pt>
                  <c:pt idx="531">
                    <c:v>des</c:v>
                  </c:pt>
                  <c:pt idx="532">
                    <c:v>des</c:v>
                  </c:pt>
                  <c:pt idx="533">
                    <c:v>des</c:v>
                  </c:pt>
                  <c:pt idx="534">
                    <c:v>des</c:v>
                  </c:pt>
                  <c:pt idx="535">
                    <c:v>des</c:v>
                  </c:pt>
                  <c:pt idx="536">
                    <c:v>des</c:v>
                  </c:pt>
                  <c:pt idx="537">
                    <c:v>des</c:v>
                  </c:pt>
                  <c:pt idx="538">
                    <c:v>des</c:v>
                  </c:pt>
                  <c:pt idx="539">
                    <c:v>des</c:v>
                  </c:pt>
                  <c:pt idx="540">
                    <c:v>des</c:v>
                  </c:pt>
                  <c:pt idx="541">
                    <c:v>des</c:v>
                  </c:pt>
                  <c:pt idx="542">
                    <c:v>des</c:v>
                  </c:pt>
                  <c:pt idx="543">
                    <c:v>des</c:v>
                  </c:pt>
                  <c:pt idx="544">
                    <c:v>des</c:v>
                  </c:pt>
                  <c:pt idx="545">
                    <c:v>des</c:v>
                  </c:pt>
                  <c:pt idx="546">
                    <c:v>des</c:v>
                  </c:pt>
                  <c:pt idx="547">
                    <c:v>des</c:v>
                  </c:pt>
                  <c:pt idx="548">
                    <c:v>des</c:v>
                  </c:pt>
                  <c:pt idx="549">
                    <c:v>des</c:v>
                  </c:pt>
                  <c:pt idx="550">
                    <c:v>des</c:v>
                  </c:pt>
                  <c:pt idx="551">
                    <c:v>des</c:v>
                  </c:pt>
                  <c:pt idx="552">
                    <c:v>destorcedor galvanizado n4</c:v>
                  </c:pt>
                  <c:pt idx="553">
                    <c:v>destorcedor galvanizado n8</c:v>
                  </c:pt>
                  <c:pt idx="554">
                    <c:v>dimetoato</c:v>
                  </c:pt>
                  <c:pt idx="555">
                    <c:v>dispersona</c:v>
                  </c:pt>
                  <c:pt idx="556">
                    <c:v>dispersona</c:v>
                  </c:pt>
                  <c:pt idx="557">
                    <c:v>ecovaso con plato y linga</c:v>
                  </c:pt>
                  <c:pt idx="558">
                    <c:v>ectosules</c:v>
                  </c:pt>
                  <c:pt idx="559">
                    <c:v>educador y ahuyentador perro y gato</c:v>
                  </c:pt>
                  <c:pt idx="560">
                    <c:v>eliminador olores para pisos</c:v>
                  </c:pt>
                  <c:pt idx="561">
                    <c:v>embudo grande</c:v>
                  </c:pt>
                  <c:pt idx="562">
                    <c:v>embudo mediano chico</c:v>
                  </c:pt>
                  <c:pt idx="563">
                    <c:v>enraizador</c:v>
                  </c:pt>
                  <c:pt idx="564">
                    <c:v>enraizador 345</c:v>
                  </c:pt>
                  <c:pt idx="565">
                    <c:v>enraizaor</c:v>
                  </c:pt>
                  <c:pt idx="566">
                    <c:v>equipex</c:v>
                  </c:pt>
                  <c:pt idx="567">
                    <c:v>ESCARDILLA DOBLE </c:v>
                  </c:pt>
                  <c:pt idx="568">
                    <c:v>escardillo de mano</c:v>
                  </c:pt>
                  <c:pt idx="569">
                    <c:v>escardillo p/jardin</c:v>
                  </c:pt>
                  <c:pt idx="570">
                    <c:v>escardillo tridente de jardineria</c:v>
                  </c:pt>
                  <c:pt idx="571">
                    <c:v>escoba de jardin</c:v>
                  </c:pt>
                  <c:pt idx="572">
                    <c:v>escoba plastico c/mango</c:v>
                  </c:pt>
                  <c:pt idx="573">
                    <c:v>escobas paja</c:v>
                  </c:pt>
                  <c:pt idx="574">
                    <c:v>escobilla de plastico naranja</c:v>
                  </c:pt>
                  <c:pt idx="575">
                    <c:v>escobilla jardin</c:v>
                  </c:pt>
                  <c:pt idx="576">
                    <c:v>escobilla metal</c:v>
                  </c:pt>
                  <c:pt idx="577">
                    <c:v>escobilla plastica sin cabo</c:v>
                  </c:pt>
                  <c:pt idx="578">
                    <c:v>escobilla plastica sin cabo</c:v>
                  </c:pt>
                  <c:pt idx="579">
                    <c:v>esfera acrilica de hamster</c:v>
                  </c:pt>
                  <c:pt idx="580">
                    <c:v>esfera hamster mediana</c:v>
                  </c:pt>
                  <c:pt idx="581">
                    <c:v>espinillo</c:v>
                  </c:pt>
                  <c:pt idx="582">
                    <c:v>espirales jumo</c:v>
                  </c:pt>
                  <c:pt idx="583">
                    <c:v>estaca</c:v>
                  </c:pt>
                  <c:pt idx="584">
                    <c:v>esterilla</c:v>
                  </c:pt>
                  <c:pt idx="585">
                    <c:v>estrangulador</c:v>
                  </c:pt>
                  <c:pt idx="586">
                    <c:v>estrobal</c:v>
                  </c:pt>
                  <c:pt idx="587">
                    <c:v>estrobal comprimidos</c:v>
                  </c:pt>
                  <c:pt idx="588">
                    <c:v>estrobal inyectable</c:v>
                  </c:pt>
                  <c:pt idx="589">
                    <c:v>FERT FERROSO</c:v>
                  </c:pt>
                  <c:pt idx="590">
                    <c:v>fert hakaphos rojo 18x18x18</c:v>
                  </c:pt>
                  <c:pt idx="591">
                    <c:v>fert hakaphos rojo 18x18x18</c:v>
                  </c:pt>
                  <c:pt idx="592">
                    <c:v>fert urea</c:v>
                  </c:pt>
                  <c:pt idx="593">
                    <c:v>fert urea</c:v>
                  </c:pt>
                  <c:pt idx="594">
                    <c:v>fert urea</c:v>
                  </c:pt>
                  <c:pt idx="595">
                    <c:v>fertilizante 15-15-15</c:v>
                  </c:pt>
                  <c:pt idx="596">
                    <c:v>fertilizante 15-15-15-</c:v>
                  </c:pt>
                  <c:pt idx="597">
                    <c:v>fertilizante AKAFOS ROSADO 18-18-18</c:v>
                  </c:pt>
                  <c:pt idx="598">
                    <c:v>fertilizante blaukorn 12-8-16 azul</c:v>
                  </c:pt>
                  <c:pt idx="599">
                    <c:v>fertilizante blaukorn 12-8-16 azul</c:v>
                  </c:pt>
                  <c:pt idx="600">
                    <c:v>fertilizante blaukorn classic</c:v>
                  </c:pt>
                  <c:pt idx="601">
                    <c:v>fertilizante blaukorn classic</c:v>
                  </c:pt>
                  <c:pt idx="602">
                    <c:v>fertilizante bleu korn</c:v>
                  </c:pt>
                  <c:pt idx="603">
                    <c:v>fertilizante bleu korn</c:v>
                  </c:pt>
                  <c:pt idx="604">
                    <c:v>fertilizante granos azules act. Flores y frutos</c:v>
                  </c:pt>
                  <c:pt idx="605">
                    <c:v>fertilizante helecho</c:v>
                  </c:pt>
                  <c:pt idx="606">
                    <c:v>fertilizante helechos</c:v>
                  </c:pt>
                  <c:pt idx="607">
                    <c:v>fertilizante orquidea</c:v>
                  </c:pt>
                  <c:pt idx="608">
                    <c:v>fertilizante orquidea</c:v>
                  </c:pt>
                  <c:pt idx="609">
                    <c:v>fertilizante orquideas</c:v>
                  </c:pt>
                  <c:pt idx="610">
                    <c:v>fertilizante orquideas</c:v>
                  </c:pt>
                  <c:pt idx="611">
                    <c:v>fertilizante violetas</c:v>
                  </c:pt>
                  <c:pt idx="612">
                    <c:v>fertilizantes helechos samambaias </c:v>
                  </c:pt>
                  <c:pt idx="613">
                    <c:v>fetilizante cactus</c:v>
                  </c:pt>
                  <c:pt idx="614">
                    <c:v>fibra de coco</c:v>
                  </c:pt>
                  <c:pt idx="615">
                    <c:v>fibra de coco</c:v>
                  </c:pt>
                  <c:pt idx="616">
                    <c:v>fibra de coco</c:v>
                  </c:pt>
                  <c:pt idx="617">
                    <c:v>fibra de coco</c:v>
                  </c:pt>
                  <c:pt idx="618">
                    <c:v>fibra de coco expandido</c:v>
                  </c:pt>
                  <c:pt idx="619">
                    <c:v>filtro  638 b</c:v>
                  </c:pt>
                  <c:pt idx="620">
                    <c:v>filtro bioesponja</c:v>
                  </c:pt>
                  <c:pt idx="621">
                    <c:v>filtro bioesponja</c:v>
                  </c:pt>
                  <c:pt idx="622">
                    <c:v>filtro bioesponja</c:v>
                  </c:pt>
                  <c:pt idx="623">
                    <c:v>filtro bioesponja</c:v>
                  </c:pt>
                  <c:pt idx="624">
                    <c:v>filtro externo mochila</c:v>
                  </c:pt>
                  <c:pt idx="625">
                    <c:v>filtro humedo seco </c:v>
                  </c:pt>
                  <c:pt idx="626">
                    <c:v>filtro interno 3w  rs 072</c:v>
                  </c:pt>
                  <c:pt idx="627">
                    <c:v>filtro interno 6w450 rs 082A</c:v>
                  </c:pt>
                  <c:pt idx="628">
                    <c:v>filtro interno rs 2001 8 W</c:v>
                  </c:pt>
                  <c:pt idx="629">
                    <c:v>filtro interno rs 201 8W</c:v>
                  </c:pt>
                  <c:pt idx="630">
                    <c:v>filtro interno rs-062A2W </c:v>
                  </c:pt>
                  <c:pt idx="631">
                    <c:v>filtro mochila 3000</c:v>
                  </c:pt>
                  <c:pt idx="632">
                    <c:v>filtro-cabeza de poder</c:v>
                  </c:pt>
                  <c:pt idx="633">
                    <c:v>flit derribador</c:v>
                  </c:pt>
                  <c:pt idx="634">
                    <c:v>flit dezenur </c:v>
                  </c:pt>
                  <c:pt idx="635">
                    <c:v>flit dezenur 1/4250 c,c</c:v>
                  </c:pt>
                  <c:pt idx="636">
                    <c:v>flit dezenur envasado</c:v>
                  </c:pt>
                  <c:pt idx="637">
                    <c:v>flor artificial</c:v>
                  </c:pt>
                  <c:pt idx="638">
                    <c:v>flor artificial</c:v>
                  </c:pt>
                  <c:pt idx="639">
                    <c:v>flor de pajarito </c:v>
                  </c:pt>
                  <c:pt idx="640">
                    <c:v>FLOR DE REGADERA PARA BOTELLA</c:v>
                  </c:pt>
                  <c:pt idx="641">
                    <c:v>flor goma eva</c:v>
                  </c:pt>
                  <c:pt idx="642">
                    <c:v>FLORERO</c:v>
                  </c:pt>
                  <c:pt idx="643">
                    <c:v>FLORERO</c:v>
                  </c:pt>
                  <c:pt idx="644">
                    <c:v>FLORERO</c:v>
                  </c:pt>
                  <c:pt idx="645">
                    <c:v>florero labrado</c:v>
                  </c:pt>
                  <c:pt idx="646">
                    <c:v>FLORERO PECERA</c:v>
                  </c:pt>
                  <c:pt idx="647">
                    <c:v>florero vidrio</c:v>
                  </c:pt>
                  <c:pt idx="648">
                    <c:v>florero vidrio</c:v>
                  </c:pt>
                  <c:pt idx="649">
                    <c:v>florero vidrio</c:v>
                  </c:pt>
                  <c:pt idx="650">
                    <c:v>florero vidrio</c:v>
                  </c:pt>
                  <c:pt idx="651">
                    <c:v>florero vidrio caja</c:v>
                  </c:pt>
                  <c:pt idx="652">
                    <c:v>FLORERO VIDRIO LABRADO</c:v>
                  </c:pt>
                  <c:pt idx="653">
                    <c:v>FLORERO VIDRIO LABRADO</c:v>
                  </c:pt>
                  <c:pt idx="654">
                    <c:v>FLORERO VIDRIO LABRADO</c:v>
                  </c:pt>
                  <c:pt idx="655">
                    <c:v>FLORERO VIDRIO LABRADO</c:v>
                  </c:pt>
                  <c:pt idx="656">
                    <c:v>florero vidrio labrado</c:v>
                  </c:pt>
                  <c:pt idx="657">
                    <c:v>flores aleli</c:v>
                  </c:pt>
                  <c:pt idx="658">
                    <c:v>flores astromelias</c:v>
                  </c:pt>
                  <c:pt idx="659">
                    <c:v>flores astromelias c/arreglo</c:v>
                  </c:pt>
                  <c:pt idx="660">
                    <c:v>FOLLAJE  CASPIA FLOR SECA CON CELOFAN</c:v>
                  </c:pt>
                  <c:pt idx="661">
                    <c:v>FOLLAJE COLITA DE RATON</c:v>
                  </c:pt>
                  <c:pt idx="662">
                    <c:v>FOLLAJE FLOR SECA</c:v>
                  </c:pt>
                  <c:pt idx="663">
                    <c:v>FOLLAJE SECO</c:v>
                  </c:pt>
                  <c:pt idx="664">
                    <c:v>FOLLAJE SECO</c:v>
                  </c:pt>
                  <c:pt idx="665">
                    <c:v>FOLLAJE SECO</c:v>
                  </c:pt>
                  <c:pt idx="666">
                    <c:v>franela micro fibra</c:v>
                  </c:pt>
                  <c:pt idx="667">
                    <c:v>frascos</c:v>
                  </c:pt>
                  <c:pt idx="668">
                    <c:v>frascos</c:v>
                  </c:pt>
                  <c:pt idx="669">
                    <c:v>fuente cascada</c:v>
                  </c:pt>
                  <c:pt idx="670">
                    <c:v>fumigador</c:v>
                  </c:pt>
                  <c:pt idx="671">
                    <c:v>fumigador</c:v>
                  </c:pt>
                  <c:pt idx="672">
                    <c:v>fumigator</c:v>
                  </c:pt>
                  <c:pt idx="673">
                    <c:v>FUNGOXAN</c:v>
                  </c:pt>
                  <c:pt idx="674">
                    <c:v>fungoxan mixto-caja  36 fc,</c:v>
                  </c:pt>
                  <c:pt idx="675">
                    <c:v>gallinol</c:v>
                  </c:pt>
                  <c:pt idx="676">
                    <c:v>gallinol</c:v>
                  </c:pt>
                  <c:pt idx="677">
                    <c:v>gancho hierro</c:v>
                  </c:pt>
                  <c:pt idx="678">
                    <c:v>gatillos</c:v>
                  </c:pt>
                  <c:pt idx="679">
                    <c:v>gato  castrado wiskas</c:v>
                  </c:pt>
                  <c:pt idx="680">
                    <c:v>gato 7 vidas</c:v>
                  </c:pt>
                  <c:pt idx="681">
                    <c:v>gato adulto equilibrio</c:v>
                  </c:pt>
                  <c:pt idx="682">
                    <c:v>gato adulto equilibrio </c:v>
                  </c:pt>
                  <c:pt idx="683">
                    <c:v>gato beny</c:v>
                  </c:pt>
                  <c:pt idx="684">
                    <c:v>gato beny</c:v>
                  </c:pt>
                  <c:pt idx="685">
                    <c:v>gato birbo</c:v>
                  </c:pt>
                  <c:pt idx="686">
                    <c:v>gato birbo</c:v>
                  </c:pt>
                  <c:pt idx="687">
                    <c:v>gato castrado</c:v>
                  </c:pt>
                  <c:pt idx="688">
                    <c:v>gato castrado RAZA carne y pollo</c:v>
                  </c:pt>
                  <c:pt idx="689">
                    <c:v>gato castrados wiskas</c:v>
                  </c:pt>
                  <c:pt idx="690">
                    <c:v>gato cat chow </c:v>
                  </c:pt>
                  <c:pt idx="691">
                    <c:v>gato cat chow </c:v>
                  </c:pt>
                  <c:pt idx="692">
                    <c:v>gato cat chow adulto</c:v>
                  </c:pt>
                  <c:pt idx="693">
                    <c:v>gato cat chow gatito</c:v>
                  </c:pt>
                  <c:pt idx="694">
                    <c:v>gato catrado-carne y pollo</c:v>
                  </c:pt>
                  <c:pt idx="695">
                    <c:v>GATO CHARRUA ADULTO</c:v>
                  </c:pt>
                  <c:pt idx="696">
                    <c:v>GATO CHARRUA ADULTO</c:v>
                  </c:pt>
                  <c:pt idx="697">
                    <c:v>GATO CRIOLLA ADULTO</c:v>
                  </c:pt>
                  <c:pt idx="698">
                    <c:v>GATO CRIOLLA ADULTO</c:v>
                  </c:pt>
                  <c:pt idx="699">
                    <c:v>gato equilibrio filote</c:v>
                  </c:pt>
                  <c:pt idx="700">
                    <c:v>gato equilibrio filote</c:v>
                  </c:pt>
                  <c:pt idx="701">
                    <c:v>gato gati</c:v>
                  </c:pt>
                  <c:pt idx="702">
                    <c:v>gato gati</c:v>
                  </c:pt>
                  <c:pt idx="703">
                    <c:v>GATO LE ROY COCKTAIL</c:v>
                  </c:pt>
                  <c:pt idx="704">
                    <c:v>gato pelusa</c:v>
                  </c:pt>
                  <c:pt idx="705">
                    <c:v>gato pelusa</c:v>
                  </c:pt>
                  <c:pt idx="706">
                    <c:v>gato primogato</c:v>
                  </c:pt>
                  <c:pt idx="707">
                    <c:v>gato primogato  blend</c:v>
                  </c:pt>
                  <c:pt idx="708">
                    <c:v>gato primogato  blend</c:v>
                  </c:pt>
                  <c:pt idx="709">
                    <c:v>gato primogato castrado</c:v>
                  </c:pt>
                  <c:pt idx="710">
                    <c:v>gato primogato castrado</c:v>
                  </c:pt>
                  <c:pt idx="711">
                    <c:v>gato primogato premiun filhotes</c:v>
                  </c:pt>
                  <c:pt idx="712">
                    <c:v>gato primogato premiun filhotes</c:v>
                  </c:pt>
                  <c:pt idx="713">
                    <c:v>gato prot cat</c:v>
                  </c:pt>
                  <c:pt idx="714">
                    <c:v>gato prot cat</c:v>
                  </c:pt>
                  <c:pt idx="715">
                    <c:v>gato salmon</c:v>
                  </c:pt>
                  <c:pt idx="716">
                    <c:v>gato salmon</c:v>
                  </c:pt>
                  <c:pt idx="717">
                    <c:v>gato salsa whiskas carne</c:v>
                  </c:pt>
                  <c:pt idx="718">
                    <c:v>gato whiskas</c:v>
                  </c:pt>
                  <c:pt idx="719">
                    <c:v>gato whiskas gatitos</c:v>
                  </c:pt>
                  <c:pt idx="720">
                    <c:v>gato whiskas gatitos</c:v>
                  </c:pt>
                  <c:pt idx="721">
                    <c:v>gato whiskas pescado-pollo y leche-carne</c:v>
                  </c:pt>
                  <c:pt idx="722">
                    <c:v>GATO-sushi cat</c:v>
                  </c:pt>
                  <c:pt idx="723">
                    <c:v>GEL REFRESCANTE RELAJANTE</c:v>
                  </c:pt>
                  <c:pt idx="724">
                    <c:v>girasol</c:v>
                  </c:pt>
                  <c:pt idx="725">
                    <c:v>girasol</c:v>
                  </c:pt>
                  <c:pt idx="726">
                    <c:v>girasol confitero</c:v>
                  </c:pt>
                  <c:pt idx="727">
                    <c:v>girasol confitero</c:v>
                  </c:pt>
                  <c:pt idx="728">
                    <c:v>girasol pelado</c:v>
                  </c:pt>
                  <c:pt idx="729">
                    <c:v>girasol pelado</c:v>
                  </c:pt>
                  <c:pt idx="730">
                    <c:v>glifosato improsate</c:v>
                  </c:pt>
                  <c:pt idx="731">
                    <c:v>glifosato improsate</c:v>
                  </c:pt>
                  <c:pt idx="732">
                    <c:v>gr1287</c:v>
                  </c:pt>
                  <c:pt idx="733">
                    <c:v>GRAN AMOR cannabis abono organico</c:v>
                  </c:pt>
                  <c:pt idx="734">
                    <c:v>gran amor educador</c:v>
                  </c:pt>
                  <c:pt idx="735">
                    <c:v>green explosion</c:v>
                  </c:pt>
                  <c:pt idx="736">
                    <c:v>guano-rojoo</c:v>
                  </c:pt>
                  <c:pt idx="737">
                    <c:v>guante </c:v>
                  </c:pt>
                  <c:pt idx="738">
                    <c:v>guante de descarne</c:v>
                  </c:pt>
                  <c:pt idx="739">
                    <c:v>GUANTE DE TRABAJO</c:v>
                  </c:pt>
                  <c:pt idx="740">
                    <c:v>guante de trabajo</c:v>
                  </c:pt>
                  <c:pt idx="741">
                    <c:v>guante de trabajo tela y cuero</c:v>
                  </c:pt>
                  <c:pt idx="742">
                    <c:v>guante multiuso</c:v>
                  </c:pt>
                  <c:pt idx="743">
                    <c:v>guia de flores</c:v>
                  </c:pt>
                  <c:pt idx="744">
                    <c:v>guia de hojas</c:v>
                  </c:pt>
                  <c:pt idx="745">
                    <c:v>guia hojas x 12</c:v>
                  </c:pt>
                  <c:pt idx="746">
                    <c:v>guia hojas x2</c:v>
                  </c:pt>
                  <c:pt idx="747">
                    <c:v>hacha mango fibra</c:v>
                  </c:pt>
                  <c:pt idx="748">
                    <c:v>hacha mango madera</c:v>
                  </c:pt>
                  <c:pt idx="749">
                    <c:v>harina de hueso</c:v>
                  </c:pt>
                  <c:pt idx="750">
                    <c:v>harina de hueso </c:v>
                  </c:pt>
                  <c:pt idx="751">
                    <c:v>herbicida</c:v>
                  </c:pt>
                  <c:pt idx="752">
                    <c:v>herbicida</c:v>
                  </c:pt>
                  <c:pt idx="753">
                    <c:v>herbicida</c:v>
                  </c:pt>
                  <c:pt idx="754">
                    <c:v>herbicida fluidamina -hoja ancha</c:v>
                  </c:pt>
                  <c:pt idx="755">
                    <c:v>herbicida glifosol  envasado</c:v>
                  </c:pt>
                  <c:pt idx="756">
                    <c:v>herbicida glifosol suelta</c:v>
                  </c:pt>
                  <c:pt idx="757">
                    <c:v>herbicida gliseb sum</c:v>
                  </c:pt>
                  <c:pt idx="758">
                    <c:v>herramienta de jardin</c:v>
                  </c:pt>
                  <c:pt idx="759">
                    <c:v>herramienta de jardin</c:v>
                  </c:pt>
                  <c:pt idx="760">
                    <c:v>hierba gatuna</c:v>
                  </c:pt>
                  <c:pt idx="761">
                    <c:v>hiploclorito</c:v>
                  </c:pt>
                  <c:pt idx="762">
                    <c:v>hiploclorito</c:v>
                  </c:pt>
                  <c:pt idx="763">
                    <c:v>hoja jazmin</c:v>
                  </c:pt>
                  <c:pt idx="764">
                    <c:v>hormiguicida en grano</c:v>
                  </c:pt>
                  <c:pt idx="765">
                    <c:v>hormiguicida folimur polvo60</c:v>
                  </c:pt>
                  <c:pt idx="766">
                    <c:v>hormiguicida fomilur 40</c:v>
                  </c:pt>
                  <c:pt idx="767">
                    <c:v>hormiguicida grano lampo30</c:v>
                  </c:pt>
                  <c:pt idx="768">
                    <c:v>hormiguicida grano lampo40</c:v>
                  </c:pt>
                  <c:pt idx="769">
                    <c:v>hormiguicida grano lampo65</c:v>
                  </c:pt>
                  <c:pt idx="770">
                    <c:v>hormiguicida grano lampo-caja 15 pte,</c:v>
                  </c:pt>
                  <c:pt idx="771">
                    <c:v>hormiguicida polvo</c:v>
                  </c:pt>
                  <c:pt idx="772">
                    <c:v>hormiguicida polvo folimur-caja20 pte</c:v>
                  </c:pt>
                  <c:pt idx="773">
                    <c:v>hormiguicida polvo-caja 120,precio x50</c:v>
                  </c:pt>
                  <c:pt idx="774">
                    <c:v>hormiguicida talquera </c:v>
                  </c:pt>
                  <c:pt idx="775">
                    <c:v>hornito chico</c:v>
                  </c:pt>
                  <c:pt idx="776">
                    <c:v>hueso con chifle</c:v>
                  </c:pt>
                  <c:pt idx="777">
                    <c:v>hueso digerible</c:v>
                  </c:pt>
                  <c:pt idx="778">
                    <c:v>hueso digerible</c:v>
                  </c:pt>
                  <c:pt idx="779">
                    <c:v>huevos juguete</c:v>
                  </c:pt>
                  <c:pt idx="780">
                    <c:v>huevos juguete</c:v>
                  </c:pt>
                  <c:pt idx="781">
                    <c:v>huevos p/canarios</c:v>
                  </c:pt>
                  <c:pt idx="782">
                    <c:v>humus</c:v>
                  </c:pt>
                  <c:pt idx="783">
                    <c:v>humus</c:v>
                  </c:pt>
                  <c:pt idx="784">
                    <c:v>humus de lombriz</c:v>
                  </c:pt>
                  <c:pt idx="785">
                    <c:v>humus de lombriz</c:v>
                  </c:pt>
                  <c:pt idx="786">
                    <c:v>ibnsecticida mata cucaracha sapolio</c:v>
                  </c:pt>
                  <c:pt idx="787">
                    <c:v>ICTIO ML LABCON</c:v>
                  </c:pt>
                  <c:pt idx="788">
                    <c:v>identificadores c/marco</c:v>
                  </c:pt>
                  <c:pt idx="789">
                    <c:v>igloo casa chico</c:v>
                  </c:pt>
                  <c:pt idx="790">
                    <c:v>igloo casa mediano</c:v>
                  </c:pt>
                  <c:pt idx="791">
                    <c:v>IGLOO con orejas</c:v>
                  </c:pt>
                  <c:pt idx="792">
                    <c:v>incectisida dezenurCE</c:v>
                  </c:pt>
                  <c:pt idx="793">
                    <c:v>incesan oil</c:v>
                  </c:pt>
                  <c:pt idx="794">
                    <c:v>incienso</c:v>
                  </c:pt>
                  <c:pt idx="795">
                    <c:v>insecticida</c:v>
                  </c:pt>
                  <c:pt idx="796">
                    <c:v>insecticida dezenur CE(rogor)</c:v>
                  </c:pt>
                  <c:pt idx="797">
                    <c:v>insecticida dezenur(rogor)</c:v>
                  </c:pt>
                  <c:pt idx="798">
                    <c:v>insecticida mata mosca</c:v>
                  </c:pt>
                  <c:pt idx="799">
                    <c:v>insecticida mata pulgas</c:v>
                  </c:pt>
                  <c:pt idx="800">
                    <c:v>insecticida mata todo</c:v>
                  </c:pt>
                  <c:pt idx="801">
                    <c:v>jabon potasico</c:v>
                  </c:pt>
                  <c:pt idx="802">
                    <c:v>jabon potasico</c:v>
                  </c:pt>
                  <c:pt idx="803">
                    <c:v>jabon potasico</c:v>
                  </c:pt>
                  <c:pt idx="804">
                    <c:v>jabon potasico</c:v>
                  </c:pt>
                  <c:pt idx="805">
                    <c:v>jardinera</c:v>
                  </c:pt>
                  <c:pt idx="806">
                    <c:v>JARDINERA</c:v>
                  </c:pt>
                  <c:pt idx="807">
                    <c:v>JARDINERA</c:v>
                  </c:pt>
                  <c:pt idx="808">
                    <c:v>JARDINERA</c:v>
                  </c:pt>
                  <c:pt idx="809">
                    <c:v>JARDINERA</c:v>
                  </c:pt>
                  <c:pt idx="810">
                    <c:v>JARDINERA BULCANICA</c:v>
                  </c:pt>
                  <c:pt idx="811">
                    <c:v>jardinera c/plat</c:v>
                  </c:pt>
                  <c:pt idx="812">
                    <c:v>jardinera c/plato</c:v>
                  </c:pt>
                  <c:pt idx="813">
                    <c:v>jardinera chica</c:v>
                  </c:pt>
                  <c:pt idx="814">
                    <c:v>jardinera de colores</c:v>
                  </c:pt>
                  <c:pt idx="815">
                    <c:v>jardinera de colores</c:v>
                  </c:pt>
                  <c:pt idx="816">
                    <c:v>jardinera de colores</c:v>
                  </c:pt>
                  <c:pt idx="817">
                    <c:v>jardinera de colores</c:v>
                  </c:pt>
                  <c:pt idx="818">
                    <c:v>jardinera de colores</c:v>
                  </c:pt>
                  <c:pt idx="819">
                    <c:v>jardinera ecovaso</c:v>
                  </c:pt>
                  <c:pt idx="820">
                    <c:v>jardinera ecovaso</c:v>
                  </c:pt>
                  <c:pt idx="821">
                    <c:v>JARDINERA MINI</c:v>
                  </c:pt>
                  <c:pt idx="822">
                    <c:v>JARDINERA MINI</c:v>
                  </c:pt>
                  <c:pt idx="823">
                    <c:v>JARDINERA NEGRA</c:v>
                  </c:pt>
                  <c:pt idx="824">
                    <c:v>JARDINERA NEGRA</c:v>
                  </c:pt>
                  <c:pt idx="825">
                    <c:v>JARDINERA NEGRA</c:v>
                  </c:pt>
                  <c:pt idx="826">
                    <c:v>JARDINERA NEGRA</c:v>
                  </c:pt>
                  <c:pt idx="827">
                    <c:v>jardinera nutriplant c/plato</c:v>
                  </c:pt>
                  <c:pt idx="828">
                    <c:v>JARDINERA OCRE</c:v>
                  </c:pt>
                  <c:pt idx="829">
                    <c:v>jardinera plastico s/plato</c:v>
                  </c:pt>
                  <c:pt idx="830">
                    <c:v>JARDINERA PREMIUN</c:v>
                  </c:pt>
                  <c:pt idx="831">
                    <c:v>JARDINERA PUNTO</c:v>
                  </c:pt>
                  <c:pt idx="832">
                    <c:v>jardinera retomoldeada JFQM780</c:v>
                  </c:pt>
                  <c:pt idx="833">
                    <c:v>jardinera rocio</c:v>
                  </c:pt>
                  <c:pt idx="834">
                    <c:v>jardinera rocio</c:v>
                  </c:pt>
                  <c:pt idx="835">
                    <c:v>jardinera rocio</c:v>
                  </c:pt>
                  <c:pt idx="836">
                    <c:v>jardinera rotomoldeada</c:v>
                  </c:pt>
                  <c:pt idx="837">
                    <c:v>jardinera rotomoldeada</c:v>
                  </c:pt>
                  <c:pt idx="838">
                    <c:v>jardinera s/´lat</c:v>
                  </c:pt>
                  <c:pt idx="839">
                    <c:v>jardinera sampa</c:v>
                  </c:pt>
                  <c:pt idx="840">
                    <c:v>jardinera s-plato</c:v>
                  </c:pt>
                  <c:pt idx="841">
                    <c:v>jardineras</c:v>
                  </c:pt>
                  <c:pt idx="842">
                    <c:v>jaula </c:v>
                  </c:pt>
                  <c:pt idx="843">
                    <c:v>jaula conejo mediana</c:v>
                  </c:pt>
                  <c:pt idx="844">
                    <c:v>jaula conejos grande</c:v>
                  </c:pt>
                  <c:pt idx="845">
                    <c:v>jaula conejos grande</c:v>
                  </c:pt>
                  <c:pt idx="846">
                    <c:v>jaula hamster grande</c:v>
                  </c:pt>
                  <c:pt idx="847">
                    <c:v>jaula hamster R/ beb/ com</c:v>
                  </c:pt>
                  <c:pt idx="848">
                    <c:v>jaula hamster rued/cas/beb 2 pisos</c:v>
                  </c:pt>
                  <c:pt idx="849">
                    <c:v>vitamina alcon</c:v>
                  </c:pt>
                  <c:pt idx="850">
                    <c:v>jaula loro alambre</c:v>
                  </c:pt>
                  <c:pt idx="851">
                    <c:v>jaula p/australiabno </c:v>
                  </c:pt>
                  <c:pt idx="852">
                    <c:v>jaula p/cria</c:v>
                  </c:pt>
                  <c:pt idx="853">
                    <c:v>jaula pagoda</c:v>
                  </c:pt>
                  <c:pt idx="854">
                    <c:v>jaula pajarera median</c:v>
                  </c:pt>
                  <c:pt idx="855">
                    <c:v>jaula pajarera median</c:v>
                  </c:pt>
                  <c:pt idx="856">
                    <c:v>jaula pajaro alta doble campanario</c:v>
                  </c:pt>
                  <c:pt idx="857">
                    <c:v>Jaula pajaro curva chica</c:v>
                  </c:pt>
                  <c:pt idx="858">
                    <c:v>Jaula pajaro rancho chica</c:v>
                  </c:pt>
                  <c:pt idx="859">
                    <c:v>jaula para conejo</c:v>
                  </c:pt>
                  <c:pt idx="860">
                    <c:v>jaula techo recto</c:v>
                  </c:pt>
                  <c:pt idx="861">
                    <c:v>jaula volado</c:v>
                  </c:pt>
                  <c:pt idx="862">
                    <c:v>jaulas p/australianos</c:v>
                  </c:pt>
                  <c:pt idx="863">
                    <c:v>jeringa cucarachicida vigilante</c:v>
                  </c:pt>
                  <c:pt idx="864">
                    <c:v>jeringa fulmoline p/cucaracha</c:v>
                  </c:pt>
                  <c:pt idx="865">
                    <c:v>jeringa p/cucaracha</c:v>
                  </c:pt>
                  <c:pt idx="866">
                    <c:v>jeringa p/cucaracha raid max</c:v>
                  </c:pt>
                  <c:pt idx="867">
                    <c:v>jeringa p/hormiga</c:v>
                  </c:pt>
                  <c:pt idx="868">
                    <c:v>jeringa para cucaracha</c:v>
                  </c:pt>
                  <c:pt idx="869">
                    <c:v>jhaula hamster</c:v>
                  </c:pt>
                  <c:pt idx="870">
                    <c:v>jimo mata cucaracha</c:v>
                  </c:pt>
                  <c:pt idx="871">
                    <c:v>jimo mata cucarachas aerosol</c:v>
                  </c:pt>
                  <c:pt idx="872">
                    <c:v>jimo-gas</c:v>
                  </c:pt>
                  <c:pt idx="873">
                    <c:v>juego ceramica n12</c:v>
                  </c:pt>
                  <c:pt idx="874">
                    <c:v>juego ceramica n23</c:v>
                  </c:pt>
                  <c:pt idx="875">
                    <c:v>juego ceramica n6</c:v>
                  </c:pt>
                  <c:pt idx="876">
                    <c:v>juego collar correa multicolor</c:v>
                  </c:pt>
                  <c:pt idx="877">
                    <c:v>juego collar correa multicolor</c:v>
                  </c:pt>
                  <c:pt idx="878">
                    <c:v>juego collar correa multicolor</c:v>
                  </c:pt>
                  <c:pt idx="879">
                    <c:v>juego collar y correa</c:v>
                  </c:pt>
                  <c:pt idx="880">
                    <c:v>juego de jardin</c:v>
                  </c:pt>
                  <c:pt idx="881">
                    <c:v>juego de jardin 3 piezas</c:v>
                  </c:pt>
                  <c:pt idx="882">
                    <c:v>juego de jardin 3 piezas-wantok</c:v>
                  </c:pt>
                  <c:pt idx="883">
                    <c:v>juego jardin</c:v>
                  </c:pt>
                  <c:pt idx="884">
                    <c:v>juego palitas mini </c:v>
                  </c:pt>
                  <c:pt idx="885">
                    <c:v>juego palitas mini acero inox</c:v>
                  </c:pt>
                  <c:pt idx="886">
                    <c:v>juego pretal c/correa</c:v>
                  </c:pt>
                  <c:pt idx="887">
                    <c:v>juego pretal c/correa </c:v>
                  </c:pt>
                  <c:pt idx="888">
                    <c:v>juego pretal c/correa poliester</c:v>
                  </c:pt>
                  <c:pt idx="889">
                    <c:v>juegos con pinchitos</c:v>
                  </c:pt>
                  <c:pt idx="890">
                    <c:v>juguerte pata polloc/chifle</c:v>
                  </c:pt>
                  <c:pt idx="891">
                    <c:v>juguete 2 salchichas c/cuerda</c:v>
                  </c:pt>
                  <c:pt idx="892">
                    <c:v>juguete chuleta c/chifle</c:v>
                  </c:pt>
                  <c:pt idx="893">
                    <c:v>JUGUETE GATO PELOTA CON RATON</c:v>
                  </c:pt>
                  <c:pt idx="894">
                    <c:v>JUGUETE MASCOTA</c:v>
                  </c:pt>
                  <c:pt idx="895">
                    <c:v>juguete mascota pelota con pinchos</c:v>
                  </c:pt>
                  <c:pt idx="896">
                    <c:v>juguete para mascota pelota con chifle</c:v>
                  </c:pt>
                  <c:pt idx="897">
                    <c:v>juguete para mascota pelota tenis por 3 unid</c:v>
                  </c:pt>
                  <c:pt idx="898">
                    <c:v>JUGUETE PATA DE POLLO</c:v>
                  </c:pt>
                  <c:pt idx="899">
                    <c:v>juguete pelota c/chifle</c:v>
                  </c:pt>
                  <c:pt idx="900">
                    <c:v>juguete pelota cuerda</c:v>
                  </c:pt>
                  <c:pt idx="901">
                    <c:v>juguete pelota de goma c/pincho</c:v>
                  </c:pt>
                  <c:pt idx="902">
                    <c:v>juguete pollo</c:v>
                  </c:pt>
                  <c:pt idx="903">
                    <c:v>JUGUETE POLLO AMARILLO MED</c:v>
                  </c:pt>
                  <c:pt idx="904">
                    <c:v>juguete raton sisal con plumas</c:v>
                  </c:pt>
                  <c:pt idx="905">
                    <c:v>jupiter-bomba de gas</c:v>
                  </c:pt>
                  <c:pt idx="906">
                    <c:v>kit de jardinero</c:v>
                  </c:pt>
                  <c:pt idx="907">
                    <c:v>ladrillo de coco</c:v>
                  </c:pt>
                  <c:pt idx="908">
                    <c:v>Lamina 40cm ancho simple faz</c:v>
                  </c:pt>
                  <c:pt idx="909">
                    <c:v>Lamina 40cm ancho simple faz</c:v>
                  </c:pt>
                  <c:pt idx="910">
                    <c:v>lamina 40cm doble faz</c:v>
                  </c:pt>
                  <c:pt idx="911">
                    <c:v>lamina 40cm doble faz</c:v>
                  </c:pt>
                  <c:pt idx="912">
                    <c:v>lamina doble faz 50 cm</c:v>
                  </c:pt>
                  <c:pt idx="913">
                    <c:v>lampara 400 led</c:v>
                  </c:pt>
                  <c:pt idx="914">
                    <c:v>lampara 42 led 4w</c:v>
                  </c:pt>
                  <c:pt idx="915">
                    <c:v>lampara 500 led</c:v>
                  </c:pt>
                  <c:pt idx="916">
                    <c:v>lampara rs306 7w 20 </c:v>
                  </c:pt>
                  <c:pt idx="917">
                    <c:v>lampara rs-308 13w largo 40-50 cm</c:v>
                  </c:pt>
                  <c:pt idx="918">
                    <c:v>lata cobre</c:v>
                  </c:pt>
                  <c:pt idx="919">
                    <c:v>lingas</c:v>
                  </c:pt>
                  <c:pt idx="920">
                    <c:v>maceta</c:v>
                  </c:pt>
                  <c:pt idx="921">
                    <c:v>maceta </c:v>
                  </c:pt>
                  <c:pt idx="922">
                    <c:v>maceta </c:v>
                  </c:pt>
                  <c:pt idx="923">
                    <c:v>maceta </c:v>
                  </c:pt>
                  <c:pt idx="924">
                    <c:v>maceta  plastica</c:v>
                  </c:pt>
                  <c:pt idx="925">
                    <c:v>maceta 32 espacios</c:v>
                  </c:pt>
                  <c:pt idx="926">
                    <c:v>maceta A teja </c:v>
                  </c:pt>
                  <c:pt idx="927">
                    <c:v>maceta aquinop barro</c:v>
                  </c:pt>
                  <c:pt idx="928">
                    <c:v>maceta aquinop barro</c:v>
                  </c:pt>
                  <c:pt idx="929">
                    <c:v>maceta aquinop barro</c:v>
                  </c:pt>
                  <c:pt idx="930">
                    <c:v>maceta aquinop barro</c:v>
                  </c:pt>
                  <c:pt idx="931">
                    <c:v>maceta atractive</c:v>
                  </c:pt>
                  <c:pt idx="932">
                    <c:v>maceta atractive</c:v>
                  </c:pt>
                  <c:pt idx="933">
                    <c:v>maceta atractive</c:v>
                  </c:pt>
                  <c:pt idx="934">
                    <c:v>maceta atractive</c:v>
                  </c:pt>
                  <c:pt idx="935">
                    <c:v>maceta atractive</c:v>
                  </c:pt>
                  <c:pt idx="936">
                    <c:v>maceta atractive</c:v>
                  </c:pt>
                  <c:pt idx="937">
                    <c:v>maceta atractive</c:v>
                  </c:pt>
                  <c:pt idx="938">
                    <c:v>maceta bage</c:v>
                  </c:pt>
                  <c:pt idx="939">
                    <c:v>MACETA BARRIL</c:v>
                  </c:pt>
                  <c:pt idx="940">
                    <c:v>MACETA BARRIL</c:v>
                  </c:pt>
                  <c:pt idx="941">
                    <c:v>MACETA BARRIL NEGRA</c:v>
                  </c:pt>
                  <c:pt idx="942">
                    <c:v>MACETA BARRIL NEGRA</c:v>
                  </c:pt>
                  <c:pt idx="943">
                    <c:v>MACETA BARRIL NEGRA</c:v>
                  </c:pt>
                  <c:pt idx="944">
                    <c:v>maceta barro</c:v>
                  </c:pt>
                  <c:pt idx="945">
                    <c:v>maceta barro</c:v>
                  </c:pt>
                  <c:pt idx="946">
                    <c:v>maceta barro</c:v>
                  </c:pt>
                  <c:pt idx="947">
                    <c:v>maceta barro</c:v>
                  </c:pt>
                  <c:pt idx="948">
                    <c:v>maceta barro</c:v>
                  </c:pt>
                  <c:pt idx="949">
                    <c:v>maceta barro</c:v>
                  </c:pt>
                  <c:pt idx="950">
                    <c:v>maceta barro</c:v>
                  </c:pt>
                  <c:pt idx="951">
                    <c:v>maceta barro</c:v>
                  </c:pt>
                  <c:pt idx="952">
                    <c:v>maceta barro</c:v>
                  </c:pt>
                  <c:pt idx="953">
                    <c:v>maceta barro</c:v>
                  </c:pt>
                  <c:pt idx="954">
                    <c:v>maceta barro</c:v>
                  </c:pt>
                  <c:pt idx="955">
                    <c:v>maceta barro acuarium</c:v>
                  </c:pt>
                  <c:pt idx="956">
                    <c:v>maceta barro americana</c:v>
                  </c:pt>
                  <c:pt idx="957">
                    <c:v>maceta barro americana</c:v>
                  </c:pt>
                  <c:pt idx="958">
                    <c:v>maceta barro americana</c:v>
                  </c:pt>
                  <c:pt idx="959">
                    <c:v>Maceta barro aquario n5</c:v>
                  </c:pt>
                  <c:pt idx="960">
                    <c:v>maceta barro cilindro bajo</c:v>
                  </c:pt>
                  <c:pt idx="961">
                    <c:v>Maceta barro COIMBRA</c:v>
                  </c:pt>
                  <c:pt idx="962">
                    <c:v>maceta barro comun</c:v>
                  </c:pt>
                  <c:pt idx="963">
                    <c:v>maceta barro comun</c:v>
                  </c:pt>
                  <c:pt idx="964">
                    <c:v>maceta barro comun</c:v>
                  </c:pt>
                  <c:pt idx="965">
                    <c:v>maceta barro comun</c:v>
                  </c:pt>
                  <c:pt idx="966">
                    <c:v>maceta barro comun</c:v>
                  </c:pt>
                  <c:pt idx="967">
                    <c:v>maceta barro comun</c:v>
                  </c:pt>
                  <c:pt idx="968">
                    <c:v>maceta barro icono</c:v>
                  </c:pt>
                  <c:pt idx="969">
                    <c:v>maceta barro icono</c:v>
                  </c:pt>
                  <c:pt idx="970">
                    <c:v>maceta barro icono</c:v>
                  </c:pt>
                  <c:pt idx="971">
                    <c:v>maceta barro italiana</c:v>
                  </c:pt>
                  <c:pt idx="972">
                    <c:v>maceta barro italiana</c:v>
                  </c:pt>
                  <c:pt idx="973">
                    <c:v>maceta barro italiana</c:v>
                  </c:pt>
                  <c:pt idx="974">
                    <c:v>maceta barro lebrillo</c:v>
                  </c:pt>
                  <c:pt idx="975">
                    <c:v>maceta barro legsino</c:v>
                  </c:pt>
                  <c:pt idx="976">
                    <c:v>maceta barro nido paloma</c:v>
                  </c:pt>
                  <c:pt idx="977">
                    <c:v>maceta barro porteña</c:v>
                  </c:pt>
                  <c:pt idx="978">
                    <c:v>maceta barro porteña</c:v>
                  </c:pt>
                  <c:pt idx="979">
                    <c:v>maceta barro porteña</c:v>
                  </c:pt>
                  <c:pt idx="980">
                    <c:v>maceta barro redentor</c:v>
                  </c:pt>
                  <c:pt idx="981">
                    <c:v>maceta barro redentor</c:v>
                  </c:pt>
                  <c:pt idx="982">
                    <c:v>Maceta barro SAO PAULO</c:v>
                  </c:pt>
                  <c:pt idx="983">
                    <c:v>maceta barro suculkenta</c:v>
                  </c:pt>
                  <c:pt idx="984">
                    <c:v>maceta biodegradable</c:v>
                  </c:pt>
                  <c:pt idx="985">
                    <c:v>maceta biodegradable</c:v>
                  </c:pt>
                  <c:pt idx="986">
                    <c:v>maceta biodegradable (120maceta)</c:v>
                  </c:pt>
                  <c:pt idx="987">
                    <c:v>maceta biodegradable (300 maceta)</c:v>
                  </c:pt>
                  <c:pt idx="988">
                    <c:v>maceta biodegradable 4,5 x4,5</c:v>
                  </c:pt>
                  <c:pt idx="989">
                    <c:v>maceta biodegradable olivo</c:v>
                  </c:pt>
                  <c:pt idx="990">
                    <c:v>maceta biodegradable olivos-</c:v>
                  </c:pt>
                  <c:pt idx="991">
                    <c:v>maceta biodegradable-( 600 macetas)</c:v>
                  </c:pt>
                  <c:pt idx="992">
                    <c:v>maceta blanca cilindrica</c:v>
                  </c:pt>
                  <c:pt idx="993">
                    <c:v>MACETA BLANCA CUADRADA</c:v>
                  </c:pt>
                  <c:pt idx="994">
                    <c:v>maceta blanca cuadrada</c:v>
                  </c:pt>
                  <c:pt idx="995">
                    <c:v>maceta blanca rayas horizontales</c:v>
                  </c:pt>
                  <c:pt idx="996">
                    <c:v>MACETA BLANXA CILINDRICA</c:v>
                  </c:pt>
                  <c:pt idx="997">
                    <c:v>maceta bonsai elegance</c:v>
                  </c:pt>
                  <c:pt idx="998">
                    <c:v>maceta bonsai ovalada</c:v>
                  </c:pt>
                  <c:pt idx="999">
                    <c:v>maceta bonsai ovalada</c:v>
                  </c:pt>
                  <c:pt idx="1000">
                    <c:v>maceta bonsai rectangular</c:v>
                  </c:pt>
                  <c:pt idx="1001">
                    <c:v>maceta bonsai rectangular</c:v>
                  </c:pt>
                  <c:pt idx="1002">
                    <c:v>maceta bonsai terracota</c:v>
                  </c:pt>
                  <c:pt idx="1003">
                    <c:v>maceta campana color con plato</c:v>
                  </c:pt>
                  <c:pt idx="1004">
                    <c:v>maceta campana con plato</c:v>
                  </c:pt>
                  <c:pt idx="1005">
                    <c:v>maceta campana con plato</c:v>
                  </c:pt>
                  <c:pt idx="1006">
                    <c:v>maceta campana con plato</c:v>
                  </c:pt>
                  <c:pt idx="1007">
                    <c:v>maceta campana con plato</c:v>
                  </c:pt>
                  <c:pt idx="1008">
                    <c:v>maceta campana con plato</c:v>
                  </c:pt>
                  <c:pt idx="1009">
                    <c:v>maceta campana con plato</c:v>
                  </c:pt>
                  <c:pt idx="1010">
                    <c:v>maceta campana con plato</c:v>
                  </c:pt>
                  <c:pt idx="1011">
                    <c:v>maceta campana negra sin plato</c:v>
                  </c:pt>
                  <c:pt idx="1012">
                    <c:v>maceta ceramica</c:v>
                  </c:pt>
                  <c:pt idx="1013">
                    <c:v>maceta ceramica blanca</c:v>
                  </c:pt>
                  <c:pt idx="1014">
                    <c:v>maceta ceramica blanca</c:v>
                  </c:pt>
                  <c:pt idx="1015">
                    <c:v>maceta ceramica cruda</c:v>
                  </c:pt>
                  <c:pt idx="1016">
                    <c:v>maceta ceramica cruda</c:v>
                  </c:pt>
                  <c:pt idx="1017">
                    <c:v>maceta cerramica chata azul</c:v>
                  </c:pt>
                  <c:pt idx="1018">
                    <c:v>maceta cilindrica barro</c:v>
                  </c:pt>
                  <c:pt idx="1019">
                    <c:v>maceta cilindrica barro</c:v>
                  </c:pt>
                  <c:pt idx="1020">
                    <c:v>maceta cilindrica barro</c:v>
                  </c:pt>
                  <c:pt idx="1021">
                    <c:v>maceta cilindrica barro</c:v>
                  </c:pt>
                  <c:pt idx="1022">
                    <c:v>maceta cilindrica negra</c:v>
                  </c:pt>
                  <c:pt idx="1023">
                    <c:v>maceta cilindrica negra</c:v>
                  </c:pt>
                  <c:pt idx="1024">
                    <c:v>maceta cilindrica negra </c:v>
                  </c:pt>
                  <c:pt idx="1025">
                    <c:v>maceta cilindrica S/plato</c:v>
                  </c:pt>
                  <c:pt idx="1026">
                    <c:v>maceta cilindrica TEJA con plato</c:v>
                  </c:pt>
                  <c:pt idx="1027">
                    <c:v>maceta cilindrica TEJA con plato</c:v>
                  </c:pt>
                  <c:pt idx="1028">
                    <c:v>maceta cilindrica TEJA con plato</c:v>
                  </c:pt>
                  <c:pt idx="1029">
                    <c:v>maceta cilindrica TEJA con plato</c:v>
                  </c:pt>
                  <c:pt idx="1030">
                    <c:v>MACETA CIOTOLA</c:v>
                  </c:pt>
                  <c:pt idx="1031">
                    <c:v>MACETA CIOTOLA</c:v>
                  </c:pt>
                  <c:pt idx="1032">
                    <c:v>MACETA CIOTOLA</c:v>
                  </c:pt>
                  <c:pt idx="1033">
                    <c:v>maceta clasic ecovaso</c:v>
                  </c:pt>
                  <c:pt idx="1034">
                    <c:v>maceta clasic ecovaso</c:v>
                  </c:pt>
                  <c:pt idx="1035">
                    <c:v>maceta clasic ecovaso</c:v>
                  </c:pt>
                  <c:pt idx="1036">
                    <c:v>maceta clasica barro</c:v>
                  </c:pt>
                  <c:pt idx="1037">
                    <c:v>maceta clasica barro</c:v>
                  </c:pt>
                  <c:pt idx="1038">
                    <c:v>maceta clasica barro</c:v>
                  </c:pt>
                  <c:pt idx="1039">
                    <c:v>maceta clasica barro</c:v>
                  </c:pt>
                  <c:pt idx="1040">
                    <c:v>maceta clasica barro</c:v>
                  </c:pt>
                  <c:pt idx="1041">
                    <c:v>maceta clasica barro</c:v>
                  </c:pt>
                  <c:pt idx="1042">
                    <c:v>maceta clasica barro</c:v>
                  </c:pt>
                  <c:pt idx="1043">
                    <c:v>maceta clasica barro</c:v>
                  </c:pt>
                  <c:pt idx="1044">
                    <c:v>maceta clasica barro</c:v>
                  </c:pt>
                  <c:pt idx="1045">
                    <c:v>maceta clasica barro</c:v>
                  </c:pt>
                  <c:pt idx="1046">
                    <c:v>maceta clasica barro</c:v>
                  </c:pt>
                  <c:pt idx="1047">
                    <c:v>maceta clasica c/plato</c:v>
                  </c:pt>
                  <c:pt idx="1048">
                    <c:v>maceta clasica c/plato</c:v>
                  </c:pt>
                  <c:pt idx="1049">
                    <c:v>maceta clasica c/plato</c:v>
                  </c:pt>
                  <c:pt idx="1050">
                    <c:v>maceta clasica ecovaso</c:v>
                  </c:pt>
                  <c:pt idx="1051">
                    <c:v>maceta clasica ecovaso</c:v>
                  </c:pt>
                  <c:pt idx="1052">
                    <c:v>MACETA COCO CUADRADA COLGAR</c:v>
                  </c:pt>
                  <c:pt idx="1053">
                    <c:v>maceta colgante</c:v>
                  </c:pt>
                  <c:pt idx="1054">
                    <c:v>maceta colgar</c:v>
                  </c:pt>
                  <c:pt idx="1055">
                    <c:v>maceta colgar</c:v>
                  </c:pt>
                  <c:pt idx="1056">
                    <c:v>maceta colgar</c:v>
                  </c:pt>
                  <c:pt idx="1057">
                    <c:v>maceta colgar</c:v>
                  </c:pt>
                  <c:pt idx="1058">
                    <c:v>maceta colgar</c:v>
                  </c:pt>
                  <c:pt idx="1059">
                    <c:v>maceta colgar </c:v>
                  </c:pt>
                  <c:pt idx="1060">
                    <c:v>MACETA COLGAR C/CADENA </c:v>
                  </c:pt>
                  <c:pt idx="1061">
                    <c:v>maceta colgar cadena</c:v>
                  </c:pt>
                  <c:pt idx="1062">
                    <c:v>MACETA COLGAR CON CADENA</c:v>
                  </c:pt>
                  <c:pt idx="1063">
                    <c:v>MACETA COLGAR CON CADENA</c:v>
                  </c:pt>
                  <c:pt idx="1064">
                    <c:v>MACETA COLGAR CON CADENA</c:v>
                  </c:pt>
                  <c:pt idx="1065">
                    <c:v>maceta colgar simil ratan</c:v>
                  </c:pt>
                  <c:pt idx="1066">
                    <c:v>maceta colgar simil ratan</c:v>
                  </c:pt>
                  <c:pt idx="1067">
                    <c:v>maceta con planta</c:v>
                  </c:pt>
                  <c:pt idx="1068">
                    <c:v>maceta copa</c:v>
                  </c:pt>
                  <c:pt idx="1069">
                    <c:v>maceta copa</c:v>
                  </c:pt>
                  <c:pt idx="1070">
                    <c:v>maceta copa</c:v>
                  </c:pt>
                  <c:pt idx="1071">
                    <c:v>maceta copa</c:v>
                  </c:pt>
                  <c:pt idx="1072">
                    <c:v>MACETA CRAQUELADA</c:v>
                  </c:pt>
                  <c:pt idx="1073">
                    <c:v>MACETA CRAQUELADA</c:v>
                  </c:pt>
                  <c:pt idx="1074">
                    <c:v>MACETA CRAQUELADA</c:v>
                  </c:pt>
                  <c:pt idx="1075">
                    <c:v>MACETA CRAQUELADA</c:v>
                  </c:pt>
                  <c:pt idx="1076">
                    <c:v>MACETA CRAQUELADA</c:v>
                  </c:pt>
                  <c:pt idx="1077">
                    <c:v>maceta cua</c:v>
                  </c:pt>
                  <c:pt idx="1078">
                    <c:v>maceta cuadrada c/plat</c:v>
                  </c:pt>
                  <c:pt idx="1079">
                    <c:v>maceta cuadrada c/plat</c:v>
                  </c:pt>
                  <c:pt idx="1080">
                    <c:v>Maceta cuadrada chica plas garden</c:v>
                  </c:pt>
                  <c:pt idx="1081">
                    <c:v>maceta cuadrada N23</c:v>
                  </c:pt>
                  <c:pt idx="1082">
                    <c:v>maceta cuadrada N28</c:v>
                  </c:pt>
                  <c:pt idx="1083">
                    <c:v>maceta cuadrada N33</c:v>
                  </c:pt>
                  <c:pt idx="1084">
                    <c:v>maceta cuadrada N35</c:v>
                  </c:pt>
                  <c:pt idx="1085">
                    <c:v>maceta cuia</c:v>
                  </c:pt>
                  <c:pt idx="1086">
                    <c:v>maceta cuia</c:v>
                  </c:pt>
                  <c:pt idx="1087">
                    <c:v>maceta cuia 1,5</c:v>
                  </c:pt>
                  <c:pt idx="1088">
                    <c:v>maceta cuia 2</c:v>
                  </c:pt>
                  <c:pt idx="1089">
                    <c:v>maceta cuia 3</c:v>
                  </c:pt>
                  <c:pt idx="1090">
                    <c:v>maceta cuia 4</c:v>
                  </c:pt>
                  <c:pt idx="1091">
                    <c:v>maceta de barro</c:v>
                  </c:pt>
                  <c:pt idx="1092">
                    <c:v>maceta de barro</c:v>
                  </c:pt>
                  <c:pt idx="1093">
                    <c:v>maceta de barro</c:v>
                  </c:pt>
                  <c:pt idx="1094">
                    <c:v>maceta de barro aerea</c:v>
                  </c:pt>
                  <c:pt idx="1095">
                    <c:v>Maceta de barro FARAO</c:v>
                  </c:pt>
                  <c:pt idx="1096">
                    <c:v>Maceta de cococ/ plato</c:v>
                  </c:pt>
                  <c:pt idx="1097">
                    <c:v>Maceta de cococ/ plato</c:v>
                  </c:pt>
                  <c:pt idx="1098">
                    <c:v>maceta de colgar c/ cadena</c:v>
                  </c:pt>
                  <c:pt idx="1099">
                    <c:v>MACETA DE COLGAR C/ CADENA</c:v>
                  </c:pt>
                  <c:pt idx="1100">
                    <c:v>maceta de colgar c/cadena</c:v>
                  </c:pt>
                  <c:pt idx="1101">
                    <c:v>MACETA DE COLGAR CON CADENA</c:v>
                  </c:pt>
                  <c:pt idx="1102">
                    <c:v>MACETA DE COLGAR CON CADENA</c:v>
                  </c:pt>
                  <c:pt idx="1103">
                    <c:v>MACETA DE COLGAR CON CADENA</c:v>
                  </c:pt>
                  <c:pt idx="1104">
                    <c:v>MACETA DE COLGAR CON CADENA</c:v>
                  </c:pt>
                  <c:pt idx="1105">
                    <c:v>MACETA DE COLGAR CON CADENA</c:v>
                  </c:pt>
                  <c:pt idx="1106">
                    <c:v>maceta de orquidea</c:v>
                  </c:pt>
                  <c:pt idx="1107">
                    <c:v>MACETA DE PLASTICO DE PARED</c:v>
                  </c:pt>
                  <c:pt idx="1108">
                    <c:v>maceta decorada</c:v>
                  </c:pt>
                  <c:pt idx="1109">
                    <c:v>maceta descartable</c:v>
                  </c:pt>
                  <c:pt idx="1110">
                    <c:v>maceta descartable canadience</c:v>
                  </c:pt>
                  <c:pt idx="1111">
                    <c:v>maceta descartable canadience</c:v>
                  </c:pt>
                  <c:pt idx="1112">
                    <c:v>maceta descartable canadience</c:v>
                  </c:pt>
                  <c:pt idx="1113">
                    <c:v>maceta descartable canadience</c:v>
                  </c:pt>
                  <c:pt idx="1114">
                    <c:v>maceta descartable canadience</c:v>
                  </c:pt>
                  <c:pt idx="1115">
                    <c:v>maceta descartable vivero</c:v>
                  </c:pt>
                  <c:pt idx="1116">
                    <c:v>maceta descartable vivero-1000 maceta</c:v>
                  </c:pt>
                  <c:pt idx="1117">
                    <c:v>maceta descartable vivero-2000 maceta</c:v>
                  </c:pt>
                  <c:pt idx="1118">
                    <c:v>maceta descatable canadience</c:v>
                  </c:pt>
                  <c:pt idx="1119">
                    <c:v>maceta diamante</c:v>
                  </c:pt>
                  <c:pt idx="1120">
                    <c:v>maceta diamante</c:v>
                  </c:pt>
                  <c:pt idx="1121">
                    <c:v>MACETA DIAMANTE</c:v>
                  </c:pt>
                  <c:pt idx="1122">
                    <c:v>MACETA DIAMANTE</c:v>
                  </c:pt>
                  <c:pt idx="1123">
                    <c:v>MACETA DIAMANTE</c:v>
                  </c:pt>
                  <c:pt idx="1124">
                    <c:v>maceta duo</c:v>
                  </c:pt>
                  <c:pt idx="1125">
                    <c:v>maceta duo</c:v>
                  </c:pt>
                  <c:pt idx="1126">
                    <c:v>maceta duo</c:v>
                  </c:pt>
                  <c:pt idx="1127">
                    <c:v>maceta ecologica n 2</c:v>
                  </c:pt>
                  <c:pt idx="1128">
                    <c:v>maceta elegant S/plato</c:v>
                  </c:pt>
                  <c:pt idx="1129">
                    <c:v>maceta elegant S/plato</c:v>
                  </c:pt>
                  <c:pt idx="1130">
                    <c:v>maceta elegant S/plato</c:v>
                  </c:pt>
                  <c:pt idx="1131">
                    <c:v>maceta elegant S/plato</c:v>
                  </c:pt>
                  <c:pt idx="1132">
                    <c:v>maceta elegant S/plato</c:v>
                  </c:pt>
                  <c:pt idx="1133">
                    <c:v>maceta elegant S/plato</c:v>
                  </c:pt>
                  <c:pt idx="1134">
                    <c:v>maceta elegant S/plato</c:v>
                  </c:pt>
                  <c:pt idx="1135">
                    <c:v>maceta elegant S/plato</c:v>
                  </c:pt>
                  <c:pt idx="1136">
                    <c:v>maceta estampada blanca lineasc/p</c:v>
                  </c:pt>
                  <c:pt idx="1137">
                    <c:v>maceta estampada blanca lineasc/p</c:v>
                  </c:pt>
                  <c:pt idx="1138">
                    <c:v>maceta estampada blanca lineasc/p</c:v>
                  </c:pt>
                  <c:pt idx="1139">
                    <c:v>maceta estampada blanca lineasc/p</c:v>
                  </c:pt>
                  <c:pt idx="1140">
                    <c:v>maceta estampada blanca lineasc/p</c:v>
                  </c:pt>
                  <c:pt idx="1141">
                    <c:v>maceta estampada blanca lineasc/p</c:v>
                  </c:pt>
                  <c:pt idx="1142">
                    <c:v>maceta facetada</c:v>
                  </c:pt>
                  <c:pt idx="1143">
                    <c:v>maceta flor c/plato</c:v>
                  </c:pt>
                  <c:pt idx="1144">
                    <c:v>maceta guia ecovaso</c:v>
                  </c:pt>
                  <c:pt idx="1145">
                    <c:v>maceta hexagonal</c:v>
                  </c:pt>
                  <c:pt idx="1146">
                    <c:v>maceta holambra</c:v>
                  </c:pt>
                  <c:pt idx="1147">
                    <c:v>MACETA JARDINERA CON PLATO</c:v>
                  </c:pt>
                  <c:pt idx="1148">
                    <c:v>maceta jardinera de pared</c:v>
                  </c:pt>
                  <c:pt idx="1149">
                    <c:v>maceta jardinera plasticos/plato</c:v>
                  </c:pt>
                  <c:pt idx="1150">
                    <c:v>maceta jardinera plstico s/plato</c:v>
                  </c:pt>
                  <c:pt idx="1151">
                    <c:v>MACETA JARDINERA S/PLATO</c:v>
                  </c:pt>
                  <c:pt idx="1152">
                    <c:v>MACETA JARDINERA S/PLATO</c:v>
                  </c:pt>
                  <c:pt idx="1153">
                    <c:v>MACETA JARDINERA TERRACOTA</c:v>
                  </c:pt>
                  <c:pt idx="1154">
                    <c:v>MACETA JARDINERA TERRACOTA</c:v>
                  </c:pt>
                  <c:pt idx="1155">
                    <c:v>maceta lebrillo</c:v>
                  </c:pt>
                  <c:pt idx="1156">
                    <c:v>MACETA MARRON CUADRADA</c:v>
                  </c:pt>
                  <c:pt idx="1157">
                    <c:v>MACETA MARRON CUADRADA</c:v>
                  </c:pt>
                  <c:pt idx="1158">
                    <c:v>maceta marron lisa c/plato</c:v>
                  </c:pt>
                  <c:pt idx="1159">
                    <c:v>maceta marron lisa c/plato</c:v>
                  </c:pt>
                  <c:pt idx="1160">
                    <c:v>MACETA marron lisa c/plato</c:v>
                  </c:pt>
                  <c:pt idx="1161">
                    <c:v>maceta marron lisa c/plato</c:v>
                  </c:pt>
                  <c:pt idx="1162">
                    <c:v>MACETA marron lisa redonda</c:v>
                  </c:pt>
                  <c:pt idx="1163">
                    <c:v>MACETA marrron lisac/plato</c:v>
                  </c:pt>
                  <c:pt idx="1164">
                    <c:v>maceta milan</c:v>
                  </c:pt>
                  <c:pt idx="1165">
                    <c:v>maceta milan</c:v>
                  </c:pt>
                  <c:pt idx="1166">
                    <c:v>maceta mini c/plat</c:v>
                  </c:pt>
                  <c:pt idx="1167">
                    <c:v>maceta N3 color c/plato</c:v>
                  </c:pt>
                  <c:pt idx="1168">
                    <c:v>maceta N4 color c/plato</c:v>
                  </c:pt>
                  <c:pt idx="1169">
                    <c:v>maceta N5 color c/plato</c:v>
                  </c:pt>
                  <c:pt idx="1170">
                    <c:v>maceta nacional </c:v>
                  </c:pt>
                  <c:pt idx="1171">
                    <c:v>maceta nacional A</c:v>
                  </c:pt>
                  <c:pt idx="1172">
                    <c:v>maceta nacional A</c:v>
                  </c:pt>
                  <c:pt idx="1173">
                    <c:v>maceta nacional A</c:v>
                  </c:pt>
                  <c:pt idx="1174">
                    <c:v>maceta nacional A</c:v>
                  </c:pt>
                  <c:pt idx="1175">
                    <c:v>maceta nacional A</c:v>
                  </c:pt>
                  <c:pt idx="1176">
                    <c:v>maceta nacional A</c:v>
                  </c:pt>
                  <c:pt idx="1177">
                    <c:v>maceta nacional A </c:v>
                  </c:pt>
                  <c:pt idx="1178">
                    <c:v>maceta nacional A negra</c:v>
                  </c:pt>
                  <c:pt idx="1179">
                    <c:v>maceta nacional A negra</c:v>
                  </c:pt>
                  <c:pt idx="1180">
                    <c:v>maceta nacional A negra</c:v>
                  </c:pt>
                  <c:pt idx="1181">
                    <c:v>maceta nacional A NEGRA</c:v>
                  </c:pt>
                  <c:pt idx="1182">
                    <c:v>maceta negra c/blanco</c:v>
                  </c:pt>
                  <c:pt idx="1183">
                    <c:v>maceta negra c/blanco</c:v>
                  </c:pt>
                  <c:pt idx="1184">
                    <c:v>maceta negra cilindrica</c:v>
                  </c:pt>
                  <c:pt idx="1185">
                    <c:v>maceta negra cilindrica</c:v>
                  </c:pt>
                  <c:pt idx="1186">
                    <c:v>maceta negra cilindricaC/PLATO</c:v>
                  </c:pt>
                  <c:pt idx="1187">
                    <c:v>MACETA NEGRA CUADRADA RALLADA</c:v>
                  </c:pt>
                  <c:pt idx="1188">
                    <c:v>MACETA NEGRA FLOR C/ PLATO</c:v>
                  </c:pt>
                  <c:pt idx="1189">
                    <c:v>MACETA NEGRA FLOR C/ PLATO</c:v>
                  </c:pt>
                  <c:pt idx="1190">
                    <c:v>MACETA NEGRA FLOR C/ PLATO</c:v>
                  </c:pt>
                  <c:pt idx="1191">
                    <c:v>MACETA NEGRA FLOR C/ PLATO</c:v>
                  </c:pt>
                  <c:pt idx="1192">
                    <c:v>MACETA NEGRA LABRADA</c:v>
                  </c:pt>
                  <c:pt idx="1193">
                    <c:v>MACETA NEGRA LABRADA</c:v>
                  </c:pt>
                  <c:pt idx="1194">
                    <c:v>maceta negra labrada c/plato</c:v>
                  </c:pt>
                  <c:pt idx="1195">
                    <c:v>MACETA NEGRA LABRADA CON PLATO</c:v>
                  </c:pt>
                  <c:pt idx="1196">
                    <c:v>MACETA NEGRA+B1896 CUADRADA RALLADA</c:v>
                  </c:pt>
                  <c:pt idx="1197">
                    <c:v>maceta negto c/blanco</c:v>
                  </c:pt>
                  <c:pt idx="1198">
                    <c:v>maceta nutriplant</c:v>
                  </c:pt>
                  <c:pt idx="1199">
                    <c:v>maceta orquidea</c:v>
                  </c:pt>
                  <c:pt idx="1200">
                    <c:v>maceta orquidea</c:v>
                  </c:pt>
                  <c:pt idx="1201">
                    <c:v>MACETA ORQUIDEA COLOR FLUOR</c:v>
                  </c:pt>
                  <c:pt idx="1202">
                    <c:v>maceta orquidea grande</c:v>
                  </c:pt>
                  <c:pt idx="1203">
                    <c:v>MACETA ORQUIDEA TRANSPARENTE</c:v>
                  </c:pt>
                  <c:pt idx="1204">
                    <c:v>MACETA ORQUIDEA TRANSPARENTE</c:v>
                  </c:pt>
                  <c:pt idx="1205">
                    <c:v>MACETA ORQUIDEA TRANSPARENTE</c:v>
                  </c:pt>
                  <c:pt idx="1206">
                    <c:v>MACETA ORQUIDEA TRANSPARENTE</c:v>
                  </c:pt>
                  <c:pt idx="1207">
                    <c:v>maceta paila 35</c:v>
                  </c:pt>
                  <c:pt idx="1208">
                    <c:v>maceta paila c/p</c:v>
                  </c:pt>
                  <c:pt idx="1209">
                    <c:v>maceta pared</c:v>
                  </c:pt>
                  <c:pt idx="1210">
                    <c:v>maceta pared</c:v>
                  </c:pt>
                  <c:pt idx="1211">
                    <c:v>maceta pared</c:v>
                  </c:pt>
                  <c:pt idx="1212">
                    <c:v>maceta pared</c:v>
                  </c:pt>
                  <c:pt idx="1213">
                    <c:v>maceta pared</c:v>
                  </c:pt>
                  <c:pt idx="1214">
                    <c:v>maceta pared plastico</c:v>
                  </c:pt>
                  <c:pt idx="1215">
                    <c:v>maceta paris</c:v>
                  </c:pt>
                  <c:pt idx="1216">
                    <c:v>maceta paris</c:v>
                  </c:pt>
                  <c:pt idx="1217">
                    <c:v>maceta paris</c:v>
                  </c:pt>
                  <c:pt idx="1218">
                    <c:v>maceta paula  c/plato</c:v>
                  </c:pt>
                  <c:pt idx="1219">
                    <c:v>maceta paula c/plato</c:v>
                  </c:pt>
                  <c:pt idx="1220">
                    <c:v>maceta paula c/plato</c:v>
                  </c:pt>
                  <c:pt idx="1221">
                    <c:v>maceta paula c/plato</c:v>
                  </c:pt>
                  <c:pt idx="1222">
                    <c:v>maceta paula c/plato</c:v>
                  </c:pt>
                  <c:pt idx="1223">
                    <c:v>maceta piramidal con luz  N67</c:v>
                  </c:pt>
                  <c:pt idx="1224">
                    <c:v>maceta piso c/ PLATO</c:v>
                  </c:pt>
                  <c:pt idx="1225">
                    <c:v>MACETA PISO C/ PLATO</c:v>
                  </c:pt>
                  <c:pt idx="1226">
                    <c:v>MACETA PISO C/ PLATO</c:v>
                  </c:pt>
                  <c:pt idx="1227">
                    <c:v>maceta piso con plato</c:v>
                  </c:pt>
                  <c:pt idx="1228">
                    <c:v>maceta piso con plato</c:v>
                  </c:pt>
                  <c:pt idx="1229">
                    <c:v>maceta piso con plato</c:v>
                  </c:pt>
                  <c:pt idx="1230">
                    <c:v>maceta piso cuadradacon plato</c:v>
                  </c:pt>
                  <c:pt idx="1231">
                    <c:v>maceta piso cuadradacon plato</c:v>
                  </c:pt>
                  <c:pt idx="1232">
                    <c:v>maceta piso cuadradacon plato</c:v>
                  </c:pt>
                  <c:pt idx="1233">
                    <c:v>MACETA piso MARRON c/plat</c:v>
                  </c:pt>
                  <c:pt idx="1234">
                    <c:v>maceta piza</c:v>
                  </c:pt>
                  <c:pt idx="1235">
                    <c:v>maceta pl</c:v>
                  </c:pt>
                  <c:pt idx="1236">
                    <c:v>maceta pl</c:v>
                  </c:pt>
                  <c:pt idx="1237">
                    <c:v>maceta pl COLOR</c:v>
                  </c:pt>
                  <c:pt idx="1238">
                    <c:v>maceta pl COLOR</c:v>
                  </c:pt>
                  <c:pt idx="1239">
                    <c:v>maceta pl COLOR</c:v>
                  </c:pt>
                  <c:pt idx="1240">
                    <c:v>maceta pl COLOR</c:v>
                  </c:pt>
                  <c:pt idx="1241">
                    <c:v>MACETA PL NEGRA</c:v>
                  </c:pt>
                  <c:pt idx="1242">
                    <c:v>MACETA PL NEGRA</c:v>
                  </c:pt>
                  <c:pt idx="1243">
                    <c:v>MACETA PL NEGRA</c:v>
                  </c:pt>
                  <c:pt idx="1244">
                    <c:v>MACETA PL NEGRA</c:v>
                  </c:pt>
                  <c:pt idx="1245">
                    <c:v>maceta plastica</c:v>
                  </c:pt>
                  <c:pt idx="1246">
                    <c:v>maceta plastica</c:v>
                  </c:pt>
                  <c:pt idx="1247">
                    <c:v>maceta plastica</c:v>
                  </c:pt>
                  <c:pt idx="1248">
                    <c:v>maceta plastica</c:v>
                  </c:pt>
                  <c:pt idx="1249">
                    <c:v>maceta plastica</c:v>
                  </c:pt>
                  <c:pt idx="1250">
                    <c:v>maceta plastica</c:v>
                  </c:pt>
                  <c:pt idx="1251">
                    <c:v>maceta plastica </c:v>
                  </c:pt>
                  <c:pt idx="1252">
                    <c:v>maceta plastica blanca</c:v>
                  </c:pt>
                  <c:pt idx="1253">
                    <c:v>MACETA PLASTICA COPA</c:v>
                  </c:pt>
                  <c:pt idx="1254">
                    <c:v>maceta plastica gris</c:v>
                  </c:pt>
                  <c:pt idx="1255">
                    <c:v>maceta plastico cuadrada</c:v>
                  </c:pt>
                  <c:pt idx="1256">
                    <c:v>maceta plastico cuadrada</c:v>
                  </c:pt>
                  <c:pt idx="1257">
                    <c:v>maceta plastico cuadrada</c:v>
                  </c:pt>
                  <c:pt idx="1258">
                    <c:v>maceta plastico cuadrada</c:v>
                  </c:pt>
                  <c:pt idx="1259">
                    <c:v>maceta plastico cuadrada</c:v>
                  </c:pt>
                  <c:pt idx="1260">
                    <c:v>maceta plastico cuadrada</c:v>
                  </c:pt>
                  <c:pt idx="1261">
                    <c:v>maceta plastico jardinera s/</c:v>
                  </c:pt>
                  <c:pt idx="1262">
                    <c:v>maceta plastico labrada</c:v>
                  </c:pt>
                  <c:pt idx="1263">
                    <c:v>maceta plastico labrada</c:v>
                  </c:pt>
                  <c:pt idx="1264">
                    <c:v>maceta plastico n11</c:v>
                  </c:pt>
                  <c:pt idx="1265">
                    <c:v>maceta plastico n8</c:v>
                  </c:pt>
                  <c:pt idx="1266">
                    <c:v>maceta porteña </c:v>
                  </c:pt>
                  <c:pt idx="1267">
                    <c:v>MACETA PREMIUN clasica</c:v>
                  </c:pt>
                  <c:pt idx="1268">
                    <c:v>MACETA PREMIUN clasica</c:v>
                  </c:pt>
                  <c:pt idx="1269">
                    <c:v>MACETA PREMIUN clasica</c:v>
                  </c:pt>
                  <c:pt idx="1270">
                    <c:v>MACETA PREMIUN clasica</c:v>
                  </c:pt>
                  <c:pt idx="1271">
                    <c:v>MACETA PREMIUN clasica</c:v>
                  </c:pt>
                  <c:pt idx="1272">
                    <c:v>maceta premiun redonda blanca </c:v>
                  </c:pt>
                  <c:pt idx="1273">
                    <c:v>MACETA PRISMA CODIGO</c:v>
                  </c:pt>
                  <c:pt idx="1274">
                    <c:v>MACETA PUNTO 1</c:v>
                  </c:pt>
                  <c:pt idx="1275">
                    <c:v>MACETA PUNTO 2</c:v>
                  </c:pt>
                  <c:pt idx="1276">
                    <c:v>MACETA PUNTO 3</c:v>
                  </c:pt>
                  <c:pt idx="1277">
                    <c:v>MACETA PUNTO 4</c:v>
                  </c:pt>
                  <c:pt idx="1278">
                    <c:v>MACETA RAYADA PLASTICO</c:v>
                  </c:pt>
                  <c:pt idx="1279">
                    <c:v>MACETA RAYADA TERRACOTA</c:v>
                  </c:pt>
                  <c:pt idx="1280">
                    <c:v>MACETA RAYADA TERRACOTA</c:v>
                  </c:pt>
                  <c:pt idx="1281">
                    <c:v>MACETA RAYADA TERRACOTA</c:v>
                  </c:pt>
                  <c:pt idx="1282">
                    <c:v>MACETA RAYADA TERRACOTA</c:v>
                  </c:pt>
                  <c:pt idx="1283">
                    <c:v>maceta rayadaterracota</c:v>
                  </c:pt>
                  <c:pt idx="1284">
                    <c:v>maceta redonda decorada c/plato</c:v>
                  </c:pt>
                  <c:pt idx="1285">
                    <c:v>maceta redonda decorada c/plato</c:v>
                  </c:pt>
                  <c:pt idx="1286">
                    <c:v>maceta redonda decorada c/plato</c:v>
                  </c:pt>
                  <c:pt idx="1287">
                    <c:v>maceta redonda decorada c/plato</c:v>
                  </c:pt>
                  <c:pt idx="1288">
                    <c:v>maceta redonda europea</c:v>
                  </c:pt>
                  <c:pt idx="1289">
                    <c:v>MACETA REDONDA SIMIL PETRE 10 CM</c:v>
                  </c:pt>
                  <c:pt idx="1290">
                    <c:v>maceta relevo</c:v>
                  </c:pt>
                  <c:pt idx="1291">
                    <c:v>maceta relevo</c:v>
                  </c:pt>
                  <c:pt idx="1292">
                    <c:v>maceta rio</c:v>
                  </c:pt>
                  <c:pt idx="1293">
                    <c:v>maceta rocio </c:v>
                  </c:pt>
                  <c:pt idx="1294">
                    <c:v>maceta rocio </c:v>
                  </c:pt>
                  <c:pt idx="1295">
                    <c:v>maceta rocio </c:v>
                  </c:pt>
                  <c:pt idx="1296">
                    <c:v>maceta rocio </c:v>
                  </c:pt>
                  <c:pt idx="1297">
                    <c:v>maceta rocio de colores</c:v>
                  </c:pt>
                  <c:pt idx="1298">
                    <c:v>maceta rocio de colores</c:v>
                  </c:pt>
                  <c:pt idx="1299">
                    <c:v>maceta rocio de colores</c:v>
                  </c:pt>
                  <c:pt idx="1300">
                    <c:v>maceta rocio de colores</c:v>
                  </c:pt>
                  <c:pt idx="1301">
                    <c:v>maceta rocio de colores</c:v>
                  </c:pt>
                  <c:pt idx="1302">
                    <c:v>maceta rotomoldeada</c:v>
                  </c:pt>
                  <c:pt idx="1303">
                    <c:v>maceta rotomoldeada</c:v>
                  </c:pt>
                  <c:pt idx="1304">
                    <c:v>maceta rotomoldeada</c:v>
                  </c:pt>
                  <c:pt idx="1305">
                    <c:v>maceta rotomoldeada</c:v>
                  </c:pt>
                  <c:pt idx="1306">
                    <c:v>maceta rotomoldeada</c:v>
                  </c:pt>
                  <c:pt idx="1307">
                    <c:v>maceta rotomoldeada</c:v>
                  </c:pt>
                  <c:pt idx="1308">
                    <c:v>maceta rotomoldeada</c:v>
                  </c:pt>
                  <c:pt idx="1309">
                    <c:v>maceta rotomoldeada</c:v>
                  </c:pt>
                  <c:pt idx="1310">
                    <c:v>maceta rotomoldeada</c:v>
                  </c:pt>
                  <c:pt idx="1311">
                    <c:v>maceta rotomoldeada</c:v>
                  </c:pt>
                  <c:pt idx="1312">
                    <c:v>maceta rotomoldeada</c:v>
                  </c:pt>
                  <c:pt idx="1313">
                    <c:v>maceta rotomoldeada</c:v>
                  </c:pt>
                  <c:pt idx="1314">
                    <c:v>maceta rotomoldeada</c:v>
                  </c:pt>
                  <c:pt idx="1315">
                    <c:v>MACETA ROTOMOLDEADA</c:v>
                  </c:pt>
                  <c:pt idx="1316">
                    <c:v>MACETA ROTOMOLDEADA</c:v>
                  </c:pt>
                  <c:pt idx="1317">
                    <c:v>MACETA ROTOMOLDEADA</c:v>
                  </c:pt>
                  <c:pt idx="1318">
                    <c:v>MACETA ROTOMOLDEADA</c:v>
                  </c:pt>
                  <c:pt idx="1319">
                    <c:v>MACETA ROTOMOLDEADA</c:v>
                  </c:pt>
                  <c:pt idx="1320">
                    <c:v>MACETA ROTOMOLDEADA</c:v>
                  </c:pt>
                  <c:pt idx="1321">
                    <c:v>MACETA ROTOMOLDEADA</c:v>
                  </c:pt>
                  <c:pt idx="1322">
                    <c:v>maceta rotomoldeada</c:v>
                  </c:pt>
                  <c:pt idx="1323">
                    <c:v>MACETA ROTOMOLDEADA</c:v>
                  </c:pt>
                  <c:pt idx="1324">
                    <c:v>MACETA ROTOMOLDEADA</c:v>
                  </c:pt>
                  <c:pt idx="1325">
                    <c:v>MACETA ROTOMOLDEADA</c:v>
                  </c:pt>
                  <c:pt idx="1326">
                    <c:v>MACETA ROTOMOLDEADA</c:v>
                  </c:pt>
                  <c:pt idx="1327">
                    <c:v>MACETA ROTOMOLDEADA</c:v>
                  </c:pt>
                  <c:pt idx="1328">
                    <c:v>MACETA ROTOMOLDEADA</c:v>
                  </c:pt>
                  <c:pt idx="1329">
                    <c:v>MACETA ROTOMOLDEADA</c:v>
                  </c:pt>
                  <c:pt idx="1330">
                    <c:v>MACETA ROTOMOLDEADA</c:v>
                  </c:pt>
                  <c:pt idx="1331">
                    <c:v>MACETA ROTOMOLDEADA</c:v>
                  </c:pt>
                  <c:pt idx="1332">
                    <c:v>MACETA ROTOMOLDEADA</c:v>
                  </c:pt>
                  <c:pt idx="1333">
                    <c:v>MACETA ROTOMOLDEADA</c:v>
                  </c:pt>
                  <c:pt idx="1334">
                    <c:v>MACETA ROTOMOLDEADA</c:v>
                  </c:pt>
                  <c:pt idx="1335">
                    <c:v>MACETA ROTOMOLDEADA</c:v>
                  </c:pt>
                  <c:pt idx="1336">
                    <c:v>MACETA ROTOMOLDEADA</c:v>
                  </c:pt>
                  <c:pt idx="1337">
                    <c:v>MACETA ROTOMOLDEADA</c:v>
                  </c:pt>
                  <c:pt idx="1338">
                    <c:v>MACETA ROTOMOLDEADA</c:v>
                  </c:pt>
                  <c:pt idx="1339">
                    <c:v>MACETA ROTOMOLDEADA</c:v>
                  </c:pt>
                  <c:pt idx="1340">
                    <c:v>MACETA ROTOMOLDEADA</c:v>
                  </c:pt>
                  <c:pt idx="1341">
                    <c:v>MACETA ROTOMOLDEADA</c:v>
                  </c:pt>
                  <c:pt idx="1342">
                    <c:v>MACETA ROTOMOLDEADA</c:v>
                  </c:pt>
                  <c:pt idx="1343">
                    <c:v>MACETA ROTOMOLDEADA</c:v>
                  </c:pt>
                  <c:pt idx="1344">
                    <c:v>MACETA ROTOMOLDEADA</c:v>
                  </c:pt>
                  <c:pt idx="1345">
                    <c:v>MACETA ROTOMOLDEADA</c:v>
                  </c:pt>
                  <c:pt idx="1346">
                    <c:v>MACETA ROTOMOLDEADA </c:v>
                  </c:pt>
                  <c:pt idx="1347">
                    <c:v>maceta rotomoldeada </c:v>
                  </c:pt>
                  <c:pt idx="1348">
                    <c:v>maceta rotomoldeada </c:v>
                  </c:pt>
                  <c:pt idx="1349">
                    <c:v>maceta rotomoldeada </c:v>
                  </c:pt>
                  <c:pt idx="1350">
                    <c:v>MACETA ROTOMOLDEADA </c:v>
                  </c:pt>
                  <c:pt idx="1351">
                    <c:v>MACETA ROTOMOLDEADA </c:v>
                  </c:pt>
                  <c:pt idx="1352">
                    <c:v>MACETA ROTOMOLDEADA </c:v>
                  </c:pt>
                  <c:pt idx="1353">
                    <c:v>MACETA ROTOMOLDEADA </c:v>
                  </c:pt>
                  <c:pt idx="1354">
                    <c:v>maceta rotomoldeada </c:v>
                  </c:pt>
                  <c:pt idx="1355">
                    <c:v>MACETA ROTOMOLDEADA OCRE</c:v>
                  </c:pt>
                  <c:pt idx="1356">
                    <c:v>MACETA ROTOMOLDEADA OCRE</c:v>
                  </c:pt>
                  <c:pt idx="1357">
                    <c:v>MACETA ROTOMOLDEADA OCRE</c:v>
                  </c:pt>
                  <c:pt idx="1358">
                    <c:v>MACETA ROTOMOLDEADA OCRE</c:v>
                  </c:pt>
                  <c:pt idx="1359">
                    <c:v>maceta rotomoldeada vogue mini beta mini</c:v>
                  </c:pt>
                  <c:pt idx="1360">
                    <c:v>MACETA ROTOMOLDEALA</c:v>
                  </c:pt>
                  <c:pt idx="1361">
                    <c:v>maceta sampa</c:v>
                  </c:pt>
                  <c:pt idx="1362">
                    <c:v>maceta sampa</c:v>
                  </c:pt>
                  <c:pt idx="1363">
                    <c:v>maceta sampa</c:v>
                  </c:pt>
                  <c:pt idx="1364">
                    <c:v>maceta sampa</c:v>
                  </c:pt>
                  <c:pt idx="1365">
                    <c:v>maceta sampa</c:v>
                  </c:pt>
                  <c:pt idx="1366">
                    <c:v>maceta sampa</c:v>
                  </c:pt>
                  <c:pt idx="1367">
                    <c:v>maceta sampa</c:v>
                  </c:pt>
                  <c:pt idx="1368">
                    <c:v>maceta sampa</c:v>
                  </c:pt>
                  <c:pt idx="1369">
                    <c:v>maceta sampa</c:v>
                  </c:pt>
                  <c:pt idx="1370">
                    <c:v>maceta SURA</c:v>
                  </c:pt>
                  <c:pt idx="1371">
                    <c:v>maceta SURA</c:v>
                  </c:pt>
                  <c:pt idx="1372">
                    <c:v>maceta SURA</c:v>
                  </c:pt>
                  <c:pt idx="1373">
                    <c:v>maceta SURA</c:v>
                  </c:pt>
                  <c:pt idx="1374">
                    <c:v>maceta terra</c:v>
                  </c:pt>
                  <c:pt idx="1375">
                    <c:v>MACETA TERRACOTA</c:v>
                  </c:pt>
                  <c:pt idx="1376">
                    <c:v>maceta terracota</c:v>
                  </c:pt>
                  <c:pt idx="1377">
                    <c:v>maceta terracota</c:v>
                  </c:pt>
                  <c:pt idx="1378">
                    <c:v>maceta terracota</c:v>
                  </c:pt>
                  <c:pt idx="1379">
                    <c:v>MACETA TERRACOTA</c:v>
                  </c:pt>
                  <c:pt idx="1380">
                    <c:v>maceta transparente p/orquidia</c:v>
                  </c:pt>
                  <c:pt idx="1381">
                    <c:v>maceta transparente p/orquidia</c:v>
                  </c:pt>
                  <c:pt idx="1382">
                    <c:v>maceta tuna cuadrada</c:v>
                  </c:pt>
                  <c:pt idx="1383">
                    <c:v>maceta tuna cuadrada</c:v>
                  </c:pt>
                  <c:pt idx="1384">
                    <c:v>maceta tuna redonda</c:v>
                  </c:pt>
                  <c:pt idx="1385">
                    <c:v>maceta tuna redonda</c:v>
                  </c:pt>
                  <c:pt idx="1386">
                    <c:v>maceta vaso acuarela</c:v>
                  </c:pt>
                  <c:pt idx="1387">
                    <c:v>maceta vaso duo brancografiti</c:v>
                  </c:pt>
                  <c:pt idx="1388">
                    <c:v>maceta vaso negro</c:v>
                  </c:pt>
                  <c:pt idx="1389">
                    <c:v>maceta vaso negro</c:v>
                  </c:pt>
                  <c:pt idx="1390">
                    <c:v>maceta vaso negro</c:v>
                  </c:pt>
                  <c:pt idx="1391">
                    <c:v>maceta vaso negro</c:v>
                  </c:pt>
                  <c:pt idx="1392">
                    <c:v>maceta vaso redondo</c:v>
                  </c:pt>
                  <c:pt idx="1393">
                    <c:v>maceta vaso redondo</c:v>
                  </c:pt>
                  <c:pt idx="1394">
                    <c:v>maceta vechio americano N°1</c:v>
                  </c:pt>
                  <c:pt idx="1395">
                    <c:v>maceta vechio americano N°3</c:v>
                  </c:pt>
                  <c:pt idx="1396">
                    <c:v>maceta vechio cachepo bally N°1</c:v>
                  </c:pt>
                  <c:pt idx="1397">
                    <c:v>maceta vechio cachepo bola N°1</c:v>
                  </c:pt>
                  <c:pt idx="1398">
                    <c:v>maceta verona con plato set x 5</c:v>
                  </c:pt>
                  <c:pt idx="1399">
                    <c:v>maceta vivero</c:v>
                  </c:pt>
                  <c:pt idx="1400">
                    <c:v>maceta xaxim con cadena ch</c:v>
                  </c:pt>
                  <c:pt idx="1401">
                    <c:v>maceta xaxim con cadena med</c:v>
                  </c:pt>
                  <c:pt idx="1402">
                    <c:v>macetacui nobleproductor</c:v>
                  </c:pt>
                  <c:pt idx="1403">
                    <c:v>MACETAlisa</c:v>
                  </c:pt>
                  <c:pt idx="1404">
                    <c:v>MACETAlisa</c:v>
                  </c:pt>
                  <c:pt idx="1405">
                    <c:v>macetas barro cilindro alto</c:v>
                  </c:pt>
                  <c:pt idx="1406">
                    <c:v>macetas barro cilindro alto</c:v>
                  </c:pt>
                  <c:pt idx="1407">
                    <c:v>macetas bombe c/ plato</c:v>
                  </c:pt>
                  <c:pt idx="1408">
                    <c:v>macetas clasicas blancas</c:v>
                  </c:pt>
                  <c:pt idx="1409">
                    <c:v>macetas clasicas blancas</c:v>
                  </c:pt>
                  <c:pt idx="1410">
                    <c:v>macetas clasicas blancas</c:v>
                  </c:pt>
                  <c:pt idx="1411">
                    <c:v>macetas clasicas blancas</c:v>
                  </c:pt>
                  <c:pt idx="1412">
                    <c:v>macetas clasicas blancas</c:v>
                  </c:pt>
                  <c:pt idx="1413">
                    <c:v>macetas clasicas blancas</c:v>
                  </c:pt>
                  <c:pt idx="1414">
                    <c:v>macetas clasicas blancas</c:v>
                  </c:pt>
                  <c:pt idx="1415">
                    <c:v>macetas clasicas blancas</c:v>
                  </c:pt>
                  <c:pt idx="1416">
                    <c:v>macetas clasicas blancas</c:v>
                  </c:pt>
                  <c:pt idx="1417">
                    <c:v>macetas clasicas blancas</c:v>
                  </c:pt>
                  <c:pt idx="1418">
                    <c:v>macetas clasicas blancas</c:v>
                  </c:pt>
                  <c:pt idx="1419">
                    <c:v>macetas nutriplant negra</c:v>
                  </c:pt>
                  <c:pt idx="1420">
                    <c:v>macetas nutriplant negra</c:v>
                  </c:pt>
                  <c:pt idx="1421">
                    <c:v>macetas nutriplant negra</c:v>
                  </c:pt>
                  <c:pt idx="1422">
                    <c:v>macetas nutriplant negra</c:v>
                  </c:pt>
                  <c:pt idx="1423">
                    <c:v>macetas nutriplant negra</c:v>
                  </c:pt>
                  <c:pt idx="1424">
                    <c:v>macetas nutriplant negra</c:v>
                  </c:pt>
                  <c:pt idx="1425">
                    <c:v>macetas nutriplant negra</c:v>
                  </c:pt>
                  <c:pt idx="1426">
                    <c:v>macetas nutriplant negra</c:v>
                  </c:pt>
                  <c:pt idx="1427">
                    <c:v>macetas nutriplant negra</c:v>
                  </c:pt>
                  <c:pt idx="1428">
                    <c:v>macetas nutriplant negra</c:v>
                  </c:pt>
                  <c:pt idx="1429">
                    <c:v>macetas nutriplant negra</c:v>
                  </c:pt>
                  <c:pt idx="1430">
                    <c:v>MACETERO COLGAR RATAN CH</c:v>
                  </c:pt>
                  <c:pt idx="1431">
                    <c:v>MACETERO COLGAR RATAN GDE</c:v>
                  </c:pt>
                  <c:pt idx="1432">
                    <c:v>MACETERO COLGAR RATAN MED</c:v>
                  </c:pt>
                  <c:pt idx="1433">
                    <c:v>macetta plastico pared</c:v>
                  </c:pt>
                  <c:pt idx="1434">
                    <c:v>macetta plastico pared</c:v>
                  </c:pt>
                  <c:pt idx="1435">
                    <c:v>machete tramontina</c:v>
                  </c:pt>
                  <c:pt idx="1436">
                    <c:v>maiz entero</c:v>
                  </c:pt>
                  <c:pt idx="1437">
                    <c:v>maiz entero</c:v>
                  </c:pt>
                  <c:pt idx="1438">
                    <c:v>maiz quebrado</c:v>
                  </c:pt>
                  <c:pt idx="1439">
                    <c:v>maiz quebrado</c:v>
                  </c:pt>
                  <c:pt idx="1440">
                    <c:v>malbitraz</c:v>
                  </c:pt>
                  <c:pt idx="1441">
                    <c:v>malla negra n 4</c:v>
                  </c:pt>
                  <c:pt idx="1442">
                    <c:v>malla negra n2</c:v>
                  </c:pt>
                  <c:pt idx="1443">
                    <c:v>malla para helada</c:v>
                  </c:pt>
                  <c:pt idx="1444">
                    <c:v>malla sombra 50 %</c:v>
                  </c:pt>
                  <c:pt idx="1445">
                    <c:v>malla sombra 50 %</c:v>
                  </c:pt>
                  <c:pt idx="1446">
                    <c:v>malla sombra 80 % 4 mts ancho</c:v>
                  </c:pt>
                  <c:pt idx="1447">
                    <c:v>malla sombra 80 % 4 mts ancho</c:v>
                  </c:pt>
                  <c:pt idx="1448">
                    <c:v>malla sombra 80 % 4 mts ancho</c:v>
                  </c:pt>
                  <c:pt idx="1449">
                    <c:v>mancoceb</c:v>
                  </c:pt>
                  <c:pt idx="1450">
                    <c:v>mancozeb</c:v>
                  </c:pt>
                  <c:pt idx="1451">
                    <c:v>mancozeb</c:v>
                  </c:pt>
                  <c:pt idx="1452">
                    <c:v>manguer extensible </c:v>
                  </c:pt>
                  <c:pt idx="1453">
                    <c:v>manguera</c:v>
                  </c:pt>
                  <c:pt idx="1454">
                    <c:v>manguera</c:v>
                  </c:pt>
                  <c:pt idx="1455">
                    <c:v>manguera de tela</c:v>
                  </c:pt>
                  <c:pt idx="1456">
                    <c:v>manguera extensible</c:v>
                  </c:pt>
                  <c:pt idx="1457">
                    <c:v>manguera extensible</c:v>
                  </c:pt>
                  <c:pt idx="1458">
                    <c:v>manguera extensiblo</c:v>
                  </c:pt>
                  <c:pt idx="1459">
                    <c:v>MANTA DE COCO</c:v>
                  </c:pt>
                  <c:pt idx="1460">
                    <c:v>MANTA DE COCO</c:v>
                  </c:pt>
                  <c:pt idx="1461">
                    <c:v>manta de coco</c:v>
                  </c:pt>
                  <c:pt idx="1462">
                    <c:v>MANZANILLA</c:v>
                  </c:pt>
                  <c:pt idx="1463">
                    <c:v>maple de huevo-</c:v>
                  </c:pt>
                  <c:pt idx="1464">
                    <c:v>maples de huevo</c:v>
                  </c:pt>
                  <c:pt idx="1465">
                    <c:v>maquina de flit</c:v>
                  </c:pt>
                  <c:pt idx="1466">
                    <c:v>marmolina </c:v>
                  </c:pt>
                  <c:pt idx="1467">
                    <c:v>mata polillas </c:v>
                  </c:pt>
                  <c:pt idx="1468">
                    <c:v>mata todo</c:v>
                  </c:pt>
                  <c:pt idx="1469">
                    <c:v>MATAMOSCAS</c:v>
                  </c:pt>
                  <c:pt idx="1470">
                    <c:v>mcetero colgante</c:v>
                  </c:pt>
                  <c:pt idx="1471">
                    <c:v>medroxi</c:v>
                  </c:pt>
                  <c:pt idx="1472">
                    <c:v>medroxi</c:v>
                  </c:pt>
                  <c:pt idx="1473">
                    <c:v>medroxi</c:v>
                  </c:pt>
                  <c:pt idx="1474">
                    <c:v>melaza</c:v>
                  </c:pt>
                  <c:pt idx="1475">
                    <c:v>Melaza</c:v>
                  </c:pt>
                  <c:pt idx="1476">
                    <c:v>mercaptathion</c:v>
                  </c:pt>
                  <c:pt idx="1477">
                    <c:v>mercaptothion</c:v>
                  </c:pt>
                  <c:pt idx="1478">
                    <c:v>metilaqua azul</c:v>
                  </c:pt>
                  <c:pt idx="1479">
                    <c:v>microvita</c:v>
                  </c:pt>
                  <c:pt idx="1480">
                    <c:v>mini bola</c:v>
                  </c:pt>
                  <c:pt idx="1481">
                    <c:v>mixtos</c:v>
                  </c:pt>
                  <c:pt idx="1482">
                    <c:v>mochila fumigadora</c:v>
                  </c:pt>
                  <c:pt idx="1483">
                    <c:v>mochila plastico</c:v>
                  </c:pt>
                  <c:pt idx="1484">
                    <c:v>mochila roceador</c:v>
                  </c:pt>
                  <c:pt idx="1485">
                    <c:v>moha</c:v>
                  </c:pt>
                  <c:pt idx="1486">
                    <c:v>moha</c:v>
                  </c:pt>
                  <c:pt idx="1487">
                    <c:v>moha</c:v>
                  </c:pt>
                  <c:pt idx="1488">
                    <c:v>MOLINETE CHICO</c:v>
                  </c:pt>
                  <c:pt idx="1489">
                    <c:v>molinete flor</c:v>
                  </c:pt>
                  <c:pt idx="1490">
                    <c:v>MOLINETE GRANDE</c:v>
                  </c:pt>
                  <c:pt idx="1491">
                    <c:v>molino</c:v>
                  </c:pt>
                  <c:pt idx="1492">
                    <c:v>molino</c:v>
                  </c:pt>
                  <c:pt idx="1493">
                    <c:v>molino</c:v>
                  </c:pt>
                  <c:pt idx="1494">
                    <c:v>molino</c:v>
                  </c:pt>
                  <c:pt idx="1495">
                    <c:v>molino</c:v>
                  </c:pt>
                  <c:pt idx="1496">
                    <c:v>molino</c:v>
                  </c:pt>
                  <c:pt idx="1497">
                    <c:v>moscaxan</c:v>
                  </c:pt>
                  <c:pt idx="1498">
                    <c:v>moscaxan platillos</c:v>
                  </c:pt>
                  <c:pt idx="1499">
                    <c:v>mosqueton c/destorcedor</c:v>
                  </c:pt>
                  <c:pt idx="1500">
                    <c:v>mosqueton c/destorcedor</c:v>
                  </c:pt>
                  <c:pt idx="1501">
                    <c:v>mosqueton c/destorcedor</c:v>
                  </c:pt>
                  <c:pt idx="1502">
                    <c:v>mosqueton c/destorcedor</c:v>
                  </c:pt>
                  <c:pt idx="1503">
                    <c:v>mulch </c:v>
                  </c:pt>
                  <c:pt idx="1504">
                    <c:v>Mulch sol</c:v>
                  </c:pt>
                  <c:pt idx="1505">
                    <c:v>musgo</c:v>
                  </c:pt>
                  <c:pt idx="1506">
                    <c:v>musgo natural</c:v>
                  </c:pt>
                  <c:pt idx="1507">
                    <c:v>neen super</c:v>
                  </c:pt>
                  <c:pt idx="1508">
                    <c:v>neodip</c:v>
                  </c:pt>
                  <c:pt idx="1509">
                    <c:v>neodip</c:v>
                  </c:pt>
                  <c:pt idx="1510">
                    <c:v>nido cotorra australiana</c:v>
                  </c:pt>
                  <c:pt idx="1511">
                    <c:v>nido de canario alambre y cuerda</c:v>
                  </c:pt>
                  <c:pt idx="1512">
                    <c:v>NIDO JUNCO</c:v>
                  </c:pt>
                  <c:pt idx="1513">
                    <c:v>NIDO jute CANARIO</c:v>
                  </c:pt>
                  <c:pt idx="1514">
                    <c:v>nido loro australiano</c:v>
                  </c:pt>
                  <c:pt idx="1515">
                    <c:v>nido p/pajaro grande</c:v>
                  </c:pt>
                  <c:pt idx="1516">
                    <c:v>nido para canario piola</c:v>
                  </c:pt>
                  <c:pt idx="1517">
                    <c:v>nido yute p/canario</c:v>
                  </c:pt>
                  <c:pt idx="1518">
                    <c:v>nido yute p/canarios</c:v>
                  </c:pt>
                  <c:pt idx="1519">
                    <c:v>nitro sulfa aviar</c:v>
                  </c:pt>
                  <c:pt idx="1520">
                    <c:v>nitro sulfa aviar</c:v>
                  </c:pt>
                  <c:pt idx="1521">
                    <c:v>nogales europeo</c:v>
                  </c:pt>
                  <c:pt idx="1522">
                    <c:v>nutricion p/canarios</c:v>
                  </c:pt>
                  <c:pt idx="1523">
                    <c:v>nutricion p/canarios</c:v>
                  </c:pt>
                  <c:pt idx="1524">
                    <c:v>nutricion p/canarios</c:v>
                  </c:pt>
                  <c:pt idx="1525">
                    <c:v>nutricion p/canarios</c:v>
                  </c:pt>
                  <c:pt idx="1526">
                    <c:v>oasis biodegradable</c:v>
                  </c:pt>
                  <c:pt idx="1527">
                    <c:v>oasis-ladrillo de espuma floral</c:v>
                  </c:pt>
                  <c:pt idx="1528">
                    <c:v>OPTIMUN GATOS CASTRADOS</c:v>
                  </c:pt>
                  <c:pt idx="1529">
                    <c:v>OSMOCOTE fertilizante</c:v>
                  </c:pt>
                  <c:pt idx="1530">
                    <c:v>oxicloruro de cobre-fanavid</c:v>
                  </c:pt>
                  <c:pt idx="1531">
                    <c:v>oxicloruro de cobre-fanavid</c:v>
                  </c:pt>
                  <c:pt idx="1532">
                    <c:v>pala ancha</c:v>
                  </c:pt>
                  <c:pt idx="1533">
                    <c:v>pala ancha /fina de jardineria</c:v>
                  </c:pt>
                  <c:pt idx="1534">
                    <c:v>pala anchamango de madera</c:v>
                  </c:pt>
                  <c:pt idx="1535">
                    <c:v>pala de jardin</c:v>
                  </c:pt>
                  <c:pt idx="1536">
                    <c:v>pala plastico para jardin</c:v>
                  </c:pt>
                  <c:pt idx="1537">
                    <c:v>pala sanitaria</c:v>
                  </c:pt>
                  <c:pt idx="1538">
                    <c:v>palillos de ropa</c:v>
                  </c:pt>
                  <c:pt idx="1539">
                    <c:v>palita angosta cabo de madera</c:v>
                  </c:pt>
                  <c:pt idx="1540">
                    <c:v>PALITA METALICA</c:v>
                  </c:pt>
                  <c:pt idx="1541">
                    <c:v>palita p/jardin mango madera</c:v>
                  </c:pt>
                  <c:pt idx="1542">
                    <c:v>palita sanitaria c/cara de gato</c:v>
                  </c:pt>
                  <c:pt idx="1543">
                    <c:v>palo santo </c:v>
                  </c:pt>
                  <c:pt idx="1544">
                    <c:v>panel pasto hoja larga</c:v>
                  </c:pt>
                  <c:pt idx="1545">
                    <c:v>panel pasto trebol</c:v>
                  </c:pt>
                  <c:pt idx="1546">
                    <c:v>pantalla luz blanca</c:v>
                  </c:pt>
                  <c:pt idx="1547">
                    <c:v>pantalla luz blanca</c:v>
                  </c:pt>
                  <c:pt idx="1548">
                    <c:v>papel pino 50 /25 cm</c:v>
                  </c:pt>
                  <c:pt idx="1549">
                    <c:v>papilla p/ pajaros</c:v>
                  </c:pt>
                  <c:pt idx="1550">
                    <c:v>papilla p/pajaros</c:v>
                  </c:pt>
                  <c:pt idx="1551">
                    <c:v>papillap/psitacidos-tarro azul</c:v>
                  </c:pt>
                  <c:pt idx="1552">
                    <c:v>paquette semilla aromatica</c:v>
                  </c:pt>
                  <c:pt idx="1553">
                    <c:v>paradicloro</c:v>
                  </c:pt>
                  <c:pt idx="1554">
                    <c:v>paradicloro</c:v>
                  </c:pt>
                  <c:pt idx="1555">
                    <c:v>parrilleros</c:v>
                  </c:pt>
                  <c:pt idx="1556">
                    <c:v>pastilla nexgard dog L c/u</c:v>
                  </c:pt>
                  <c:pt idx="1557">
                    <c:v>pastilla nexgard dog XL C/U</c:v>
                  </c:pt>
                  <c:pt idx="1558">
                    <c:v>pastillas nexgard dog M c/u</c:v>
                  </c:pt>
                  <c:pt idx="1559">
                    <c:v>pastillas nexgard dog S C/U</c:v>
                  </c:pt>
                  <c:pt idx="1560">
                    <c:v>pate de carne</c:v>
                  </c:pt>
                  <c:pt idx="1561">
                    <c:v>pecera</c:v>
                  </c:pt>
                  <c:pt idx="1562">
                    <c:v>pecera</c:v>
                  </c:pt>
                  <c:pt idx="1563">
                    <c:v>pecera</c:v>
                  </c:pt>
                  <c:pt idx="1564">
                    <c:v>pecera</c:v>
                  </c:pt>
                  <c:pt idx="1565">
                    <c:v>pecera</c:v>
                  </c:pt>
                  <c:pt idx="1566">
                    <c:v>pecera</c:v>
                  </c:pt>
                  <c:pt idx="1567">
                    <c:v>PECERA ACRILICO 39X26X49</c:v>
                  </c:pt>
                  <c:pt idx="1568">
                    <c:v>PECERA ACRILICO38X22X41</c:v>
                  </c:pt>
                  <c:pt idx="1569">
                    <c:v>pecera de vidrio</c:v>
                  </c:pt>
                  <c:pt idx="1570">
                    <c:v>pedigree razas pequeñas</c:v>
                  </c:pt>
                  <c:pt idx="1571">
                    <c:v>pedigree razas pequeñas</c:v>
                  </c:pt>
                  <c:pt idx="1572">
                    <c:v>pegamento p/rata</c:v>
                  </c:pt>
                  <c:pt idx="1573">
                    <c:v>pelones</c:v>
                  </c:pt>
                  <c:pt idx="1574">
                    <c:v>pelota de tenis</c:v>
                  </c:pt>
                  <c:pt idx="1575">
                    <c:v>pelota maciza</c:v>
                  </c:pt>
                  <c:pt idx="1576">
                    <c:v>pelota soga</c:v>
                  </c:pt>
                  <c:pt idx="1577">
                    <c:v>pelota tenis goma</c:v>
                  </c:pt>
                  <c:pt idx="1578">
                    <c:v>pelota vinilo erizo con luz</c:v>
                  </c:pt>
                  <c:pt idx="1579">
                    <c:v>peluche conejo con corazon</c:v>
                  </c:pt>
                  <c:pt idx="1580">
                    <c:v>peluche oso c/enterito smile 70 cm-4 colores </c:v>
                  </c:pt>
                  <c:pt idx="1581">
                    <c:v>peluche oso corazon te amo grande</c:v>
                  </c:pt>
                  <c:pt idx="1582">
                    <c:v>peluche perro corazon te amo</c:v>
                  </c:pt>
                  <c:pt idx="1583">
                    <c:v>PERCHAS</c:v>
                  </c:pt>
                  <c:pt idx="1584">
                    <c:v>perlita</c:v>
                  </c:pt>
                  <c:pt idx="1585">
                    <c:v>perlita</c:v>
                  </c:pt>
                  <c:pt idx="1586">
                    <c:v>perlita</c:v>
                  </c:pt>
                  <c:pt idx="1587">
                    <c:v>perlita</c:v>
                  </c:pt>
                  <c:pt idx="1588">
                    <c:v>perro bandido</c:v>
                  </c:pt>
                  <c:pt idx="1589">
                    <c:v>perro bandido</c:v>
                  </c:pt>
                  <c:pt idx="1590">
                    <c:v>perro bandido</c:v>
                  </c:pt>
                  <c:pt idx="1591">
                    <c:v>perro beny</c:v>
                  </c:pt>
                  <c:pt idx="1592">
                    <c:v>perro beny</c:v>
                  </c:pt>
                  <c:pt idx="1593">
                    <c:v>perro beny</c:v>
                  </c:pt>
                  <c:pt idx="1594">
                    <c:v>perro birbo cachorro</c:v>
                  </c:pt>
                  <c:pt idx="1595">
                    <c:v>perro birbo cachorro</c:v>
                  </c:pt>
                  <c:pt idx="1596">
                    <c:v>PERRO BRABO BABY</c:v>
                  </c:pt>
                  <c:pt idx="1597">
                    <c:v>PERRO BRAVO FRANGO E LEGUMES</c:v>
                  </c:pt>
                  <c:pt idx="1598">
                    <c:v>perro burny</c:v>
                  </c:pt>
                  <c:pt idx="1599">
                    <c:v>perro cannel</c:v>
                  </c:pt>
                  <c:pt idx="1600">
                    <c:v>perro cannel</c:v>
                  </c:pt>
                  <c:pt idx="1601">
                    <c:v>perro cannel</c:v>
                  </c:pt>
                  <c:pt idx="1602">
                    <c:v>perro cannel mix</c:v>
                  </c:pt>
                  <c:pt idx="1603">
                    <c:v>perro cannel mix</c:v>
                  </c:pt>
                  <c:pt idx="1604">
                    <c:v>perro cannel mix</c:v>
                  </c:pt>
                  <c:pt idx="1605">
                    <c:v>perro champmix de carne</c:v>
                  </c:pt>
                  <c:pt idx="1606">
                    <c:v>perro champmix de carne</c:v>
                  </c:pt>
                  <c:pt idx="1607">
                    <c:v>PERRO CHARRUA ADULTO</c:v>
                  </c:pt>
                  <c:pt idx="1608">
                    <c:v>perro conni adulto </c:v>
                  </c:pt>
                  <c:pt idx="1609">
                    <c:v>PERRO CRIOLLA ADULTO</c:v>
                  </c:pt>
                  <c:pt idx="1610">
                    <c:v>perro dogui cachorro</c:v>
                  </c:pt>
                  <c:pt idx="1611">
                    <c:v>perro dogui cachorro</c:v>
                  </c:pt>
                  <c:pt idx="1612">
                    <c:v>perro dogui cachorro</c:v>
                  </c:pt>
                  <c:pt idx="1613">
                    <c:v>perro dogui cer,car,arroz</c:v>
                  </c:pt>
                  <c:pt idx="1614">
                    <c:v>perro dogui cer,car,arroz</c:v>
                  </c:pt>
                  <c:pt idx="1615">
                    <c:v>perro equilibrio raza pequeña</c:v>
                  </c:pt>
                  <c:pt idx="1616">
                    <c:v>perro equilibrio raza pequeña</c:v>
                  </c:pt>
                  <c:pt idx="1617">
                    <c:v>perro especial dog</c:v>
                  </c:pt>
                  <c:pt idx="1618">
                    <c:v>perro fridy</c:v>
                  </c:pt>
                  <c:pt idx="1619">
                    <c:v>perro fridy</c:v>
                  </c:pt>
                  <c:pt idx="1620">
                    <c:v>perro intor cachorro</c:v>
                  </c:pt>
                  <c:pt idx="1621">
                    <c:v>perro lager</c:v>
                  </c:pt>
                  <c:pt idx="1622">
                    <c:v>perro lager</c:v>
                  </c:pt>
                  <c:pt idx="1623">
                    <c:v>perro lager</c:v>
                  </c:pt>
                  <c:pt idx="1624">
                    <c:v>perro mimos plus</c:v>
                  </c:pt>
                  <c:pt idx="1625">
                    <c:v>perro ny dog</c:v>
                  </c:pt>
                  <c:pt idx="1626">
                    <c:v>perro ny dog</c:v>
                  </c:pt>
                  <c:pt idx="1627">
                    <c:v>perro pedrighe cachorro</c:v>
                  </c:pt>
                  <c:pt idx="1628">
                    <c:v>perro pedrighe cachorro</c:v>
                  </c:pt>
                  <c:pt idx="1629">
                    <c:v>perro pedrigree</c:v>
                  </c:pt>
                  <c:pt idx="1630">
                    <c:v>perro pedrigree carne pollos y cereales</c:v>
                  </c:pt>
                  <c:pt idx="1631">
                    <c:v>perro pedrigree raza pequeña</c:v>
                  </c:pt>
                  <c:pt idx="1632">
                    <c:v>perro pedrigue razas pequeñas</c:v>
                  </c:pt>
                  <c:pt idx="1633">
                    <c:v>perro pedrigue razas pequeñas</c:v>
                  </c:pt>
                  <c:pt idx="1634">
                    <c:v>perro primocao filhotes</c:v>
                  </c:pt>
                  <c:pt idx="1635">
                    <c:v>perro primocao original negra</c:v>
                  </c:pt>
                  <c:pt idx="1636">
                    <c:v>perro primocao original negro </c:v>
                  </c:pt>
                  <c:pt idx="1637">
                    <c:v>perro primocao original negro </c:v>
                  </c:pt>
                  <c:pt idx="1638">
                    <c:v>perro primocao premiun filohotes</c:v>
                  </c:pt>
                  <c:pt idx="1639">
                    <c:v>perro primocao premiun filohotes</c:v>
                  </c:pt>
                  <c:pt idx="1640">
                    <c:v>perro primocao premiun raza pequeña</c:v>
                  </c:pt>
                  <c:pt idx="1641">
                    <c:v>perro pro 21</c:v>
                  </c:pt>
                  <c:pt idx="1642">
                    <c:v>perro pro 21 </c:v>
                  </c:pt>
                  <c:pt idx="1643">
                    <c:v>perro pro 21 </c:v>
                  </c:pt>
                  <c:pt idx="1644">
                    <c:v>perro pro 27</c:v>
                  </c:pt>
                  <c:pt idx="1645">
                    <c:v>perro pro 27</c:v>
                  </c:pt>
                  <c:pt idx="1646">
                    <c:v>perro urupet</c:v>
                  </c:pt>
                  <c:pt idx="1647">
                    <c:v>perro urupet</c:v>
                  </c:pt>
                  <c:pt idx="1648">
                    <c:v>perro wits</c:v>
                  </c:pt>
                  <c:pt idx="1649">
                    <c:v>pez doris</c:v>
                  </c:pt>
                  <c:pt idx="1650">
                    <c:v>pez payaso con cartel</c:v>
                  </c:pt>
                  <c:pt idx="1651">
                    <c:v>phaltan 80 wdg</c:v>
                  </c:pt>
                  <c:pt idx="1652">
                    <c:v>pico de placa nacional</c:v>
                  </c:pt>
                  <c:pt idx="1653">
                    <c:v>pie sepelio chica</c:v>
                  </c:pt>
                  <c:pt idx="1654">
                    <c:v>piedra  porosa </c:v>
                  </c:pt>
                  <c:pt idx="1655">
                    <c:v>piedra de calcio</c:v>
                  </c:pt>
                  <c:pt idx="1656">
                    <c:v>piedra de calcio</c:v>
                  </c:pt>
                  <c:pt idx="1657">
                    <c:v>PIEDRA DE CALCIO</c:v>
                  </c:pt>
                  <c:pt idx="1658">
                    <c:v>piedra porosa azul</c:v>
                  </c:pt>
                  <c:pt idx="1659">
                    <c:v>piedra porosa azul</c:v>
                  </c:pt>
                  <c:pt idx="1660">
                    <c:v>piedra porosa azul</c:v>
                  </c:pt>
                  <c:pt idx="1661">
                    <c:v>piedra porosa redonda</c:v>
                  </c:pt>
                  <c:pt idx="1662">
                    <c:v>piedra sanitaria</c:v>
                  </c:pt>
                  <c:pt idx="1663">
                    <c:v>piedra sanitaria</c:v>
                  </c:pt>
                  <c:pt idx="1664">
                    <c:v>piedra sanitaria animalitos sanipel</c:v>
                  </c:pt>
                  <c:pt idx="1665">
                    <c:v>piedra sanitaria c/gel silica</c:v>
                  </c:pt>
                  <c:pt idx="1666">
                    <c:v>piedras blancas</c:v>
                  </c:pt>
                  <c:pt idx="1667">
                    <c:v>piedras blancas</c:v>
                  </c:pt>
                  <c:pt idx="1668">
                    <c:v>PIEDRAS COLORES</c:v>
                  </c:pt>
                  <c:pt idx="1669">
                    <c:v>piedras de calcio</c:v>
                  </c:pt>
                  <c:pt idx="1670">
                    <c:v>pinza </c:v>
                  </c:pt>
                  <c:pt idx="1671">
                    <c:v>pinza de corte</c:v>
                  </c:pt>
                  <c:pt idx="1672">
                    <c:v>pioner</c:v>
                  </c:pt>
                  <c:pt idx="1673">
                    <c:v>piperacina</c:v>
                  </c:pt>
                  <c:pt idx="1674">
                    <c:v>pipeta efinol</c:v>
                  </c:pt>
                  <c:pt idx="1675">
                    <c:v>pipeta efinol</c:v>
                  </c:pt>
                  <c:pt idx="1676">
                    <c:v>pipeta frontline plus</c:v>
                  </c:pt>
                  <c:pt idx="1677">
                    <c:v>pipeta frontline plus</c:v>
                  </c:pt>
                  <c:pt idx="1678">
                    <c:v>pipeta gato  pulgout</c:v>
                  </c:pt>
                  <c:pt idx="1679">
                    <c:v>pipeta gato  pulgout</c:v>
                  </c:pt>
                  <c:pt idx="1680">
                    <c:v>PIPETA PERRO</c:v>
                  </c:pt>
                  <c:pt idx="1681">
                    <c:v>pipeta perro pulgout</c:v>
                  </c:pt>
                  <c:pt idx="1682">
                    <c:v>pipeta perro pulgout</c:v>
                  </c:pt>
                  <c:pt idx="1683">
                    <c:v>pipeta perro pulgout</c:v>
                  </c:pt>
                  <c:pt idx="1684">
                    <c:v>pipeta perro pulgout</c:v>
                  </c:pt>
                  <c:pt idx="1685">
                    <c:v>pipeta pipeton gato</c:v>
                  </c:pt>
                  <c:pt idx="1686">
                    <c:v>pipeta pipeton gato</c:v>
                  </c:pt>
                  <c:pt idx="1687">
                    <c:v>pipetas efinol gato</c:v>
                  </c:pt>
                  <c:pt idx="1688">
                    <c:v>pipetas frontline</c:v>
                  </c:pt>
                  <c:pt idx="1689">
                    <c:v>pipete frontline</c:v>
                  </c:pt>
                  <c:pt idx="1690">
                    <c:v>pistola naranja puntero de bronce</c:v>
                  </c:pt>
                  <c:pt idx="1691">
                    <c:v>placa nacional</c:v>
                  </c:pt>
                  <c:pt idx="1692">
                    <c:v>planta</c:v>
                  </c:pt>
                  <c:pt idx="1693">
                    <c:v>planta</c:v>
                  </c:pt>
                  <c:pt idx="1694">
                    <c:v>planta</c:v>
                  </c:pt>
                  <c:pt idx="1695">
                    <c:v>planta</c:v>
                  </c:pt>
                  <c:pt idx="1696">
                    <c:v>planta adorno arbol amarillo</c:v>
                  </c:pt>
                  <c:pt idx="1697">
                    <c:v>planta adorno arbol violeta</c:v>
                  </c:pt>
                  <c:pt idx="1698">
                    <c:v>planta adornoarbol amarillo</c:v>
                  </c:pt>
                  <c:pt idx="1699">
                    <c:v>planta artificial </c:v>
                  </c:pt>
                  <c:pt idx="1700">
                    <c:v>planta artificial pecera</c:v>
                  </c:pt>
                  <c:pt idx="1701">
                    <c:v>planta artificial pecera</c:v>
                  </c:pt>
                  <c:pt idx="1702">
                    <c:v>planta artificial pecera</c:v>
                  </c:pt>
                  <c:pt idx="1703">
                    <c:v>planta chica x 2 unidades</c:v>
                  </c:pt>
                  <c:pt idx="1704">
                    <c:v>planta colgante</c:v>
                  </c:pt>
                  <c:pt idx="1705">
                    <c:v>planta colgante</c:v>
                  </c:pt>
                  <c:pt idx="1706">
                    <c:v>PLANTA PHILODENDRO 90 CM</c:v>
                  </c:pt>
                  <c:pt idx="1707">
                    <c:v>PLANTA PIMPOLLO COLGAR</c:v>
                  </c:pt>
                  <c:pt idx="1708">
                    <c:v>planta pincho</c:v>
                  </c:pt>
                  <c:pt idx="1709">
                    <c:v>plantas</c:v>
                  </c:pt>
                  <c:pt idx="1710">
                    <c:v>plantas artf plasticas</c:v>
                  </c:pt>
                  <c:pt idx="1711">
                    <c:v>plantas artf plasticas</c:v>
                  </c:pt>
                  <c:pt idx="1712">
                    <c:v>plantas artf plasticas</c:v>
                  </c:pt>
                  <c:pt idx="1713">
                    <c:v>plantas artf. chicas</c:v>
                  </c:pt>
                  <c:pt idx="1714">
                    <c:v>plantiflor</c:v>
                  </c:pt>
                  <c:pt idx="1715">
                    <c:v>PLANTIFLOR</c:v>
                  </c:pt>
                  <c:pt idx="1716">
                    <c:v>platillos cebo nosca</c:v>
                  </c:pt>
                  <c:pt idx="1717">
                    <c:v>plato cuadrado gris</c:v>
                  </c:pt>
                  <c:pt idx="1718">
                    <c:v>plato cuadrado gris</c:v>
                  </c:pt>
                  <c:pt idx="1719">
                    <c:v>plato cuadrado gris</c:v>
                  </c:pt>
                  <c:pt idx="1720">
                    <c:v>plato cuadrado negro</c:v>
                  </c:pt>
                  <c:pt idx="1721">
                    <c:v>plato cuadrado negro</c:v>
                  </c:pt>
                  <c:pt idx="1722">
                    <c:v>plato cuadrado negro</c:v>
                  </c:pt>
                  <c:pt idx="1723">
                    <c:v>plato de barro</c:v>
                  </c:pt>
                  <c:pt idx="1724">
                    <c:v>plato de barro</c:v>
                  </c:pt>
                </c:lvl>
                <c:lvl>
                  <c:pt idx="1">
                    <c:v>10</c:v>
                  </c:pt>
                  <c:pt idx="3">
                    <c:v>-</c:v>
                  </c:pt>
                  <c:pt idx="5">
                    <c:v>320</c:v>
                  </c:pt>
                  <c:pt idx="6">
                    <c:v>320</c:v>
                  </c:pt>
                  <c:pt idx="9">
                    <c:v>magric</c:v>
                  </c:pt>
                  <c:pt idx="10">
                    <c:v>gr9675</c:v>
                  </c:pt>
                  <c:pt idx="11">
                    <c:v>gr 9675</c:v>
                  </c:pt>
                  <c:pt idx="12">
                    <c:v>GR11371</c:v>
                  </c:pt>
                  <c:pt idx="13">
                    <c:v>act600d</c:v>
                  </c:pt>
                  <c:pt idx="14">
                    <c:v>3120</c:v>
                  </c:pt>
                  <c:pt idx="15">
                    <c:v>cgt00074</c:v>
                  </c:pt>
                  <c:pt idx="17">
                    <c:v>cgf00710</c:v>
                  </c:pt>
                  <c:pt idx="18">
                    <c:v>33963</c:v>
                  </c:pt>
                  <c:pt idx="19">
                    <c:v>86984</c:v>
                  </c:pt>
                  <c:pt idx="20">
                    <c:v>6982</c:v>
                  </c:pt>
                  <c:pt idx="21">
                    <c:v>6986</c:v>
                  </c:pt>
                  <c:pt idx="22">
                    <c:v>6981</c:v>
                  </c:pt>
                  <c:pt idx="26">
                    <c:v>2,12fgc223</c:v>
                  </c:pt>
                  <c:pt idx="27">
                    <c:v>V1300</c:v>
                  </c:pt>
                  <c:pt idx="28">
                    <c:v>V1309</c:v>
                  </c:pt>
                  <c:pt idx="29">
                    <c:v>v1313</c:v>
                  </c:pt>
                  <c:pt idx="30">
                    <c:v>v1301</c:v>
                  </c:pt>
                  <c:pt idx="31">
                    <c:v>v1314</c:v>
                  </c:pt>
                  <c:pt idx="32">
                    <c:v>v1310</c:v>
                  </c:pt>
                  <c:pt idx="33">
                    <c:v>v1304</c:v>
                  </c:pt>
                  <c:pt idx="34">
                    <c:v>81</c:v>
                  </c:pt>
                  <c:pt idx="35">
                    <c:v>gr2884</c:v>
                  </c:pt>
                  <c:pt idx="36">
                    <c:v>3110</c:v>
                  </c:pt>
                  <c:pt idx="37">
                    <c:v>se500</c:v>
                  </c:pt>
                  <c:pt idx="38">
                    <c:v>v5313</c:v>
                  </c:pt>
                  <c:pt idx="39">
                    <c:v>v5312</c:v>
                  </c:pt>
                  <c:pt idx="40">
                    <c:v>v5312</c:v>
                  </c:pt>
                  <c:pt idx="41">
                    <c:v>v5312</c:v>
                  </c:pt>
                  <c:pt idx="42">
                    <c:v>P014A</c:v>
                  </c:pt>
                  <c:pt idx="43">
                    <c:v>v0891</c:v>
                  </c:pt>
                  <c:pt idx="44">
                    <c:v>p014a</c:v>
                  </c:pt>
                  <c:pt idx="45">
                    <c:v>p014a</c:v>
                  </c:pt>
                  <c:pt idx="46">
                    <c:v>po14</c:v>
                  </c:pt>
                  <c:pt idx="47">
                    <c:v>v0844</c:v>
                  </c:pt>
                  <c:pt idx="48">
                    <c:v>V5303</c:v>
                  </c:pt>
                  <c:pt idx="49">
                    <c:v>vo851</c:v>
                  </c:pt>
                  <c:pt idx="50">
                    <c:v>v0845</c:v>
                  </c:pt>
                  <c:pt idx="51">
                    <c:v>v0845</c:v>
                  </c:pt>
                  <c:pt idx="52">
                    <c:v>v0845</c:v>
                  </c:pt>
                  <c:pt idx="53">
                    <c:v>v0845</c:v>
                  </c:pt>
                  <c:pt idx="54">
                    <c:v>v5304</c:v>
                  </c:pt>
                  <c:pt idx="55">
                    <c:v>v5302</c:v>
                  </c:pt>
                  <c:pt idx="56">
                    <c:v>p037</c:v>
                  </c:pt>
                  <c:pt idx="57">
                    <c:v>p037</c:v>
                  </c:pt>
                  <c:pt idx="58">
                    <c:v>p037</c:v>
                  </c:pt>
                  <c:pt idx="59">
                    <c:v>3104</c:v>
                  </c:pt>
                  <c:pt idx="60">
                    <c:v>506614</c:v>
                  </c:pt>
                  <c:pt idx="64">
                    <c:v>cfl00004</c:v>
                  </c:pt>
                  <c:pt idx="67">
                    <c:v>CGT00085</c:v>
                  </c:pt>
                  <c:pt idx="68">
                    <c:v>CGT00088</c:v>
                  </c:pt>
                  <c:pt idx="69">
                    <c:v>CGT00089</c:v>
                  </c:pt>
                  <c:pt idx="70">
                    <c:v>CGT00090</c:v>
                  </c:pt>
                  <c:pt idx="78">
                    <c:v>hw70731</c:v>
                  </c:pt>
                  <c:pt idx="79">
                    <c:v>hw70732</c:v>
                  </c:pt>
                  <c:pt idx="82">
                    <c:v>232</c:v>
                  </c:pt>
                  <c:pt idx="83">
                    <c:v>DC2840</c:v>
                  </c:pt>
                  <c:pt idx="84">
                    <c:v>DC2839</c:v>
                  </c:pt>
                  <c:pt idx="89">
                    <c:v>444</c:v>
                  </c:pt>
                  <c:pt idx="90">
                    <c:v>cgt00002</c:v>
                  </c:pt>
                  <c:pt idx="91">
                    <c:v>CGTOOOO2</c:v>
                  </c:pt>
                  <c:pt idx="92">
                    <c:v>cgt00002</c:v>
                  </c:pt>
                  <c:pt idx="93">
                    <c:v>T2905</c:v>
                  </c:pt>
                  <c:pt idx="98">
                    <c:v>1010297</c:v>
                  </c:pt>
                  <c:pt idx="99">
                    <c:v>1010297</c:v>
                  </c:pt>
                  <c:pt idx="103">
                    <c:v>221000</c:v>
                  </c:pt>
                  <c:pt idx="105">
                    <c:v>1006</c:v>
                  </c:pt>
                  <c:pt idx="106">
                    <c:v>508</c:v>
                  </c:pt>
                  <c:pt idx="107">
                    <c:v>404</c:v>
                  </c:pt>
                  <c:pt idx="108">
                    <c:v>3004</c:v>
                  </c:pt>
                  <c:pt idx="111">
                    <c:v>v3965</c:v>
                  </c:pt>
                  <c:pt idx="112">
                    <c:v>pe649</c:v>
                  </c:pt>
                  <c:pt idx="113">
                    <c:v>pe210</c:v>
                  </c:pt>
                  <c:pt idx="114">
                    <c:v>v4164</c:v>
                  </c:pt>
                  <c:pt idx="115">
                    <c:v>v4162</c:v>
                  </c:pt>
                  <c:pt idx="116">
                    <c:v>v4226</c:v>
                  </c:pt>
                  <c:pt idx="117">
                    <c:v>al1018</c:v>
                  </c:pt>
                  <c:pt idx="118">
                    <c:v>al1028</c:v>
                  </c:pt>
                  <c:pt idx="119">
                    <c:v>nhsz06</c:v>
                  </c:pt>
                  <c:pt idx="120">
                    <c:v>nhsz05</c:v>
                  </c:pt>
                  <c:pt idx="121">
                    <c:v>200155</c:v>
                  </c:pt>
                  <c:pt idx="122">
                    <c:v>2230</c:v>
                  </c:pt>
                  <c:pt idx="123">
                    <c:v>1</c:v>
                  </c:pt>
                  <c:pt idx="129">
                    <c:v>V2691A</c:v>
                  </c:pt>
                  <c:pt idx="130">
                    <c:v>514224</c:v>
                  </c:pt>
                  <c:pt idx="131">
                    <c:v>514223</c:v>
                  </c:pt>
                  <c:pt idx="134">
                    <c:v>BE125</c:v>
                  </c:pt>
                  <c:pt idx="135">
                    <c:v>be03</c:v>
                  </c:pt>
                  <c:pt idx="136">
                    <c:v>V4652</c:v>
                  </c:pt>
                  <c:pt idx="137">
                    <c:v>518800</c:v>
                  </c:pt>
                  <c:pt idx="138">
                    <c:v>a28003</c:v>
                  </c:pt>
                  <c:pt idx="139">
                    <c:v>pe359</c:v>
                  </c:pt>
                  <c:pt idx="140">
                    <c:v>pe359</c:v>
                  </c:pt>
                  <c:pt idx="141">
                    <c:v>pe358</c:v>
                  </c:pt>
                  <c:pt idx="142">
                    <c:v>al1114</c:v>
                  </c:pt>
                  <c:pt idx="143">
                    <c:v>al1030</c:v>
                  </c:pt>
                  <c:pt idx="144">
                    <c:v>V4631</c:v>
                  </c:pt>
                  <c:pt idx="145">
                    <c:v>V4632</c:v>
                  </c:pt>
                  <c:pt idx="146">
                    <c:v>eh400</c:v>
                  </c:pt>
                  <c:pt idx="148">
                    <c:v>al1116</c:v>
                  </c:pt>
                  <c:pt idx="149">
                    <c:v>al1030</c:v>
                  </c:pt>
                  <c:pt idx="150">
                    <c:v>al1114</c:v>
                  </c:pt>
                  <c:pt idx="151">
                    <c:v>eh400</c:v>
                  </c:pt>
                  <c:pt idx="153">
                    <c:v>v4606</c:v>
                  </c:pt>
                  <c:pt idx="154">
                    <c:v>v4607</c:v>
                  </c:pt>
                  <c:pt idx="155">
                    <c:v>v4608</c:v>
                  </c:pt>
                  <c:pt idx="156">
                    <c:v>v5025</c:v>
                  </c:pt>
                  <c:pt idx="157">
                    <c:v>v5028</c:v>
                  </c:pt>
                  <c:pt idx="158">
                    <c:v>v5027</c:v>
                  </c:pt>
                  <c:pt idx="159">
                    <c:v>v5029a</c:v>
                  </c:pt>
                  <c:pt idx="160">
                    <c:v>v5029A</c:v>
                  </c:pt>
                  <c:pt idx="161">
                    <c:v>1011008</c:v>
                  </c:pt>
                  <c:pt idx="167">
                    <c:v>fum600d</c:v>
                  </c:pt>
                  <c:pt idx="168">
                    <c:v>ins600d</c:v>
                  </c:pt>
                  <c:pt idx="169">
                    <c:v>fer10d</c:v>
                  </c:pt>
                  <c:pt idx="170">
                    <c:v>fer10d</c:v>
                  </c:pt>
                  <c:pt idx="171">
                    <c:v>fer10d</c:v>
                  </c:pt>
                  <c:pt idx="175">
                    <c:v>sus7dav</c:v>
                  </c:pt>
                  <c:pt idx="176">
                    <c:v>sus20dav</c:v>
                  </c:pt>
                  <c:pt idx="177">
                    <c:v>2501</c:v>
                  </c:pt>
                  <c:pt idx="178">
                    <c:v>2505</c:v>
                  </c:pt>
                  <c:pt idx="179">
                    <c:v>gr19202</c:v>
                  </c:pt>
                  <c:pt idx="180">
                    <c:v>GR19204</c:v>
                  </c:pt>
                  <c:pt idx="203">
                    <c:v>0</c:v>
                  </c:pt>
                  <c:pt idx="204">
                    <c:v>0</c:v>
                  </c:pt>
                  <c:pt idx="205">
                    <c:v>0</c:v>
                  </c:pt>
                  <c:pt idx="206">
                    <c:v>472-37492</c:v>
                  </c:pt>
                  <c:pt idx="208">
                    <c:v>0</c:v>
                  </c:pt>
                  <c:pt idx="209">
                    <c:v>0</c:v>
                  </c:pt>
                  <c:pt idx="210">
                    <c:v>hw73198</c:v>
                  </c:pt>
                  <c:pt idx="216">
                    <c:v>184070</c:v>
                  </c:pt>
                  <c:pt idx="217">
                    <c:v>184008</c:v>
                  </c:pt>
                  <c:pt idx="218">
                    <c:v>1800</c:v>
                  </c:pt>
                  <c:pt idx="219">
                    <c:v>0</c:v>
                  </c:pt>
                  <c:pt idx="220">
                    <c:v>0</c:v>
                  </c:pt>
                  <c:pt idx="221">
                    <c:v>v1320</c:v>
                  </c:pt>
                  <c:pt idx="222">
                    <c:v>v1321</c:v>
                  </c:pt>
                  <c:pt idx="223">
                    <c:v>V1326</c:v>
                  </c:pt>
                  <c:pt idx="224">
                    <c:v>v1327</c:v>
                  </c:pt>
                  <c:pt idx="225">
                    <c:v>v1323</c:v>
                  </c:pt>
                  <c:pt idx="226">
                    <c:v>V13356</c:v>
                  </c:pt>
                  <c:pt idx="227">
                    <c:v>cgt00048</c:v>
                  </c:pt>
                  <c:pt idx="229">
                    <c:v>he702</c:v>
                  </c:pt>
                  <c:pt idx="230">
                    <c:v>207</c:v>
                  </c:pt>
                  <c:pt idx="231">
                    <c:v>208</c:v>
                  </c:pt>
                  <c:pt idx="232">
                    <c:v>209</c:v>
                  </c:pt>
                  <c:pt idx="233">
                    <c:v>211</c:v>
                  </c:pt>
                  <c:pt idx="234">
                    <c:v>6403</c:v>
                  </c:pt>
                  <c:pt idx="237">
                    <c:v>gr3287</c:v>
                  </c:pt>
                  <c:pt idx="238">
                    <c:v>3232</c:v>
                  </c:pt>
                  <c:pt idx="239">
                    <c:v>cac7DB</c:v>
                  </c:pt>
                  <c:pt idx="240">
                    <c:v>HE1920</c:v>
                  </c:pt>
                  <c:pt idx="241">
                    <c:v>z174</c:v>
                  </c:pt>
                  <c:pt idx="242">
                    <c:v>he356</c:v>
                  </c:pt>
                  <c:pt idx="243">
                    <c:v>Z175</c:v>
                  </c:pt>
                  <c:pt idx="244">
                    <c:v>Z174</c:v>
                  </c:pt>
                  <c:pt idx="245">
                    <c:v>Z173</c:v>
                  </c:pt>
                  <c:pt idx="246">
                    <c:v>z172</c:v>
                  </c:pt>
                  <c:pt idx="249">
                    <c:v>f-113</c:v>
                  </c:pt>
                  <c:pt idx="250">
                    <c:v>v5325</c:v>
                  </c:pt>
                  <c:pt idx="252">
                    <c:v>v1411</c:v>
                  </c:pt>
                  <c:pt idx="253">
                    <c:v>v1419a</c:v>
                  </c:pt>
                  <c:pt idx="254">
                    <c:v>ht-3300</c:v>
                  </c:pt>
                  <c:pt idx="255">
                    <c:v>v1419a</c:v>
                  </c:pt>
                  <c:pt idx="260">
                    <c:v>V0614</c:v>
                  </c:pt>
                  <c:pt idx="261">
                    <c:v>1221</c:v>
                  </c:pt>
                  <c:pt idx="262">
                    <c:v>11222</c:v>
                  </c:pt>
                  <c:pt idx="264">
                    <c:v>222000</c:v>
                  </c:pt>
                  <c:pt idx="266">
                    <c:v>0</c:v>
                  </c:pt>
                  <c:pt idx="267">
                    <c:v>0</c:v>
                  </c:pt>
                  <c:pt idx="268">
                    <c:v>213</c:v>
                  </c:pt>
                  <c:pt idx="269">
                    <c:v>213</c:v>
                  </c:pt>
                  <c:pt idx="270">
                    <c:v>ac21</c:v>
                  </c:pt>
                  <c:pt idx="271">
                    <c:v>1011849</c:v>
                  </c:pt>
                  <c:pt idx="272">
                    <c:v>mt200s</c:v>
                  </c:pt>
                  <c:pt idx="273">
                    <c:v>DW97065</c:v>
                  </c:pt>
                  <c:pt idx="275">
                    <c:v>278</c:v>
                  </c:pt>
                  <c:pt idx="276">
                    <c:v>v1166a</c:v>
                  </c:pt>
                  <c:pt idx="277">
                    <c:v>v1166a</c:v>
                  </c:pt>
                  <c:pt idx="278">
                    <c:v>kc59216</c:v>
                  </c:pt>
                  <c:pt idx="282">
                    <c:v>cgf00669</c:v>
                  </c:pt>
                  <c:pt idx="283">
                    <c:v>GR19309</c:v>
                  </c:pt>
                  <c:pt idx="284">
                    <c:v>gr19307</c:v>
                  </c:pt>
                  <c:pt idx="285">
                    <c:v>3755</c:v>
                  </c:pt>
                  <c:pt idx="286">
                    <c:v>3607</c:v>
                  </c:pt>
                  <c:pt idx="287">
                    <c:v>3237</c:v>
                  </c:pt>
                  <c:pt idx="288">
                    <c:v>3300</c:v>
                  </c:pt>
                  <c:pt idx="289">
                    <c:v>3306</c:v>
                  </c:pt>
                  <c:pt idx="290">
                    <c:v>3758</c:v>
                  </c:pt>
                  <c:pt idx="291">
                    <c:v>3204</c:v>
                  </c:pt>
                  <c:pt idx="292">
                    <c:v>3202</c:v>
                  </c:pt>
                  <c:pt idx="293">
                    <c:v>3236</c:v>
                  </c:pt>
                  <c:pt idx="294">
                    <c:v>3200</c:v>
                  </c:pt>
                  <c:pt idx="295">
                    <c:v>3206</c:v>
                  </c:pt>
                  <c:pt idx="296">
                    <c:v>3235</c:v>
                  </c:pt>
                  <c:pt idx="297">
                    <c:v>3205</c:v>
                  </c:pt>
                  <c:pt idx="298">
                    <c:v>3603</c:v>
                  </c:pt>
                  <c:pt idx="299">
                    <c:v>99320</c:v>
                  </c:pt>
                  <c:pt idx="300">
                    <c:v>99325</c:v>
                  </c:pt>
                  <c:pt idx="303">
                    <c:v>788780</c:v>
                  </c:pt>
                  <c:pt idx="304">
                    <c:v>99200</c:v>
                  </c:pt>
                  <c:pt idx="307">
                    <c:v>99116</c:v>
                  </c:pt>
                  <c:pt idx="310">
                    <c:v>218</c:v>
                  </c:pt>
                  <c:pt idx="312">
                    <c:v>gr25486</c:v>
                  </c:pt>
                  <c:pt idx="314">
                    <c:v>hw66622</c:v>
                  </c:pt>
                  <c:pt idx="315">
                    <c:v>bhw72004</c:v>
                  </c:pt>
                  <c:pt idx="316">
                    <c:v>1</c:v>
                  </c:pt>
                  <c:pt idx="317">
                    <c:v>430</c:v>
                  </c:pt>
                  <c:pt idx="320">
                    <c:v>3751</c:v>
                  </c:pt>
                  <c:pt idx="322">
                    <c:v>V0694</c:v>
                  </c:pt>
                  <c:pt idx="331">
                    <c:v>sg2</c:v>
                  </c:pt>
                  <c:pt idx="335">
                    <c:v>MT925</c:v>
                  </c:pt>
                  <c:pt idx="336">
                    <c:v>2166</c:v>
                  </c:pt>
                  <c:pt idx="337">
                    <c:v>sl2103</c:v>
                  </c:pt>
                  <c:pt idx="338">
                    <c:v>sl2102</c:v>
                  </c:pt>
                  <c:pt idx="339">
                    <c:v>sl2104</c:v>
                  </c:pt>
                  <c:pt idx="340">
                    <c:v>830</c:v>
                  </c:pt>
                  <c:pt idx="341">
                    <c:v>831</c:v>
                  </c:pt>
                  <c:pt idx="342">
                    <c:v>821</c:v>
                  </c:pt>
                  <c:pt idx="343">
                    <c:v>841d</c:v>
                  </c:pt>
                  <c:pt idx="344">
                    <c:v>851</c:v>
                  </c:pt>
                  <c:pt idx="345">
                    <c:v>800</c:v>
                  </c:pt>
                  <c:pt idx="346">
                    <c:v>840</c:v>
                  </c:pt>
                  <c:pt idx="347">
                    <c:v>840D</c:v>
                  </c:pt>
                  <c:pt idx="348">
                    <c:v>799</c:v>
                  </c:pt>
                  <c:pt idx="349">
                    <c:v>810</c:v>
                  </c:pt>
                  <c:pt idx="350">
                    <c:v>820</c:v>
                  </c:pt>
                  <c:pt idx="351">
                    <c:v>850D</c:v>
                  </c:pt>
                  <c:pt idx="352">
                    <c:v>A14506</c:v>
                  </c:pt>
                  <c:pt idx="353">
                    <c:v>2404</c:v>
                  </c:pt>
                  <c:pt idx="354">
                    <c:v>gr14027</c:v>
                  </c:pt>
                  <c:pt idx="355">
                    <c:v>gr14026</c:v>
                  </c:pt>
                  <c:pt idx="356">
                    <c:v>gr14018</c:v>
                  </c:pt>
                  <c:pt idx="357">
                    <c:v>18</c:v>
                  </c:pt>
                  <c:pt idx="358">
                    <c:v>gr14027</c:v>
                  </c:pt>
                  <c:pt idx="359">
                    <c:v>he7110</c:v>
                  </c:pt>
                  <c:pt idx="360">
                    <c:v>he7150</c:v>
                  </c:pt>
                  <c:pt idx="361">
                    <c:v>2,03,dom2</c:v>
                  </c:pt>
                  <c:pt idx="362">
                    <c:v>2,03,dom5</c:v>
                  </c:pt>
                  <c:pt idx="363">
                    <c:v>d7051</c:v>
                  </c:pt>
                  <c:pt idx="364">
                    <c:v>2,03,dom1</c:v>
                  </c:pt>
                  <c:pt idx="366">
                    <c:v>2,03,dom4</c:v>
                  </c:pt>
                  <c:pt idx="367">
                    <c:v>2,03,dom3</c:v>
                  </c:pt>
                  <c:pt idx="369">
                    <c:v>mt93</c:v>
                  </c:pt>
                  <c:pt idx="370">
                    <c:v>HE4715</c:v>
                  </c:pt>
                  <c:pt idx="371">
                    <c:v>gr16176</c:v>
                  </c:pt>
                  <c:pt idx="372">
                    <c:v>gr12846</c:v>
                  </c:pt>
                  <c:pt idx="373">
                    <c:v>he1932</c:v>
                  </c:pt>
                  <c:pt idx="374">
                    <c:v>gr14026</c:v>
                  </c:pt>
                  <c:pt idx="375">
                    <c:v>2</c:v>
                  </c:pt>
                  <c:pt idx="376">
                    <c:v>gr14020</c:v>
                  </c:pt>
                  <c:pt idx="377">
                    <c:v>gr14027</c:v>
                  </c:pt>
                  <c:pt idx="378">
                    <c:v>he2545</c:v>
                  </c:pt>
                  <c:pt idx="379">
                    <c:v>he4560</c:v>
                  </c:pt>
                  <c:pt idx="380">
                    <c:v>MT1002</c:v>
                  </c:pt>
                  <c:pt idx="381">
                    <c:v>MT104</c:v>
                  </c:pt>
                  <c:pt idx="382">
                    <c:v>mt477</c:v>
                  </c:pt>
                  <c:pt idx="385">
                    <c:v>he3301</c:v>
                  </c:pt>
                  <c:pt idx="386">
                    <c:v>2029</c:v>
                  </c:pt>
                  <c:pt idx="387">
                    <c:v>pe1003</c:v>
                  </c:pt>
                  <c:pt idx="388">
                    <c:v>v4103</c:v>
                  </c:pt>
                  <c:pt idx="389">
                    <c:v>v4096</c:v>
                  </c:pt>
                  <c:pt idx="390">
                    <c:v>v4227</c:v>
                  </c:pt>
                  <c:pt idx="391">
                    <c:v>v4227</c:v>
                  </c:pt>
                  <c:pt idx="392">
                    <c:v>A17973</c:v>
                  </c:pt>
                  <c:pt idx="393">
                    <c:v>A17974</c:v>
                  </c:pt>
                  <c:pt idx="394">
                    <c:v>v4060</c:v>
                  </c:pt>
                  <c:pt idx="395">
                    <c:v>pe109</c:v>
                  </c:pt>
                  <c:pt idx="396">
                    <c:v>pe300</c:v>
                  </c:pt>
                  <c:pt idx="397">
                    <c:v>c f211</c:v>
                  </c:pt>
                  <c:pt idx="398">
                    <c:v>he3301</c:v>
                  </c:pt>
                  <c:pt idx="399">
                    <c:v>he0202</c:v>
                  </c:pt>
                  <c:pt idx="400">
                    <c:v>476</c:v>
                  </c:pt>
                  <c:pt idx="401">
                    <c:v>mt860</c:v>
                  </c:pt>
                  <c:pt idx="402">
                    <c:v>cf109</c:v>
                  </c:pt>
                  <c:pt idx="403">
                    <c:v>V4118</c:v>
                  </c:pt>
                  <c:pt idx="404">
                    <c:v>1583</c:v>
                  </c:pt>
                  <c:pt idx="405">
                    <c:v>v4610a</c:v>
                  </c:pt>
                  <c:pt idx="406">
                    <c:v>v4322</c:v>
                  </c:pt>
                  <c:pt idx="408">
                    <c:v>462</c:v>
                  </c:pt>
                  <c:pt idx="409">
                    <c:v>513550</c:v>
                  </c:pt>
                  <c:pt idx="410">
                    <c:v>513550</c:v>
                  </c:pt>
                  <c:pt idx="411">
                    <c:v>BE21</c:v>
                  </c:pt>
                  <c:pt idx="412">
                    <c:v>v4623</c:v>
                  </c:pt>
                  <c:pt idx="413">
                    <c:v>513600</c:v>
                  </c:pt>
                  <c:pt idx="414">
                    <c:v>1585</c:v>
                  </c:pt>
                  <c:pt idx="415">
                    <c:v>mt856</c:v>
                  </c:pt>
                  <c:pt idx="416">
                    <c:v>com20db</c:v>
                  </c:pt>
                  <c:pt idx="417">
                    <c:v>com7DB</c:v>
                  </c:pt>
                  <c:pt idx="418">
                    <c:v>gt2603</c:v>
                  </c:pt>
                  <c:pt idx="419">
                    <c:v>gt 2605</c:v>
                  </c:pt>
                  <c:pt idx="420">
                    <c:v>tl32987</c:v>
                  </c:pt>
                  <c:pt idx="422">
                    <c:v>nhsz79</c:v>
                  </c:pt>
                  <c:pt idx="428">
                    <c:v>600</c:v>
                  </c:pt>
                  <c:pt idx="429">
                    <c:v>610</c:v>
                  </c:pt>
                  <c:pt idx="430">
                    <c:v>620</c:v>
                  </c:pt>
                  <c:pt idx="431">
                    <c:v>630</c:v>
                  </c:pt>
                  <c:pt idx="432">
                    <c:v>ggr11295</c:v>
                  </c:pt>
                  <c:pt idx="433">
                    <c:v>MT720</c:v>
                  </c:pt>
                  <c:pt idx="434">
                    <c:v>651</c:v>
                  </c:pt>
                  <c:pt idx="435">
                    <c:v>640</c:v>
                  </c:pt>
                  <c:pt idx="436">
                    <c:v>mt444</c:v>
                  </c:pt>
                  <c:pt idx="438">
                    <c:v>3113</c:v>
                  </c:pt>
                  <c:pt idx="439">
                    <c:v>3118</c:v>
                  </c:pt>
                  <c:pt idx="440">
                    <c:v>3103</c:v>
                  </c:pt>
                  <c:pt idx="441">
                    <c:v>3130</c:v>
                  </c:pt>
                  <c:pt idx="442">
                    <c:v>3131</c:v>
                  </c:pt>
                  <c:pt idx="443">
                    <c:v>3128</c:v>
                  </c:pt>
                  <c:pt idx="444">
                    <c:v>3126</c:v>
                  </c:pt>
                  <c:pt idx="445">
                    <c:v>3117</c:v>
                  </c:pt>
                  <c:pt idx="446">
                    <c:v>3109</c:v>
                  </c:pt>
                  <c:pt idx="447">
                    <c:v>3129</c:v>
                  </c:pt>
                  <c:pt idx="448">
                    <c:v>3127</c:v>
                  </c:pt>
                  <c:pt idx="449">
                    <c:v>3124</c:v>
                  </c:pt>
                  <c:pt idx="450">
                    <c:v>3132</c:v>
                  </c:pt>
                  <c:pt idx="451">
                    <c:v>4,01,fgc515</c:v>
                  </c:pt>
                  <c:pt idx="452">
                    <c:v>v4093</c:v>
                  </c:pt>
                  <c:pt idx="455">
                    <c:v>v5011</c:v>
                  </c:pt>
                  <c:pt idx="456">
                    <c:v>127</c:v>
                  </c:pt>
                  <c:pt idx="457">
                    <c:v>1108</c:v>
                  </c:pt>
                  <c:pt idx="458">
                    <c:v>0</c:v>
                  </c:pt>
                  <c:pt idx="459">
                    <c:v>W2651</c:v>
                  </c:pt>
                  <c:pt idx="460">
                    <c:v>1311</c:v>
                  </c:pt>
                  <c:pt idx="461">
                    <c:v>1313</c:v>
                  </c:pt>
                  <c:pt idx="462">
                    <c:v>4,02,fgc224</c:v>
                  </c:pt>
                  <c:pt idx="463">
                    <c:v>44</c:v>
                  </c:pt>
                  <c:pt idx="464">
                    <c:v>2999</c:v>
                  </c:pt>
                  <c:pt idx="465">
                    <c:v>3236</c:v>
                  </c:pt>
                  <c:pt idx="466">
                    <c:v>he189</c:v>
                  </c:pt>
                  <c:pt idx="467">
                    <c:v>B2936</c:v>
                  </c:pt>
                  <c:pt idx="468">
                    <c:v>he453</c:v>
                  </c:pt>
                  <c:pt idx="469">
                    <c:v>he453</c:v>
                  </c:pt>
                  <c:pt idx="470">
                    <c:v>he453</c:v>
                  </c:pt>
                  <c:pt idx="471">
                    <c:v>100</c:v>
                  </c:pt>
                  <c:pt idx="472">
                    <c:v>100</c:v>
                  </c:pt>
                  <c:pt idx="473">
                    <c:v>101</c:v>
                  </c:pt>
                  <c:pt idx="475">
                    <c:v>5,03,dor400</c:v>
                  </c:pt>
                  <c:pt idx="476">
                    <c:v>T51</c:v>
                  </c:pt>
                  <c:pt idx="477">
                    <c:v>tcdu1</c:v>
                  </c:pt>
                  <c:pt idx="479">
                    <c:v>288</c:v>
                  </c:pt>
                  <c:pt idx="480">
                    <c:v>cgt00075</c:v>
                  </c:pt>
                  <c:pt idx="482">
                    <c:v>0</c:v>
                  </c:pt>
                  <c:pt idx="488">
                    <c:v>223</c:v>
                  </c:pt>
                  <c:pt idx="489">
                    <c:v>GR10530</c:v>
                  </c:pt>
                  <c:pt idx="491">
                    <c:v>CR 1344</c:v>
                  </c:pt>
                  <c:pt idx="493">
                    <c:v>202148</c:v>
                  </c:pt>
                  <c:pt idx="495">
                    <c:v>314100</c:v>
                  </c:pt>
                  <c:pt idx="497">
                    <c:v>1523</c:v>
                  </c:pt>
                  <c:pt idx="498">
                    <c:v>v4167</c:v>
                  </c:pt>
                  <c:pt idx="499">
                    <c:v>A13181</c:v>
                  </c:pt>
                  <c:pt idx="500">
                    <c:v>1547</c:v>
                  </c:pt>
                  <c:pt idx="501">
                    <c:v>B232</c:v>
                  </c:pt>
                  <c:pt idx="502">
                    <c:v>0</c:v>
                  </c:pt>
                  <c:pt idx="503">
                    <c:v>V4175</c:v>
                  </c:pt>
                  <c:pt idx="504">
                    <c:v>v0455</c:v>
                  </c:pt>
                  <c:pt idx="506">
                    <c:v>tl10466</c:v>
                  </c:pt>
                  <c:pt idx="507">
                    <c:v>3236</c:v>
                  </c:pt>
                  <c:pt idx="508">
                    <c:v>T61</c:v>
                  </c:pt>
                  <c:pt idx="509">
                    <c:v>gr16107</c:v>
                  </c:pt>
                  <c:pt idx="510">
                    <c:v>D122 </c:v>
                  </c:pt>
                  <c:pt idx="511">
                    <c:v>V5047</c:v>
                  </c:pt>
                  <c:pt idx="512">
                    <c:v>V5045</c:v>
                  </c:pt>
                  <c:pt idx="513">
                    <c:v>v5099</c:v>
                  </c:pt>
                  <c:pt idx="514">
                    <c:v>W2045-1</c:v>
                  </c:pt>
                  <c:pt idx="515">
                    <c:v>W2045</c:v>
                  </c:pt>
                  <c:pt idx="516">
                    <c:v>1323</c:v>
                  </c:pt>
                  <c:pt idx="517">
                    <c:v>1321</c:v>
                  </c:pt>
                  <c:pt idx="518">
                    <c:v>658570</c:v>
                  </c:pt>
                  <c:pt idx="520">
                    <c:v>0</c:v>
                  </c:pt>
                  <c:pt idx="522">
                    <c:v>3119</c:v>
                  </c:pt>
                  <c:pt idx="536">
                    <c:v>6411</c:v>
                  </c:pt>
                  <c:pt idx="537">
                    <c:v>2271</c:v>
                  </c:pt>
                  <c:pt idx="538">
                    <c:v>V5098</c:v>
                  </c:pt>
                  <c:pt idx="542">
                    <c:v>15988</c:v>
                  </c:pt>
                  <c:pt idx="543">
                    <c:v>15989</c:v>
                  </c:pt>
                  <c:pt idx="544">
                    <c:v>gr6284</c:v>
                  </c:pt>
                  <c:pt idx="545">
                    <c:v>322</c:v>
                  </c:pt>
                  <c:pt idx="552">
                    <c:v>pb33</c:v>
                  </c:pt>
                  <c:pt idx="553">
                    <c:v>pb35</c:v>
                  </c:pt>
                  <c:pt idx="555">
                    <c:v>11</c:v>
                  </c:pt>
                  <c:pt idx="558">
                    <c:v>443190</c:v>
                  </c:pt>
                  <c:pt idx="559">
                    <c:v>800</c:v>
                  </c:pt>
                  <c:pt idx="560">
                    <c:v>2324</c:v>
                  </c:pt>
                  <c:pt idx="561">
                    <c:v>201</c:v>
                  </c:pt>
                  <c:pt idx="562">
                    <c:v>200</c:v>
                  </c:pt>
                  <c:pt idx="563">
                    <c:v>391190</c:v>
                  </c:pt>
                  <c:pt idx="564">
                    <c:v>3108</c:v>
                  </c:pt>
                  <c:pt idx="565">
                    <c:v>6425</c:v>
                  </c:pt>
                  <c:pt idx="567">
                    <c:v>246</c:v>
                  </c:pt>
                  <c:pt idx="568">
                    <c:v>gr10306</c:v>
                  </c:pt>
                  <c:pt idx="569">
                    <c:v>15201</c:v>
                  </c:pt>
                  <c:pt idx="570">
                    <c:v>324</c:v>
                  </c:pt>
                  <c:pt idx="571">
                    <c:v>tl31172</c:v>
                  </c:pt>
                  <c:pt idx="572">
                    <c:v>725038</c:v>
                  </c:pt>
                  <c:pt idx="577">
                    <c:v>220</c:v>
                  </c:pt>
                  <c:pt idx="578">
                    <c:v>220</c:v>
                  </c:pt>
                  <c:pt idx="579">
                    <c:v>4236-18</c:v>
                  </c:pt>
                  <c:pt idx="580">
                    <c:v>V5098</c:v>
                  </c:pt>
                  <c:pt idx="585">
                    <c:v>v0609</c:v>
                  </c:pt>
                  <c:pt idx="586">
                    <c:v>0</c:v>
                  </c:pt>
                  <c:pt idx="588">
                    <c:v>2,07,2305b</c:v>
                  </c:pt>
                  <c:pt idx="589">
                    <c:v>50</c:v>
                  </c:pt>
                  <c:pt idx="592">
                    <c:v>472-22178</c:v>
                  </c:pt>
                  <c:pt idx="607">
                    <c:v>v4121b</c:v>
                  </c:pt>
                  <c:pt idx="610">
                    <c:v>0</c:v>
                  </c:pt>
                  <c:pt idx="614">
                    <c:v>fc50DB</c:v>
                  </c:pt>
                  <c:pt idx="617">
                    <c:v>100151</c:v>
                  </c:pt>
                  <c:pt idx="619">
                    <c:v>638b</c:v>
                  </c:pt>
                  <c:pt idx="620">
                    <c:v>v1455</c:v>
                  </c:pt>
                  <c:pt idx="621">
                    <c:v>v1456</c:v>
                  </c:pt>
                  <c:pt idx="622">
                    <c:v>v1457</c:v>
                  </c:pt>
                  <c:pt idx="623">
                    <c:v>v1458</c:v>
                  </c:pt>
                  <c:pt idx="624">
                    <c:v>v1347</c:v>
                  </c:pt>
                  <c:pt idx="625">
                    <c:v>V1370</c:v>
                  </c:pt>
                  <c:pt idx="626">
                    <c:v>V1341</c:v>
                  </c:pt>
                  <c:pt idx="627">
                    <c:v>v1340</c:v>
                  </c:pt>
                  <c:pt idx="628">
                    <c:v>v1343</c:v>
                  </c:pt>
                  <c:pt idx="629">
                    <c:v>v1341</c:v>
                  </c:pt>
                  <c:pt idx="630">
                    <c:v>v1342</c:v>
                  </c:pt>
                  <c:pt idx="631">
                    <c:v>0</c:v>
                  </c:pt>
                  <c:pt idx="632">
                    <c:v>v1389</c:v>
                  </c:pt>
                  <c:pt idx="633">
                    <c:v>61011</c:v>
                  </c:pt>
                  <c:pt idx="634">
                    <c:v>113</c:v>
                  </c:pt>
                  <c:pt idx="636">
                    <c:v>110</c:v>
                  </c:pt>
                  <c:pt idx="637">
                    <c:v>33946</c:v>
                  </c:pt>
                  <c:pt idx="638">
                    <c:v>cgf00663</c:v>
                  </c:pt>
                  <c:pt idx="640">
                    <c:v>232</c:v>
                  </c:pt>
                  <c:pt idx="641">
                    <c:v>fl11430</c:v>
                  </c:pt>
                  <c:pt idx="642">
                    <c:v>GF34012</c:v>
                  </c:pt>
                  <c:pt idx="643">
                    <c:v>GF34013</c:v>
                  </c:pt>
                  <c:pt idx="644">
                    <c:v>GF34009</c:v>
                  </c:pt>
                  <c:pt idx="645">
                    <c:v>552</c:v>
                  </c:pt>
                  <c:pt idx="647">
                    <c:v>hw72926</c:v>
                  </c:pt>
                  <c:pt idx="651">
                    <c:v>22497</c:v>
                  </c:pt>
                  <c:pt idx="652">
                    <c:v>26828</c:v>
                  </c:pt>
                  <c:pt idx="653">
                    <c:v>28427</c:v>
                  </c:pt>
                  <c:pt idx="654">
                    <c:v>26827</c:v>
                  </c:pt>
                  <c:pt idx="655">
                    <c:v>28422</c:v>
                  </c:pt>
                  <c:pt idx="656">
                    <c:v>gr 25119</c:v>
                  </c:pt>
                  <c:pt idx="658">
                    <c:v>322</c:v>
                  </c:pt>
                  <c:pt idx="660">
                    <c:v>FS2726</c:v>
                  </c:pt>
                  <c:pt idx="661">
                    <c:v>FS2733</c:v>
                  </c:pt>
                  <c:pt idx="662">
                    <c:v>FS2730</c:v>
                  </c:pt>
                  <c:pt idx="663">
                    <c:v>FS2944</c:v>
                  </c:pt>
                  <c:pt idx="664">
                    <c:v>FS2943</c:v>
                  </c:pt>
                  <c:pt idx="665">
                    <c:v>FS2936</c:v>
                  </c:pt>
                  <c:pt idx="666">
                    <c:v>0</c:v>
                  </c:pt>
                  <c:pt idx="667">
                    <c:v>0</c:v>
                  </c:pt>
                  <c:pt idx="668">
                    <c:v>0</c:v>
                  </c:pt>
                  <c:pt idx="670">
                    <c:v>23837</c:v>
                  </c:pt>
                  <c:pt idx="671">
                    <c:v>28763</c:v>
                  </c:pt>
                  <c:pt idx="674">
                    <c:v>313</c:v>
                  </c:pt>
                  <c:pt idx="677">
                    <c:v>gr19302</c:v>
                  </c:pt>
                  <c:pt idx="680">
                    <c:v>120105</c:v>
                  </c:pt>
                  <c:pt idx="681">
                    <c:v>e128</c:v>
                  </c:pt>
                  <c:pt idx="682">
                    <c:v>e128</c:v>
                  </c:pt>
                  <c:pt idx="683">
                    <c:v>127176</c:v>
                  </c:pt>
                  <c:pt idx="684">
                    <c:v>127176</c:v>
                  </c:pt>
                  <c:pt idx="687">
                    <c:v>GR1346</c:v>
                  </c:pt>
                  <c:pt idx="692">
                    <c:v>9552</c:v>
                  </c:pt>
                  <c:pt idx="694">
                    <c:v>1,104rgc1</c:v>
                  </c:pt>
                  <c:pt idx="695">
                    <c:v>CHARGT001</c:v>
                  </c:pt>
                  <c:pt idx="696">
                    <c:v>CHARGT008</c:v>
                  </c:pt>
                  <c:pt idx="697">
                    <c:v>CRIOGT001</c:v>
                  </c:pt>
                  <c:pt idx="698">
                    <c:v>CRIOGT001</c:v>
                  </c:pt>
                  <c:pt idx="699">
                    <c:v>e125</c:v>
                  </c:pt>
                  <c:pt idx="700">
                    <c:v>e125</c:v>
                  </c:pt>
                  <c:pt idx="703">
                    <c:v>ILRCM005</c:v>
                  </c:pt>
                  <c:pt idx="707">
                    <c:v>121575</c:v>
                  </c:pt>
                  <c:pt idx="708">
                    <c:v>121575</c:v>
                  </c:pt>
                  <c:pt idx="709">
                    <c:v>121557</c:v>
                  </c:pt>
                  <c:pt idx="710">
                    <c:v>121557</c:v>
                  </c:pt>
                  <c:pt idx="712">
                    <c:v>v0505</c:v>
                  </c:pt>
                  <c:pt idx="714">
                    <c:v>1202</c:v>
                  </c:pt>
                  <c:pt idx="715">
                    <c:v>12</c:v>
                  </c:pt>
                  <c:pt idx="716">
                    <c:v>0</c:v>
                  </c:pt>
                  <c:pt idx="717">
                    <c:v>53,1</c:v>
                  </c:pt>
                  <c:pt idx="718">
                    <c:v>0</c:v>
                  </c:pt>
                  <c:pt idx="719">
                    <c:v>77</c:v>
                  </c:pt>
                  <c:pt idx="721">
                    <c:v>38,1</c:v>
                  </c:pt>
                  <c:pt idx="726">
                    <c:v>M235</c:v>
                  </c:pt>
                  <c:pt idx="727">
                    <c:v>M245</c:v>
                  </c:pt>
                  <c:pt idx="730">
                    <c:v>1</c:v>
                  </c:pt>
                  <c:pt idx="732">
                    <c:v>0</c:v>
                  </c:pt>
                  <c:pt idx="733">
                    <c:v>6710</c:v>
                  </c:pt>
                  <c:pt idx="734">
                    <c:v>6222</c:v>
                  </c:pt>
                  <c:pt idx="736">
                    <c:v>gua500d</c:v>
                  </c:pt>
                  <c:pt idx="737">
                    <c:v>tl33029</c:v>
                  </c:pt>
                  <c:pt idx="738">
                    <c:v>tl36395</c:v>
                  </c:pt>
                  <c:pt idx="739">
                    <c:v>GR5270</c:v>
                  </c:pt>
                  <c:pt idx="740">
                    <c:v>gr270</c:v>
                  </c:pt>
                  <c:pt idx="741">
                    <c:v>gr16171</c:v>
                  </c:pt>
                  <c:pt idx="742">
                    <c:v>gr920</c:v>
                  </c:pt>
                  <c:pt idx="744">
                    <c:v>0</c:v>
                  </c:pt>
                  <c:pt idx="747">
                    <c:v>tl35454</c:v>
                  </c:pt>
                  <c:pt idx="748">
                    <c:v>tl36456</c:v>
                  </c:pt>
                  <c:pt idx="750">
                    <c:v>0</c:v>
                  </c:pt>
                  <c:pt idx="758">
                    <c:v>cgt00091</c:v>
                  </c:pt>
                  <c:pt idx="759">
                    <c:v>cgt00092</c:v>
                  </c:pt>
                  <c:pt idx="760">
                    <c:v>z181</c:v>
                  </c:pt>
                  <c:pt idx="761">
                    <c:v>1010683</c:v>
                  </c:pt>
                  <c:pt idx="762">
                    <c:v>631247</c:v>
                  </c:pt>
                  <c:pt idx="764">
                    <c:v>412</c:v>
                  </c:pt>
                  <c:pt idx="765">
                    <c:v>204200</c:v>
                  </c:pt>
                  <c:pt idx="766">
                    <c:v>260800</c:v>
                  </c:pt>
                  <c:pt idx="767">
                    <c:v>206910</c:v>
                  </c:pt>
                  <c:pt idx="768">
                    <c:v>206890</c:v>
                  </c:pt>
                  <c:pt idx="769">
                    <c:v>206880</c:v>
                  </c:pt>
                  <c:pt idx="773">
                    <c:v>500</c:v>
                  </c:pt>
                  <c:pt idx="774">
                    <c:v>1321</c:v>
                  </c:pt>
                  <c:pt idx="776">
                    <c:v>3830</c:v>
                  </c:pt>
                  <c:pt idx="777">
                    <c:v>mh5</c:v>
                  </c:pt>
                  <c:pt idx="778">
                    <c:v>mh10</c:v>
                  </c:pt>
                  <c:pt idx="779">
                    <c:v>mt904</c:v>
                  </c:pt>
                  <c:pt idx="780">
                    <c:v>mt904</c:v>
                  </c:pt>
                  <c:pt idx="781">
                    <c:v>v4180</c:v>
                  </c:pt>
                  <c:pt idx="782">
                    <c:v>53</c:v>
                  </c:pt>
                  <c:pt idx="787">
                    <c:v>V0953</c:v>
                  </c:pt>
                  <c:pt idx="788">
                    <c:v>469</c:v>
                  </c:pt>
                  <c:pt idx="789">
                    <c:v>130</c:v>
                  </c:pt>
                  <c:pt idx="790">
                    <c:v>131</c:v>
                  </c:pt>
                  <c:pt idx="791">
                    <c:v>HE353</c:v>
                  </c:pt>
                  <c:pt idx="792">
                    <c:v>125</c:v>
                  </c:pt>
                  <c:pt idx="796">
                    <c:v>122</c:v>
                  </c:pt>
                  <c:pt idx="798">
                    <c:v>150702</c:v>
                  </c:pt>
                  <c:pt idx="805">
                    <c:v>0</c:v>
                  </c:pt>
                  <c:pt idx="806">
                    <c:v>GR 3852</c:v>
                  </c:pt>
                  <c:pt idx="811">
                    <c:v>100092</c:v>
                  </c:pt>
                  <c:pt idx="812">
                    <c:v>100112</c:v>
                  </c:pt>
                  <c:pt idx="813">
                    <c:v>22072</c:v>
                  </c:pt>
                  <c:pt idx="819">
                    <c:v>100046</c:v>
                  </c:pt>
                  <c:pt idx="820">
                    <c:v>100046</c:v>
                  </c:pt>
                  <c:pt idx="827">
                    <c:v>100092</c:v>
                  </c:pt>
                  <c:pt idx="828">
                    <c:v>JFQF</c:v>
                  </c:pt>
                  <c:pt idx="829">
                    <c:v>gr3853</c:v>
                  </c:pt>
                  <c:pt idx="831">
                    <c:v>449</c:v>
                  </c:pt>
                  <c:pt idx="832">
                    <c:v>jfqm78</c:v>
                  </c:pt>
                  <c:pt idx="836">
                    <c:v>JVPM 50</c:v>
                  </c:pt>
                  <c:pt idx="837">
                    <c:v>JVPM 25</c:v>
                  </c:pt>
                  <c:pt idx="838">
                    <c:v>gr284</c:v>
                  </c:pt>
                  <c:pt idx="842">
                    <c:v>v4008</c:v>
                  </c:pt>
                  <c:pt idx="843">
                    <c:v>v5066</c:v>
                  </c:pt>
                  <c:pt idx="844">
                    <c:v>v5067</c:v>
                  </c:pt>
                  <c:pt idx="845">
                    <c:v>v5065</c:v>
                  </c:pt>
                  <c:pt idx="846">
                    <c:v>v5007</c:v>
                  </c:pt>
                  <c:pt idx="847">
                    <c:v>v5009</c:v>
                  </c:pt>
                  <c:pt idx="848">
                    <c:v>V5004</c:v>
                  </c:pt>
                  <c:pt idx="849">
                    <c:v>0</c:v>
                  </c:pt>
                  <c:pt idx="853">
                    <c:v>V4003</c:v>
                  </c:pt>
                  <c:pt idx="854">
                    <c:v>v4010</c:v>
                  </c:pt>
                  <c:pt idx="855">
                    <c:v>v4010</c:v>
                  </c:pt>
                  <c:pt idx="856">
                    <c:v>V4017</c:v>
                  </c:pt>
                  <c:pt idx="857">
                    <c:v>V4001</c:v>
                  </c:pt>
                  <c:pt idx="858">
                    <c:v>V4002</c:v>
                  </c:pt>
                  <c:pt idx="859">
                    <c:v>771</c:v>
                  </c:pt>
                  <c:pt idx="860">
                    <c:v>V4000</c:v>
                  </c:pt>
                  <c:pt idx="861">
                    <c:v>V4004</c:v>
                  </c:pt>
                  <c:pt idx="864">
                    <c:v>1055</c:v>
                  </c:pt>
                  <c:pt idx="865">
                    <c:v>132</c:v>
                  </c:pt>
                  <c:pt idx="867">
                    <c:v>82</c:v>
                  </c:pt>
                  <c:pt idx="868">
                    <c:v>131</c:v>
                  </c:pt>
                  <c:pt idx="869">
                    <c:v>3296</c:v>
                  </c:pt>
                  <c:pt idx="870">
                    <c:v>402</c:v>
                  </c:pt>
                  <c:pt idx="876">
                    <c:v>he215</c:v>
                  </c:pt>
                  <c:pt idx="877">
                    <c:v>HE220</c:v>
                  </c:pt>
                  <c:pt idx="878">
                    <c:v>HE210</c:v>
                  </c:pt>
                  <c:pt idx="879">
                    <c:v>he215</c:v>
                  </c:pt>
                  <c:pt idx="880">
                    <c:v>TL33990SH</c:v>
                  </c:pt>
                  <c:pt idx="881">
                    <c:v>gr113758</c:v>
                  </c:pt>
                  <c:pt idx="882">
                    <c:v>910118</c:v>
                  </c:pt>
                  <c:pt idx="883">
                    <c:v>910118</c:v>
                  </c:pt>
                  <c:pt idx="884">
                    <c:v>267</c:v>
                  </c:pt>
                  <c:pt idx="885">
                    <c:v>270</c:v>
                  </c:pt>
                  <c:pt idx="886">
                    <c:v>HE6420</c:v>
                  </c:pt>
                  <c:pt idx="887">
                    <c:v>HE6415</c:v>
                  </c:pt>
                  <c:pt idx="888">
                    <c:v>HE6410</c:v>
                  </c:pt>
                  <c:pt idx="890">
                    <c:v>gr2891</c:v>
                  </c:pt>
                  <c:pt idx="891">
                    <c:v>gr4804</c:v>
                  </c:pt>
                  <c:pt idx="892">
                    <c:v>gr2873</c:v>
                  </c:pt>
                  <c:pt idx="893">
                    <c:v>MT459</c:v>
                  </c:pt>
                  <c:pt idx="894">
                    <c:v>CPSO1151</c:v>
                  </c:pt>
                  <c:pt idx="895">
                    <c:v>gr 19205</c:v>
                  </c:pt>
                  <c:pt idx="896">
                    <c:v>gr2871</c:v>
                  </c:pt>
                  <c:pt idx="897">
                    <c:v>gr2881</c:v>
                  </c:pt>
                  <c:pt idx="898">
                    <c:v>CK4</c:v>
                  </c:pt>
                  <c:pt idx="899">
                    <c:v>gr2871</c:v>
                  </c:pt>
                  <c:pt idx="900">
                    <c:v>gr4820</c:v>
                  </c:pt>
                  <c:pt idx="901">
                    <c:v>gr2868</c:v>
                  </c:pt>
                  <c:pt idx="902">
                    <c:v>3200</c:v>
                  </c:pt>
                  <c:pt idx="903">
                    <c:v>HE1111</c:v>
                  </c:pt>
                  <c:pt idx="904">
                    <c:v>he99</c:v>
                  </c:pt>
                  <c:pt idx="905">
                    <c:v>6632</c:v>
                  </c:pt>
                  <c:pt idx="906">
                    <c:v>mt362</c:v>
                  </c:pt>
                  <c:pt idx="908">
                    <c:v>V0647</c:v>
                  </c:pt>
                  <c:pt idx="909">
                    <c:v>V0647</c:v>
                  </c:pt>
                  <c:pt idx="910">
                    <c:v>v0648</c:v>
                  </c:pt>
                  <c:pt idx="911">
                    <c:v>v0648</c:v>
                  </c:pt>
                  <c:pt idx="912">
                    <c:v>v0652</c:v>
                  </c:pt>
                  <c:pt idx="913">
                    <c:v>rs-s400</c:v>
                  </c:pt>
                  <c:pt idx="914">
                    <c:v>V1428</c:v>
                  </c:pt>
                  <c:pt idx="915">
                    <c:v>re-s 500</c:v>
                  </c:pt>
                  <c:pt idx="916">
                    <c:v>v1430</c:v>
                  </c:pt>
                  <c:pt idx="917">
                    <c:v>v1431</c:v>
                  </c:pt>
                  <c:pt idx="918">
                    <c:v>0</c:v>
                  </c:pt>
                  <c:pt idx="920">
                    <c:v>chw00937</c:v>
                  </c:pt>
                  <c:pt idx="921">
                    <c:v>jvrh 44</c:v>
                  </c:pt>
                  <c:pt idx="922">
                    <c:v>chw00945</c:v>
                  </c:pt>
                  <c:pt idx="923">
                    <c:v>hw54082</c:v>
                  </c:pt>
                  <c:pt idx="924">
                    <c:v>jgt88003</c:v>
                  </c:pt>
                  <c:pt idx="925">
                    <c:v>cgt00090</c:v>
                  </c:pt>
                  <c:pt idx="931">
                    <c:v>lb-311</c:v>
                  </c:pt>
                  <c:pt idx="932">
                    <c:v>he4012</c:v>
                  </c:pt>
                  <c:pt idx="935">
                    <c:v>gr2538</c:v>
                  </c:pt>
                  <c:pt idx="936">
                    <c:v>269</c:v>
                  </c:pt>
                  <c:pt idx="939">
                    <c:v>GR21753</c:v>
                  </c:pt>
                  <c:pt idx="940">
                    <c:v>GR21752</c:v>
                  </c:pt>
                  <c:pt idx="941">
                    <c:v>GR1328</c:v>
                  </c:pt>
                  <c:pt idx="942">
                    <c:v>GR1327</c:v>
                  </c:pt>
                  <c:pt idx="943">
                    <c:v>GR1326</c:v>
                  </c:pt>
                  <c:pt idx="959">
                    <c:v>100171</c:v>
                  </c:pt>
                  <c:pt idx="961">
                    <c:v>100172</c:v>
                  </c:pt>
                  <c:pt idx="962">
                    <c:v>0</c:v>
                  </c:pt>
                  <c:pt idx="963">
                    <c:v>0</c:v>
                  </c:pt>
                  <c:pt idx="982">
                    <c:v>100219</c:v>
                  </c:pt>
                  <c:pt idx="988">
                    <c:v>41</c:v>
                  </c:pt>
                  <c:pt idx="990">
                    <c:v>40</c:v>
                  </c:pt>
                  <c:pt idx="992">
                    <c:v>22914</c:v>
                  </c:pt>
                  <c:pt idx="993">
                    <c:v>22912</c:v>
                  </c:pt>
                  <c:pt idx="994">
                    <c:v>22912</c:v>
                  </c:pt>
                  <c:pt idx="995">
                    <c:v>22917</c:v>
                  </c:pt>
                  <c:pt idx="996">
                    <c:v>22914</c:v>
                  </c:pt>
                  <c:pt idx="1012">
                    <c:v>12848</c:v>
                  </c:pt>
                  <c:pt idx="1013">
                    <c:v>16664</c:v>
                  </c:pt>
                  <c:pt idx="1033">
                    <c:v>35002</c:v>
                  </c:pt>
                  <c:pt idx="1034">
                    <c:v>210002</c:v>
                  </c:pt>
                  <c:pt idx="1035">
                    <c:v>35001</c:v>
                  </c:pt>
                  <c:pt idx="1038">
                    <c:v>0</c:v>
                  </c:pt>
                  <c:pt idx="1050">
                    <c:v>210000</c:v>
                  </c:pt>
                  <c:pt idx="1051">
                    <c:v>210001</c:v>
                  </c:pt>
                  <c:pt idx="1052">
                    <c:v>27896</c:v>
                  </c:pt>
                  <c:pt idx="1053">
                    <c:v>31033</c:v>
                  </c:pt>
                  <c:pt idx="1057">
                    <c:v>gr21124</c:v>
                  </c:pt>
                  <c:pt idx="1058">
                    <c:v>gr21123</c:v>
                  </c:pt>
                  <c:pt idx="1059">
                    <c:v>gr10513</c:v>
                  </c:pt>
                  <c:pt idx="1060">
                    <c:v>GR283</c:v>
                  </c:pt>
                  <c:pt idx="1061">
                    <c:v>gr10512</c:v>
                  </c:pt>
                  <c:pt idx="1062">
                    <c:v>GR280</c:v>
                  </c:pt>
                  <c:pt idx="1063">
                    <c:v>GR281</c:v>
                  </c:pt>
                  <c:pt idx="1064">
                    <c:v>GR10512</c:v>
                  </c:pt>
                  <c:pt idx="1065">
                    <c:v>gr21099</c:v>
                  </c:pt>
                  <c:pt idx="1066">
                    <c:v>gr 21098</c:v>
                  </c:pt>
                  <c:pt idx="1067">
                    <c:v>jhw80102</c:v>
                  </c:pt>
                  <c:pt idx="1068">
                    <c:v>gr1346</c:v>
                  </c:pt>
                  <c:pt idx="1069">
                    <c:v>22078</c:v>
                  </c:pt>
                  <c:pt idx="1070">
                    <c:v>22077</c:v>
                  </c:pt>
                  <c:pt idx="1071">
                    <c:v>gr1343</c:v>
                  </c:pt>
                  <c:pt idx="1072">
                    <c:v>2403</c:v>
                  </c:pt>
                  <c:pt idx="1073">
                    <c:v>2404</c:v>
                  </c:pt>
                  <c:pt idx="1074">
                    <c:v>2405</c:v>
                  </c:pt>
                  <c:pt idx="1075">
                    <c:v>2406</c:v>
                  </c:pt>
                  <c:pt idx="1076">
                    <c:v>2407</c:v>
                  </c:pt>
                  <c:pt idx="1078">
                    <c:v>gr1339</c:v>
                  </c:pt>
                  <c:pt idx="1079">
                    <c:v>gr1338</c:v>
                  </c:pt>
                  <c:pt idx="1080">
                    <c:v>25123</c:v>
                  </c:pt>
                  <c:pt idx="1084">
                    <c:v>M835</c:v>
                  </c:pt>
                  <c:pt idx="1091">
                    <c:v>100173</c:v>
                  </c:pt>
                  <c:pt idx="1095">
                    <c:v>100174</c:v>
                  </c:pt>
                  <c:pt idx="1098">
                    <c:v>gr283</c:v>
                  </c:pt>
                  <c:pt idx="1099">
                    <c:v>GR282</c:v>
                  </c:pt>
                  <c:pt idx="1100">
                    <c:v>GR279</c:v>
                  </c:pt>
                  <c:pt idx="1101">
                    <c:v>GR282</c:v>
                  </c:pt>
                  <c:pt idx="1102">
                    <c:v>GR281</c:v>
                  </c:pt>
                  <c:pt idx="1103">
                    <c:v>GR279</c:v>
                  </c:pt>
                  <c:pt idx="1104">
                    <c:v>BR280</c:v>
                  </c:pt>
                  <c:pt idx="1105">
                    <c:v>GR10528</c:v>
                  </c:pt>
                  <c:pt idx="1107">
                    <c:v>GR285</c:v>
                  </c:pt>
                  <c:pt idx="1108">
                    <c:v>chw00566</c:v>
                  </c:pt>
                  <c:pt idx="1109">
                    <c:v>468</c:v>
                  </c:pt>
                  <c:pt idx="1116">
                    <c:v>126</c:v>
                  </c:pt>
                  <c:pt idx="1117">
                    <c:v>122</c:v>
                  </c:pt>
                  <c:pt idx="1143">
                    <c:v>gr1308</c:v>
                  </c:pt>
                  <c:pt idx="1144">
                    <c:v>100194</c:v>
                  </c:pt>
                  <c:pt idx="1146">
                    <c:v>100120</c:v>
                  </c:pt>
                  <c:pt idx="1147">
                    <c:v>GR10545</c:v>
                  </c:pt>
                  <c:pt idx="1148">
                    <c:v>gr21126</c:v>
                  </c:pt>
                  <c:pt idx="1149">
                    <c:v>gr3852</c:v>
                  </c:pt>
                  <c:pt idx="1150">
                    <c:v>gr3852</c:v>
                  </c:pt>
                  <c:pt idx="1151">
                    <c:v>GR294</c:v>
                  </c:pt>
                  <c:pt idx="1152">
                    <c:v>GR1312</c:v>
                  </c:pt>
                  <c:pt idx="1153">
                    <c:v>gr1313</c:v>
                  </c:pt>
                  <c:pt idx="1154">
                    <c:v>gr1311</c:v>
                  </c:pt>
                  <c:pt idx="1156">
                    <c:v>G1339</c:v>
                  </c:pt>
                  <c:pt idx="1157">
                    <c:v>G1338</c:v>
                  </c:pt>
                  <c:pt idx="1158">
                    <c:v>gr1283</c:v>
                  </c:pt>
                  <c:pt idx="1159">
                    <c:v>gr1284</c:v>
                  </c:pt>
                  <c:pt idx="1160">
                    <c:v>GR1289</c:v>
                  </c:pt>
                  <c:pt idx="1161">
                    <c:v>gr1284</c:v>
                  </c:pt>
                  <c:pt idx="1162">
                    <c:v>GR1287</c:v>
                  </c:pt>
                  <c:pt idx="1163">
                    <c:v>GR1285</c:v>
                  </c:pt>
                  <c:pt idx="1182">
                    <c:v>2159</c:v>
                  </c:pt>
                  <c:pt idx="1183">
                    <c:v>20</c:v>
                  </c:pt>
                  <c:pt idx="1187">
                    <c:v>GR1332</c:v>
                  </c:pt>
                  <c:pt idx="1188">
                    <c:v>gr1310</c:v>
                  </c:pt>
                  <c:pt idx="1189">
                    <c:v>gr1308</c:v>
                  </c:pt>
                  <c:pt idx="1190">
                    <c:v>gr1306</c:v>
                  </c:pt>
                  <c:pt idx="1191">
                    <c:v>GR 1307</c:v>
                  </c:pt>
                  <c:pt idx="1192">
                    <c:v>GR1325</c:v>
                  </c:pt>
                  <c:pt idx="1193">
                    <c:v>GR1323</c:v>
                  </c:pt>
                  <c:pt idx="1194">
                    <c:v>gr1324</c:v>
                  </c:pt>
                  <c:pt idx="1195">
                    <c:v>GR1324</c:v>
                  </c:pt>
                  <c:pt idx="1196">
                    <c:v>gr1331</c:v>
                  </c:pt>
                  <c:pt idx="1197">
                    <c:v>21</c:v>
                  </c:pt>
                  <c:pt idx="1198">
                    <c:v>100095</c:v>
                  </c:pt>
                  <c:pt idx="1209">
                    <c:v>gr21121</c:v>
                  </c:pt>
                  <c:pt idx="1213">
                    <c:v>GR1321</c:v>
                  </c:pt>
                  <c:pt idx="1214">
                    <c:v>GR286</c:v>
                  </c:pt>
                  <c:pt idx="1218">
                    <c:v>706770</c:v>
                  </c:pt>
                  <c:pt idx="1219">
                    <c:v>704647</c:v>
                  </c:pt>
                  <c:pt idx="1220">
                    <c:v>706732</c:v>
                  </c:pt>
                  <c:pt idx="1221">
                    <c:v>706740</c:v>
                  </c:pt>
                  <c:pt idx="1222">
                    <c:v>704648</c:v>
                  </c:pt>
                  <c:pt idx="1224">
                    <c:v>gr1295</c:v>
                  </c:pt>
                  <c:pt idx="1225">
                    <c:v>GR1294</c:v>
                  </c:pt>
                  <c:pt idx="1226">
                    <c:v>GR1293</c:v>
                  </c:pt>
                  <c:pt idx="1227">
                    <c:v>gr21102</c:v>
                  </c:pt>
                  <c:pt idx="1228">
                    <c:v>gr21101</c:v>
                  </c:pt>
                  <c:pt idx="1229">
                    <c:v>gr2110</c:v>
                  </c:pt>
                  <c:pt idx="1230">
                    <c:v>gr21105</c:v>
                  </c:pt>
                  <c:pt idx="1231">
                    <c:v>gr21104</c:v>
                  </c:pt>
                  <c:pt idx="1232">
                    <c:v>gr21103</c:v>
                  </c:pt>
                  <c:pt idx="1233">
                    <c:v>gr1290</c:v>
                  </c:pt>
                  <c:pt idx="1245">
                    <c:v>jgt88003</c:v>
                  </c:pt>
                  <c:pt idx="1247">
                    <c:v>chw00946</c:v>
                  </c:pt>
                  <c:pt idx="1248">
                    <c:v>jgt88002</c:v>
                  </c:pt>
                  <c:pt idx="1249">
                    <c:v>27419</c:v>
                  </c:pt>
                  <c:pt idx="1250">
                    <c:v>27432</c:v>
                  </c:pt>
                  <c:pt idx="1251">
                    <c:v>27045</c:v>
                  </c:pt>
                  <c:pt idx="1252">
                    <c:v>27424</c:v>
                  </c:pt>
                  <c:pt idx="1253">
                    <c:v>gr1343</c:v>
                  </c:pt>
                  <c:pt idx="1254">
                    <c:v>chw01890</c:v>
                  </c:pt>
                  <c:pt idx="1255">
                    <c:v>mac 20</c:v>
                  </c:pt>
                  <c:pt idx="1257">
                    <c:v>mac11</c:v>
                  </c:pt>
                  <c:pt idx="1258">
                    <c:v>mac 7</c:v>
                  </c:pt>
                  <c:pt idx="1260">
                    <c:v>mac 3</c:v>
                  </c:pt>
                  <c:pt idx="1261">
                    <c:v>GR284</c:v>
                  </c:pt>
                  <c:pt idx="1262">
                    <c:v>gr21750</c:v>
                  </c:pt>
                  <c:pt idx="1263">
                    <c:v>gr21749-1</c:v>
                  </c:pt>
                  <c:pt idx="1264">
                    <c:v>1246</c:v>
                  </c:pt>
                  <c:pt idx="1274">
                    <c:v>446</c:v>
                  </c:pt>
                  <c:pt idx="1275">
                    <c:v>447</c:v>
                  </c:pt>
                  <c:pt idx="1276">
                    <c:v>448</c:v>
                  </c:pt>
                  <c:pt idx="1277">
                    <c:v>450</c:v>
                  </c:pt>
                  <c:pt idx="1278">
                    <c:v>GR1291</c:v>
                  </c:pt>
                  <c:pt idx="1279">
                    <c:v>GR1298</c:v>
                  </c:pt>
                  <c:pt idx="1280">
                    <c:v>GR1297</c:v>
                  </c:pt>
                  <c:pt idx="1281">
                    <c:v>GR1296</c:v>
                  </c:pt>
                  <c:pt idx="1282">
                    <c:v>GR1292</c:v>
                  </c:pt>
                  <c:pt idx="1283">
                    <c:v>gr1299</c:v>
                  </c:pt>
                  <c:pt idx="1284">
                    <c:v>22076</c:v>
                  </c:pt>
                  <c:pt idx="1285">
                    <c:v>22071</c:v>
                  </c:pt>
                  <c:pt idx="1286">
                    <c:v>22074</c:v>
                  </c:pt>
                  <c:pt idx="1287">
                    <c:v>22075</c:v>
                  </c:pt>
                  <c:pt idx="1289">
                    <c:v>B376</c:v>
                  </c:pt>
                  <c:pt idx="1302">
                    <c:v>DX1</c:v>
                  </c:pt>
                  <c:pt idx="1303">
                    <c:v>DX2</c:v>
                  </c:pt>
                  <c:pt idx="1304">
                    <c:v>DX3</c:v>
                  </c:pt>
                  <c:pt idx="1305">
                    <c:v>DX4</c:v>
                  </c:pt>
                  <c:pt idx="1306">
                    <c:v>7S2</c:v>
                  </c:pt>
                  <c:pt idx="1307">
                    <c:v>7S3</c:v>
                  </c:pt>
                  <c:pt idx="1308">
                    <c:v>7F2</c:v>
                  </c:pt>
                  <c:pt idx="1309">
                    <c:v>YT2</c:v>
                  </c:pt>
                  <c:pt idx="1310">
                    <c:v>YT3</c:v>
                  </c:pt>
                  <c:pt idx="1311">
                    <c:v>WLI</c:v>
                  </c:pt>
                  <c:pt idx="1312">
                    <c:v>GP3</c:v>
                  </c:pt>
                  <c:pt idx="1313">
                    <c:v>GP4</c:v>
                  </c:pt>
                  <c:pt idx="1314">
                    <c:v>X0</c:v>
                  </c:pt>
                  <c:pt idx="1315">
                    <c:v>JVER 24</c:v>
                  </c:pt>
                  <c:pt idx="1316">
                    <c:v>JVER 33</c:v>
                  </c:pt>
                  <c:pt idx="1317">
                    <c:v>JVER 42</c:v>
                  </c:pt>
                  <c:pt idx="1318">
                    <c:v>JVOM 30</c:v>
                  </c:pt>
                  <c:pt idx="1319">
                    <c:v>IVOM 38</c:v>
                  </c:pt>
                  <c:pt idx="1320">
                    <c:v>IVPM 25</c:v>
                  </c:pt>
                  <c:pt idx="1321">
                    <c:v>IVQM20</c:v>
                  </c:pt>
                  <c:pt idx="1322">
                    <c:v>JVEO 41</c:v>
                  </c:pt>
                  <c:pt idx="1323">
                    <c:v>JVEF 34</c:v>
                  </c:pt>
                  <c:pt idx="1324">
                    <c:v>JVEF 42</c:v>
                  </c:pt>
                  <c:pt idx="1325">
                    <c:v>JVEC 33</c:v>
                  </c:pt>
                  <c:pt idx="1326">
                    <c:v>JVEO 55</c:v>
                  </c:pt>
                  <c:pt idx="1327">
                    <c:v>JVHR 42</c:v>
                  </c:pt>
                  <c:pt idx="1328">
                    <c:v>JVHR33</c:v>
                  </c:pt>
                  <c:pt idx="1329">
                    <c:v>JVUM 30 S</c:v>
                  </c:pt>
                  <c:pt idx="1330">
                    <c:v>JVUM 38</c:v>
                  </c:pt>
                  <c:pt idx="1331">
                    <c:v>JFQF 67</c:v>
                  </c:pt>
                  <c:pt idx="1332">
                    <c:v>JFQF 77</c:v>
                  </c:pt>
                  <c:pt idx="1333">
                    <c:v>JVQM20</c:v>
                  </c:pt>
                  <c:pt idx="1334">
                    <c:v>JURT 45</c:v>
                  </c:pt>
                  <c:pt idx="1335">
                    <c:v>JUMB 34</c:v>
                  </c:pt>
                  <c:pt idx="1336">
                    <c:v>JPRD 25</c:v>
                  </c:pt>
                  <c:pt idx="1337">
                    <c:v>JVRH33</c:v>
                  </c:pt>
                  <c:pt idx="1338">
                    <c:v>JVOM 38</c:v>
                  </c:pt>
                  <c:pt idx="1339">
                    <c:v>JVSR</c:v>
                  </c:pt>
                  <c:pt idx="1340">
                    <c:v>JCMC 35</c:v>
                  </c:pt>
                  <c:pt idx="1341">
                    <c:v>JCMC 45</c:v>
                  </c:pt>
                  <c:pt idx="1342">
                    <c:v>JVERH 33</c:v>
                  </c:pt>
                  <c:pt idx="1343">
                    <c:v>JURH 33</c:v>
                  </c:pt>
                  <c:pt idx="1344">
                    <c:v>JVLL45</c:v>
                  </c:pt>
                  <c:pt idx="1345">
                    <c:v>JFQM 45</c:v>
                  </c:pt>
                  <c:pt idx="1346">
                    <c:v>JVIP 34</c:v>
                  </c:pt>
                  <c:pt idx="1347">
                    <c:v>JVQM30</c:v>
                  </c:pt>
                  <c:pt idx="1348">
                    <c:v>IVQM36</c:v>
                  </c:pt>
                  <c:pt idx="1349">
                    <c:v>JVMO38C</c:v>
                  </c:pt>
                  <c:pt idx="1350">
                    <c:v>JVAQ44</c:v>
                  </c:pt>
                  <c:pt idx="1351">
                    <c:v>JVAQ55</c:v>
                  </c:pt>
                  <c:pt idx="1352">
                    <c:v>JVAQ56</c:v>
                  </c:pt>
                  <c:pt idx="1353">
                    <c:v>JVCB 30</c:v>
                  </c:pt>
                  <c:pt idx="1354">
                    <c:v>JVQM36</c:v>
                  </c:pt>
                  <c:pt idx="1355">
                    <c:v>JVRE 37</c:v>
                  </c:pt>
                  <c:pt idx="1356">
                    <c:v>JVRE 46</c:v>
                  </c:pt>
                  <c:pt idx="1357">
                    <c:v>JVRE 57</c:v>
                  </c:pt>
                  <c:pt idx="1358">
                    <c:v>JVRE 34</c:v>
                  </c:pt>
                  <c:pt idx="1359">
                    <c:v>100199</c:v>
                  </c:pt>
                  <c:pt idx="1360">
                    <c:v>IVIP 43</c:v>
                  </c:pt>
                  <c:pt idx="1375">
                    <c:v>GR1288</c:v>
                  </c:pt>
                  <c:pt idx="1376">
                    <c:v>100161</c:v>
                  </c:pt>
                  <c:pt idx="1377">
                    <c:v>100161</c:v>
                  </c:pt>
                  <c:pt idx="1378">
                    <c:v>100162</c:v>
                  </c:pt>
                  <c:pt idx="1379">
                    <c:v>GR1283</c:v>
                  </c:pt>
                  <c:pt idx="1380">
                    <c:v>0</c:v>
                  </c:pt>
                  <c:pt idx="1381">
                    <c:v>0</c:v>
                  </c:pt>
                  <c:pt idx="1386">
                    <c:v>100152</c:v>
                  </c:pt>
                  <c:pt idx="1388">
                    <c:v>52044</c:v>
                  </c:pt>
                  <c:pt idx="1391">
                    <c:v>gt3235</c:v>
                  </c:pt>
                  <c:pt idx="1394">
                    <c:v>100231</c:v>
                  </c:pt>
                  <c:pt idx="1395">
                    <c:v>100232</c:v>
                  </c:pt>
                  <c:pt idx="1396">
                    <c:v>100189</c:v>
                  </c:pt>
                  <c:pt idx="1397">
                    <c:v>100190</c:v>
                  </c:pt>
                  <c:pt idx="1398">
                    <c:v>100228</c:v>
                  </c:pt>
                  <c:pt idx="1399">
                    <c:v>PE439</c:v>
                  </c:pt>
                  <c:pt idx="1402">
                    <c:v>100096</c:v>
                  </c:pt>
                  <c:pt idx="1403">
                    <c:v>GR1287</c:v>
                  </c:pt>
                  <c:pt idx="1404">
                    <c:v>gr1286</c:v>
                  </c:pt>
                  <c:pt idx="1420">
                    <c:v>100095</c:v>
                  </c:pt>
                  <c:pt idx="1421">
                    <c:v>100131</c:v>
                  </c:pt>
                  <c:pt idx="1423">
                    <c:v>100186</c:v>
                  </c:pt>
                  <c:pt idx="1426">
                    <c:v>100113</c:v>
                  </c:pt>
                  <c:pt idx="1427">
                    <c:v>100131</c:v>
                  </c:pt>
                  <c:pt idx="1429">
                    <c:v>100133</c:v>
                  </c:pt>
                  <c:pt idx="1430">
                    <c:v>M1980</c:v>
                  </c:pt>
                  <c:pt idx="1431">
                    <c:v>M1982</c:v>
                  </c:pt>
                  <c:pt idx="1432">
                    <c:v>M1981</c:v>
                  </c:pt>
                  <c:pt idx="1433">
                    <c:v>gr21119</c:v>
                  </c:pt>
                  <c:pt idx="1434">
                    <c:v>gr21118</c:v>
                  </c:pt>
                  <c:pt idx="1435">
                    <c:v>26600018</c:v>
                  </c:pt>
                  <c:pt idx="1436">
                    <c:v>1463</c:v>
                  </c:pt>
                  <c:pt idx="1437">
                    <c:v>1463</c:v>
                  </c:pt>
                  <c:pt idx="1438">
                    <c:v>24/7/</c:v>
                  </c:pt>
                  <c:pt idx="1439">
                    <c:v>1464</c:v>
                  </c:pt>
                  <c:pt idx="1441">
                    <c:v>642004</c:v>
                  </c:pt>
                  <c:pt idx="1442">
                    <c:v>642001</c:v>
                  </c:pt>
                  <c:pt idx="1443">
                    <c:v>0</c:v>
                  </c:pt>
                  <c:pt idx="1446">
                    <c:v>107</c:v>
                  </c:pt>
                  <c:pt idx="1449">
                    <c:v>28</c:v>
                  </c:pt>
                  <c:pt idx="1452">
                    <c:v>cgt00081</c:v>
                  </c:pt>
                  <c:pt idx="1453">
                    <c:v>cgt00080</c:v>
                  </c:pt>
                  <c:pt idx="1454">
                    <c:v>gt2961</c:v>
                  </c:pt>
                  <c:pt idx="1455">
                    <c:v>gt2961</c:v>
                  </c:pt>
                  <c:pt idx="1456">
                    <c:v>gt3045</c:v>
                  </c:pt>
                  <c:pt idx="1458">
                    <c:v>cgt0081</c:v>
                  </c:pt>
                  <c:pt idx="1462">
                    <c:v>A1847</c:v>
                  </c:pt>
                  <c:pt idx="1464">
                    <c:v>590</c:v>
                  </c:pt>
                  <c:pt idx="1465">
                    <c:v>31109</c:v>
                  </c:pt>
                  <c:pt idx="1466">
                    <c:v>2126</c:v>
                  </c:pt>
                  <c:pt idx="1468">
                    <c:v>108001</c:v>
                  </c:pt>
                  <c:pt idx="1470">
                    <c:v>31036</c:v>
                  </c:pt>
                  <c:pt idx="1476">
                    <c:v>0</c:v>
                  </c:pt>
                  <c:pt idx="1477">
                    <c:v>260500</c:v>
                  </c:pt>
                  <c:pt idx="1478">
                    <c:v>V0690</c:v>
                  </c:pt>
                  <c:pt idx="1481">
                    <c:v>0</c:v>
                  </c:pt>
                  <c:pt idx="1482">
                    <c:v>gt3380</c:v>
                  </c:pt>
                  <c:pt idx="1483">
                    <c:v>mt97</c:v>
                  </c:pt>
                  <c:pt idx="1484">
                    <c:v>cgt00051</c:v>
                  </c:pt>
                  <c:pt idx="1485">
                    <c:v>22079</c:v>
                  </c:pt>
                  <c:pt idx="1486">
                    <c:v>22080</c:v>
                  </c:pt>
                  <c:pt idx="1488">
                    <c:v>MO273</c:v>
                  </c:pt>
                  <c:pt idx="1490">
                    <c:v>MO274</c:v>
                  </c:pt>
                  <c:pt idx="1491">
                    <c:v>gt4414</c:v>
                  </c:pt>
                  <c:pt idx="1492">
                    <c:v>gt3611</c:v>
                  </c:pt>
                  <c:pt idx="1493">
                    <c:v>gt4412</c:v>
                  </c:pt>
                  <c:pt idx="1494">
                    <c:v>gt3618</c:v>
                  </c:pt>
                  <c:pt idx="1495">
                    <c:v>gt4407</c:v>
                  </c:pt>
                  <c:pt idx="1496">
                    <c:v>gt3616</c:v>
                  </c:pt>
                  <c:pt idx="1499">
                    <c:v>271</c:v>
                  </c:pt>
                  <c:pt idx="1500">
                    <c:v>273</c:v>
                  </c:pt>
                  <c:pt idx="1501">
                    <c:v>274</c:v>
                  </c:pt>
                  <c:pt idx="1502">
                    <c:v>275</c:v>
                  </c:pt>
                  <c:pt idx="1508">
                    <c:v>310003</c:v>
                  </c:pt>
                  <c:pt idx="1510">
                    <c:v>2047</c:v>
                  </c:pt>
                  <c:pt idx="1511">
                    <c:v>v4168</c:v>
                  </c:pt>
                  <c:pt idx="1512">
                    <c:v>HE103</c:v>
                  </c:pt>
                  <c:pt idx="1513">
                    <c:v>a11269</c:v>
                  </c:pt>
                  <c:pt idx="1514">
                    <c:v>v4167</c:v>
                  </c:pt>
                  <c:pt idx="1515">
                    <c:v>a13182</c:v>
                  </c:pt>
                  <c:pt idx="1516">
                    <c:v>a13181</c:v>
                  </c:pt>
                  <c:pt idx="1517">
                    <c:v>cl31</c:v>
                  </c:pt>
                  <c:pt idx="1518">
                    <c:v>cl42</c:v>
                  </c:pt>
                  <c:pt idx="1522">
                    <c:v>v4554b</c:v>
                  </c:pt>
                  <c:pt idx="1523">
                    <c:v>v4555</c:v>
                  </c:pt>
                  <c:pt idx="1524">
                    <c:v>v4555a</c:v>
                  </c:pt>
                  <c:pt idx="1525">
                    <c:v>v4554</c:v>
                  </c:pt>
                  <c:pt idx="1530">
                    <c:v>315600</c:v>
                  </c:pt>
                  <c:pt idx="1532">
                    <c:v>100200</c:v>
                  </c:pt>
                  <c:pt idx="1533">
                    <c:v>244</c:v>
                  </c:pt>
                  <c:pt idx="1534">
                    <c:v>gr10308</c:v>
                  </c:pt>
                  <c:pt idx="1535">
                    <c:v>15199</c:v>
                  </c:pt>
                  <c:pt idx="1536">
                    <c:v>gr18765</c:v>
                  </c:pt>
                  <c:pt idx="1537">
                    <c:v>B0070</c:v>
                  </c:pt>
                  <c:pt idx="1538">
                    <c:v>2,13,491758</c:v>
                  </c:pt>
                  <c:pt idx="1539">
                    <c:v>910121</c:v>
                  </c:pt>
                  <c:pt idx="1540">
                    <c:v>271</c:v>
                  </c:pt>
                  <c:pt idx="1541">
                    <c:v>mt1350</c:v>
                  </c:pt>
                  <c:pt idx="1542">
                    <c:v>he0522</c:v>
                  </c:pt>
                  <c:pt idx="1546">
                    <c:v>gf31234</c:v>
                  </c:pt>
                  <c:pt idx="1547">
                    <c:v>gf31235</c:v>
                  </c:pt>
                  <c:pt idx="1549">
                    <c:v>v4550</c:v>
                  </c:pt>
                  <c:pt idx="1550">
                    <c:v>v4551</c:v>
                  </c:pt>
                  <c:pt idx="1551">
                    <c:v>v4570a</c:v>
                  </c:pt>
                  <c:pt idx="1553">
                    <c:v>198</c:v>
                  </c:pt>
                  <c:pt idx="1554">
                    <c:v>199</c:v>
                  </c:pt>
                  <c:pt idx="1555">
                    <c:v>0</c:v>
                  </c:pt>
                  <c:pt idx="1556">
                    <c:v>s142</c:v>
                  </c:pt>
                  <c:pt idx="1557">
                    <c:v>s143</c:v>
                  </c:pt>
                  <c:pt idx="1558">
                    <c:v>s141</c:v>
                  </c:pt>
                  <c:pt idx="1559">
                    <c:v>s140</c:v>
                  </c:pt>
                  <c:pt idx="1560">
                    <c:v>1780</c:v>
                  </c:pt>
                  <c:pt idx="1561">
                    <c:v>0</c:v>
                  </c:pt>
                  <c:pt idx="1562">
                    <c:v>0</c:v>
                  </c:pt>
                  <c:pt idx="1563">
                    <c:v>0</c:v>
                  </c:pt>
                  <c:pt idx="1566">
                    <c:v>0</c:v>
                  </c:pt>
                  <c:pt idx="1567">
                    <c:v>V1476</c:v>
                  </c:pt>
                  <c:pt idx="1568">
                    <c:v>V1468A</c:v>
                  </c:pt>
                  <c:pt idx="1569">
                    <c:v>gr1909</c:v>
                  </c:pt>
                  <c:pt idx="1572">
                    <c:v>72003</c:v>
                  </c:pt>
                  <c:pt idx="1574">
                    <c:v>mt180</c:v>
                  </c:pt>
                  <c:pt idx="1575">
                    <c:v>mt620</c:v>
                  </c:pt>
                  <c:pt idx="1577">
                    <c:v>gr2881</c:v>
                  </c:pt>
                  <c:pt idx="1579">
                    <c:v>15990</c:v>
                  </c:pt>
                  <c:pt idx="1580">
                    <c:v>20033</c:v>
                  </c:pt>
                  <c:pt idx="1581">
                    <c:v>15984</c:v>
                  </c:pt>
                  <c:pt idx="1582">
                    <c:v>14223</c:v>
                  </c:pt>
                  <c:pt idx="1588">
                    <c:v>111507</c:v>
                  </c:pt>
                  <c:pt idx="1590">
                    <c:v>1106</c:v>
                  </c:pt>
                  <c:pt idx="1591">
                    <c:v>117175</c:v>
                  </c:pt>
                  <c:pt idx="1592">
                    <c:v>117175</c:v>
                  </c:pt>
                  <c:pt idx="1593">
                    <c:v>117175</c:v>
                  </c:pt>
                  <c:pt idx="1594">
                    <c:v>201</c:v>
                  </c:pt>
                  <c:pt idx="1596">
                    <c:v>IBRBY01</c:v>
                  </c:pt>
                  <c:pt idx="1597">
                    <c:v>IBRFL101</c:v>
                  </c:pt>
                  <c:pt idx="1600">
                    <c:v>133</c:v>
                  </c:pt>
                  <c:pt idx="1601">
                    <c:v>108</c:v>
                  </c:pt>
                  <c:pt idx="1603">
                    <c:v>140</c:v>
                  </c:pt>
                  <c:pt idx="1604">
                    <c:v>140</c:v>
                  </c:pt>
                  <c:pt idx="1607">
                    <c:v>CHARAD08</c:v>
                  </c:pt>
                  <c:pt idx="1609">
                    <c:v>CRIOAD07</c:v>
                  </c:pt>
                  <c:pt idx="1613">
                    <c:v>9789</c:v>
                  </c:pt>
                  <c:pt idx="1615">
                    <c:v>e120</c:v>
                  </c:pt>
                  <c:pt idx="1616">
                    <c:v>e120</c:v>
                  </c:pt>
                  <c:pt idx="1617">
                    <c:v>4</c:v>
                  </c:pt>
                  <c:pt idx="1621">
                    <c:v>gt2961</c:v>
                  </c:pt>
                  <c:pt idx="1624">
                    <c:v>90</c:v>
                  </c:pt>
                  <c:pt idx="1627">
                    <c:v>14,08</c:v>
                  </c:pt>
                  <c:pt idx="1629">
                    <c:v>16,21</c:v>
                  </c:pt>
                  <c:pt idx="1630">
                    <c:v>0</c:v>
                  </c:pt>
                  <c:pt idx="1631">
                    <c:v>9236</c:v>
                  </c:pt>
                  <c:pt idx="1632">
                    <c:v>0</c:v>
                  </c:pt>
                  <c:pt idx="1634">
                    <c:v>111547</c:v>
                  </c:pt>
                  <c:pt idx="1635">
                    <c:v>10040</c:v>
                  </c:pt>
                  <c:pt idx="1636">
                    <c:v>10050</c:v>
                  </c:pt>
                  <c:pt idx="1637">
                    <c:v>111655</c:v>
                  </c:pt>
                  <c:pt idx="1638">
                    <c:v>111547</c:v>
                  </c:pt>
                  <c:pt idx="1639">
                    <c:v>111547</c:v>
                  </c:pt>
                  <c:pt idx="1640">
                    <c:v>111547</c:v>
                  </c:pt>
                  <c:pt idx="1643">
                    <c:v>5758</c:v>
                  </c:pt>
                  <c:pt idx="1649">
                    <c:v>sz350</c:v>
                  </c:pt>
                  <c:pt idx="1650">
                    <c:v>sz513</c:v>
                  </c:pt>
                  <c:pt idx="1651">
                    <c:v>324740</c:v>
                  </c:pt>
                  <c:pt idx="1652">
                    <c:v>v0605</c:v>
                  </c:pt>
                  <c:pt idx="1654">
                    <c:v>v0452</c:v>
                  </c:pt>
                  <c:pt idx="1655">
                    <c:v>v4582</c:v>
                  </c:pt>
                  <c:pt idx="1656">
                    <c:v>2058</c:v>
                  </c:pt>
                  <c:pt idx="1658">
                    <c:v>v0451</c:v>
                  </c:pt>
                  <c:pt idx="1659">
                    <c:v>v0454</c:v>
                  </c:pt>
                  <c:pt idx="1660">
                    <c:v>v0453</c:v>
                  </c:pt>
                  <c:pt idx="1661">
                    <c:v>v0456</c:v>
                  </c:pt>
                  <c:pt idx="1662">
                    <c:v>2,12ps2</c:v>
                  </c:pt>
                  <c:pt idx="1663">
                    <c:v>2,12ps4</c:v>
                  </c:pt>
                  <c:pt idx="1666">
                    <c:v>0</c:v>
                  </c:pt>
                  <c:pt idx="1667">
                    <c:v>133</c:v>
                  </c:pt>
                  <c:pt idx="1668">
                    <c:v>19141</c:v>
                  </c:pt>
                  <c:pt idx="1669">
                    <c:v>k-310</c:v>
                  </c:pt>
                  <c:pt idx="1670">
                    <c:v>gr24751</c:v>
                  </c:pt>
                  <c:pt idx="1671">
                    <c:v>gr5296</c:v>
                  </c:pt>
                  <c:pt idx="1672">
                    <c:v>6</c:v>
                  </c:pt>
                  <c:pt idx="1674">
                    <c:v>k003</c:v>
                  </c:pt>
                  <c:pt idx="1675">
                    <c:v>k002</c:v>
                  </c:pt>
                  <c:pt idx="1676">
                    <c:v>s145</c:v>
                  </c:pt>
                  <c:pt idx="1677">
                    <c:v>s146</c:v>
                  </c:pt>
                  <c:pt idx="1678">
                    <c:v>203pg44</c:v>
                  </c:pt>
                  <c:pt idx="1681">
                    <c:v>k002</c:v>
                  </c:pt>
                  <c:pt idx="1682">
                    <c:v>k003</c:v>
                  </c:pt>
                  <c:pt idx="1683">
                    <c:v>k004</c:v>
                  </c:pt>
                  <c:pt idx="1689">
                    <c:v>s144</c:v>
                  </c:pt>
                  <c:pt idx="1690">
                    <c:v>236</c:v>
                  </c:pt>
                  <c:pt idx="1691">
                    <c:v>v0601</c:v>
                  </c:pt>
                  <c:pt idx="1692">
                    <c:v>cfl00007</c:v>
                  </c:pt>
                  <c:pt idx="1693">
                    <c:v>sc816</c:v>
                  </c:pt>
                  <c:pt idx="1694">
                    <c:v>sc642</c:v>
                  </c:pt>
                  <c:pt idx="1695">
                    <c:v>sc1129</c:v>
                  </c:pt>
                  <c:pt idx="1696">
                    <c:v>sc-12a </c:v>
                  </c:pt>
                  <c:pt idx="1697">
                    <c:v>sc-12b</c:v>
                  </c:pt>
                  <c:pt idx="1698">
                    <c:v>sc-12</c:v>
                  </c:pt>
                  <c:pt idx="1699">
                    <c:v>cfl00004</c:v>
                  </c:pt>
                  <c:pt idx="1700">
                    <c:v>v1221</c:v>
                  </c:pt>
                  <c:pt idx="1701">
                    <c:v>v1224</c:v>
                  </c:pt>
                  <c:pt idx="1702">
                    <c:v>v0632</c:v>
                  </c:pt>
                  <c:pt idx="1703">
                    <c:v>sc-01</c:v>
                  </c:pt>
                  <c:pt idx="1704">
                    <c:v>cfl00018</c:v>
                  </c:pt>
                  <c:pt idx="1705">
                    <c:v>cfl00014</c:v>
                  </c:pt>
                  <c:pt idx="1706">
                    <c:v>W2896</c:v>
                  </c:pt>
                  <c:pt idx="1707">
                    <c:v>PC2519</c:v>
                  </c:pt>
                  <c:pt idx="1709">
                    <c:v>sc-643</c:v>
                  </c:pt>
                  <c:pt idx="1710">
                    <c:v>v0631-2</c:v>
                  </c:pt>
                  <c:pt idx="1711">
                    <c:v>v0632</c:v>
                  </c:pt>
                  <c:pt idx="1712">
                    <c:v>v0633</c:v>
                  </c:pt>
                  <c:pt idx="1713">
                    <c:v>v0634</c:v>
                  </c:pt>
                  <c:pt idx="1715">
                    <c:v>14</c:v>
                  </c:pt>
                  <c:pt idx="1716">
                    <c:v>139</c:v>
                  </c:pt>
                  <c:pt idx="1720">
                    <c:v>pcn15</c:v>
                  </c:pt>
                  <c:pt idx="1721">
                    <c:v>pcn20</c:v>
                  </c:pt>
                </c:lvl>
              </c:multiLvlStrCache>
            </c:multiLvlStrRef>
          </c:cat>
          <c:val>
            <c:numRef>
              <c:f>PRECIO!$M$3:$M$1802</c:f>
              <c:numCache>
                <c:formatCode>0</c:formatCode>
                <c:ptCount val="1725"/>
                <c:pt idx="165" formatCode="General">
                  <c:v>1.22</c:v>
                </c:pt>
                <c:pt idx="228" formatCode="General">
                  <c:v>1.22</c:v>
                </c:pt>
                <c:pt idx="247" formatCode="General">
                  <c:v>1.22</c:v>
                </c:pt>
                <c:pt idx="419" formatCode="General">
                  <c:v>1.22</c:v>
                </c:pt>
                <c:pt idx="420" formatCode="General">
                  <c:v>1.22</c:v>
                </c:pt>
                <c:pt idx="542" formatCode="General">
                  <c:v>1.22</c:v>
                </c:pt>
                <c:pt idx="641" formatCode="General">
                  <c:v>1.22</c:v>
                </c:pt>
                <c:pt idx="651" formatCode="General">
                  <c:v>1.22</c:v>
                </c:pt>
                <c:pt idx="705">
                  <c:v>0</c:v>
                </c:pt>
                <c:pt idx="924" formatCode="General">
                  <c:v>1.22</c:v>
                </c:pt>
                <c:pt idx="986" formatCode="General">
                  <c:v>1.22</c:v>
                </c:pt>
                <c:pt idx="989" formatCode="General">
                  <c:v>1.22</c:v>
                </c:pt>
                <c:pt idx="1202" formatCode="0.00">
                  <c:v>1.22</c:v>
                </c:pt>
                <c:pt idx="1401" formatCode="General">
                  <c:v>1.22</c:v>
                </c:pt>
                <c:pt idx="1480" formatCode="0.00">
                  <c:v>1.22</c:v>
                </c:pt>
                <c:pt idx="1487" formatCode="0.00">
                  <c:v>1.22</c:v>
                </c:pt>
                <c:pt idx="1489" formatCode="General">
                  <c:v>1.22</c:v>
                </c:pt>
                <c:pt idx="1708" formatCode="0.00">
                  <c:v>1.22</c:v>
                </c:pt>
              </c:numCache>
            </c:numRef>
          </c:val>
        </c:ser>
        <c:ser>
          <c:idx val="3"/>
          <c:order val="3"/>
          <c:tx>
            <c:strRef>
              <c:f>PRECIO!$N$1:$N$2</c:f>
              <c:strCache>
                <c:ptCount val="2"/>
                <c:pt idx="0">
                  <c:v>#¡VALOR!</c:v>
                </c:pt>
                <c:pt idx="1">
                  <c:v>$ (*)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PRECIO!$A$3:$J$1802</c:f>
              <c:multiLvlStrCache>
                <c:ptCount val="1725"/>
                <c:lvl>
                  <c:pt idx="0">
                    <c:v>23/09/2024</c:v>
                  </c:pt>
                  <c:pt idx="1">
                    <c:v>16/03/2022</c:v>
                  </c:pt>
                  <c:pt idx="2">
                    <c:v>25/04/2025</c:v>
                  </c:pt>
                  <c:pt idx="3">
                    <c:v>03/03/2020</c:v>
                  </c:pt>
                  <c:pt idx="4">
                    <c:v>03/03/2020</c:v>
                  </c:pt>
                  <c:pt idx="5">
                    <c:v>14/08/2020</c:v>
                  </c:pt>
                  <c:pt idx="6">
                    <c:v>14/08/2020</c:v>
                  </c:pt>
                  <c:pt idx="7">
                    <c:v>14/08/2020</c:v>
                  </c:pt>
                  <c:pt idx="8">
                    <c:v>07/08/2021</c:v>
                  </c:pt>
                  <c:pt idx="9">
                    <c:v>25/04/2025</c:v>
                  </c:pt>
                  <c:pt idx="10">
                    <c:v>18/12/2025</c:v>
                  </c:pt>
                  <c:pt idx="11">
                    <c:v>10/12/2024</c:v>
                  </c:pt>
                  <c:pt idx="12">
                    <c:v>18/12/2025</c:v>
                  </c:pt>
                  <c:pt idx="13">
                    <c:v>07/03/2023</c:v>
                  </c:pt>
                  <c:pt idx="14">
                    <c:v>30/10/2025</c:v>
                  </c:pt>
                  <c:pt idx="15">
                    <c:v>21/11/2025</c:v>
                  </c:pt>
                  <c:pt idx="16">
                    <c:v>10/01/2025</c:v>
                  </c:pt>
                  <c:pt idx="17">
                    <c:v>13/02/2025</c:v>
                  </c:pt>
                  <c:pt idx="18">
                    <c:v>18/01/2023</c:v>
                  </c:pt>
                  <c:pt idx="19">
                    <c:v>18/01/2023</c:v>
                  </c:pt>
                  <c:pt idx="20">
                    <c:v>18/01/2023</c:v>
                  </c:pt>
                  <c:pt idx="21">
                    <c:v>18/01/2023</c:v>
                  </c:pt>
                  <c:pt idx="22">
                    <c:v>28/08/2024</c:v>
                  </c:pt>
                  <c:pt idx="24">
                    <c:v>06/12/2023</c:v>
                  </c:pt>
                  <c:pt idx="25">
                    <c:v>21/01/2025</c:v>
                  </c:pt>
                  <c:pt idx="26">
                    <c:v>10/09/2024</c:v>
                  </c:pt>
                  <c:pt idx="27">
                    <c:v>30/12/2025</c:v>
                  </c:pt>
                  <c:pt idx="28">
                    <c:v>15/01/2025</c:v>
                  </c:pt>
                  <c:pt idx="29">
                    <c:v>03/01/2023</c:v>
                  </c:pt>
                  <c:pt idx="30">
                    <c:v>09/10/2025</c:v>
                  </c:pt>
                  <c:pt idx="31">
                    <c:v>15/01/2025</c:v>
                  </c:pt>
                  <c:pt idx="32">
                    <c:v>26/09/2024</c:v>
                  </c:pt>
                  <c:pt idx="33">
                    <c:v>09/10/2025</c:v>
                  </c:pt>
                  <c:pt idx="34">
                    <c:v>12/12/2023</c:v>
                  </c:pt>
                  <c:pt idx="35">
                    <c:v>11/06/2025</c:v>
                  </c:pt>
                  <c:pt idx="36">
                    <c:v>12/03/2025</c:v>
                  </c:pt>
                  <c:pt idx="37">
                    <c:v>22/06/2022</c:v>
                  </c:pt>
                  <c:pt idx="38">
                    <c:v>21/11/2023</c:v>
                  </c:pt>
                  <c:pt idx="39">
                    <c:v>30/12/2025</c:v>
                  </c:pt>
                  <c:pt idx="40">
                    <c:v>30/12/2025</c:v>
                  </c:pt>
                  <c:pt idx="41">
                    <c:v>30/12/2025</c:v>
                  </c:pt>
                  <c:pt idx="42">
                    <c:v>30/12/2025</c:v>
                  </c:pt>
                  <c:pt idx="43">
                    <c:v>23/03/2025</c:v>
                  </c:pt>
                  <c:pt idx="44">
                    <c:v>30/12/2025</c:v>
                  </c:pt>
                  <c:pt idx="45">
                    <c:v>30/12/2025</c:v>
                  </c:pt>
                  <c:pt idx="46">
                    <c:v>19/06/2025</c:v>
                  </c:pt>
                  <c:pt idx="47">
                    <c:v>14/08/2025</c:v>
                  </c:pt>
                  <c:pt idx="48">
                    <c:v>09/10/2025</c:v>
                  </c:pt>
                  <c:pt idx="49">
                    <c:v>09/03/2023</c:v>
                  </c:pt>
                  <c:pt idx="50">
                    <c:v>09/10/2025</c:v>
                  </c:pt>
                  <c:pt idx="51">
                    <c:v>14/08/2025</c:v>
                  </c:pt>
                  <c:pt idx="52">
                    <c:v>14/08/2025</c:v>
                  </c:pt>
                  <c:pt idx="53">
                    <c:v>14/08/2025</c:v>
                  </c:pt>
                  <c:pt idx="54">
                    <c:v>09/03/2023</c:v>
                  </c:pt>
                  <c:pt idx="55">
                    <c:v>29/09/2022</c:v>
                  </c:pt>
                  <c:pt idx="56">
                    <c:v>02/01/2024</c:v>
                  </c:pt>
                  <c:pt idx="57">
                    <c:v>02/01/2024</c:v>
                  </c:pt>
                  <c:pt idx="58">
                    <c:v>02/01/2024</c:v>
                  </c:pt>
                  <c:pt idx="59">
                    <c:v>12/03/2025</c:v>
                  </c:pt>
                  <c:pt idx="60">
                    <c:v>02/09/2024</c:v>
                  </c:pt>
                  <c:pt idx="61">
                    <c:v>14/11/2024</c:v>
                  </c:pt>
                  <c:pt idx="62">
                    <c:v>31/07/2024</c:v>
                  </c:pt>
                  <c:pt idx="63">
                    <c:v>08/03/2022</c:v>
                  </c:pt>
                  <c:pt idx="64">
                    <c:v>08/06/2020</c:v>
                  </c:pt>
                  <c:pt idx="65">
                    <c:v>14/11/2024</c:v>
                  </c:pt>
                  <c:pt idx="66">
                    <c:v>29/04/2025</c:v>
                  </c:pt>
                  <c:pt idx="67">
                    <c:v>10/01/2025</c:v>
                  </c:pt>
                  <c:pt idx="68">
                    <c:v>10/01/2025</c:v>
                  </c:pt>
                  <c:pt idx="69">
                    <c:v>10/01/2025</c:v>
                  </c:pt>
                  <c:pt idx="70">
                    <c:v>10/01/2025</c:v>
                  </c:pt>
                  <c:pt idx="71">
                    <c:v>20/03/2023</c:v>
                  </c:pt>
                  <c:pt idx="72">
                    <c:v>22/12/2025</c:v>
                  </c:pt>
                  <c:pt idx="73">
                    <c:v>22/12/2025</c:v>
                  </c:pt>
                  <c:pt idx="74">
                    <c:v>11/10/2025</c:v>
                  </c:pt>
                  <c:pt idx="75">
                    <c:v>11/10/2025</c:v>
                  </c:pt>
                  <c:pt idx="76">
                    <c:v>18/01/2023</c:v>
                  </c:pt>
                  <c:pt idx="77">
                    <c:v>18/01/2023</c:v>
                  </c:pt>
                  <c:pt idx="78">
                    <c:v>07/10/2024</c:v>
                  </c:pt>
                  <c:pt idx="79">
                    <c:v>13/02/2025</c:v>
                  </c:pt>
                  <c:pt idx="80">
                    <c:v>16/10/2025</c:v>
                  </c:pt>
                  <c:pt idx="81">
                    <c:v>16/10/2025</c:v>
                  </c:pt>
                  <c:pt idx="82">
                    <c:v>16/10/2025</c:v>
                  </c:pt>
                  <c:pt idx="83">
                    <c:v>02/10/2024</c:v>
                  </c:pt>
                  <c:pt idx="84">
                    <c:v>02/10/2024</c:v>
                  </c:pt>
                  <c:pt idx="85">
                    <c:v>20/07/2024</c:v>
                  </c:pt>
                  <c:pt idx="86">
                    <c:v>20/07/2024</c:v>
                  </c:pt>
                  <c:pt idx="87">
                    <c:v>20/07/2024</c:v>
                  </c:pt>
                  <c:pt idx="88">
                    <c:v>03/07/2025</c:v>
                  </c:pt>
                  <c:pt idx="89">
                    <c:v>03/07/2025</c:v>
                  </c:pt>
                  <c:pt idx="90">
                    <c:v>07/10/2024</c:v>
                  </c:pt>
                  <c:pt idx="91">
                    <c:v>07/10/2024</c:v>
                  </c:pt>
                  <c:pt idx="93">
                    <c:v>02/10/2024</c:v>
                  </c:pt>
                  <c:pt idx="94">
                    <c:v>05/12/2023</c:v>
                  </c:pt>
                  <c:pt idx="95">
                    <c:v>12/03/2021</c:v>
                  </c:pt>
                  <c:pt idx="96">
                    <c:v>10/01/2024</c:v>
                  </c:pt>
                  <c:pt idx="97">
                    <c:v>23/10/2023</c:v>
                  </c:pt>
                  <c:pt idx="98">
                    <c:v>10/05/2025</c:v>
                  </c:pt>
                  <c:pt idx="99">
                    <c:v>10/05/2025</c:v>
                  </c:pt>
                  <c:pt idx="100">
                    <c:v>10/05/2023</c:v>
                  </c:pt>
                  <c:pt idx="101">
                    <c:v>09/12/2024</c:v>
                  </c:pt>
                  <c:pt idx="102">
                    <c:v>04/11/2025</c:v>
                  </c:pt>
                  <c:pt idx="103">
                    <c:v>08/12/2025</c:v>
                  </c:pt>
                  <c:pt idx="104">
                    <c:v>16/03/2020</c:v>
                  </c:pt>
                  <c:pt idx="105">
                    <c:v>30/09/2025</c:v>
                  </c:pt>
                  <c:pt idx="106">
                    <c:v>15/11/2023</c:v>
                  </c:pt>
                  <c:pt idx="107">
                    <c:v>10/08/2023</c:v>
                  </c:pt>
                  <c:pt idx="108">
                    <c:v>30/09/2025</c:v>
                  </c:pt>
                  <c:pt idx="109">
                    <c:v>19/09/2020</c:v>
                  </c:pt>
                  <c:pt idx="110">
                    <c:v>20/05/2025</c:v>
                  </c:pt>
                  <c:pt idx="111">
                    <c:v>21/11/2023</c:v>
                  </c:pt>
                  <c:pt idx="112">
                    <c:v>21/11/2025</c:v>
                  </c:pt>
                  <c:pt idx="113">
                    <c:v>21/11/2025</c:v>
                  </c:pt>
                  <c:pt idx="114">
                    <c:v>17/08/2025</c:v>
                  </c:pt>
                  <c:pt idx="115">
                    <c:v>17/08/2025</c:v>
                  </c:pt>
                  <c:pt idx="116">
                    <c:v>26/07/2024</c:v>
                  </c:pt>
                  <c:pt idx="117">
                    <c:v>21/08/2025</c:v>
                  </c:pt>
                  <c:pt idx="118">
                    <c:v>21/08/2025</c:v>
                  </c:pt>
                  <c:pt idx="119">
                    <c:v>30/04/2025</c:v>
                  </c:pt>
                  <c:pt idx="120">
                    <c:v>18/08/2025</c:v>
                  </c:pt>
                  <c:pt idx="121">
                    <c:v>20/02/2024</c:v>
                  </c:pt>
                  <c:pt idx="122">
                    <c:v>27/12/2024</c:v>
                  </c:pt>
                  <c:pt idx="123">
                    <c:v>27/12/2024</c:v>
                  </c:pt>
                  <c:pt idx="124">
                    <c:v>03/05/2024</c:v>
                  </c:pt>
                  <c:pt idx="125">
                    <c:v>08/08/2021</c:v>
                  </c:pt>
                  <c:pt idx="126">
                    <c:v>08/08/2021</c:v>
                  </c:pt>
                  <c:pt idx="127">
                    <c:v>08/08/2021</c:v>
                  </c:pt>
                  <c:pt idx="128">
                    <c:v>08/08/2021</c:v>
                  </c:pt>
                  <c:pt idx="129">
                    <c:v>07/06/2023</c:v>
                  </c:pt>
                  <c:pt idx="130">
                    <c:v>19/11/2025</c:v>
                  </c:pt>
                  <c:pt idx="131">
                    <c:v>19/11/2025</c:v>
                  </c:pt>
                  <c:pt idx="132">
                    <c:v>30/09/2025</c:v>
                  </c:pt>
                  <c:pt idx="133">
                    <c:v>27/07/2025</c:v>
                  </c:pt>
                  <c:pt idx="134">
                    <c:v>31/05/2025</c:v>
                  </c:pt>
                  <c:pt idx="135">
                    <c:v>31/05/2025</c:v>
                  </c:pt>
                  <c:pt idx="136">
                    <c:v>20/06/2024</c:v>
                  </c:pt>
                  <c:pt idx="137">
                    <c:v>27/03/2025</c:v>
                  </c:pt>
                  <c:pt idx="138">
                    <c:v>23/12/2024</c:v>
                  </c:pt>
                  <c:pt idx="139">
                    <c:v>21/11/2025</c:v>
                  </c:pt>
                  <c:pt idx="140">
                    <c:v>23/12/2024</c:v>
                  </c:pt>
                  <c:pt idx="141">
                    <c:v>21/11/2025</c:v>
                  </c:pt>
                  <c:pt idx="142">
                    <c:v>19/08/2024</c:v>
                  </c:pt>
                  <c:pt idx="143">
                    <c:v>23/12/2024</c:v>
                  </c:pt>
                  <c:pt idx="144">
                    <c:v>02/09/2023</c:v>
                  </c:pt>
                  <c:pt idx="145">
                    <c:v>02/09/2023</c:v>
                  </c:pt>
                  <c:pt idx="146">
                    <c:v>09/10/2025</c:v>
                  </c:pt>
                  <c:pt idx="147">
                    <c:v>30/10/2025</c:v>
                  </c:pt>
                  <c:pt idx="148">
                    <c:v>17/08/2025</c:v>
                  </c:pt>
                  <c:pt idx="149">
                    <c:v>09/01/2025</c:v>
                  </c:pt>
                  <c:pt idx="150">
                    <c:v>03/08/1900</c:v>
                  </c:pt>
                  <c:pt idx="151">
                    <c:v>23/12/2024</c:v>
                  </c:pt>
                  <c:pt idx="152">
                    <c:v>30/10/2025</c:v>
                  </c:pt>
                  <c:pt idx="153">
                    <c:v>29/09/2022</c:v>
                  </c:pt>
                  <c:pt idx="154">
                    <c:v>25/04/2023</c:v>
                  </c:pt>
                  <c:pt idx="155">
                    <c:v>29/09/2022</c:v>
                  </c:pt>
                  <c:pt idx="156">
                    <c:v>27/07/2024</c:v>
                  </c:pt>
                  <c:pt idx="157">
                    <c:v>09/10/2025</c:v>
                  </c:pt>
                  <c:pt idx="158">
                    <c:v>09/10/2025</c:v>
                  </c:pt>
                  <c:pt idx="159">
                    <c:v>20/06/2024</c:v>
                  </c:pt>
                  <c:pt idx="160">
                    <c:v>17/08/2025</c:v>
                  </c:pt>
                  <c:pt idx="161">
                    <c:v>16/09/2023</c:v>
                  </c:pt>
                  <c:pt idx="162">
                    <c:v>20/03/2023</c:v>
                  </c:pt>
                  <c:pt idx="163">
                    <c:v>20/03/2023</c:v>
                  </c:pt>
                  <c:pt idx="164">
                    <c:v>20/03/2023</c:v>
                  </c:pt>
                  <c:pt idx="165">
                    <c:v>10/03/2020</c:v>
                  </c:pt>
                  <c:pt idx="166">
                    <c:v>19/09/2020</c:v>
                  </c:pt>
                  <c:pt idx="167">
                    <c:v>27/12/2023</c:v>
                  </c:pt>
                  <c:pt idx="168">
                    <c:v>25/09/2025</c:v>
                  </c:pt>
                  <c:pt idx="169">
                    <c:v>27/07/2022</c:v>
                  </c:pt>
                  <c:pt idx="170">
                    <c:v>27/07/2022</c:v>
                  </c:pt>
                  <c:pt idx="171">
                    <c:v>27/07/2022</c:v>
                  </c:pt>
                  <c:pt idx="172">
                    <c:v>02/04/2024</c:v>
                  </c:pt>
                  <c:pt idx="173">
                    <c:v>05/05/2020</c:v>
                  </c:pt>
                  <c:pt idx="174">
                    <c:v>07/03/2023</c:v>
                  </c:pt>
                  <c:pt idx="175">
                    <c:v>30/08/2023</c:v>
                  </c:pt>
                  <c:pt idx="176">
                    <c:v>25/09/2025</c:v>
                  </c:pt>
                  <c:pt idx="177">
                    <c:v>15/11/2024</c:v>
                  </c:pt>
                  <c:pt idx="178">
                    <c:v>23/07/2025</c:v>
                  </c:pt>
                  <c:pt idx="179">
                    <c:v>18/09/2025</c:v>
                  </c:pt>
                  <c:pt idx="180">
                    <c:v>18/09/2025</c:v>
                  </c:pt>
                  <c:pt idx="181">
                    <c:v>30/10/2025</c:v>
                  </c:pt>
                  <c:pt idx="182">
                    <c:v>30/10/2025</c:v>
                  </c:pt>
                  <c:pt idx="183">
                    <c:v>30/10/2025</c:v>
                  </c:pt>
                  <c:pt idx="184">
                    <c:v>30/10/2025</c:v>
                  </c:pt>
                  <c:pt idx="185">
                    <c:v>25/04/2025</c:v>
                  </c:pt>
                  <c:pt idx="186">
                    <c:v>25/04/2024</c:v>
                  </c:pt>
                  <c:pt idx="187">
                    <c:v>25/04/2024</c:v>
                  </c:pt>
                  <c:pt idx="188">
                    <c:v>21/10/2023</c:v>
                  </c:pt>
                  <c:pt idx="189">
                    <c:v>10/05/2023</c:v>
                  </c:pt>
                  <c:pt idx="190">
                    <c:v>15/03/2024</c:v>
                  </c:pt>
                  <c:pt idx="191">
                    <c:v>15/03/2024</c:v>
                  </c:pt>
                  <c:pt idx="192">
                    <c:v>15/03/2024</c:v>
                  </c:pt>
                  <c:pt idx="193">
                    <c:v>09/09/2025</c:v>
                  </c:pt>
                  <c:pt idx="194">
                    <c:v>09/09/2025</c:v>
                  </c:pt>
                  <c:pt idx="195">
                    <c:v>30/10/2025</c:v>
                  </c:pt>
                  <c:pt idx="196">
                    <c:v>30/10/2025</c:v>
                  </c:pt>
                  <c:pt idx="197">
                    <c:v>30/10/2025</c:v>
                  </c:pt>
                  <c:pt idx="198">
                    <c:v>30/10/2025</c:v>
                  </c:pt>
                  <c:pt idx="199">
                    <c:v>30/10/2025</c:v>
                  </c:pt>
                  <c:pt idx="200">
                    <c:v>30/10/2025</c:v>
                  </c:pt>
                  <c:pt idx="201">
                    <c:v>04/06/2025</c:v>
                  </c:pt>
                  <c:pt idx="202">
                    <c:v>04/06/2025</c:v>
                  </c:pt>
                  <c:pt idx="203">
                    <c:v>04/12/2024</c:v>
                  </c:pt>
                  <c:pt idx="204">
                    <c:v>15/11/2024</c:v>
                  </c:pt>
                  <c:pt idx="205">
                    <c:v>15/11/2024</c:v>
                  </c:pt>
                  <c:pt idx="206">
                    <c:v>02/09/2022</c:v>
                  </c:pt>
                  <c:pt idx="207">
                    <c:v>19/12/2024</c:v>
                  </c:pt>
                  <c:pt idx="208">
                    <c:v>04/12/2024</c:v>
                  </c:pt>
                  <c:pt idx="209">
                    <c:v>04/12/2024</c:v>
                  </c:pt>
                  <c:pt idx="210">
                    <c:v>20/11/2025</c:v>
                  </c:pt>
                  <c:pt idx="211">
                    <c:v>20/05/2025</c:v>
                  </c:pt>
                  <c:pt idx="212">
                    <c:v>20/05/2025</c:v>
                  </c:pt>
                  <c:pt idx="213">
                    <c:v>08/07/2024</c:v>
                  </c:pt>
                  <c:pt idx="214">
                    <c:v>08/07/2024</c:v>
                  </c:pt>
                  <c:pt idx="215">
                    <c:v>08/07/2024</c:v>
                  </c:pt>
                  <c:pt idx="216">
                    <c:v>18/08/2025</c:v>
                  </c:pt>
                  <c:pt idx="217">
                    <c:v>08/05/2025</c:v>
                  </c:pt>
                  <c:pt idx="218">
                    <c:v>06/11/2024</c:v>
                  </c:pt>
                  <c:pt idx="219">
                    <c:v>18/10/2024</c:v>
                  </c:pt>
                  <c:pt idx="220">
                    <c:v>18/10/2024</c:v>
                  </c:pt>
                  <c:pt idx="221">
                    <c:v>19/06/2025</c:v>
                  </c:pt>
                  <c:pt idx="222">
                    <c:v>19/10/2022</c:v>
                  </c:pt>
                  <c:pt idx="223">
                    <c:v>03/12/2024</c:v>
                  </c:pt>
                  <c:pt idx="224">
                    <c:v>07/06/2023</c:v>
                  </c:pt>
                  <c:pt idx="225">
                    <c:v>19/06/2025</c:v>
                  </c:pt>
                  <c:pt idx="226">
                    <c:v>26/07/2024</c:v>
                  </c:pt>
                  <c:pt idx="227">
                    <c:v>20/11/2025</c:v>
                  </c:pt>
                  <c:pt idx="228">
                    <c:v>10/03/2020</c:v>
                  </c:pt>
                  <c:pt idx="229">
                    <c:v>31/05/2025</c:v>
                  </c:pt>
                  <c:pt idx="230">
                    <c:v>31/01/2021</c:v>
                  </c:pt>
                  <c:pt idx="231">
                    <c:v>31/01/2021</c:v>
                  </c:pt>
                  <c:pt idx="232">
                    <c:v>31/01/2021</c:v>
                  </c:pt>
                  <c:pt idx="233">
                    <c:v>29/09/2025</c:v>
                  </c:pt>
                  <c:pt idx="234">
                    <c:v>30/10/2025</c:v>
                  </c:pt>
                  <c:pt idx="235">
                    <c:v>20/07/2024</c:v>
                  </c:pt>
                  <c:pt idx="236">
                    <c:v>03/11/2020</c:v>
                  </c:pt>
                  <c:pt idx="237">
                    <c:v>07/03/2024</c:v>
                  </c:pt>
                  <c:pt idx="238">
                    <c:v>04/07/2024</c:v>
                  </c:pt>
                  <c:pt idx="239">
                    <c:v>27/12/2023</c:v>
                  </c:pt>
                  <c:pt idx="240">
                    <c:v>29/10/2021</c:v>
                  </c:pt>
                  <c:pt idx="241">
                    <c:v>05/12/2022</c:v>
                  </c:pt>
                  <c:pt idx="242">
                    <c:v>15/03/2022</c:v>
                  </c:pt>
                  <c:pt idx="243">
                    <c:v>05/12/2022</c:v>
                  </c:pt>
                  <c:pt idx="244">
                    <c:v>21/09/2023</c:v>
                  </c:pt>
                  <c:pt idx="245">
                    <c:v>21/09/2023</c:v>
                  </c:pt>
                  <c:pt idx="246">
                    <c:v>21/09/2023</c:v>
                  </c:pt>
                  <c:pt idx="247">
                    <c:v>10/03/2020</c:v>
                  </c:pt>
                  <c:pt idx="248">
                    <c:v>06/09/2024</c:v>
                  </c:pt>
                  <c:pt idx="249">
                    <c:v>15/03/2022</c:v>
                  </c:pt>
                  <c:pt idx="250">
                    <c:v>30/04/2025</c:v>
                  </c:pt>
                  <c:pt idx="251">
                    <c:v>10/07/2025</c:v>
                  </c:pt>
                  <c:pt idx="252">
                    <c:v>12/07/2024</c:v>
                  </c:pt>
                  <c:pt idx="253">
                    <c:v>03/04/2024</c:v>
                  </c:pt>
                  <c:pt idx="254">
                    <c:v>19/08/2024</c:v>
                  </c:pt>
                  <c:pt idx="255">
                    <c:v>12/07/2024</c:v>
                  </c:pt>
                  <c:pt idx="256">
                    <c:v>20/03/2023</c:v>
                  </c:pt>
                  <c:pt idx="257">
                    <c:v>20/03/2023</c:v>
                  </c:pt>
                  <c:pt idx="258">
                    <c:v>06/09/2024</c:v>
                  </c:pt>
                  <c:pt idx="259">
                    <c:v>21/09/2023</c:v>
                  </c:pt>
                  <c:pt idx="260">
                    <c:v>24/03/2025</c:v>
                  </c:pt>
                  <c:pt idx="261">
                    <c:v>23/10/2025</c:v>
                  </c:pt>
                  <c:pt idx="262">
                    <c:v>23/10/2025</c:v>
                  </c:pt>
                  <c:pt idx="263">
                    <c:v>09/12/2024</c:v>
                  </c:pt>
                  <c:pt idx="264">
                    <c:v>15/10/2025</c:v>
                  </c:pt>
                  <c:pt idx="265">
                    <c:v>26/11/2025</c:v>
                  </c:pt>
                  <c:pt idx="266">
                    <c:v>24/10/2024</c:v>
                  </c:pt>
                  <c:pt idx="267">
                    <c:v>24/10/2024</c:v>
                  </c:pt>
                  <c:pt idx="268">
                    <c:v>13/09/2022</c:v>
                  </c:pt>
                  <c:pt idx="269">
                    <c:v>26/07/2024</c:v>
                  </c:pt>
                  <c:pt idx="270">
                    <c:v>21/09/2023</c:v>
                  </c:pt>
                  <c:pt idx="271">
                    <c:v>16/09/2023</c:v>
                  </c:pt>
                  <c:pt idx="272">
                    <c:v>21/11/2025</c:v>
                  </c:pt>
                  <c:pt idx="273">
                    <c:v>03/10/2016</c:v>
                  </c:pt>
                  <c:pt idx="274">
                    <c:v>13/10/2022</c:v>
                  </c:pt>
                  <c:pt idx="275">
                    <c:v>30/12/2025</c:v>
                  </c:pt>
                  <c:pt idx="276">
                    <c:v>30/04/2025</c:v>
                  </c:pt>
                  <c:pt idx="277">
                    <c:v>20/11/2025</c:v>
                  </c:pt>
                  <c:pt idx="278">
                    <c:v>20/11/2025</c:v>
                  </c:pt>
                  <c:pt idx="279">
                    <c:v>06/06/2025</c:v>
                  </c:pt>
                  <c:pt idx="280">
                    <c:v>06/06/2025</c:v>
                  </c:pt>
                  <c:pt idx="281">
                    <c:v>10/09/2024</c:v>
                  </c:pt>
                  <c:pt idx="283">
                    <c:v>18/12/2025</c:v>
                  </c:pt>
                  <c:pt idx="284">
                    <c:v>18/12/2025</c:v>
                  </c:pt>
                  <c:pt idx="285">
                    <c:v>30/10/2025</c:v>
                  </c:pt>
                  <c:pt idx="286">
                    <c:v>21/12/2023</c:v>
                  </c:pt>
                  <c:pt idx="287">
                    <c:v>30/10/2025</c:v>
                  </c:pt>
                  <c:pt idx="288">
                    <c:v>01/11/2021</c:v>
                  </c:pt>
                  <c:pt idx="289">
                    <c:v>06/09/2023</c:v>
                  </c:pt>
                  <c:pt idx="290">
                    <c:v>30/10/2025</c:v>
                  </c:pt>
                  <c:pt idx="291">
                    <c:v>06/09/2023</c:v>
                  </c:pt>
                  <c:pt idx="292">
                    <c:v>16/06/2022</c:v>
                  </c:pt>
                  <c:pt idx="293">
                    <c:v>21/12/2023</c:v>
                  </c:pt>
                  <c:pt idx="294">
                    <c:v>06/09/2023</c:v>
                  </c:pt>
                  <c:pt idx="295">
                    <c:v>12/03/2025</c:v>
                  </c:pt>
                  <c:pt idx="296">
                    <c:v>01/11/2021</c:v>
                  </c:pt>
                  <c:pt idx="297">
                    <c:v>01/11/2021</c:v>
                  </c:pt>
                  <c:pt idx="298">
                    <c:v>01/11/2021</c:v>
                  </c:pt>
                  <c:pt idx="299">
                    <c:v>08/03/2024</c:v>
                  </c:pt>
                  <c:pt idx="300">
                    <c:v>08/03/2024</c:v>
                  </c:pt>
                  <c:pt idx="301">
                    <c:v>23/10/2024</c:v>
                  </c:pt>
                  <c:pt idx="302">
                    <c:v>23/10/2024</c:v>
                  </c:pt>
                  <c:pt idx="303">
                    <c:v>13/06/2024</c:v>
                  </c:pt>
                  <c:pt idx="304">
                    <c:v>23/12/2025</c:v>
                  </c:pt>
                  <c:pt idx="305">
                    <c:v>26/09/2025</c:v>
                  </c:pt>
                  <c:pt idx="306">
                    <c:v>30/04/2024</c:v>
                  </c:pt>
                  <c:pt idx="307">
                    <c:v>30/09/2025</c:v>
                  </c:pt>
                  <c:pt idx="308">
                    <c:v>15/08/2025</c:v>
                  </c:pt>
                  <c:pt idx="309">
                    <c:v>20/11/2025</c:v>
                  </c:pt>
                  <c:pt idx="310">
                    <c:v>25/04/2024</c:v>
                  </c:pt>
                  <c:pt idx="311">
                    <c:v>01/06/2020</c:v>
                  </c:pt>
                  <c:pt idx="312">
                    <c:v>18/12/2025</c:v>
                  </c:pt>
                  <c:pt idx="313">
                    <c:v>07/05/2021</c:v>
                  </c:pt>
                  <c:pt idx="314">
                    <c:v>17/06/2021</c:v>
                  </c:pt>
                  <c:pt idx="315">
                    <c:v>11/01/2025</c:v>
                  </c:pt>
                  <c:pt idx="316">
                    <c:v>04/10/2025</c:v>
                  </c:pt>
                  <c:pt idx="317">
                    <c:v>04/10/2025</c:v>
                  </c:pt>
                  <c:pt idx="318">
                    <c:v>12/04/2025</c:v>
                  </c:pt>
                  <c:pt idx="319">
                    <c:v>27/12/2024</c:v>
                  </c:pt>
                  <c:pt idx="320">
                    <c:v>01/11/2021</c:v>
                  </c:pt>
                  <c:pt idx="321">
                    <c:v>10/01/2024</c:v>
                  </c:pt>
                  <c:pt idx="322">
                    <c:v>19/06/2025</c:v>
                  </c:pt>
                  <c:pt idx="323">
                    <c:v>15/03/2024</c:v>
                  </c:pt>
                  <c:pt idx="324">
                    <c:v>27/12/2024</c:v>
                  </c:pt>
                  <c:pt idx="325">
                    <c:v>15/03/2024</c:v>
                  </c:pt>
                  <c:pt idx="326">
                    <c:v>15/03/2024</c:v>
                  </c:pt>
                  <c:pt idx="327">
                    <c:v>21/01/2025</c:v>
                  </c:pt>
                  <c:pt idx="328">
                    <c:v>28/08/2024</c:v>
                  </c:pt>
                  <c:pt idx="329">
                    <c:v>28/08/2024</c:v>
                  </c:pt>
                  <c:pt idx="330">
                    <c:v>28/08/2024</c:v>
                  </c:pt>
                  <c:pt idx="331">
                    <c:v>21/11/2024</c:v>
                  </c:pt>
                  <c:pt idx="332">
                    <c:v>02/06/2022</c:v>
                  </c:pt>
                  <c:pt idx="333">
                    <c:v>02/06/2022</c:v>
                  </c:pt>
                  <c:pt idx="334">
                    <c:v>02/06/2022</c:v>
                  </c:pt>
                  <c:pt idx="335">
                    <c:v>31/05/2025</c:v>
                  </c:pt>
                  <c:pt idx="336">
                    <c:v>05/05/2020</c:v>
                  </c:pt>
                  <c:pt idx="337">
                    <c:v>18/05/2022</c:v>
                  </c:pt>
                  <c:pt idx="338">
                    <c:v>29/09/2025</c:v>
                  </c:pt>
                  <c:pt idx="339">
                    <c:v>29/09/2025</c:v>
                  </c:pt>
                  <c:pt idx="340">
                    <c:v>21/11/2025</c:v>
                  </c:pt>
                  <c:pt idx="341">
                    <c:v>21/11/2025</c:v>
                  </c:pt>
                  <c:pt idx="342">
                    <c:v>21/11/2025</c:v>
                  </c:pt>
                  <c:pt idx="343">
                    <c:v>21/11/2025</c:v>
                  </c:pt>
                  <c:pt idx="344">
                    <c:v>09/05/2023</c:v>
                  </c:pt>
                  <c:pt idx="345">
                    <c:v>21/11/2025</c:v>
                  </c:pt>
                  <c:pt idx="346">
                    <c:v>21/11/2025</c:v>
                  </c:pt>
                  <c:pt idx="347">
                    <c:v>18/08/2024</c:v>
                  </c:pt>
                  <c:pt idx="348">
                    <c:v>30/09/2024</c:v>
                  </c:pt>
                  <c:pt idx="349">
                    <c:v>21/11/2025</c:v>
                  </c:pt>
                  <c:pt idx="350">
                    <c:v>30/05/2025</c:v>
                  </c:pt>
                  <c:pt idx="351">
                    <c:v>30/09/2024</c:v>
                  </c:pt>
                  <c:pt idx="352">
                    <c:v>30/09/2024</c:v>
                  </c:pt>
                  <c:pt idx="353">
                    <c:v>05/05/2020</c:v>
                  </c:pt>
                  <c:pt idx="354">
                    <c:v>05/03/2025</c:v>
                  </c:pt>
                  <c:pt idx="355">
                    <c:v>05/03/2025</c:v>
                  </c:pt>
                  <c:pt idx="356">
                    <c:v>05/03/2025</c:v>
                  </c:pt>
                  <c:pt idx="357">
                    <c:v>01/10/2020</c:v>
                  </c:pt>
                  <c:pt idx="358">
                    <c:v>06/04/2022</c:v>
                  </c:pt>
                  <c:pt idx="359">
                    <c:v>18/05/2022</c:v>
                  </c:pt>
                  <c:pt idx="360">
                    <c:v>18/05/2022</c:v>
                  </c:pt>
                  <c:pt idx="361">
                    <c:v>19/02/2025</c:v>
                  </c:pt>
                  <c:pt idx="362">
                    <c:v>10/09/2024</c:v>
                  </c:pt>
                  <c:pt idx="363">
                    <c:v>16/10/2025</c:v>
                  </c:pt>
                  <c:pt idx="364">
                    <c:v>19/02/2025</c:v>
                  </c:pt>
                  <c:pt idx="365">
                    <c:v>03/01/2024</c:v>
                  </c:pt>
                  <c:pt idx="366">
                    <c:v>10/12/2024</c:v>
                  </c:pt>
                  <c:pt idx="367">
                    <c:v>19/02/2025</c:v>
                  </c:pt>
                  <c:pt idx="368">
                    <c:v>03/01/2024</c:v>
                  </c:pt>
                  <c:pt idx="369">
                    <c:v>30/09/2024</c:v>
                  </c:pt>
                  <c:pt idx="370">
                    <c:v>31/05/2025</c:v>
                  </c:pt>
                  <c:pt idx="371">
                    <c:v>18/09/2025</c:v>
                  </c:pt>
                  <c:pt idx="372">
                    <c:v>30/10/2025</c:v>
                  </c:pt>
                  <c:pt idx="373">
                    <c:v>21/11/2025</c:v>
                  </c:pt>
                  <c:pt idx="374">
                    <c:v>06/04/2022</c:v>
                  </c:pt>
                  <c:pt idx="375">
                    <c:v>04/05/2020</c:v>
                  </c:pt>
                  <c:pt idx="376">
                    <c:v>30/10/2025</c:v>
                  </c:pt>
                  <c:pt idx="377">
                    <c:v>16/02/2022</c:v>
                  </c:pt>
                  <c:pt idx="378">
                    <c:v>29/08/2025</c:v>
                  </c:pt>
                  <c:pt idx="379">
                    <c:v>29/09/2025</c:v>
                  </c:pt>
                  <c:pt idx="380">
                    <c:v>30/09/2024</c:v>
                  </c:pt>
                  <c:pt idx="381">
                    <c:v>10/04/2023</c:v>
                  </c:pt>
                  <c:pt idx="382">
                    <c:v>30/09/2024</c:v>
                  </c:pt>
                  <c:pt idx="383">
                    <c:v>22/12/2025</c:v>
                  </c:pt>
                  <c:pt idx="384">
                    <c:v>22/12/2025</c:v>
                  </c:pt>
                  <c:pt idx="385">
                    <c:v>18/05/2022</c:v>
                  </c:pt>
                  <c:pt idx="386">
                    <c:v>27/12/2024</c:v>
                  </c:pt>
                  <c:pt idx="387">
                    <c:v>25/04/2022</c:v>
                  </c:pt>
                  <c:pt idx="388">
                    <c:v>30/12/2021</c:v>
                  </c:pt>
                  <c:pt idx="389">
                    <c:v>30/12/2021</c:v>
                  </c:pt>
                  <c:pt idx="390">
                    <c:v>23/10/2024</c:v>
                  </c:pt>
                  <c:pt idx="391">
                    <c:v>21/11/2023</c:v>
                  </c:pt>
                  <c:pt idx="392">
                    <c:v>30/05/2025</c:v>
                  </c:pt>
                  <c:pt idx="393">
                    <c:v>30/05/2025</c:v>
                  </c:pt>
                  <c:pt idx="394">
                    <c:v>21/02/2022</c:v>
                  </c:pt>
                  <c:pt idx="395">
                    <c:v>07/06/2024</c:v>
                  </c:pt>
                  <c:pt idx="396">
                    <c:v>07/06/2024</c:v>
                  </c:pt>
                  <c:pt idx="397">
                    <c:v>18/05/2022</c:v>
                  </c:pt>
                  <c:pt idx="398">
                    <c:v>07/06/2024</c:v>
                  </c:pt>
                  <c:pt idx="399">
                    <c:v>07/06/2024</c:v>
                  </c:pt>
                  <c:pt idx="401">
                    <c:v>21/11/2025</c:v>
                  </c:pt>
                  <c:pt idx="402">
                    <c:v>07/06/2024</c:v>
                  </c:pt>
                  <c:pt idx="403">
                    <c:v>30/12/2021</c:v>
                  </c:pt>
                  <c:pt idx="405">
                    <c:v>16/08/2021</c:v>
                  </c:pt>
                  <c:pt idx="406">
                    <c:v>26/09/2024</c:v>
                  </c:pt>
                  <c:pt idx="407">
                    <c:v>20/11/2025</c:v>
                  </c:pt>
                  <c:pt idx="408">
                    <c:v>01/10/2020</c:v>
                  </c:pt>
                  <c:pt idx="409">
                    <c:v>19/11/2025</c:v>
                  </c:pt>
                  <c:pt idx="410">
                    <c:v>12/10/2023</c:v>
                  </c:pt>
                  <c:pt idx="411">
                    <c:v>16/07/2022</c:v>
                  </c:pt>
                  <c:pt idx="412">
                    <c:v>26/06/2020</c:v>
                  </c:pt>
                  <c:pt idx="413">
                    <c:v>25/04/2020</c:v>
                  </c:pt>
                  <c:pt idx="415">
                    <c:v>21/1125</c:v>
                  </c:pt>
                  <c:pt idx="416">
                    <c:v>23/09/2025</c:v>
                  </c:pt>
                  <c:pt idx="417">
                    <c:v>23/09/2025</c:v>
                  </c:pt>
                  <c:pt idx="418">
                    <c:v>28/08/2024</c:v>
                  </c:pt>
                  <c:pt idx="419">
                    <c:v>10/03/2020</c:v>
                  </c:pt>
                  <c:pt idx="420">
                    <c:v>18/01/2023</c:v>
                  </c:pt>
                  <c:pt idx="422">
                    <c:v>18/08/2025</c:v>
                  </c:pt>
                  <c:pt idx="423">
                    <c:v>10/01/2024</c:v>
                  </c:pt>
                  <c:pt idx="424">
                    <c:v>23/09/2024</c:v>
                  </c:pt>
                  <c:pt idx="425">
                    <c:v>23/09/2024</c:v>
                  </c:pt>
                  <c:pt idx="426">
                    <c:v>23/09/2024</c:v>
                  </c:pt>
                  <c:pt idx="427">
                    <c:v>23/09/2024</c:v>
                  </c:pt>
                  <c:pt idx="428">
                    <c:v>02/06/2025</c:v>
                  </c:pt>
                  <c:pt idx="429">
                    <c:v>10/04/2023</c:v>
                  </c:pt>
                  <c:pt idx="430">
                    <c:v>21/11025</c:v>
                  </c:pt>
                  <c:pt idx="431">
                    <c:v>24/07/2024</c:v>
                  </c:pt>
                  <c:pt idx="432">
                    <c:v>18/09/2025</c:v>
                  </c:pt>
                  <c:pt idx="433">
                    <c:v>24/05/2021</c:v>
                  </c:pt>
                  <c:pt idx="434">
                    <c:v>02/06/2025</c:v>
                  </c:pt>
                  <c:pt idx="435">
                    <c:v>30/05/2025</c:v>
                  </c:pt>
                  <c:pt idx="436">
                    <c:v>21/09/2023</c:v>
                  </c:pt>
                  <c:pt idx="437">
                    <c:v>16/08/2023</c:v>
                  </c:pt>
                  <c:pt idx="438">
                    <c:v>30/10/2025</c:v>
                  </c:pt>
                  <c:pt idx="439">
                    <c:v>30/10/2025</c:v>
                  </c:pt>
                  <c:pt idx="440">
                    <c:v>12/03/2025</c:v>
                  </c:pt>
                  <c:pt idx="441">
                    <c:v>21/12/2023</c:v>
                  </c:pt>
                  <c:pt idx="442">
                    <c:v>20/11/2024</c:v>
                  </c:pt>
                  <c:pt idx="443">
                    <c:v>30/10/2025</c:v>
                  </c:pt>
                  <c:pt idx="444">
                    <c:v>20/11/2024</c:v>
                  </c:pt>
                  <c:pt idx="445">
                    <c:v>01/11/2021</c:v>
                  </c:pt>
                  <c:pt idx="446">
                    <c:v>20/11/2024</c:v>
                  </c:pt>
                  <c:pt idx="447">
                    <c:v>20/11/2024</c:v>
                  </c:pt>
                  <c:pt idx="448">
                    <c:v>12/03/2025</c:v>
                  </c:pt>
                  <c:pt idx="449">
                    <c:v>21/12/2023</c:v>
                  </c:pt>
                  <c:pt idx="450">
                    <c:v>20/11/2024</c:v>
                  </c:pt>
                  <c:pt idx="451">
                    <c:v>10/09/2024</c:v>
                  </c:pt>
                  <c:pt idx="452">
                    <c:v>18/11/2024</c:v>
                  </c:pt>
                  <c:pt idx="453">
                    <c:v>13/05/2025</c:v>
                  </c:pt>
                  <c:pt idx="454">
                    <c:v>13/05/2025</c:v>
                  </c:pt>
                  <c:pt idx="455">
                    <c:v>06/06/2024</c:v>
                  </c:pt>
                  <c:pt idx="456">
                    <c:v>06/06/2024</c:v>
                  </c:pt>
                  <c:pt idx="457">
                    <c:v>31/07/2024</c:v>
                  </c:pt>
                  <c:pt idx="458">
                    <c:v>18/11/2024</c:v>
                  </c:pt>
                  <c:pt idx="459">
                    <c:v>10/03/2020</c:v>
                  </c:pt>
                  <c:pt idx="460">
                    <c:v>21/01/2025</c:v>
                  </c:pt>
                  <c:pt idx="461">
                    <c:v>21/03/2023</c:v>
                  </c:pt>
                  <c:pt idx="462">
                    <c:v>10/09/2024</c:v>
                  </c:pt>
                  <c:pt idx="463">
                    <c:v>23/01/2025</c:v>
                  </c:pt>
                  <c:pt idx="464">
                    <c:v>05/05/2020</c:v>
                  </c:pt>
                  <c:pt idx="465">
                    <c:v>05/05/2020</c:v>
                  </c:pt>
                  <c:pt idx="466">
                    <c:v>09/05/2023</c:v>
                  </c:pt>
                  <c:pt idx="467">
                    <c:v>12/02/2021</c:v>
                  </c:pt>
                  <c:pt idx="468">
                    <c:v>09/05/2023</c:v>
                  </c:pt>
                  <c:pt idx="469">
                    <c:v>09/05/2023</c:v>
                  </c:pt>
                  <c:pt idx="470">
                    <c:v>09/05/2023</c:v>
                  </c:pt>
                  <c:pt idx="471">
                    <c:v>22/06/2022</c:v>
                  </c:pt>
                  <c:pt idx="472">
                    <c:v>07/06/2024</c:v>
                  </c:pt>
                  <c:pt idx="473">
                    <c:v>07/06/2024</c:v>
                  </c:pt>
                  <c:pt idx="474">
                    <c:v>10/03/2025</c:v>
                  </c:pt>
                  <c:pt idx="475">
                    <c:v>12/12/2025</c:v>
                  </c:pt>
                  <c:pt idx="476">
                    <c:v>10/03/2020</c:v>
                  </c:pt>
                  <c:pt idx="477">
                    <c:v>27/07/2023</c:v>
                  </c:pt>
                  <c:pt idx="478">
                    <c:v>18/02/2025</c:v>
                  </c:pt>
                  <c:pt idx="479">
                    <c:v>20/02/2020</c:v>
                  </c:pt>
                  <c:pt idx="480">
                    <c:v>20/11/2021</c:v>
                  </c:pt>
                  <c:pt idx="481">
                    <c:v>09/12/2024</c:v>
                  </c:pt>
                  <c:pt idx="482">
                    <c:v>12/12/2022</c:v>
                  </c:pt>
                  <c:pt idx="483">
                    <c:v>23/09/2021</c:v>
                  </c:pt>
                  <c:pt idx="484">
                    <c:v>12/12/2020</c:v>
                  </c:pt>
                  <c:pt idx="485">
                    <c:v>04/12/2024</c:v>
                  </c:pt>
                  <c:pt idx="486">
                    <c:v>20/03/2023</c:v>
                  </c:pt>
                  <c:pt idx="487">
                    <c:v>10/01/2024</c:v>
                  </c:pt>
                  <c:pt idx="488">
                    <c:v>15/03/2021</c:v>
                  </c:pt>
                  <c:pt idx="489">
                    <c:v>14/01/2021</c:v>
                  </c:pt>
                  <c:pt idx="490">
                    <c:v>20/03/2023</c:v>
                  </c:pt>
                  <c:pt idx="491">
                    <c:v>14/01/2021</c:v>
                  </c:pt>
                  <c:pt idx="492">
                    <c:v>02/04/2020</c:v>
                  </c:pt>
                  <c:pt idx="493">
                    <c:v>13/01/2023</c:v>
                  </c:pt>
                  <c:pt idx="495">
                    <c:v>13/11/2020</c:v>
                  </c:pt>
                  <c:pt idx="496">
                    <c:v>28/10/2023</c:v>
                  </c:pt>
                  <c:pt idx="497">
                    <c:v>05/05/2020</c:v>
                  </c:pt>
                  <c:pt idx="498">
                    <c:v>01/07/2021</c:v>
                  </c:pt>
                  <c:pt idx="499">
                    <c:v>22/02/2021</c:v>
                  </c:pt>
                  <c:pt idx="500">
                    <c:v>31/01/2021</c:v>
                  </c:pt>
                  <c:pt idx="501">
                    <c:v>10/03/2020</c:v>
                  </c:pt>
                  <c:pt idx="502">
                    <c:v>11/11/2023</c:v>
                  </c:pt>
                  <c:pt idx="503">
                    <c:v>19/10/2022</c:v>
                  </c:pt>
                  <c:pt idx="504">
                    <c:v>20/09/2021</c:v>
                  </c:pt>
                  <c:pt idx="505">
                    <c:v>21/10/2020</c:v>
                  </c:pt>
                  <c:pt idx="506">
                    <c:v>01/06/2020</c:v>
                  </c:pt>
                  <c:pt idx="507">
                    <c:v>18/01/2023</c:v>
                  </c:pt>
                  <c:pt idx="508">
                    <c:v>10/03/2020</c:v>
                  </c:pt>
                  <c:pt idx="509">
                    <c:v>19/09/2020</c:v>
                  </c:pt>
                  <c:pt idx="510">
                    <c:v>10/03/2020</c:v>
                  </c:pt>
                  <c:pt idx="511">
                    <c:v>16/08/2021</c:v>
                  </c:pt>
                  <c:pt idx="512">
                    <c:v>09/04/2021</c:v>
                  </c:pt>
                  <c:pt idx="513">
                    <c:v>16/08/2021</c:v>
                  </c:pt>
                  <c:pt idx="514">
                    <c:v>10/03/2020</c:v>
                  </c:pt>
                  <c:pt idx="515">
                    <c:v>10/03/2020</c:v>
                  </c:pt>
                  <c:pt idx="516">
                    <c:v>21/03/2023</c:v>
                  </c:pt>
                  <c:pt idx="517">
                    <c:v>23/11/2023</c:v>
                  </c:pt>
                  <c:pt idx="518">
                    <c:v>04/02/2021</c:v>
                  </c:pt>
                  <c:pt idx="519">
                    <c:v>09/12/2024</c:v>
                  </c:pt>
                  <c:pt idx="520">
                    <c:v>21/04/2021</c:v>
                  </c:pt>
                  <c:pt idx="521">
                    <c:v>10/09/2024</c:v>
                  </c:pt>
                  <c:pt idx="522">
                    <c:v>01/11/2021</c:v>
                  </c:pt>
                  <c:pt idx="526">
                    <c:v>19/12/2020</c:v>
                  </c:pt>
                  <c:pt idx="527">
                    <c:v>19/12/2020</c:v>
                  </c:pt>
                  <c:pt idx="528">
                    <c:v>19/12/2020</c:v>
                  </c:pt>
                  <c:pt idx="529">
                    <c:v>19/12/2020</c:v>
                  </c:pt>
                  <c:pt idx="530">
                    <c:v>11/05/2023</c:v>
                  </c:pt>
                  <c:pt idx="531">
                    <c:v>07/12/2021</c:v>
                  </c:pt>
                  <c:pt idx="532">
                    <c:v>05/05/2023</c:v>
                  </c:pt>
                  <c:pt idx="534">
                    <c:v>20/04/2022</c:v>
                  </c:pt>
                  <c:pt idx="535">
                    <c:v>13/07/2023</c:v>
                  </c:pt>
                  <c:pt idx="536">
                    <c:v>01/11/2021</c:v>
                  </c:pt>
                  <c:pt idx="537">
                    <c:v>01/11/2021</c:v>
                  </c:pt>
                  <c:pt idx="538">
                    <c:v>25/07/2020</c:v>
                  </c:pt>
                  <c:pt idx="539">
                    <c:v>13/07/2023</c:v>
                  </c:pt>
                  <c:pt idx="540">
                    <c:v>20/11/2024</c:v>
                  </c:pt>
                  <c:pt idx="541">
                    <c:v>13/07/2023</c:v>
                  </c:pt>
                  <c:pt idx="542">
                    <c:v>20/03/2023</c:v>
                  </c:pt>
                  <c:pt idx="543">
                    <c:v>18/01/2023</c:v>
                  </c:pt>
                  <c:pt idx="544">
                    <c:v>16/02/2022</c:v>
                  </c:pt>
                  <c:pt idx="545">
                    <c:v>24/12/2009</c:v>
                  </c:pt>
                  <c:pt idx="546">
                    <c:v>28/06/2014</c:v>
                  </c:pt>
                  <c:pt idx="547">
                    <c:v>28/06/2014</c:v>
                  </c:pt>
                  <c:pt idx="548">
                    <c:v>29/10/2016</c:v>
                  </c:pt>
                  <c:pt idx="549">
                    <c:v>16/06/2014</c:v>
                  </c:pt>
                  <c:pt idx="550">
                    <c:v>01/12/2021</c:v>
                  </c:pt>
                  <c:pt idx="551">
                    <c:v>01/12/2021</c:v>
                  </c:pt>
                  <c:pt idx="552">
                    <c:v>15/03/2022</c:v>
                  </c:pt>
                  <c:pt idx="553">
                    <c:v>15/03/2022</c:v>
                  </c:pt>
                  <c:pt idx="554">
                    <c:v>12/02/2025</c:v>
                  </c:pt>
                  <c:pt idx="555">
                    <c:v>17/11/2023</c:v>
                  </c:pt>
                  <c:pt idx="556">
                    <c:v>17/11/2023</c:v>
                  </c:pt>
                  <c:pt idx="557">
                    <c:v>15/03/2024</c:v>
                  </c:pt>
                  <c:pt idx="558">
                    <c:v>19/11/2025</c:v>
                  </c:pt>
                  <c:pt idx="559">
                    <c:v>12/12/2025</c:v>
                  </c:pt>
                  <c:pt idx="560">
                    <c:v>12/03/2025</c:v>
                  </c:pt>
                  <c:pt idx="561">
                    <c:v>19/03/2021</c:v>
                  </c:pt>
                  <c:pt idx="562">
                    <c:v>19/03/2021</c:v>
                  </c:pt>
                  <c:pt idx="563">
                    <c:v>02/10/2025</c:v>
                  </c:pt>
                  <c:pt idx="564">
                    <c:v>21/12/2023</c:v>
                  </c:pt>
                  <c:pt idx="565">
                    <c:v>30/10/2025</c:v>
                  </c:pt>
                  <c:pt idx="566">
                    <c:v>20/03/2023</c:v>
                  </c:pt>
                  <c:pt idx="567">
                    <c:v>17/05/2022</c:v>
                  </c:pt>
                  <c:pt idx="568">
                    <c:v>18/09/2025</c:v>
                  </c:pt>
                  <c:pt idx="569">
                    <c:v>13/01/2023</c:v>
                  </c:pt>
                  <c:pt idx="570">
                    <c:v>17/05/2022</c:v>
                  </c:pt>
                  <c:pt idx="571">
                    <c:v>24/11/2021</c:v>
                  </c:pt>
                  <c:pt idx="572">
                    <c:v>17/12/2024</c:v>
                  </c:pt>
                  <c:pt idx="573">
                    <c:v>31/07/2024</c:v>
                  </c:pt>
                  <c:pt idx="575">
                    <c:v>13/01/2023</c:v>
                  </c:pt>
                  <c:pt idx="576">
                    <c:v>10/03/2020</c:v>
                  </c:pt>
                  <c:pt idx="577">
                    <c:v>15/03/2021</c:v>
                  </c:pt>
                  <c:pt idx="579">
                    <c:v>30/12/2021</c:v>
                  </c:pt>
                  <c:pt idx="580">
                    <c:v>23/06/2021</c:v>
                  </c:pt>
                  <c:pt idx="581">
                    <c:v>29/09/2015</c:v>
                  </c:pt>
                  <c:pt idx="582">
                    <c:v>15/09/2025</c:v>
                  </c:pt>
                  <c:pt idx="583">
                    <c:v>25/04/2025</c:v>
                  </c:pt>
                  <c:pt idx="584">
                    <c:v>03/10/2016</c:v>
                  </c:pt>
                  <c:pt idx="585">
                    <c:v>30/04/2025</c:v>
                  </c:pt>
                  <c:pt idx="586">
                    <c:v>05/08/2025</c:v>
                  </c:pt>
                  <c:pt idx="587">
                    <c:v>05/08/2025</c:v>
                  </c:pt>
                  <c:pt idx="588">
                    <c:v>10/09/2024</c:v>
                  </c:pt>
                  <c:pt idx="589">
                    <c:v>17/05/2022</c:v>
                  </c:pt>
                  <c:pt idx="590">
                    <c:v>09/10/2025</c:v>
                  </c:pt>
                  <c:pt idx="591">
                    <c:v>09/10/2025</c:v>
                  </c:pt>
                  <c:pt idx="592">
                    <c:v>26/09/2025</c:v>
                  </c:pt>
                  <c:pt idx="593">
                    <c:v>11/09/2025</c:v>
                  </c:pt>
                  <c:pt idx="594">
                    <c:v>26/09/2025</c:v>
                  </c:pt>
                  <c:pt idx="595">
                    <c:v>08/12/2025</c:v>
                  </c:pt>
                  <c:pt idx="596">
                    <c:v>08/12/2025</c:v>
                  </c:pt>
                  <c:pt idx="597">
                    <c:v>11/09/2020</c:v>
                  </c:pt>
                  <c:pt idx="598">
                    <c:v>09/10/2025</c:v>
                  </c:pt>
                  <c:pt idx="599">
                    <c:v>09/10/2025</c:v>
                  </c:pt>
                  <c:pt idx="600">
                    <c:v>11/04/2023</c:v>
                  </c:pt>
                  <c:pt idx="601">
                    <c:v>11/04/2023</c:v>
                  </c:pt>
                  <c:pt idx="602">
                    <c:v>15/11/2023</c:v>
                  </c:pt>
                  <c:pt idx="603">
                    <c:v>15/11/2023</c:v>
                  </c:pt>
                  <c:pt idx="604">
                    <c:v>27/11/2021</c:v>
                  </c:pt>
                  <c:pt idx="605">
                    <c:v>05/06/2024</c:v>
                  </c:pt>
                  <c:pt idx="606">
                    <c:v>12/12/2024</c:v>
                  </c:pt>
                  <c:pt idx="607">
                    <c:v>15/09/2022</c:v>
                  </c:pt>
                  <c:pt idx="608">
                    <c:v>11/05/2023</c:v>
                  </c:pt>
                  <c:pt idx="609">
                    <c:v>12/12/2024</c:v>
                  </c:pt>
                  <c:pt idx="610">
                    <c:v>12/12/2024</c:v>
                  </c:pt>
                  <c:pt idx="611">
                    <c:v>12/12/2024</c:v>
                  </c:pt>
                  <c:pt idx="612">
                    <c:v>07/12/2023</c:v>
                  </c:pt>
                  <c:pt idx="613">
                    <c:v>12/12/2024</c:v>
                  </c:pt>
                  <c:pt idx="614">
                    <c:v>23/09/2025</c:v>
                  </c:pt>
                  <c:pt idx="615">
                    <c:v>14/11/2023</c:v>
                  </c:pt>
                  <c:pt idx="616">
                    <c:v>08/11/2022</c:v>
                  </c:pt>
                  <c:pt idx="617">
                    <c:v>10/10/2025</c:v>
                  </c:pt>
                  <c:pt idx="618">
                    <c:v>14/11/2023</c:v>
                  </c:pt>
                  <c:pt idx="619">
                    <c:v>31/05/2022</c:v>
                  </c:pt>
                  <c:pt idx="620">
                    <c:v>19/06/2025</c:v>
                  </c:pt>
                  <c:pt idx="621">
                    <c:v>27/11/2025</c:v>
                  </c:pt>
                  <c:pt idx="622">
                    <c:v>21/02/2022</c:v>
                  </c:pt>
                  <c:pt idx="623">
                    <c:v>17/08/2025</c:v>
                  </c:pt>
                  <c:pt idx="624">
                    <c:v>04/10/2021</c:v>
                  </c:pt>
                  <c:pt idx="625">
                    <c:v>12/02/2021</c:v>
                  </c:pt>
                  <c:pt idx="626">
                    <c:v>12/12/2022</c:v>
                  </c:pt>
                  <c:pt idx="627">
                    <c:v>12/12/2022</c:v>
                  </c:pt>
                  <c:pt idx="628">
                    <c:v>03/01/2023</c:v>
                  </c:pt>
                  <c:pt idx="629">
                    <c:v>03/01/2023</c:v>
                  </c:pt>
                  <c:pt idx="630">
                    <c:v>03/01/2023</c:v>
                  </c:pt>
                  <c:pt idx="631">
                    <c:v>31/05/2022</c:v>
                  </c:pt>
                  <c:pt idx="632">
                    <c:v>23/06/2021</c:v>
                  </c:pt>
                  <c:pt idx="633">
                    <c:v>17/02/2024</c:v>
                  </c:pt>
                  <c:pt idx="634">
                    <c:v>09/02/2023</c:v>
                  </c:pt>
                  <c:pt idx="635">
                    <c:v>09/02/2023</c:v>
                  </c:pt>
                  <c:pt idx="636">
                    <c:v>14/02/2024</c:v>
                  </c:pt>
                  <c:pt idx="637">
                    <c:v>18/01/2023</c:v>
                  </c:pt>
                  <c:pt idx="638">
                    <c:v>13/02/2025</c:v>
                  </c:pt>
                  <c:pt idx="639">
                    <c:v>14/06/2014</c:v>
                  </c:pt>
                  <c:pt idx="640">
                    <c:v>10/10/2020</c:v>
                  </c:pt>
                  <c:pt idx="641">
                    <c:v>10/03/2020</c:v>
                  </c:pt>
                  <c:pt idx="642">
                    <c:v>01/06/2020</c:v>
                  </c:pt>
                  <c:pt idx="643">
                    <c:v>01/06/2020</c:v>
                  </c:pt>
                  <c:pt idx="644">
                    <c:v>01/06/2020</c:v>
                  </c:pt>
                  <c:pt idx="645">
                    <c:v>16/09/2021</c:v>
                  </c:pt>
                  <c:pt idx="646">
                    <c:v>20/03/2023</c:v>
                  </c:pt>
                  <c:pt idx="647">
                    <c:v>11/01/2025</c:v>
                  </c:pt>
                  <c:pt idx="648">
                    <c:v>12/03/2021</c:v>
                  </c:pt>
                  <c:pt idx="649">
                    <c:v>12/03/2021</c:v>
                  </c:pt>
                  <c:pt idx="650">
                    <c:v>07/04/2021</c:v>
                  </c:pt>
                  <c:pt idx="651">
                    <c:v>20/03/2023</c:v>
                  </c:pt>
                  <c:pt idx="652">
                    <c:v>18/01/2023</c:v>
                  </c:pt>
                  <c:pt idx="653">
                    <c:v>18/01/2023</c:v>
                  </c:pt>
                  <c:pt idx="654">
                    <c:v>18/01/2023</c:v>
                  </c:pt>
                  <c:pt idx="655">
                    <c:v>18/01/2023</c:v>
                  </c:pt>
                  <c:pt idx="656">
                    <c:v>15/04/2025</c:v>
                  </c:pt>
                  <c:pt idx="657">
                    <c:v>19/08/2016</c:v>
                  </c:pt>
                  <c:pt idx="658">
                    <c:v>20/08/2013</c:v>
                  </c:pt>
                  <c:pt idx="659">
                    <c:v>20/08/2013</c:v>
                  </c:pt>
                  <c:pt idx="660">
                    <c:v>02/10/2024</c:v>
                  </c:pt>
                  <c:pt idx="661">
                    <c:v>02/10/2024</c:v>
                  </c:pt>
                  <c:pt idx="662">
                    <c:v>02/10/2024</c:v>
                  </c:pt>
                  <c:pt idx="663">
                    <c:v>02/10/2024</c:v>
                  </c:pt>
                  <c:pt idx="664">
                    <c:v>02/10/2024</c:v>
                  </c:pt>
                  <c:pt idx="665">
                    <c:v>02/10/2024</c:v>
                  </c:pt>
                  <c:pt idx="666">
                    <c:v>21/11/2025</c:v>
                  </c:pt>
                  <c:pt idx="667">
                    <c:v>15/11/2024</c:v>
                  </c:pt>
                  <c:pt idx="668">
                    <c:v>15/11/2024</c:v>
                  </c:pt>
                  <c:pt idx="670">
                    <c:v>05/12/2023</c:v>
                  </c:pt>
                  <c:pt idx="671">
                    <c:v>05/12/2023</c:v>
                  </c:pt>
                  <c:pt idx="672">
                    <c:v>27/04/2022</c:v>
                  </c:pt>
                  <c:pt idx="673">
                    <c:v>11/01/2022</c:v>
                  </c:pt>
                  <c:pt idx="674">
                    <c:v>13/10/2025</c:v>
                  </c:pt>
                  <c:pt idx="675">
                    <c:v>07/02/2024</c:v>
                  </c:pt>
                  <c:pt idx="676">
                    <c:v>07/02/2024</c:v>
                  </c:pt>
                  <c:pt idx="677">
                    <c:v>15/04/2025</c:v>
                  </c:pt>
                  <c:pt idx="678">
                    <c:v>09/09/2025</c:v>
                  </c:pt>
                  <c:pt idx="679">
                    <c:v>12/07/2025</c:v>
                  </c:pt>
                  <c:pt idx="680">
                    <c:v>23/09/2025</c:v>
                  </c:pt>
                  <c:pt idx="681">
                    <c:v>25/09/2025</c:v>
                  </c:pt>
                  <c:pt idx="682">
                    <c:v>25/09/2025</c:v>
                  </c:pt>
                  <c:pt idx="683">
                    <c:v>30/03/2023</c:v>
                  </c:pt>
                  <c:pt idx="684">
                    <c:v>30/03/2023</c:v>
                  </c:pt>
                  <c:pt idx="685">
                    <c:v>13/07/2023</c:v>
                  </c:pt>
                  <c:pt idx="686">
                    <c:v>13/07/2023</c:v>
                  </c:pt>
                  <c:pt idx="687">
                    <c:v>14/01/2021</c:v>
                  </c:pt>
                  <c:pt idx="688">
                    <c:v>feb-25</c:v>
                  </c:pt>
                  <c:pt idx="689">
                    <c:v>12/07/2025</c:v>
                  </c:pt>
                  <c:pt idx="690">
                    <c:v>29/03/2023</c:v>
                  </c:pt>
                  <c:pt idx="691">
                    <c:v>29/03/2023</c:v>
                  </c:pt>
                  <c:pt idx="692">
                    <c:v>29/03/2023</c:v>
                  </c:pt>
                  <c:pt idx="693">
                    <c:v>29/03/2023</c:v>
                  </c:pt>
                  <c:pt idx="694">
                    <c:v>10/09/2024</c:v>
                  </c:pt>
                  <c:pt idx="695">
                    <c:v>08/04/2024</c:v>
                  </c:pt>
                  <c:pt idx="696">
                    <c:v>08/04/2024</c:v>
                  </c:pt>
                  <c:pt idx="697">
                    <c:v>08/04/2024</c:v>
                  </c:pt>
                  <c:pt idx="698">
                    <c:v>08/04/2024</c:v>
                  </c:pt>
                  <c:pt idx="699">
                    <c:v>04/07/2025</c:v>
                  </c:pt>
                  <c:pt idx="700">
                    <c:v>04/07/2025</c:v>
                  </c:pt>
                  <c:pt idx="701">
                    <c:v>29/03/2023</c:v>
                  </c:pt>
                  <c:pt idx="702">
                    <c:v>29/03/2023</c:v>
                  </c:pt>
                  <c:pt idx="703">
                    <c:v>08/04/024</c:v>
                  </c:pt>
                  <c:pt idx="704">
                    <c:v>24/12/2025</c:v>
                  </c:pt>
                  <c:pt idx="705">
                    <c:v>24/12/2025</c:v>
                  </c:pt>
                  <c:pt idx="706">
                    <c:v>26/01/2023</c:v>
                  </c:pt>
                  <c:pt idx="707">
                    <c:v>07/10/2025</c:v>
                  </c:pt>
                  <c:pt idx="708">
                    <c:v>07/10/2025</c:v>
                  </c:pt>
                  <c:pt idx="709">
                    <c:v>10/12/20255</c:v>
                  </c:pt>
                  <c:pt idx="710">
                    <c:v>10/12/20255</c:v>
                  </c:pt>
                  <c:pt idx="711">
                    <c:v>22/04/2025</c:v>
                  </c:pt>
                  <c:pt idx="712">
                    <c:v>22/04/2025</c:v>
                  </c:pt>
                  <c:pt idx="713">
                    <c:v>01/11/2025</c:v>
                  </c:pt>
                  <c:pt idx="714">
                    <c:v>01/11/2025</c:v>
                  </c:pt>
                  <c:pt idx="715">
                    <c:v>01/02/2024</c:v>
                  </c:pt>
                  <c:pt idx="716">
                    <c:v>01/02/2024</c:v>
                  </c:pt>
                  <c:pt idx="717">
                    <c:v>07/01/2025</c:v>
                  </c:pt>
                  <c:pt idx="718">
                    <c:v>01/02/2024</c:v>
                  </c:pt>
                  <c:pt idx="719">
                    <c:v>12/07/2025</c:v>
                  </c:pt>
                  <c:pt idx="720">
                    <c:v>12/07/2025</c:v>
                  </c:pt>
                  <c:pt idx="721">
                    <c:v>15/11/2024</c:v>
                  </c:pt>
                  <c:pt idx="722">
                    <c:v>23/09/2025</c:v>
                  </c:pt>
                  <c:pt idx="723">
                    <c:v>03/10/2024</c:v>
                  </c:pt>
                  <c:pt idx="724">
                    <c:v>13/03/2025</c:v>
                  </c:pt>
                  <c:pt idx="725">
                    <c:v>13/03/2025</c:v>
                  </c:pt>
                  <c:pt idx="726">
                    <c:v>22/12/2025</c:v>
                  </c:pt>
                  <c:pt idx="727">
                    <c:v>22/12/2025</c:v>
                  </c:pt>
                  <c:pt idx="728">
                    <c:v>24/03/2020</c:v>
                  </c:pt>
                  <c:pt idx="729">
                    <c:v>24/03/2020</c:v>
                  </c:pt>
                  <c:pt idx="730">
                    <c:v>06/10/2025</c:v>
                  </c:pt>
                  <c:pt idx="731">
                    <c:v>06/10/2025</c:v>
                  </c:pt>
                  <c:pt idx="732">
                    <c:v>16/07/2022</c:v>
                  </c:pt>
                  <c:pt idx="733">
                    <c:v>06/09/2023</c:v>
                  </c:pt>
                  <c:pt idx="734">
                    <c:v>28/06/2024</c:v>
                  </c:pt>
                  <c:pt idx="735">
                    <c:v>23/11/2021</c:v>
                  </c:pt>
                  <c:pt idx="736">
                    <c:v>25/05/2025</c:v>
                  </c:pt>
                  <c:pt idx="739">
                    <c:v>27/07/2023</c:v>
                  </c:pt>
                  <c:pt idx="740">
                    <c:v>31/07/2024</c:v>
                  </c:pt>
                  <c:pt idx="741">
                    <c:v>27/07/2023</c:v>
                  </c:pt>
                  <c:pt idx="742">
                    <c:v>05/03/2025</c:v>
                  </c:pt>
                  <c:pt idx="743">
                    <c:v>12/03/2021</c:v>
                  </c:pt>
                  <c:pt idx="744">
                    <c:v>20/11/2025</c:v>
                  </c:pt>
                  <c:pt idx="749">
                    <c:v>16/08/2023</c:v>
                  </c:pt>
                  <c:pt idx="750">
                    <c:v>20/10/2023</c:v>
                  </c:pt>
                  <c:pt idx="751">
                    <c:v>04/10/2023</c:v>
                  </c:pt>
                  <c:pt idx="754">
                    <c:v>24/10/2024</c:v>
                  </c:pt>
                  <c:pt idx="755">
                    <c:v>03/11/2025</c:v>
                  </c:pt>
                  <c:pt idx="756">
                    <c:v>03/11/2025</c:v>
                  </c:pt>
                  <c:pt idx="757">
                    <c:v>03/11/2025</c:v>
                  </c:pt>
                  <c:pt idx="758">
                    <c:v>20/11/2025</c:v>
                  </c:pt>
                  <c:pt idx="759">
                    <c:v>20/11/2025</c:v>
                  </c:pt>
                  <c:pt idx="760">
                    <c:v>22/06/2022</c:v>
                  </c:pt>
                  <c:pt idx="761">
                    <c:v>09/01/2020</c:v>
                  </c:pt>
                  <c:pt idx="762">
                    <c:v>09/01/2020</c:v>
                  </c:pt>
                  <c:pt idx="763">
                    <c:v>10/01/2024</c:v>
                  </c:pt>
                  <c:pt idx="764">
                    <c:v>16/04/2025</c:v>
                  </c:pt>
                  <c:pt idx="765">
                    <c:v>09/09/2025</c:v>
                  </c:pt>
                  <c:pt idx="766">
                    <c:v>14/03/2025</c:v>
                  </c:pt>
                  <c:pt idx="767">
                    <c:v>21/10/2023</c:v>
                  </c:pt>
                  <c:pt idx="768">
                    <c:v>08/12/2025</c:v>
                  </c:pt>
                  <c:pt idx="769">
                    <c:v>27/03/2025</c:v>
                  </c:pt>
                  <c:pt idx="770">
                    <c:v>18/11/2025</c:v>
                  </c:pt>
                  <c:pt idx="771">
                    <c:v>28/02/2024</c:v>
                  </c:pt>
                  <c:pt idx="772">
                    <c:v>18/10/2025</c:v>
                  </c:pt>
                  <c:pt idx="773">
                    <c:v>14/10/2024</c:v>
                  </c:pt>
                  <c:pt idx="774">
                    <c:v>25/07/2024</c:v>
                  </c:pt>
                  <c:pt idx="775">
                    <c:v>10/03/2020</c:v>
                  </c:pt>
                  <c:pt idx="776">
                    <c:v>05/05/2020</c:v>
                  </c:pt>
                  <c:pt idx="777">
                    <c:v>15/03/2022</c:v>
                  </c:pt>
                  <c:pt idx="778">
                    <c:v>21/11/2025</c:v>
                  </c:pt>
                  <c:pt idx="779">
                    <c:v>26/07/2024</c:v>
                  </c:pt>
                  <c:pt idx="780">
                    <c:v>26/07/2024</c:v>
                  </c:pt>
                  <c:pt idx="781">
                    <c:v>26/05/2020</c:v>
                  </c:pt>
                  <c:pt idx="782">
                    <c:v>10/10/2020</c:v>
                  </c:pt>
                  <c:pt idx="783">
                    <c:v>31/07/2024</c:v>
                  </c:pt>
                  <c:pt idx="784">
                    <c:v>08/08/2021</c:v>
                  </c:pt>
                  <c:pt idx="785">
                    <c:v>08/08/2021</c:v>
                  </c:pt>
                  <c:pt idx="786">
                    <c:v>23/09/2021</c:v>
                  </c:pt>
                  <c:pt idx="787">
                    <c:v>25/07/2020</c:v>
                  </c:pt>
                  <c:pt idx="788">
                    <c:v>16/03/2022</c:v>
                  </c:pt>
                  <c:pt idx="789">
                    <c:v>07/06/2024</c:v>
                  </c:pt>
                  <c:pt idx="790">
                    <c:v>07/06/2024</c:v>
                  </c:pt>
                  <c:pt idx="791">
                    <c:v>07/06/2024</c:v>
                  </c:pt>
                  <c:pt idx="792">
                    <c:v>17/10/2024</c:v>
                  </c:pt>
                  <c:pt idx="793">
                    <c:v>01/03/2023</c:v>
                  </c:pt>
                  <c:pt idx="794">
                    <c:v>10/03/2020</c:v>
                  </c:pt>
                  <c:pt idx="796">
                    <c:v>29/07/2025</c:v>
                  </c:pt>
                  <c:pt idx="797">
                    <c:v>29/07/2025</c:v>
                  </c:pt>
                  <c:pt idx="798">
                    <c:v>30/01/2025</c:v>
                  </c:pt>
                  <c:pt idx="799">
                    <c:v>23/01/2023</c:v>
                  </c:pt>
                  <c:pt idx="800">
                    <c:v>28/09/2023</c:v>
                  </c:pt>
                  <c:pt idx="801">
                    <c:v>14/03/2023</c:v>
                  </c:pt>
                  <c:pt idx="802">
                    <c:v>14/03/2023</c:v>
                  </c:pt>
                  <c:pt idx="803">
                    <c:v>14/03/2023</c:v>
                  </c:pt>
                  <c:pt idx="804">
                    <c:v>22/06/2023</c:v>
                  </c:pt>
                  <c:pt idx="805">
                    <c:v>07/07/2022</c:v>
                  </c:pt>
                  <c:pt idx="806">
                    <c:v>06/04/2022</c:v>
                  </c:pt>
                  <c:pt idx="807">
                    <c:v>20/03/2023</c:v>
                  </c:pt>
                  <c:pt idx="808">
                    <c:v>20/03/2023</c:v>
                  </c:pt>
                  <c:pt idx="809">
                    <c:v>20/03/2023</c:v>
                  </c:pt>
                  <c:pt idx="810">
                    <c:v>05/05/2020</c:v>
                  </c:pt>
                  <c:pt idx="811">
                    <c:v>09/09/2022</c:v>
                  </c:pt>
                  <c:pt idx="812">
                    <c:v>09/09/2022</c:v>
                  </c:pt>
                  <c:pt idx="813">
                    <c:v>16/09/2021</c:v>
                  </c:pt>
                  <c:pt idx="814">
                    <c:v>30/09/2022</c:v>
                  </c:pt>
                  <c:pt idx="815">
                    <c:v>10/09/2024</c:v>
                  </c:pt>
                  <c:pt idx="816">
                    <c:v>10/09/2024</c:v>
                  </c:pt>
                  <c:pt idx="817">
                    <c:v>10/09/2024</c:v>
                  </c:pt>
                  <c:pt idx="818">
                    <c:v>19/05/2020</c:v>
                  </c:pt>
                  <c:pt idx="819">
                    <c:v>15/10/2025</c:v>
                  </c:pt>
                  <c:pt idx="820">
                    <c:v>15/10/2025</c:v>
                  </c:pt>
                  <c:pt idx="821">
                    <c:v>04/06/2025</c:v>
                  </c:pt>
                  <c:pt idx="822">
                    <c:v>04/06/2025</c:v>
                  </c:pt>
                  <c:pt idx="823">
                    <c:v>20/11/2025</c:v>
                  </c:pt>
                  <c:pt idx="824">
                    <c:v>20/11/2025</c:v>
                  </c:pt>
                  <c:pt idx="825">
                    <c:v>20/11/2025</c:v>
                  </c:pt>
                  <c:pt idx="826">
                    <c:v>20/11/2025</c:v>
                  </c:pt>
                  <c:pt idx="827">
                    <c:v>20/11/2025</c:v>
                  </c:pt>
                  <c:pt idx="828">
                    <c:v>24/04/2020</c:v>
                  </c:pt>
                  <c:pt idx="829">
                    <c:v>30/10/2025</c:v>
                  </c:pt>
                  <c:pt idx="830">
                    <c:v>20/11/2025</c:v>
                  </c:pt>
                  <c:pt idx="831">
                    <c:v>07/05/2021</c:v>
                  </c:pt>
                  <c:pt idx="832">
                    <c:v>11/05/2023</c:v>
                  </c:pt>
                  <c:pt idx="833">
                    <c:v>30/10/2025</c:v>
                  </c:pt>
                  <c:pt idx="834">
                    <c:v>30/10/2025</c:v>
                  </c:pt>
                  <c:pt idx="835">
                    <c:v>25/04/2024</c:v>
                  </c:pt>
                  <c:pt idx="836">
                    <c:v>16/08/2023</c:v>
                  </c:pt>
                  <c:pt idx="837">
                    <c:v>16/08/2023</c:v>
                  </c:pt>
                  <c:pt idx="838">
                    <c:v>13/07/2022</c:v>
                  </c:pt>
                  <c:pt idx="839">
                    <c:v>27/07/2023</c:v>
                  </c:pt>
                  <c:pt idx="840">
                    <c:v>16/11/2022</c:v>
                  </c:pt>
                  <c:pt idx="841">
                    <c:v>22/03/2022</c:v>
                  </c:pt>
                  <c:pt idx="842">
                    <c:v>12/08/2022</c:v>
                  </c:pt>
                  <c:pt idx="843">
                    <c:v>20/11/2025</c:v>
                  </c:pt>
                  <c:pt idx="844">
                    <c:v>20/11/2025</c:v>
                  </c:pt>
                  <c:pt idx="845">
                    <c:v>20/11/2025</c:v>
                  </c:pt>
                  <c:pt idx="846">
                    <c:v>09/04/2021</c:v>
                  </c:pt>
                  <c:pt idx="847">
                    <c:v>21/11/2023</c:v>
                  </c:pt>
                  <c:pt idx="848">
                    <c:v>21/02/2022</c:v>
                  </c:pt>
                  <c:pt idx="849">
                    <c:v>07/01/2026</c:v>
                  </c:pt>
                  <c:pt idx="850">
                    <c:v>30/11/2022</c:v>
                  </c:pt>
                  <c:pt idx="851">
                    <c:v>30/11/2022</c:v>
                  </c:pt>
                  <c:pt idx="852">
                    <c:v>12/02/2021</c:v>
                  </c:pt>
                  <c:pt idx="853">
                    <c:v>24/03/2025</c:v>
                  </c:pt>
                  <c:pt idx="854">
                    <c:v>23/12/2020</c:v>
                  </c:pt>
                  <c:pt idx="855">
                    <c:v>23/12/2020</c:v>
                  </c:pt>
                  <c:pt idx="856">
                    <c:v>16/08/2021</c:v>
                  </c:pt>
                  <c:pt idx="857">
                    <c:v>24/03/2025</c:v>
                  </c:pt>
                  <c:pt idx="858">
                    <c:v>24/03/2025</c:v>
                  </c:pt>
                  <c:pt idx="859">
                    <c:v>05/05/2020</c:v>
                  </c:pt>
                  <c:pt idx="860">
                    <c:v>24/03/2025</c:v>
                  </c:pt>
                  <c:pt idx="861">
                    <c:v>24/03/2025</c:v>
                  </c:pt>
                  <c:pt idx="862">
                    <c:v>30/11/2022</c:v>
                  </c:pt>
                  <c:pt idx="863">
                    <c:v>27/04/2022</c:v>
                  </c:pt>
                  <c:pt idx="864">
                    <c:v>18/03/2025</c:v>
                  </c:pt>
                  <c:pt idx="865">
                    <c:v>10/12/2024</c:v>
                  </c:pt>
                  <c:pt idx="866">
                    <c:v>02/03/2021</c:v>
                  </c:pt>
                  <c:pt idx="867">
                    <c:v>06/01/2026</c:v>
                  </c:pt>
                  <c:pt idx="868">
                    <c:v>10/12/2024</c:v>
                  </c:pt>
                  <c:pt idx="869">
                    <c:v>05/05/2020</c:v>
                  </c:pt>
                  <c:pt idx="870">
                    <c:v>15/11/2023</c:v>
                  </c:pt>
                  <c:pt idx="871">
                    <c:v>15/09/2025</c:v>
                  </c:pt>
                  <c:pt idx="872">
                    <c:v>23/04/2025</c:v>
                  </c:pt>
                  <c:pt idx="873">
                    <c:v>28/03/2022</c:v>
                  </c:pt>
                  <c:pt idx="874">
                    <c:v>28/03/2022</c:v>
                  </c:pt>
                  <c:pt idx="875">
                    <c:v>28/03/2022</c:v>
                  </c:pt>
                  <c:pt idx="876">
                    <c:v>25/04/2022</c:v>
                  </c:pt>
                  <c:pt idx="877">
                    <c:v>22/02/2021</c:v>
                  </c:pt>
                  <c:pt idx="878">
                    <c:v>29/10/2021</c:v>
                  </c:pt>
                  <c:pt idx="879">
                    <c:v>15/03/2022</c:v>
                  </c:pt>
                  <c:pt idx="880">
                    <c:v>07/10/2024</c:v>
                  </c:pt>
                  <c:pt idx="881">
                    <c:v>13/07/2022</c:v>
                  </c:pt>
                  <c:pt idx="882">
                    <c:v>28/10/2023</c:v>
                  </c:pt>
                  <c:pt idx="883">
                    <c:v>29/10/2025</c:v>
                  </c:pt>
                  <c:pt idx="884">
                    <c:v>15/03/2021</c:v>
                  </c:pt>
                  <c:pt idx="885">
                    <c:v>11/11/2021</c:v>
                  </c:pt>
                  <c:pt idx="886">
                    <c:v>29/09/2025</c:v>
                  </c:pt>
                  <c:pt idx="887">
                    <c:v>29/09/2025</c:v>
                  </c:pt>
                  <c:pt idx="888">
                    <c:v>29/09/2025</c:v>
                  </c:pt>
                  <c:pt idx="889">
                    <c:v>13/01/2023</c:v>
                  </c:pt>
                  <c:pt idx="890">
                    <c:v>15/04/2025</c:v>
                  </c:pt>
                  <c:pt idx="891">
                    <c:v>06/04/2022</c:v>
                  </c:pt>
                  <c:pt idx="892">
                    <c:v>06/04/2022</c:v>
                  </c:pt>
                  <c:pt idx="893">
                    <c:v>10/04/2023</c:v>
                  </c:pt>
                  <c:pt idx="894">
                    <c:v>07/10/2024</c:v>
                  </c:pt>
                  <c:pt idx="895">
                    <c:v>10/12/2024</c:v>
                  </c:pt>
                  <c:pt idx="896">
                    <c:v>10/12/2024</c:v>
                  </c:pt>
                  <c:pt idx="897">
                    <c:v>06/09/2023</c:v>
                  </c:pt>
                  <c:pt idx="898">
                    <c:v>22/02/2021</c:v>
                  </c:pt>
                  <c:pt idx="899">
                    <c:v>06/04/2022</c:v>
                  </c:pt>
                  <c:pt idx="900">
                    <c:v>06/04/2022</c:v>
                  </c:pt>
                  <c:pt idx="901">
                    <c:v>06/04/2022</c:v>
                  </c:pt>
                  <c:pt idx="902">
                    <c:v>05/05/2020</c:v>
                  </c:pt>
                  <c:pt idx="903">
                    <c:v>22/02/2021</c:v>
                  </c:pt>
                  <c:pt idx="904">
                    <c:v>07/06/2024</c:v>
                  </c:pt>
                  <c:pt idx="905">
                    <c:v>30/12/2024</c:v>
                  </c:pt>
                  <c:pt idx="906">
                    <c:v>29/09/2025</c:v>
                  </c:pt>
                  <c:pt idx="907">
                    <c:v>20/11/2025</c:v>
                  </c:pt>
                  <c:pt idx="908">
                    <c:v>12/02/2021</c:v>
                  </c:pt>
                  <c:pt idx="909">
                    <c:v>12/02/2021</c:v>
                  </c:pt>
                  <c:pt idx="910">
                    <c:v>02/12/2021</c:v>
                  </c:pt>
                  <c:pt idx="911">
                    <c:v>02/12/2021</c:v>
                  </c:pt>
                  <c:pt idx="912">
                    <c:v>16/01/2025</c:v>
                  </c:pt>
                  <c:pt idx="913">
                    <c:v>17/08/2025</c:v>
                  </c:pt>
                  <c:pt idx="914">
                    <c:v>19/02/2024</c:v>
                  </c:pt>
                  <c:pt idx="915">
                    <c:v>17/08/2025</c:v>
                  </c:pt>
                  <c:pt idx="916">
                    <c:v>30/04/2025</c:v>
                  </c:pt>
                  <c:pt idx="917">
                    <c:v>30/04/2025</c:v>
                  </c:pt>
                  <c:pt idx="918">
                    <c:v>07/07/2022</c:v>
                  </c:pt>
                  <c:pt idx="919">
                    <c:v>25/04/2024</c:v>
                  </c:pt>
                  <c:pt idx="920">
                    <c:v>28/11/2023</c:v>
                  </c:pt>
                  <c:pt idx="921">
                    <c:v>11/07/2025</c:v>
                  </c:pt>
                  <c:pt idx="922">
                    <c:v>11/01/2025</c:v>
                  </c:pt>
                  <c:pt idx="923">
                    <c:v>20/10/2023</c:v>
                  </c:pt>
                  <c:pt idx="924">
                    <c:v>28/11/2023</c:v>
                  </c:pt>
                  <c:pt idx="925">
                    <c:v>20/11/2025</c:v>
                  </c:pt>
                  <c:pt idx="926">
                    <c:v>21/10/2023</c:v>
                  </c:pt>
                  <c:pt idx="931">
                    <c:v>25/04/2025</c:v>
                  </c:pt>
                  <c:pt idx="932">
                    <c:v>25/04/2025</c:v>
                  </c:pt>
                  <c:pt idx="933">
                    <c:v>27/12/2024</c:v>
                  </c:pt>
                  <c:pt idx="934">
                    <c:v>27/12/2024</c:v>
                  </c:pt>
                  <c:pt idx="935">
                    <c:v>27/12/2024</c:v>
                  </c:pt>
                  <c:pt idx="936">
                    <c:v>27/12/2024</c:v>
                  </c:pt>
                  <c:pt idx="937">
                    <c:v>27/12/2024</c:v>
                  </c:pt>
                  <c:pt idx="938">
                    <c:v>27/12/2024</c:v>
                  </c:pt>
                  <c:pt idx="939">
                    <c:v>06/06/2024</c:v>
                  </c:pt>
                  <c:pt idx="940">
                    <c:v>31/07/2024</c:v>
                  </c:pt>
                  <c:pt idx="941">
                    <c:v>16/11/2022</c:v>
                  </c:pt>
                  <c:pt idx="942">
                    <c:v>06/10/2022</c:v>
                  </c:pt>
                  <c:pt idx="943">
                    <c:v>03/03/2021</c:v>
                  </c:pt>
                  <c:pt idx="944">
                    <c:v>25/04/2024</c:v>
                  </c:pt>
                  <c:pt idx="945">
                    <c:v>28/03/2022</c:v>
                  </c:pt>
                  <c:pt idx="946">
                    <c:v>27/12/2024</c:v>
                  </c:pt>
                  <c:pt idx="947">
                    <c:v>27/12/2024</c:v>
                  </c:pt>
                  <c:pt idx="948">
                    <c:v>27/12/2024</c:v>
                  </c:pt>
                  <c:pt idx="949">
                    <c:v>21/09/2021</c:v>
                  </c:pt>
                  <c:pt idx="950">
                    <c:v>25/04/2024</c:v>
                  </c:pt>
                  <c:pt idx="951">
                    <c:v>25/04/2024</c:v>
                  </c:pt>
                  <c:pt idx="952">
                    <c:v>25/04/2024</c:v>
                  </c:pt>
                  <c:pt idx="953">
                    <c:v>13/01/2023</c:v>
                  </c:pt>
                  <c:pt idx="954">
                    <c:v>25/04/2024</c:v>
                  </c:pt>
                  <c:pt idx="955">
                    <c:v>26/10/2023</c:v>
                  </c:pt>
                  <c:pt idx="956">
                    <c:v>04/06/2025</c:v>
                  </c:pt>
                  <c:pt idx="957">
                    <c:v>30/10/2025</c:v>
                  </c:pt>
                  <c:pt idx="958">
                    <c:v>30/10/2025</c:v>
                  </c:pt>
                  <c:pt idx="959">
                    <c:v>04/11/2025</c:v>
                  </c:pt>
                  <c:pt idx="960">
                    <c:v>16/03/2023</c:v>
                  </c:pt>
                  <c:pt idx="961">
                    <c:v>18/09/2025</c:v>
                  </c:pt>
                  <c:pt idx="962">
                    <c:v>07/07/2022</c:v>
                  </c:pt>
                  <c:pt idx="963">
                    <c:v>07/07/2022</c:v>
                  </c:pt>
                  <c:pt idx="964">
                    <c:v>07/07/2022</c:v>
                  </c:pt>
                  <c:pt idx="965">
                    <c:v>07/07/2022</c:v>
                  </c:pt>
                  <c:pt idx="966">
                    <c:v>14/11/2023</c:v>
                  </c:pt>
                  <c:pt idx="967">
                    <c:v>07/07/2022</c:v>
                  </c:pt>
                  <c:pt idx="968">
                    <c:v>21/09/2021</c:v>
                  </c:pt>
                  <c:pt idx="969">
                    <c:v>21/09/2021</c:v>
                  </c:pt>
                  <c:pt idx="971">
                    <c:v>20/11/2025</c:v>
                  </c:pt>
                  <c:pt idx="972">
                    <c:v>20/11/2025</c:v>
                  </c:pt>
                  <c:pt idx="973">
                    <c:v>20/11/2025</c:v>
                  </c:pt>
                  <c:pt idx="974">
                    <c:v>04/06/2025</c:v>
                  </c:pt>
                  <c:pt idx="975">
                    <c:v>15/07/2021</c:v>
                  </c:pt>
                  <c:pt idx="976">
                    <c:v>09/09/2025</c:v>
                  </c:pt>
                  <c:pt idx="977">
                    <c:v>04/06/2025</c:v>
                  </c:pt>
                  <c:pt idx="978">
                    <c:v>04/06/2025</c:v>
                  </c:pt>
                  <c:pt idx="979">
                    <c:v>20/11/2025</c:v>
                  </c:pt>
                  <c:pt idx="980">
                    <c:v>07/07/2022</c:v>
                  </c:pt>
                  <c:pt idx="981">
                    <c:v>07/07/2022</c:v>
                  </c:pt>
                  <c:pt idx="982">
                    <c:v>18/09/2025</c:v>
                  </c:pt>
                  <c:pt idx="983">
                    <c:v>16/03/2023</c:v>
                  </c:pt>
                  <c:pt idx="984">
                    <c:v>20/10/2023</c:v>
                  </c:pt>
                  <c:pt idx="985">
                    <c:v>20/10/2023</c:v>
                  </c:pt>
                  <c:pt idx="986">
                    <c:v>20/10/2023</c:v>
                  </c:pt>
                  <c:pt idx="987">
                    <c:v>20/10/2023</c:v>
                  </c:pt>
                  <c:pt idx="988">
                    <c:v>29/06/2020</c:v>
                  </c:pt>
                  <c:pt idx="989">
                    <c:v>20/10/2023</c:v>
                  </c:pt>
                  <c:pt idx="990">
                    <c:v>20/10/2023</c:v>
                  </c:pt>
                  <c:pt idx="991">
                    <c:v>20/07/2023</c:v>
                  </c:pt>
                  <c:pt idx="992">
                    <c:v>29/09/2025</c:v>
                  </c:pt>
                  <c:pt idx="993">
                    <c:v>20/03/2023</c:v>
                  </c:pt>
                  <c:pt idx="994">
                    <c:v>29/09/2025</c:v>
                  </c:pt>
                  <c:pt idx="995">
                    <c:v>29/09/2025</c:v>
                  </c:pt>
                  <c:pt idx="996">
                    <c:v>20/03/2023</c:v>
                  </c:pt>
                  <c:pt idx="997">
                    <c:v>22/03/2022</c:v>
                  </c:pt>
                  <c:pt idx="998">
                    <c:v>30/10/2025</c:v>
                  </c:pt>
                  <c:pt idx="999">
                    <c:v>30/10/2025</c:v>
                  </c:pt>
                  <c:pt idx="1000">
                    <c:v>30/10/2025</c:v>
                  </c:pt>
                  <c:pt idx="1001">
                    <c:v>30/10/2025</c:v>
                  </c:pt>
                  <c:pt idx="1002">
                    <c:v>30/10/2025</c:v>
                  </c:pt>
                  <c:pt idx="1003">
                    <c:v>28/03/2022</c:v>
                  </c:pt>
                  <c:pt idx="1004">
                    <c:v>30/10/2025</c:v>
                  </c:pt>
                  <c:pt idx="1005">
                    <c:v>30/10/2025</c:v>
                  </c:pt>
                  <c:pt idx="1006">
                    <c:v>30/10/2025</c:v>
                  </c:pt>
                  <c:pt idx="1007">
                    <c:v>30/10/2025</c:v>
                  </c:pt>
                  <c:pt idx="1008">
                    <c:v>15/03/2024</c:v>
                  </c:pt>
                  <c:pt idx="1009">
                    <c:v>15/03/2024</c:v>
                  </c:pt>
                  <c:pt idx="1010">
                    <c:v>15/03/2024</c:v>
                  </c:pt>
                  <c:pt idx="1011">
                    <c:v>28/03/2022</c:v>
                  </c:pt>
                  <c:pt idx="1012">
                    <c:v>29/09/2025</c:v>
                  </c:pt>
                  <c:pt idx="1013">
                    <c:v>16/06/2022</c:v>
                  </c:pt>
                  <c:pt idx="1014">
                    <c:v>16/06/2022</c:v>
                  </c:pt>
                  <c:pt idx="1015">
                    <c:v>16/09/2022</c:v>
                  </c:pt>
                  <c:pt idx="1016">
                    <c:v>16/06/2022</c:v>
                  </c:pt>
                  <c:pt idx="1017">
                    <c:v>16/06/2022</c:v>
                  </c:pt>
                  <c:pt idx="1018">
                    <c:v>04/06/2025</c:v>
                  </c:pt>
                  <c:pt idx="1019">
                    <c:v>04/06/2025</c:v>
                  </c:pt>
                  <c:pt idx="1020">
                    <c:v>04/06/2025</c:v>
                  </c:pt>
                  <c:pt idx="1021">
                    <c:v>04/06/2025</c:v>
                  </c:pt>
                  <c:pt idx="1022">
                    <c:v>14/11/2024</c:v>
                  </c:pt>
                  <c:pt idx="1023">
                    <c:v>27/01/2024</c:v>
                  </c:pt>
                  <c:pt idx="1024">
                    <c:v>14/11/2024</c:v>
                  </c:pt>
                  <c:pt idx="1025">
                    <c:v>10/09/2024</c:v>
                  </c:pt>
                  <c:pt idx="1026">
                    <c:v>25/04/2025</c:v>
                  </c:pt>
                  <c:pt idx="1027">
                    <c:v>25/04/2025</c:v>
                  </c:pt>
                  <c:pt idx="1028">
                    <c:v>25/04/2025</c:v>
                  </c:pt>
                  <c:pt idx="1029">
                    <c:v>25/04/2025</c:v>
                  </c:pt>
                  <c:pt idx="1030">
                    <c:v>04/06/2025</c:v>
                  </c:pt>
                  <c:pt idx="1031">
                    <c:v>04/06/2025</c:v>
                  </c:pt>
                  <c:pt idx="1032">
                    <c:v>04/06/2025</c:v>
                  </c:pt>
                  <c:pt idx="1033">
                    <c:v>15/10/2025</c:v>
                  </c:pt>
                  <c:pt idx="1034">
                    <c:v>15/10/2025</c:v>
                  </c:pt>
                  <c:pt idx="1035">
                    <c:v>15/10/2025</c:v>
                  </c:pt>
                  <c:pt idx="1036">
                    <c:v>09/09/2025</c:v>
                  </c:pt>
                  <c:pt idx="1037">
                    <c:v>09/09/2025</c:v>
                  </c:pt>
                  <c:pt idx="1038">
                    <c:v>09/09/2025</c:v>
                  </c:pt>
                  <c:pt idx="1039">
                    <c:v>09/09/2025</c:v>
                  </c:pt>
                  <c:pt idx="1040">
                    <c:v>30/10/2025</c:v>
                  </c:pt>
                  <c:pt idx="1041">
                    <c:v>09/09/2025</c:v>
                  </c:pt>
                  <c:pt idx="1042">
                    <c:v>09/09/2025</c:v>
                  </c:pt>
                  <c:pt idx="1043">
                    <c:v>09/09/2025</c:v>
                  </c:pt>
                  <c:pt idx="1044">
                    <c:v>30/10/2025</c:v>
                  </c:pt>
                  <c:pt idx="1045">
                    <c:v>09/09/2025</c:v>
                  </c:pt>
                  <c:pt idx="1046">
                    <c:v>09/09/2025</c:v>
                  </c:pt>
                  <c:pt idx="1047">
                    <c:v>08/03/2022</c:v>
                  </c:pt>
                  <c:pt idx="1048">
                    <c:v>08/03/2022</c:v>
                  </c:pt>
                  <c:pt idx="1049">
                    <c:v>08/03/2022</c:v>
                  </c:pt>
                  <c:pt idx="1050">
                    <c:v>15/10/2025</c:v>
                  </c:pt>
                  <c:pt idx="1051">
                    <c:v>15/10/2025</c:v>
                  </c:pt>
                  <c:pt idx="1052">
                    <c:v>18/01/2023</c:v>
                  </c:pt>
                  <c:pt idx="1053">
                    <c:v>13/03/2024</c:v>
                  </c:pt>
                  <c:pt idx="1054">
                    <c:v>07/02/2024</c:v>
                  </c:pt>
                  <c:pt idx="1055">
                    <c:v>07/02/2024</c:v>
                  </c:pt>
                  <c:pt idx="1056">
                    <c:v>26/02/2025</c:v>
                  </c:pt>
                  <c:pt idx="1057">
                    <c:v>15/04/2025</c:v>
                  </c:pt>
                  <c:pt idx="1058">
                    <c:v>15/04/2025</c:v>
                  </c:pt>
                  <c:pt idx="1059">
                    <c:v>30/10/2025</c:v>
                  </c:pt>
                  <c:pt idx="1060">
                    <c:v>11/06/2025</c:v>
                  </c:pt>
                  <c:pt idx="1061">
                    <c:v>18/12/2025</c:v>
                  </c:pt>
                  <c:pt idx="1062">
                    <c:v>11/06/2025</c:v>
                  </c:pt>
                  <c:pt idx="1063">
                    <c:v>13/04/2023</c:v>
                  </c:pt>
                  <c:pt idx="1064">
                    <c:v>13/04/2023</c:v>
                  </c:pt>
                  <c:pt idx="1065">
                    <c:v>15/04/2025</c:v>
                  </c:pt>
                  <c:pt idx="1066">
                    <c:v>15/04/2025</c:v>
                  </c:pt>
                  <c:pt idx="1067">
                    <c:v>05/12/2024</c:v>
                  </c:pt>
                  <c:pt idx="1068">
                    <c:v>01/11/2023</c:v>
                  </c:pt>
                  <c:pt idx="1069">
                    <c:v>28/05/2025</c:v>
                  </c:pt>
                  <c:pt idx="1070">
                    <c:v>28/05/2025</c:v>
                  </c:pt>
                  <c:pt idx="1071">
                    <c:v>30/10/2025</c:v>
                  </c:pt>
                  <c:pt idx="1072">
                    <c:v>07/05/2021</c:v>
                  </c:pt>
                  <c:pt idx="1073">
                    <c:v>07/05/2021</c:v>
                  </c:pt>
                  <c:pt idx="1074">
                    <c:v>07/05/2021</c:v>
                  </c:pt>
                  <c:pt idx="1075">
                    <c:v>07/05/2021</c:v>
                  </c:pt>
                  <c:pt idx="1076">
                    <c:v>07/05/2021</c:v>
                  </c:pt>
                  <c:pt idx="1078">
                    <c:v>07/03/2024</c:v>
                  </c:pt>
                  <c:pt idx="1079">
                    <c:v>07/03/2024</c:v>
                  </c:pt>
                  <c:pt idx="1080">
                    <c:v>09/09/2025</c:v>
                  </c:pt>
                  <c:pt idx="1081">
                    <c:v>04/06/2025</c:v>
                  </c:pt>
                  <c:pt idx="1082">
                    <c:v>04/06/2025</c:v>
                  </c:pt>
                  <c:pt idx="1083">
                    <c:v>04/06/2025</c:v>
                  </c:pt>
                  <c:pt idx="1084">
                    <c:v>04/06/2025</c:v>
                  </c:pt>
                  <c:pt idx="1085">
                    <c:v>15/10/2025</c:v>
                  </c:pt>
                  <c:pt idx="1086">
                    <c:v>15/10/2025</c:v>
                  </c:pt>
                  <c:pt idx="1087">
                    <c:v>20/10/2023</c:v>
                  </c:pt>
                  <c:pt idx="1088">
                    <c:v>20/10/2023</c:v>
                  </c:pt>
                  <c:pt idx="1089">
                    <c:v>20/10/2023</c:v>
                  </c:pt>
                  <c:pt idx="1090">
                    <c:v>20/10/2023</c:v>
                  </c:pt>
                  <c:pt idx="1091">
                    <c:v>09/09/2022</c:v>
                  </c:pt>
                  <c:pt idx="1092">
                    <c:v>16/03/2023</c:v>
                  </c:pt>
                  <c:pt idx="1093">
                    <c:v>16/03/2023</c:v>
                  </c:pt>
                  <c:pt idx="1094">
                    <c:v>07/07/2022</c:v>
                  </c:pt>
                  <c:pt idx="1095">
                    <c:v>18/09/2025</c:v>
                  </c:pt>
                  <c:pt idx="1096">
                    <c:v>13/05/2021</c:v>
                  </c:pt>
                  <c:pt idx="1097">
                    <c:v>06/10/2021</c:v>
                  </c:pt>
                  <c:pt idx="1098">
                    <c:v>01/11/2023</c:v>
                  </c:pt>
                  <c:pt idx="1099">
                    <c:v>16/11/2022</c:v>
                  </c:pt>
                  <c:pt idx="1100">
                    <c:v>07/03/2024</c:v>
                  </c:pt>
                  <c:pt idx="1101">
                    <c:v>30/10/2025</c:v>
                  </c:pt>
                  <c:pt idx="1102">
                    <c:v>10/12/2024</c:v>
                  </c:pt>
                  <c:pt idx="1103">
                    <c:v>18/12/2025</c:v>
                  </c:pt>
                  <c:pt idx="1104">
                    <c:v>16/11/2022</c:v>
                  </c:pt>
                  <c:pt idx="1105">
                    <c:v>03/03/2021</c:v>
                  </c:pt>
                  <c:pt idx="1106">
                    <c:v>02/06/2022</c:v>
                  </c:pt>
                  <c:pt idx="1107">
                    <c:v>01/11/2023</c:v>
                  </c:pt>
                  <c:pt idx="1108">
                    <c:v>28/08/2024</c:v>
                  </c:pt>
                  <c:pt idx="1109">
                    <c:v>14/11/2024</c:v>
                  </c:pt>
                  <c:pt idx="1110">
                    <c:v>10/12/2021</c:v>
                  </c:pt>
                  <c:pt idx="1111">
                    <c:v>11/12/2021</c:v>
                  </c:pt>
                  <c:pt idx="1112">
                    <c:v>13/12/2021</c:v>
                  </c:pt>
                  <c:pt idx="1113">
                    <c:v>14/12/2021</c:v>
                  </c:pt>
                  <c:pt idx="1114">
                    <c:v>15/12/2021</c:v>
                  </c:pt>
                  <c:pt idx="1115">
                    <c:v>10/09/2024</c:v>
                  </c:pt>
                  <c:pt idx="1116">
                    <c:v>28/10/2024</c:v>
                  </c:pt>
                  <c:pt idx="1117">
                    <c:v>28/10/2024</c:v>
                  </c:pt>
                  <c:pt idx="1118">
                    <c:v>17/12/2021</c:v>
                  </c:pt>
                  <c:pt idx="1119">
                    <c:v>14/07/2025</c:v>
                  </c:pt>
                  <c:pt idx="1120">
                    <c:v>14/07/2025</c:v>
                  </c:pt>
                  <c:pt idx="1121">
                    <c:v>28/03/2022</c:v>
                  </c:pt>
                  <c:pt idx="1122">
                    <c:v>05/06/2025</c:v>
                  </c:pt>
                  <c:pt idx="1123">
                    <c:v>05/06/2025</c:v>
                  </c:pt>
                  <c:pt idx="1124">
                    <c:v>25/04/2024</c:v>
                  </c:pt>
                  <c:pt idx="1125">
                    <c:v>25/04/2024</c:v>
                  </c:pt>
                  <c:pt idx="1126">
                    <c:v>25/04/2024</c:v>
                  </c:pt>
                  <c:pt idx="1127">
                    <c:v>02/09/2022</c:v>
                  </c:pt>
                  <c:pt idx="1128">
                    <c:v>30/10/2025</c:v>
                  </c:pt>
                  <c:pt idx="1129">
                    <c:v>30/10/2025</c:v>
                  </c:pt>
                  <c:pt idx="1130">
                    <c:v>30/10/2025</c:v>
                  </c:pt>
                  <c:pt idx="1131">
                    <c:v>30/10/2025</c:v>
                  </c:pt>
                  <c:pt idx="1132">
                    <c:v>30/10/2025</c:v>
                  </c:pt>
                  <c:pt idx="1133">
                    <c:v>30/10/2025</c:v>
                  </c:pt>
                  <c:pt idx="1134">
                    <c:v>30/10/2025</c:v>
                  </c:pt>
                  <c:pt idx="1135">
                    <c:v>30/10/2025</c:v>
                  </c:pt>
                  <c:pt idx="1136">
                    <c:v>24/03/2020</c:v>
                  </c:pt>
                  <c:pt idx="1137">
                    <c:v>24/03/2020</c:v>
                  </c:pt>
                  <c:pt idx="1138">
                    <c:v>24/03/2020</c:v>
                  </c:pt>
                  <c:pt idx="1139">
                    <c:v>24/03/2020</c:v>
                  </c:pt>
                  <c:pt idx="1140">
                    <c:v>24/03/2020</c:v>
                  </c:pt>
                  <c:pt idx="1141">
                    <c:v>24/03/2020</c:v>
                  </c:pt>
                  <c:pt idx="1142">
                    <c:v>09/09/2025</c:v>
                  </c:pt>
                  <c:pt idx="1143">
                    <c:v>16/02/2022</c:v>
                  </c:pt>
                  <c:pt idx="1144">
                    <c:v>26/02/2025</c:v>
                  </c:pt>
                  <c:pt idx="1145">
                    <c:v>20/03/2023</c:v>
                  </c:pt>
                  <c:pt idx="1146">
                    <c:v>26/02/2025</c:v>
                  </c:pt>
                  <c:pt idx="1147">
                    <c:v>14/04/2023</c:v>
                  </c:pt>
                  <c:pt idx="1148">
                    <c:v>24/10/2024</c:v>
                  </c:pt>
                  <c:pt idx="1149">
                    <c:v>11/06/2025</c:v>
                  </c:pt>
                  <c:pt idx="1150">
                    <c:v>01/11/2023</c:v>
                  </c:pt>
                  <c:pt idx="1151">
                    <c:v>03/03/2021</c:v>
                  </c:pt>
                  <c:pt idx="1152">
                    <c:v>18/12/2025</c:v>
                  </c:pt>
                  <c:pt idx="1153">
                    <c:v>10/12/2024</c:v>
                  </c:pt>
                  <c:pt idx="1154">
                    <c:v>10/12/2024</c:v>
                  </c:pt>
                  <c:pt idx="1155">
                    <c:v>25/04/2024</c:v>
                  </c:pt>
                  <c:pt idx="1156">
                    <c:v>14/01/2021</c:v>
                  </c:pt>
                  <c:pt idx="1157">
                    <c:v>22/07/2021</c:v>
                  </c:pt>
                  <c:pt idx="1158">
                    <c:v>16/11/2022</c:v>
                  </c:pt>
                  <c:pt idx="1159">
                    <c:v>06/09/2023</c:v>
                  </c:pt>
                  <c:pt idx="1160">
                    <c:v>18/12/2025</c:v>
                  </c:pt>
                  <c:pt idx="1161">
                    <c:v>30/10/2025</c:v>
                  </c:pt>
                  <c:pt idx="1162">
                    <c:v>01/11/2023</c:v>
                  </c:pt>
                  <c:pt idx="1163">
                    <c:v>18/12/2025</c:v>
                  </c:pt>
                  <c:pt idx="1164">
                    <c:v>30/10/2025</c:v>
                  </c:pt>
                  <c:pt idx="1165">
                    <c:v>30/10/2025</c:v>
                  </c:pt>
                  <c:pt idx="1166">
                    <c:v>26/10/2023</c:v>
                  </c:pt>
                  <c:pt idx="1167">
                    <c:v>21/09/2021</c:v>
                  </c:pt>
                  <c:pt idx="1168">
                    <c:v>28/03/2022</c:v>
                  </c:pt>
                  <c:pt idx="1169">
                    <c:v>21/10/2021</c:v>
                  </c:pt>
                  <c:pt idx="1170">
                    <c:v>15/03/2024</c:v>
                  </c:pt>
                  <c:pt idx="1171">
                    <c:v>15/03/2024</c:v>
                  </c:pt>
                  <c:pt idx="1172">
                    <c:v>15/03/2024</c:v>
                  </c:pt>
                  <c:pt idx="1173">
                    <c:v>10/09/2024</c:v>
                  </c:pt>
                  <c:pt idx="1174">
                    <c:v>15/03/2024</c:v>
                  </c:pt>
                  <c:pt idx="1175">
                    <c:v>15/03/2024</c:v>
                  </c:pt>
                  <c:pt idx="1176">
                    <c:v>15/03/2024</c:v>
                  </c:pt>
                  <c:pt idx="1177">
                    <c:v>15/03/2024</c:v>
                  </c:pt>
                  <c:pt idx="1178">
                    <c:v>20/11/2025</c:v>
                  </c:pt>
                  <c:pt idx="1179">
                    <c:v>20/11/2025</c:v>
                  </c:pt>
                  <c:pt idx="1180">
                    <c:v>20/11/2025</c:v>
                  </c:pt>
                  <c:pt idx="1181">
                    <c:v>20/11/2025</c:v>
                  </c:pt>
                  <c:pt idx="1182">
                    <c:v>16/06/2022</c:v>
                  </c:pt>
                  <c:pt idx="1183">
                    <c:v>16/06/2022</c:v>
                  </c:pt>
                  <c:pt idx="1184">
                    <c:v>30/10/2025</c:v>
                  </c:pt>
                  <c:pt idx="1185">
                    <c:v>27/01/2024</c:v>
                  </c:pt>
                  <c:pt idx="1186">
                    <c:v>27/01/2024</c:v>
                  </c:pt>
                  <c:pt idx="1187">
                    <c:v>14/01/2021</c:v>
                  </c:pt>
                  <c:pt idx="1188">
                    <c:v>24/04/2024</c:v>
                  </c:pt>
                  <c:pt idx="1189">
                    <c:v>16/11/2022</c:v>
                  </c:pt>
                  <c:pt idx="1190">
                    <c:v>16/11/2022</c:v>
                  </c:pt>
                  <c:pt idx="1191">
                    <c:v>16/11/2022</c:v>
                  </c:pt>
                  <c:pt idx="1192">
                    <c:v>16/02/2022</c:v>
                  </c:pt>
                  <c:pt idx="1193">
                    <c:v>06/09/2023</c:v>
                  </c:pt>
                  <c:pt idx="1194">
                    <c:v>24/04/2024</c:v>
                  </c:pt>
                  <c:pt idx="1195">
                    <c:v>13/04/2023</c:v>
                  </c:pt>
                  <c:pt idx="1196">
                    <c:v>01/06/2021</c:v>
                  </c:pt>
                  <c:pt idx="1197">
                    <c:v>16/06/2022</c:v>
                  </c:pt>
                  <c:pt idx="1198">
                    <c:v>10/10/2025</c:v>
                  </c:pt>
                  <c:pt idx="1199">
                    <c:v>15/03/2024</c:v>
                  </c:pt>
                  <c:pt idx="1200">
                    <c:v>15/03/2024</c:v>
                  </c:pt>
                  <c:pt idx="1201">
                    <c:v>05/05/2021</c:v>
                  </c:pt>
                  <c:pt idx="1202">
                    <c:v>10/03/2021</c:v>
                  </c:pt>
                  <c:pt idx="1203">
                    <c:v>14/11/2023</c:v>
                  </c:pt>
                  <c:pt idx="1204">
                    <c:v>04/06/2025</c:v>
                  </c:pt>
                  <c:pt idx="1205">
                    <c:v>20/11/2025</c:v>
                  </c:pt>
                  <c:pt idx="1206">
                    <c:v>27/12/2024</c:v>
                  </c:pt>
                  <c:pt idx="1207">
                    <c:v>24/04/2020</c:v>
                  </c:pt>
                  <c:pt idx="1208">
                    <c:v>25/04/2024</c:v>
                  </c:pt>
                  <c:pt idx="1209">
                    <c:v>21/01/1900</c:v>
                  </c:pt>
                  <c:pt idx="1210">
                    <c:v>04/06/2025</c:v>
                  </c:pt>
                  <c:pt idx="1211">
                    <c:v>20/11/2025</c:v>
                  </c:pt>
                  <c:pt idx="1212">
                    <c:v>20/11/2025</c:v>
                  </c:pt>
                  <c:pt idx="1213">
                    <c:v>18/12/2025</c:v>
                  </c:pt>
                  <c:pt idx="1214">
                    <c:v>18/12/2025</c:v>
                  </c:pt>
                  <c:pt idx="1215">
                    <c:v>09/09/2025</c:v>
                  </c:pt>
                  <c:pt idx="1216">
                    <c:v>09/09/2025</c:v>
                  </c:pt>
                  <c:pt idx="1217">
                    <c:v>09/09/2025</c:v>
                  </c:pt>
                  <c:pt idx="1218">
                    <c:v>17/05/2025</c:v>
                  </c:pt>
                  <c:pt idx="1219">
                    <c:v>17/05/2025</c:v>
                  </c:pt>
                  <c:pt idx="1220">
                    <c:v>08/04/2025</c:v>
                  </c:pt>
                  <c:pt idx="1221">
                    <c:v>17/05/2025</c:v>
                  </c:pt>
                  <c:pt idx="1222">
                    <c:v>17/05/2025</c:v>
                  </c:pt>
                  <c:pt idx="1223">
                    <c:v>29/06/2022</c:v>
                  </c:pt>
                  <c:pt idx="1224">
                    <c:v>01/11/2023</c:v>
                  </c:pt>
                  <c:pt idx="1225">
                    <c:v>21/12/2023</c:v>
                  </c:pt>
                  <c:pt idx="1226">
                    <c:v>07/03/2024</c:v>
                  </c:pt>
                  <c:pt idx="1227">
                    <c:v>24/10/2024</c:v>
                  </c:pt>
                  <c:pt idx="1228">
                    <c:v>18/12/2025</c:v>
                  </c:pt>
                  <c:pt idx="1229">
                    <c:v>24/10/2024</c:v>
                  </c:pt>
                  <c:pt idx="1230">
                    <c:v>24/10/2024</c:v>
                  </c:pt>
                  <c:pt idx="1231">
                    <c:v>17/09/2025</c:v>
                  </c:pt>
                  <c:pt idx="1232">
                    <c:v>24/10/2024</c:v>
                  </c:pt>
                  <c:pt idx="1233">
                    <c:v>17/09/2025</c:v>
                  </c:pt>
                  <c:pt idx="1234">
                    <c:v>25/04/2024</c:v>
                  </c:pt>
                  <c:pt idx="1235">
                    <c:v>08/06/2020</c:v>
                  </c:pt>
                  <c:pt idx="1236">
                    <c:v>08/06/2020</c:v>
                  </c:pt>
                  <c:pt idx="1237">
                    <c:v>25/04/2025</c:v>
                  </c:pt>
                  <c:pt idx="1238">
                    <c:v>25/04/2025</c:v>
                  </c:pt>
                  <c:pt idx="1239">
                    <c:v>25/04/2025</c:v>
                  </c:pt>
                  <c:pt idx="1240">
                    <c:v>25/04/2025</c:v>
                  </c:pt>
                  <c:pt idx="1241">
                    <c:v>25/04/2025</c:v>
                  </c:pt>
                  <c:pt idx="1242">
                    <c:v>25/04/2025</c:v>
                  </c:pt>
                  <c:pt idx="1243">
                    <c:v>25/04/2025</c:v>
                  </c:pt>
                  <c:pt idx="1244">
                    <c:v>25/04/2025</c:v>
                  </c:pt>
                  <c:pt idx="1245">
                    <c:v>28/08/2024</c:v>
                  </c:pt>
                  <c:pt idx="1246">
                    <c:v>25/04/2025</c:v>
                  </c:pt>
                  <c:pt idx="1247">
                    <c:v>28/11/2023</c:v>
                  </c:pt>
                  <c:pt idx="1249">
                    <c:v>29/09/2025</c:v>
                  </c:pt>
                  <c:pt idx="1250">
                    <c:v>29/09/2025</c:v>
                  </c:pt>
                  <c:pt idx="1251">
                    <c:v>13/03/2024</c:v>
                  </c:pt>
                  <c:pt idx="1252">
                    <c:v>29/09/2025</c:v>
                  </c:pt>
                  <c:pt idx="1253">
                    <c:v>11/06/2025</c:v>
                  </c:pt>
                  <c:pt idx="1254">
                    <c:v>11/01/2025</c:v>
                  </c:pt>
                  <c:pt idx="1255">
                    <c:v>29/01/2024</c:v>
                  </c:pt>
                  <c:pt idx="1256">
                    <c:v>07/12/2021</c:v>
                  </c:pt>
                  <c:pt idx="1257">
                    <c:v>03/03/2023</c:v>
                  </c:pt>
                  <c:pt idx="1258">
                    <c:v>27/07/2023</c:v>
                  </c:pt>
                  <c:pt idx="1259">
                    <c:v>29/01/2024</c:v>
                  </c:pt>
                  <c:pt idx="1260">
                    <c:v>29/01/2024</c:v>
                  </c:pt>
                  <c:pt idx="1262">
                    <c:v>31/07/2024</c:v>
                  </c:pt>
                  <c:pt idx="1263">
                    <c:v>31/07/2024</c:v>
                  </c:pt>
                  <c:pt idx="1264">
                    <c:v>13/10/2022</c:v>
                  </c:pt>
                  <c:pt idx="1265">
                    <c:v>02/06/2022</c:v>
                  </c:pt>
                  <c:pt idx="1266">
                    <c:v>25/04/2024</c:v>
                  </c:pt>
                  <c:pt idx="1267">
                    <c:v>27/12/2024</c:v>
                  </c:pt>
                  <c:pt idx="1268">
                    <c:v>15/03/2024</c:v>
                  </c:pt>
                  <c:pt idx="1269">
                    <c:v>27/12/2024</c:v>
                  </c:pt>
                  <c:pt idx="1270">
                    <c:v>15/03/2024</c:v>
                  </c:pt>
                  <c:pt idx="1271">
                    <c:v>15/03/2024</c:v>
                  </c:pt>
                  <c:pt idx="1272">
                    <c:v>10/05/2023</c:v>
                  </c:pt>
                  <c:pt idx="1273">
                    <c:v>07/05/2021</c:v>
                  </c:pt>
                  <c:pt idx="1274">
                    <c:v>07/05/2021</c:v>
                  </c:pt>
                  <c:pt idx="1275">
                    <c:v>07/05/2021</c:v>
                  </c:pt>
                  <c:pt idx="1276">
                    <c:v>07/05/2021</c:v>
                  </c:pt>
                  <c:pt idx="1277">
                    <c:v>07/05/2021</c:v>
                  </c:pt>
                  <c:pt idx="1278">
                    <c:v>18/12/2024</c:v>
                  </c:pt>
                  <c:pt idx="1279">
                    <c:v>07/03/2024</c:v>
                  </c:pt>
                  <c:pt idx="1280">
                    <c:v>07/03/2024</c:v>
                  </c:pt>
                  <c:pt idx="1281">
                    <c:v>07/03/2024</c:v>
                  </c:pt>
                  <c:pt idx="1282">
                    <c:v>07/03/2024</c:v>
                  </c:pt>
                  <c:pt idx="1283">
                    <c:v>06/06/2024</c:v>
                  </c:pt>
                  <c:pt idx="1284">
                    <c:v>28/05/2025</c:v>
                  </c:pt>
                  <c:pt idx="1285">
                    <c:v>28/05/2025</c:v>
                  </c:pt>
                  <c:pt idx="1286">
                    <c:v>28/05/2025</c:v>
                  </c:pt>
                  <c:pt idx="1287">
                    <c:v>28/05/2025</c:v>
                  </c:pt>
                  <c:pt idx="1288">
                    <c:v>08/06/2020</c:v>
                  </c:pt>
                  <c:pt idx="1289">
                    <c:v>10/03/2020</c:v>
                  </c:pt>
                  <c:pt idx="1290">
                    <c:v>22/04/2024</c:v>
                  </c:pt>
                  <c:pt idx="1291">
                    <c:v>22/04/2024</c:v>
                  </c:pt>
                  <c:pt idx="1292">
                    <c:v>25/04/2024</c:v>
                  </c:pt>
                  <c:pt idx="1293">
                    <c:v>25/04/2024</c:v>
                  </c:pt>
                  <c:pt idx="1294">
                    <c:v>15/03/2024</c:v>
                  </c:pt>
                  <c:pt idx="1295">
                    <c:v>15/03/2024</c:v>
                  </c:pt>
                  <c:pt idx="1296">
                    <c:v>15/03/2024</c:v>
                  </c:pt>
                  <c:pt idx="1297">
                    <c:v>04/06/2025</c:v>
                  </c:pt>
                  <c:pt idx="1298">
                    <c:v>04/06/2025</c:v>
                  </c:pt>
                  <c:pt idx="1299">
                    <c:v>04/06/2025</c:v>
                  </c:pt>
                  <c:pt idx="1300">
                    <c:v>04/06/2025</c:v>
                  </c:pt>
                  <c:pt idx="1301">
                    <c:v>27/12/2023</c:v>
                  </c:pt>
                  <c:pt idx="1302">
                    <c:v>04/05/2024</c:v>
                  </c:pt>
                  <c:pt idx="1303">
                    <c:v>04/05/2024</c:v>
                  </c:pt>
                  <c:pt idx="1304">
                    <c:v>04/05/2024</c:v>
                  </c:pt>
                  <c:pt idx="1305">
                    <c:v>04/05/2024</c:v>
                  </c:pt>
                  <c:pt idx="1306">
                    <c:v>04/05/2024</c:v>
                  </c:pt>
                  <c:pt idx="1307">
                    <c:v>04/05/2024</c:v>
                  </c:pt>
                  <c:pt idx="1308">
                    <c:v>04/05/2024</c:v>
                  </c:pt>
                  <c:pt idx="1309">
                    <c:v>04/05/2024</c:v>
                  </c:pt>
                  <c:pt idx="1310">
                    <c:v>04/05/2024</c:v>
                  </c:pt>
                  <c:pt idx="1311">
                    <c:v>04/05/2024</c:v>
                  </c:pt>
                  <c:pt idx="1312">
                    <c:v>04/05/2024</c:v>
                  </c:pt>
                  <c:pt idx="1313">
                    <c:v>04/05/2024</c:v>
                  </c:pt>
                  <c:pt idx="1314">
                    <c:v>04/05/2024</c:v>
                  </c:pt>
                  <c:pt idx="1315">
                    <c:v>31/10/2025</c:v>
                  </c:pt>
                  <c:pt idx="1316">
                    <c:v>31/10/2025</c:v>
                  </c:pt>
                  <c:pt idx="1317">
                    <c:v>11/07/2025</c:v>
                  </c:pt>
                  <c:pt idx="1318">
                    <c:v>09/09/2025</c:v>
                  </c:pt>
                  <c:pt idx="1319">
                    <c:v>16/08/2023</c:v>
                  </c:pt>
                  <c:pt idx="1320">
                    <c:v>11/05/2023</c:v>
                  </c:pt>
                  <c:pt idx="1321">
                    <c:v>15/05/2021</c:v>
                  </c:pt>
                  <c:pt idx="1322">
                    <c:v>15/03/2024</c:v>
                  </c:pt>
                  <c:pt idx="1323">
                    <c:v>25/09/2025</c:v>
                  </c:pt>
                  <c:pt idx="1324">
                    <c:v>15/03/2024</c:v>
                  </c:pt>
                  <c:pt idx="1325">
                    <c:v>02/10/2026</c:v>
                  </c:pt>
                  <c:pt idx="1326">
                    <c:v>27/01/2024</c:v>
                  </c:pt>
                  <c:pt idx="1327">
                    <c:v>10/09/2024</c:v>
                  </c:pt>
                  <c:pt idx="1328">
                    <c:v>20/11/2025</c:v>
                  </c:pt>
                  <c:pt idx="1329">
                    <c:v>08/06/2020</c:v>
                  </c:pt>
                  <c:pt idx="1330">
                    <c:v>15/07/2021</c:v>
                  </c:pt>
                  <c:pt idx="1331">
                    <c:v>08/06/2020</c:v>
                  </c:pt>
                  <c:pt idx="1332">
                    <c:v>08/06/2020</c:v>
                  </c:pt>
                  <c:pt idx="1333">
                    <c:v>09/09/2025</c:v>
                  </c:pt>
                  <c:pt idx="1334">
                    <c:v>25/04/2025</c:v>
                  </c:pt>
                  <c:pt idx="1335">
                    <c:v>27/12/2023</c:v>
                  </c:pt>
                  <c:pt idx="1336">
                    <c:v>25/04/2025</c:v>
                  </c:pt>
                  <c:pt idx="1337">
                    <c:v>11/07/2025</c:v>
                  </c:pt>
                  <c:pt idx="1338">
                    <c:v>25/04/2025</c:v>
                  </c:pt>
                  <c:pt idx="1339">
                    <c:v>25/04/2024</c:v>
                  </c:pt>
                  <c:pt idx="1340">
                    <c:v>25/04/2024</c:v>
                  </c:pt>
                  <c:pt idx="1341">
                    <c:v>25/04/2024</c:v>
                  </c:pt>
                  <c:pt idx="1342">
                    <c:v>27/12/2024</c:v>
                  </c:pt>
                  <c:pt idx="1343">
                    <c:v>04/06/2025</c:v>
                  </c:pt>
                  <c:pt idx="1344">
                    <c:v>20/11/2025</c:v>
                  </c:pt>
                  <c:pt idx="1345">
                    <c:v>30/10/2025</c:v>
                  </c:pt>
                  <c:pt idx="1346">
                    <c:v>10/09/2024</c:v>
                  </c:pt>
                  <c:pt idx="1347">
                    <c:v>20/11/2025</c:v>
                  </c:pt>
                  <c:pt idx="1348">
                    <c:v>08/06/2020</c:v>
                  </c:pt>
                  <c:pt idx="1349">
                    <c:v>20/11/2025</c:v>
                  </c:pt>
                  <c:pt idx="1350">
                    <c:v>10/09/2024</c:v>
                  </c:pt>
                  <c:pt idx="1351">
                    <c:v>10/09/2024</c:v>
                  </c:pt>
                  <c:pt idx="1352">
                    <c:v>10/09/2024</c:v>
                  </c:pt>
                  <c:pt idx="1353">
                    <c:v>27/12/2024</c:v>
                  </c:pt>
                  <c:pt idx="1354">
                    <c:v>30/10/2025</c:v>
                  </c:pt>
                  <c:pt idx="1355">
                    <c:v>19/08/2020</c:v>
                  </c:pt>
                  <c:pt idx="1356">
                    <c:v>19/08/2020</c:v>
                  </c:pt>
                  <c:pt idx="1357">
                    <c:v>10/09/2023</c:v>
                  </c:pt>
                  <c:pt idx="1358">
                    <c:v>27/12/2023</c:v>
                  </c:pt>
                  <c:pt idx="1359">
                    <c:v>04/11/2025</c:v>
                  </c:pt>
                  <c:pt idx="1360">
                    <c:v>07/05/2021</c:v>
                  </c:pt>
                  <c:pt idx="1361">
                    <c:v>10/09/2024</c:v>
                  </c:pt>
                  <c:pt idx="1362">
                    <c:v>10/09/2024</c:v>
                  </c:pt>
                  <c:pt idx="1363">
                    <c:v>10/09/2024</c:v>
                  </c:pt>
                  <c:pt idx="1364">
                    <c:v>06/06/2025</c:v>
                  </c:pt>
                  <c:pt idx="1365">
                    <c:v>09/09/2025</c:v>
                  </c:pt>
                  <c:pt idx="1366">
                    <c:v>09/09/2025</c:v>
                  </c:pt>
                  <c:pt idx="1367">
                    <c:v>09/09/2025</c:v>
                  </c:pt>
                  <c:pt idx="1368">
                    <c:v>09/09/2025</c:v>
                  </c:pt>
                  <c:pt idx="1369">
                    <c:v>09/09/2025</c:v>
                  </c:pt>
                  <c:pt idx="1370">
                    <c:v>07/05/2021</c:v>
                  </c:pt>
                  <c:pt idx="1371">
                    <c:v>16/08/2022</c:v>
                  </c:pt>
                  <c:pt idx="1372">
                    <c:v>16/08/2022</c:v>
                  </c:pt>
                  <c:pt idx="1373">
                    <c:v>09/05/2022</c:v>
                  </c:pt>
                  <c:pt idx="1374">
                    <c:v>22/04/2024</c:v>
                  </c:pt>
                  <c:pt idx="1375">
                    <c:v>18/12/2025</c:v>
                  </c:pt>
                  <c:pt idx="1376">
                    <c:v>26/02/2025</c:v>
                  </c:pt>
                  <c:pt idx="1377">
                    <c:v>26/02/2025</c:v>
                  </c:pt>
                  <c:pt idx="1378">
                    <c:v>26/02/2025</c:v>
                  </c:pt>
                  <c:pt idx="1379">
                    <c:v>30/10/2025</c:v>
                  </c:pt>
                  <c:pt idx="1380">
                    <c:v>30/10/2025</c:v>
                  </c:pt>
                  <c:pt idx="1381">
                    <c:v>08/03/2022</c:v>
                  </c:pt>
                  <c:pt idx="1382">
                    <c:v>15/06/2021</c:v>
                  </c:pt>
                  <c:pt idx="1383">
                    <c:v>08/06/2020</c:v>
                  </c:pt>
                  <c:pt idx="1384">
                    <c:v>07/05/2021</c:v>
                  </c:pt>
                  <c:pt idx="1385">
                    <c:v>08/06/2020</c:v>
                  </c:pt>
                  <c:pt idx="1386">
                    <c:v>26/02/2025</c:v>
                  </c:pt>
                  <c:pt idx="1388">
                    <c:v>07/07/2022</c:v>
                  </c:pt>
                  <c:pt idx="1389">
                    <c:v>07/07/2022</c:v>
                  </c:pt>
                  <c:pt idx="1390">
                    <c:v>07/07/2022</c:v>
                  </c:pt>
                  <c:pt idx="1391">
                    <c:v>07/07/2022</c:v>
                  </c:pt>
                  <c:pt idx="1392">
                    <c:v>16/03/2023</c:v>
                  </c:pt>
                  <c:pt idx="1393">
                    <c:v>16/03/2023</c:v>
                  </c:pt>
                  <c:pt idx="1394">
                    <c:v>04/11/2025</c:v>
                  </c:pt>
                  <c:pt idx="1395">
                    <c:v>04/11/2025</c:v>
                  </c:pt>
                  <c:pt idx="1396">
                    <c:v>04/11/2025</c:v>
                  </c:pt>
                  <c:pt idx="1397">
                    <c:v>04/11/2025</c:v>
                  </c:pt>
                  <c:pt idx="1398">
                    <c:v>04/11/2025</c:v>
                  </c:pt>
                  <c:pt idx="1399">
                    <c:v>24/05/2021</c:v>
                  </c:pt>
                  <c:pt idx="1400">
                    <c:v>20/03/2023</c:v>
                  </c:pt>
                  <c:pt idx="1401">
                    <c:v>13/01/2023</c:v>
                  </c:pt>
                  <c:pt idx="1402">
                    <c:v>17/10/2025</c:v>
                  </c:pt>
                  <c:pt idx="1403">
                    <c:v>30/10/2025</c:v>
                  </c:pt>
                  <c:pt idx="1404">
                    <c:v>30/10/2025</c:v>
                  </c:pt>
                  <c:pt idx="1405">
                    <c:v>16/03/2023</c:v>
                  </c:pt>
                  <c:pt idx="1406">
                    <c:v>16/03/2023</c:v>
                  </c:pt>
                  <c:pt idx="1407">
                    <c:v>21/10/2020</c:v>
                  </c:pt>
                  <c:pt idx="1408">
                    <c:v>15/03/2024</c:v>
                  </c:pt>
                  <c:pt idx="1409">
                    <c:v>15/03/2024</c:v>
                  </c:pt>
                  <c:pt idx="1410">
                    <c:v>15/03/2024</c:v>
                  </c:pt>
                  <c:pt idx="1411">
                    <c:v>15/03/2024</c:v>
                  </c:pt>
                  <c:pt idx="1412">
                    <c:v>15/03/2024</c:v>
                  </c:pt>
                  <c:pt idx="1413">
                    <c:v>15/03/2024</c:v>
                  </c:pt>
                  <c:pt idx="1414">
                    <c:v>15/03/2024</c:v>
                  </c:pt>
                  <c:pt idx="1415">
                    <c:v>15/03/2024</c:v>
                  </c:pt>
                  <c:pt idx="1416">
                    <c:v>15/03/2024</c:v>
                  </c:pt>
                  <c:pt idx="1417">
                    <c:v>15/03/2024</c:v>
                  </c:pt>
                  <c:pt idx="1418">
                    <c:v>15/03/2024</c:v>
                  </c:pt>
                  <c:pt idx="1419">
                    <c:v>15/10/2025</c:v>
                  </c:pt>
                  <c:pt idx="1420">
                    <c:v>12/12/2025</c:v>
                  </c:pt>
                  <c:pt idx="1421">
                    <c:v>10/10/2025</c:v>
                  </c:pt>
                  <c:pt idx="1422">
                    <c:v>29/04/2025</c:v>
                  </c:pt>
                  <c:pt idx="1423">
                    <c:v>12/12/2025</c:v>
                  </c:pt>
                  <c:pt idx="1424">
                    <c:v>12/12/2025</c:v>
                  </c:pt>
                  <c:pt idx="1425">
                    <c:v>12/12/2025</c:v>
                  </c:pt>
                  <c:pt idx="1426">
                    <c:v>10/10/2025</c:v>
                  </c:pt>
                  <c:pt idx="1427">
                    <c:v>10/10/2025</c:v>
                  </c:pt>
                  <c:pt idx="1428">
                    <c:v>01/11/2023</c:v>
                  </c:pt>
                  <c:pt idx="1429">
                    <c:v>10/10/2025</c:v>
                  </c:pt>
                  <c:pt idx="1430">
                    <c:v>10/03/2020</c:v>
                  </c:pt>
                  <c:pt idx="1431">
                    <c:v>10/03/2020</c:v>
                  </c:pt>
                  <c:pt idx="1432">
                    <c:v>10/03/2020</c:v>
                  </c:pt>
                  <c:pt idx="1433">
                    <c:v>17/09/2025</c:v>
                  </c:pt>
                  <c:pt idx="1434">
                    <c:v>17/09/2025</c:v>
                  </c:pt>
                  <c:pt idx="1436">
                    <c:v>11/11/2025</c:v>
                  </c:pt>
                  <c:pt idx="1437">
                    <c:v>11/11/2025</c:v>
                  </c:pt>
                  <c:pt idx="1438">
                    <c:v>18/11/2025</c:v>
                  </c:pt>
                  <c:pt idx="1439">
                    <c:v>18/11/2025</c:v>
                  </c:pt>
                  <c:pt idx="1440">
                    <c:v>10/12/2021</c:v>
                  </c:pt>
                  <c:pt idx="1441">
                    <c:v>14/11/2023</c:v>
                  </c:pt>
                  <c:pt idx="1442">
                    <c:v>30/12/2022</c:v>
                  </c:pt>
                  <c:pt idx="1443">
                    <c:v>05/05/2025</c:v>
                  </c:pt>
                  <c:pt idx="1444">
                    <c:v>30/12/2022</c:v>
                  </c:pt>
                  <c:pt idx="1446">
                    <c:v>10/12/2025</c:v>
                  </c:pt>
                  <c:pt idx="1447">
                    <c:v>10/12/2025</c:v>
                  </c:pt>
                  <c:pt idx="1448">
                    <c:v>10/12/2025</c:v>
                  </c:pt>
                  <c:pt idx="1449">
                    <c:v>12-nov</c:v>
                  </c:pt>
                  <c:pt idx="1450">
                    <c:v>09/12/2024</c:v>
                  </c:pt>
                  <c:pt idx="1451">
                    <c:v>21/10/2023</c:v>
                  </c:pt>
                  <c:pt idx="1452">
                    <c:v>20/11/2025</c:v>
                  </c:pt>
                  <c:pt idx="1453">
                    <c:v>20/11/2025</c:v>
                  </c:pt>
                  <c:pt idx="1454">
                    <c:v>07/10/2024</c:v>
                  </c:pt>
                  <c:pt idx="1456">
                    <c:v>25/10/2023</c:v>
                  </c:pt>
                  <c:pt idx="1457">
                    <c:v>20/10/2023</c:v>
                  </c:pt>
                  <c:pt idx="1458">
                    <c:v>11/01/2025</c:v>
                  </c:pt>
                  <c:pt idx="1459">
                    <c:v>30/10/2025</c:v>
                  </c:pt>
                  <c:pt idx="1460">
                    <c:v>30/10/2025</c:v>
                  </c:pt>
                  <c:pt idx="1461">
                    <c:v>02/11/2023</c:v>
                  </c:pt>
                  <c:pt idx="1462">
                    <c:v>10/03/2020</c:v>
                  </c:pt>
                  <c:pt idx="1463">
                    <c:v>16/06/2025</c:v>
                  </c:pt>
                  <c:pt idx="1464">
                    <c:v>16/06/2025</c:v>
                  </c:pt>
                  <c:pt idx="1465">
                    <c:v>18/01/2023</c:v>
                  </c:pt>
                  <c:pt idx="1466">
                    <c:v>09/05/2023</c:v>
                  </c:pt>
                  <c:pt idx="1467">
                    <c:v>26/07/2022</c:v>
                  </c:pt>
                  <c:pt idx="1468">
                    <c:v>30/01/2025</c:v>
                  </c:pt>
                  <c:pt idx="1469">
                    <c:v>06/09/2024</c:v>
                  </c:pt>
                  <c:pt idx="1470">
                    <c:v>13/03/2024</c:v>
                  </c:pt>
                  <c:pt idx="1471">
                    <c:v>13/08/2020</c:v>
                  </c:pt>
                  <c:pt idx="1472">
                    <c:v>13/08/2020</c:v>
                  </c:pt>
                  <c:pt idx="1473">
                    <c:v>13/08/2020</c:v>
                  </c:pt>
                  <c:pt idx="1474">
                    <c:v>21/06/2023</c:v>
                  </c:pt>
                  <c:pt idx="1475">
                    <c:v>21/06/2023</c:v>
                  </c:pt>
                  <c:pt idx="1476">
                    <c:v>27/02/2025</c:v>
                  </c:pt>
                  <c:pt idx="1477">
                    <c:v>02/10/2024</c:v>
                  </c:pt>
                  <c:pt idx="1478">
                    <c:v>09/10/2025</c:v>
                  </c:pt>
                  <c:pt idx="1479">
                    <c:v>05/05/2020</c:v>
                  </c:pt>
                  <c:pt idx="1480">
                    <c:v>10/03/2020</c:v>
                  </c:pt>
                  <c:pt idx="1481">
                    <c:v>28/06/2022</c:v>
                  </c:pt>
                  <c:pt idx="1483">
                    <c:v>25/04/2022</c:v>
                  </c:pt>
                  <c:pt idx="1484">
                    <c:v>20/11/2025</c:v>
                  </c:pt>
                  <c:pt idx="1485">
                    <c:v>25/10/2024</c:v>
                  </c:pt>
                  <c:pt idx="1486">
                    <c:v>07/10/2025</c:v>
                  </c:pt>
                  <c:pt idx="1487">
                    <c:v>07/10/2025</c:v>
                  </c:pt>
                  <c:pt idx="1488">
                    <c:v>02/10/2024</c:v>
                  </c:pt>
                  <c:pt idx="1489">
                    <c:v>10/03/2020</c:v>
                  </c:pt>
                  <c:pt idx="1490">
                    <c:v>02/10/2024</c:v>
                  </c:pt>
                  <c:pt idx="1491">
                    <c:v>20/11/2025</c:v>
                  </c:pt>
                  <c:pt idx="1492">
                    <c:v>20/11/2025</c:v>
                  </c:pt>
                  <c:pt idx="1493">
                    <c:v>21/11/2025</c:v>
                  </c:pt>
                  <c:pt idx="1494">
                    <c:v>21/11/2025</c:v>
                  </c:pt>
                  <c:pt idx="1495">
                    <c:v>21/11/2025</c:v>
                  </c:pt>
                  <c:pt idx="1496">
                    <c:v>24/11/2021</c:v>
                  </c:pt>
                  <c:pt idx="1497">
                    <c:v>16/03/2020</c:v>
                  </c:pt>
                  <c:pt idx="1498">
                    <c:v>22/03/2022</c:v>
                  </c:pt>
                  <c:pt idx="1499">
                    <c:v>01/10/2020</c:v>
                  </c:pt>
                  <c:pt idx="1500">
                    <c:v>01/10/2020</c:v>
                  </c:pt>
                  <c:pt idx="1501">
                    <c:v>01/10/2020</c:v>
                  </c:pt>
                  <c:pt idx="1502">
                    <c:v>01/10/2020</c:v>
                  </c:pt>
                  <c:pt idx="1503">
                    <c:v>23/04/2025</c:v>
                  </c:pt>
                  <c:pt idx="1504">
                    <c:v>14/07/2021</c:v>
                  </c:pt>
                  <c:pt idx="1505">
                    <c:v>10/12/2024</c:v>
                  </c:pt>
                  <c:pt idx="1506">
                    <c:v>22/04/2025</c:v>
                  </c:pt>
                  <c:pt idx="1507">
                    <c:v>01/07/2020</c:v>
                  </c:pt>
                  <c:pt idx="1508">
                    <c:v>12/02/2025</c:v>
                  </c:pt>
                  <c:pt idx="1509">
                    <c:v>12/02/2025</c:v>
                  </c:pt>
                  <c:pt idx="1510">
                    <c:v>04/07/2025</c:v>
                  </c:pt>
                  <c:pt idx="1511">
                    <c:v>27/11/2025</c:v>
                  </c:pt>
                  <c:pt idx="1512">
                    <c:v>31/05/2025</c:v>
                  </c:pt>
                  <c:pt idx="1513">
                    <c:v>10/10/2022</c:v>
                  </c:pt>
                  <c:pt idx="1514">
                    <c:v>27/11/2025</c:v>
                  </c:pt>
                  <c:pt idx="1515">
                    <c:v>23/12/2024</c:v>
                  </c:pt>
                  <c:pt idx="1516">
                    <c:v>23/12/2024</c:v>
                  </c:pt>
                  <c:pt idx="1517">
                    <c:v>23/12/2024</c:v>
                  </c:pt>
                  <c:pt idx="1518">
                    <c:v>23/12/2024</c:v>
                  </c:pt>
                  <c:pt idx="1519">
                    <c:v>01/03/2023</c:v>
                  </c:pt>
                  <c:pt idx="1520">
                    <c:v>01/03/2023</c:v>
                  </c:pt>
                  <c:pt idx="1522">
                    <c:v>26/05/2020</c:v>
                  </c:pt>
                  <c:pt idx="1523">
                    <c:v>30/04/2025</c:v>
                  </c:pt>
                  <c:pt idx="1524">
                    <c:v>30/04/2025</c:v>
                  </c:pt>
                  <c:pt idx="1525">
                    <c:v>26/09/2024</c:v>
                  </c:pt>
                  <c:pt idx="1526">
                    <c:v>10/05/2023</c:v>
                  </c:pt>
                  <c:pt idx="1527">
                    <c:v>12/11/2023</c:v>
                  </c:pt>
                  <c:pt idx="1528">
                    <c:v>10/10/2024</c:v>
                  </c:pt>
                  <c:pt idx="1529">
                    <c:v>03/09/2024</c:v>
                  </c:pt>
                  <c:pt idx="1530">
                    <c:v>28/10/2025</c:v>
                  </c:pt>
                  <c:pt idx="1531">
                    <c:v>28/10/2025</c:v>
                  </c:pt>
                  <c:pt idx="1532">
                    <c:v>15/10/2025</c:v>
                  </c:pt>
                  <c:pt idx="1533">
                    <c:v>17/05/2022</c:v>
                  </c:pt>
                  <c:pt idx="1534">
                    <c:v>06/04/2022</c:v>
                  </c:pt>
                  <c:pt idx="1535">
                    <c:v>11/08/2025</c:v>
                  </c:pt>
                  <c:pt idx="1536">
                    <c:v>18/12/2025</c:v>
                  </c:pt>
                  <c:pt idx="1537">
                    <c:v>26/05/2021</c:v>
                  </c:pt>
                  <c:pt idx="1538">
                    <c:v>10/09/2024</c:v>
                  </c:pt>
                  <c:pt idx="1539">
                    <c:v>28/10/2023</c:v>
                  </c:pt>
                  <c:pt idx="1540">
                    <c:v>09/07/2021</c:v>
                  </c:pt>
                  <c:pt idx="1541">
                    <c:v>15/05/2024</c:v>
                  </c:pt>
                  <c:pt idx="1542">
                    <c:v>18/05/2022</c:v>
                  </c:pt>
                  <c:pt idx="1543">
                    <c:v>10/03/2020</c:v>
                  </c:pt>
                  <c:pt idx="1544">
                    <c:v>12/03/2021</c:v>
                  </c:pt>
                  <c:pt idx="1545">
                    <c:v>12/03/2021</c:v>
                  </c:pt>
                  <c:pt idx="1546">
                    <c:v>07/10/2024</c:v>
                  </c:pt>
                  <c:pt idx="1547">
                    <c:v>07/10/2024</c:v>
                  </c:pt>
                  <c:pt idx="1548">
                    <c:v>07/12/2023</c:v>
                  </c:pt>
                  <c:pt idx="1549">
                    <c:v>27/11/2025</c:v>
                  </c:pt>
                  <c:pt idx="1550">
                    <c:v>27/11/2025</c:v>
                  </c:pt>
                  <c:pt idx="1551">
                    <c:v>27/11/2025</c:v>
                  </c:pt>
                  <c:pt idx="1552">
                    <c:v>26/06/2024</c:v>
                  </c:pt>
                  <c:pt idx="1553">
                    <c:v>06/11/2024</c:v>
                  </c:pt>
                  <c:pt idx="1554">
                    <c:v>06/11/2024</c:v>
                  </c:pt>
                  <c:pt idx="1555">
                    <c:v>28/06/2022</c:v>
                  </c:pt>
                  <c:pt idx="1556">
                    <c:v>20/03/2025</c:v>
                  </c:pt>
                  <c:pt idx="1557">
                    <c:v>20/03/2025</c:v>
                  </c:pt>
                  <c:pt idx="1558">
                    <c:v>19/03/2020</c:v>
                  </c:pt>
                  <c:pt idx="1559">
                    <c:v>20/03/2025</c:v>
                  </c:pt>
                  <c:pt idx="1560">
                    <c:v>30/03/2023</c:v>
                  </c:pt>
                  <c:pt idx="1561">
                    <c:v>25/03/2023</c:v>
                  </c:pt>
                  <c:pt idx="1562">
                    <c:v>25/03/2025</c:v>
                  </c:pt>
                  <c:pt idx="1563">
                    <c:v>30/12/2020</c:v>
                  </c:pt>
                  <c:pt idx="1564">
                    <c:v>30/12/2020</c:v>
                  </c:pt>
                  <c:pt idx="1565">
                    <c:v>30/12/2020</c:v>
                  </c:pt>
                  <c:pt idx="1566">
                    <c:v>09/04/2021</c:v>
                  </c:pt>
                  <c:pt idx="1567">
                    <c:v>20/06/2020</c:v>
                  </c:pt>
                  <c:pt idx="1568">
                    <c:v>20/06/2020</c:v>
                  </c:pt>
                  <c:pt idx="1569">
                    <c:v>02/04/2022</c:v>
                  </c:pt>
                  <c:pt idx="1570">
                    <c:v>13/03/2023</c:v>
                  </c:pt>
                  <c:pt idx="1571">
                    <c:v>11/04/2022</c:v>
                  </c:pt>
                  <c:pt idx="1572">
                    <c:v>18/01/2023</c:v>
                  </c:pt>
                  <c:pt idx="1574">
                    <c:v>21/11/2025</c:v>
                  </c:pt>
                  <c:pt idx="1575">
                    <c:v>09/05/2023</c:v>
                  </c:pt>
                  <c:pt idx="1576">
                    <c:v>13/01/2023</c:v>
                  </c:pt>
                  <c:pt idx="1577">
                    <c:v>11/06/2025</c:v>
                  </c:pt>
                  <c:pt idx="1578">
                    <c:v>01/10/2020</c:v>
                  </c:pt>
                  <c:pt idx="1579">
                    <c:v>25/11/2023</c:v>
                  </c:pt>
                  <c:pt idx="1580">
                    <c:v>25/11/2023</c:v>
                  </c:pt>
                  <c:pt idx="1581">
                    <c:v>18/01/2023</c:v>
                  </c:pt>
                  <c:pt idx="1582">
                    <c:v>25/11/2023</c:v>
                  </c:pt>
                  <c:pt idx="1583">
                    <c:v>07/02/2024</c:v>
                  </c:pt>
                  <c:pt idx="1584">
                    <c:v>13/10/2022</c:v>
                  </c:pt>
                  <c:pt idx="1585">
                    <c:v>27/07/2022</c:v>
                  </c:pt>
                  <c:pt idx="1586">
                    <c:v>27/07/2022</c:v>
                  </c:pt>
                  <c:pt idx="1587">
                    <c:v>21/04/2025</c:v>
                  </c:pt>
                  <c:pt idx="1588">
                    <c:v>23/09/2025</c:v>
                  </c:pt>
                  <c:pt idx="1589">
                    <c:v>23/09/2025</c:v>
                  </c:pt>
                  <c:pt idx="1590">
                    <c:v>01/01/2025</c:v>
                  </c:pt>
                  <c:pt idx="1591">
                    <c:v>30/01/2025</c:v>
                  </c:pt>
                  <c:pt idx="1592">
                    <c:v>30/01/2025</c:v>
                  </c:pt>
                  <c:pt idx="1593">
                    <c:v>14/03/2024</c:v>
                  </c:pt>
                  <c:pt idx="1594">
                    <c:v>13/07/2023</c:v>
                  </c:pt>
                  <c:pt idx="1595">
                    <c:v>13/07/2023</c:v>
                  </c:pt>
                  <c:pt idx="1596">
                    <c:v>08/04/2024</c:v>
                  </c:pt>
                  <c:pt idx="1597">
                    <c:v>08/04/2024</c:v>
                  </c:pt>
                  <c:pt idx="1598">
                    <c:v>28/09/2022</c:v>
                  </c:pt>
                  <c:pt idx="1599">
                    <c:v>11/03/2025</c:v>
                  </c:pt>
                  <c:pt idx="1600">
                    <c:v>11/03/2025</c:v>
                  </c:pt>
                  <c:pt idx="1601">
                    <c:v>01/07/2025</c:v>
                  </c:pt>
                  <c:pt idx="1602">
                    <c:v>11/03/2025</c:v>
                  </c:pt>
                  <c:pt idx="1603">
                    <c:v>11/03/2025</c:v>
                  </c:pt>
                  <c:pt idx="1604">
                    <c:v>02/07/2024</c:v>
                  </c:pt>
                  <c:pt idx="1605">
                    <c:v>23/11/2023</c:v>
                  </c:pt>
                  <c:pt idx="1606">
                    <c:v>23/11/2023</c:v>
                  </c:pt>
                  <c:pt idx="1607">
                    <c:v>08/04/2024</c:v>
                  </c:pt>
                  <c:pt idx="1608">
                    <c:v>20/10/2022</c:v>
                  </c:pt>
                  <c:pt idx="1609">
                    <c:v>08/04/2024</c:v>
                  </c:pt>
                  <c:pt idx="1610">
                    <c:v>29/03/2023</c:v>
                  </c:pt>
                  <c:pt idx="1611">
                    <c:v>29/03/2023</c:v>
                  </c:pt>
                  <c:pt idx="1612">
                    <c:v>29/03/2023</c:v>
                  </c:pt>
                  <c:pt idx="1613">
                    <c:v>29/03/2023</c:v>
                  </c:pt>
                  <c:pt idx="1614">
                    <c:v>29/03/2023</c:v>
                  </c:pt>
                  <c:pt idx="1615">
                    <c:v>16/07/2024</c:v>
                  </c:pt>
                  <c:pt idx="1616">
                    <c:v>16/07/2024</c:v>
                  </c:pt>
                  <c:pt idx="1617">
                    <c:v>14/03/2024</c:v>
                  </c:pt>
                  <c:pt idx="1618">
                    <c:v>23/09/2025</c:v>
                  </c:pt>
                  <c:pt idx="1619">
                    <c:v>23/09/2025</c:v>
                  </c:pt>
                  <c:pt idx="1620">
                    <c:v>30/01/2023</c:v>
                  </c:pt>
                  <c:pt idx="1621">
                    <c:v>29/07/2022</c:v>
                  </c:pt>
                  <c:pt idx="1622">
                    <c:v>29/07/2022</c:v>
                  </c:pt>
                  <c:pt idx="1623">
                    <c:v>29/07/2022</c:v>
                  </c:pt>
                  <c:pt idx="1624">
                    <c:v>30/01/2023</c:v>
                  </c:pt>
                  <c:pt idx="1625">
                    <c:v>23/09/2025</c:v>
                  </c:pt>
                  <c:pt idx="1626">
                    <c:v>23/09/2025</c:v>
                  </c:pt>
                  <c:pt idx="1627">
                    <c:v>01/02/2024</c:v>
                  </c:pt>
                  <c:pt idx="1628">
                    <c:v>13/03/2023</c:v>
                  </c:pt>
                  <c:pt idx="1629">
                    <c:v>01/02/2024</c:v>
                  </c:pt>
                  <c:pt idx="1630">
                    <c:v>01/02/2024</c:v>
                  </c:pt>
                  <c:pt idx="1631">
                    <c:v>12/07/2025</c:v>
                  </c:pt>
                  <c:pt idx="1632">
                    <c:v>12/07/2025</c:v>
                  </c:pt>
                  <c:pt idx="1633">
                    <c:v>03/10/2016</c:v>
                  </c:pt>
                  <c:pt idx="1634">
                    <c:v>19/06/2024</c:v>
                  </c:pt>
                  <c:pt idx="1635">
                    <c:v>30/01/2025</c:v>
                  </c:pt>
                  <c:pt idx="1636">
                    <c:v>10/12/2025</c:v>
                  </c:pt>
                  <c:pt idx="1637">
                    <c:v>10/12/2025</c:v>
                  </c:pt>
                  <c:pt idx="1638">
                    <c:v>23/07/2025</c:v>
                  </c:pt>
                  <c:pt idx="1639">
                    <c:v>23/07/2025</c:v>
                  </c:pt>
                  <c:pt idx="1640">
                    <c:v>06/01/2023</c:v>
                  </c:pt>
                  <c:pt idx="1641">
                    <c:v>03/11/2025</c:v>
                  </c:pt>
                  <c:pt idx="1642">
                    <c:v>09/11/2025</c:v>
                  </c:pt>
                  <c:pt idx="1643">
                    <c:v>01/07/2025</c:v>
                  </c:pt>
                  <c:pt idx="1644">
                    <c:v>01/07/2025</c:v>
                  </c:pt>
                  <c:pt idx="1645">
                    <c:v>01/07/2025</c:v>
                  </c:pt>
                  <c:pt idx="1646">
                    <c:v>01/01/2025</c:v>
                  </c:pt>
                  <c:pt idx="1647">
                    <c:v>01/01/2025</c:v>
                  </c:pt>
                  <c:pt idx="1648">
                    <c:v>20/10/2022</c:v>
                  </c:pt>
                  <c:pt idx="1649">
                    <c:v>30/04/2025</c:v>
                  </c:pt>
                  <c:pt idx="1650">
                    <c:v>20/11/2025</c:v>
                  </c:pt>
                  <c:pt idx="1651">
                    <c:v>02/10/2024</c:v>
                  </c:pt>
                  <c:pt idx="1652">
                    <c:v>30/12/2025</c:v>
                  </c:pt>
                  <c:pt idx="1653">
                    <c:v>23/09/2024</c:v>
                  </c:pt>
                  <c:pt idx="1654">
                    <c:v>30/12/2025</c:v>
                  </c:pt>
                  <c:pt idx="1655">
                    <c:v>25/05/2023</c:v>
                  </c:pt>
                  <c:pt idx="1656">
                    <c:v>21/08/2025</c:v>
                  </c:pt>
                  <c:pt idx="1657">
                    <c:v>21/09/2023</c:v>
                  </c:pt>
                  <c:pt idx="1658">
                    <c:v>20/06/2024</c:v>
                  </c:pt>
                  <c:pt idx="1659">
                    <c:v>20/06/2024</c:v>
                  </c:pt>
                  <c:pt idx="1660">
                    <c:v>30/12/2025</c:v>
                  </c:pt>
                  <c:pt idx="1661">
                    <c:v>17/08/2025</c:v>
                  </c:pt>
                  <c:pt idx="1662">
                    <c:v>08/04/2025</c:v>
                  </c:pt>
                  <c:pt idx="1663">
                    <c:v>07/07/2025</c:v>
                  </c:pt>
                  <c:pt idx="1664">
                    <c:v>03/06/2024</c:v>
                  </c:pt>
                  <c:pt idx="1665">
                    <c:v>14/06/2023</c:v>
                  </c:pt>
                  <c:pt idx="1666">
                    <c:v>14/08/2024</c:v>
                  </c:pt>
                  <c:pt idx="1667">
                    <c:v>14/08/2024</c:v>
                  </c:pt>
                  <c:pt idx="1668">
                    <c:v>18/01/2023</c:v>
                  </c:pt>
                  <c:pt idx="1669">
                    <c:v>15/05/2024</c:v>
                  </c:pt>
                  <c:pt idx="1670">
                    <c:v>30/10/2025</c:v>
                  </c:pt>
                  <c:pt idx="1671">
                    <c:v>13/07/2022</c:v>
                  </c:pt>
                  <c:pt idx="1672">
                    <c:v>20/02/2020</c:v>
                  </c:pt>
                  <c:pt idx="1673">
                    <c:v>07/04/2021</c:v>
                  </c:pt>
                  <c:pt idx="1674">
                    <c:v>19/06/2025</c:v>
                  </c:pt>
                  <c:pt idx="1675">
                    <c:v>20/03/2025</c:v>
                  </c:pt>
                  <c:pt idx="1676">
                    <c:v>20/11/2025</c:v>
                  </c:pt>
                  <c:pt idx="1677">
                    <c:v>20/11/2025</c:v>
                  </c:pt>
                  <c:pt idx="1678">
                    <c:v>10/12/2024</c:v>
                  </c:pt>
                  <c:pt idx="1679">
                    <c:v>10/12/2024</c:v>
                  </c:pt>
                  <c:pt idx="1680">
                    <c:v>07/10/2024</c:v>
                  </c:pt>
                  <c:pt idx="1681">
                    <c:v>16/07/2024</c:v>
                  </c:pt>
                  <c:pt idx="1682">
                    <c:v>10/12/2024</c:v>
                  </c:pt>
                  <c:pt idx="1683">
                    <c:v>10/12/2024</c:v>
                  </c:pt>
                  <c:pt idx="1684">
                    <c:v>07/10/2024</c:v>
                  </c:pt>
                  <c:pt idx="1685">
                    <c:v>05/08/2025</c:v>
                  </c:pt>
                  <c:pt idx="1686">
                    <c:v>05/08/2025</c:v>
                  </c:pt>
                  <c:pt idx="1687">
                    <c:v>19/06/2025</c:v>
                  </c:pt>
                  <c:pt idx="1688">
                    <c:v>20/11/2025</c:v>
                  </c:pt>
                  <c:pt idx="1689">
                    <c:v>20/11/2025</c:v>
                  </c:pt>
                  <c:pt idx="1690">
                    <c:v>13/11/2021</c:v>
                  </c:pt>
                  <c:pt idx="1691">
                    <c:v>19/02/2024</c:v>
                  </c:pt>
                  <c:pt idx="1693">
                    <c:v>30/04/2025</c:v>
                  </c:pt>
                  <c:pt idx="1694">
                    <c:v>30/04/2025</c:v>
                  </c:pt>
                  <c:pt idx="1695">
                    <c:v>30/04/2025</c:v>
                  </c:pt>
                  <c:pt idx="1696">
                    <c:v>12/07/2024</c:v>
                  </c:pt>
                  <c:pt idx="1697">
                    <c:v>12/07/2024</c:v>
                  </c:pt>
                  <c:pt idx="1698">
                    <c:v>12/07/2004</c:v>
                  </c:pt>
                  <c:pt idx="1699">
                    <c:v>20/11/2025</c:v>
                  </c:pt>
                  <c:pt idx="1700">
                    <c:v>05/05/2020</c:v>
                  </c:pt>
                  <c:pt idx="1701">
                    <c:v>05/05/2020</c:v>
                  </c:pt>
                  <c:pt idx="1702">
                    <c:v>09/04/2021</c:v>
                  </c:pt>
                  <c:pt idx="1703">
                    <c:v>30/04/2025</c:v>
                  </c:pt>
                  <c:pt idx="1704">
                    <c:v>20/11/2025</c:v>
                  </c:pt>
                  <c:pt idx="1705">
                    <c:v>20/11/2025</c:v>
                  </c:pt>
                  <c:pt idx="1706">
                    <c:v>10/03/2020</c:v>
                  </c:pt>
                  <c:pt idx="1707">
                    <c:v>02/10/2024</c:v>
                  </c:pt>
                  <c:pt idx="1708">
                    <c:v>10/03/2020</c:v>
                  </c:pt>
                  <c:pt idx="1709">
                    <c:v>12/07/2024</c:v>
                  </c:pt>
                  <c:pt idx="1710">
                    <c:v>17/08/2025</c:v>
                  </c:pt>
                  <c:pt idx="1711">
                    <c:v>17/08/2025</c:v>
                  </c:pt>
                  <c:pt idx="1712">
                    <c:v>12/07/2024</c:v>
                  </c:pt>
                  <c:pt idx="1713">
                    <c:v>30/04/2025</c:v>
                  </c:pt>
                  <c:pt idx="1714">
                    <c:v>09/12/2024</c:v>
                  </c:pt>
                  <c:pt idx="1715">
                    <c:v>28/03/2022</c:v>
                  </c:pt>
                  <c:pt idx="1716">
                    <c:v>13/10/2025</c:v>
                  </c:pt>
                  <c:pt idx="1717">
                    <c:v>14/11/2023</c:v>
                  </c:pt>
                  <c:pt idx="1718">
                    <c:v>14/11/2023</c:v>
                  </c:pt>
                  <c:pt idx="1719">
                    <c:v>14/11/2023</c:v>
                  </c:pt>
                  <c:pt idx="1720">
                    <c:v>27/07/2023</c:v>
                  </c:pt>
                  <c:pt idx="1721">
                    <c:v>27/07/2023</c:v>
                  </c:pt>
                  <c:pt idx="1722">
                    <c:v>07/12/2021</c:v>
                  </c:pt>
                  <c:pt idx="1723">
                    <c:v>07/07/2022</c:v>
                  </c:pt>
                  <c:pt idx="1724">
                    <c:v>07/07/2022</c:v>
                  </c:pt>
                </c:lvl>
                <c:lvl>
                  <c:pt idx="7">
                    <c:v>0</c:v>
                  </c:pt>
                  <c:pt idx="72">
                    <c:v>0</c:v>
                  </c:pt>
                  <c:pt idx="88">
                    <c:v>0</c:v>
                  </c:pt>
                  <c:pt idx="103">
                    <c:v>46</c:v>
                  </c:pt>
                  <c:pt idx="121">
                    <c:v>45</c:v>
                  </c:pt>
                  <c:pt idx="130">
                    <c:v>45</c:v>
                  </c:pt>
                  <c:pt idx="131">
                    <c:v>45</c:v>
                  </c:pt>
                  <c:pt idx="132">
                    <c:v>45</c:v>
                  </c:pt>
                  <c:pt idx="133">
                    <c:v>45</c:v>
                  </c:pt>
                  <c:pt idx="163">
                    <c:v>u</c:v>
                  </c:pt>
                  <c:pt idx="167">
                    <c:v>25</c:v>
                  </c:pt>
                  <c:pt idx="168">
                    <c:v>2055</c:v>
                  </c:pt>
                  <c:pt idx="172">
                    <c:v>44</c:v>
                  </c:pt>
                  <c:pt idx="176">
                    <c:v>1</c:v>
                  </c:pt>
                  <c:pt idx="218">
                    <c:v>45</c:v>
                  </c:pt>
                  <c:pt idx="248">
                    <c:v>41</c:v>
                  </c:pt>
                  <c:pt idx="251">
                    <c:v>1</c:v>
                  </c:pt>
                  <c:pt idx="260">
                    <c:v>0</c:v>
                  </c:pt>
                  <c:pt idx="263">
                    <c:v>42</c:v>
                  </c:pt>
                  <c:pt idx="264">
                    <c:v>42</c:v>
                  </c:pt>
                  <c:pt idx="266">
                    <c:v>42</c:v>
                  </c:pt>
                  <c:pt idx="267">
                    <c:v>42</c:v>
                  </c:pt>
                  <c:pt idx="299">
                    <c:v>45</c:v>
                  </c:pt>
                  <c:pt idx="300">
                    <c:v>45</c:v>
                  </c:pt>
                  <c:pt idx="303">
                    <c:v>0</c:v>
                  </c:pt>
                  <c:pt idx="304">
                    <c:v>42</c:v>
                  </c:pt>
                  <c:pt idx="305">
                    <c:v>42</c:v>
                  </c:pt>
                  <c:pt idx="306">
                    <c:v>45</c:v>
                  </c:pt>
                  <c:pt idx="307">
                    <c:v>42</c:v>
                  </c:pt>
                  <c:pt idx="317">
                    <c:v>44</c:v>
                  </c:pt>
                  <c:pt idx="333">
                    <c:v>0</c:v>
                  </c:pt>
                  <c:pt idx="386">
                    <c:v>0</c:v>
                  </c:pt>
                  <c:pt idx="410">
                    <c:v>44</c:v>
                  </c:pt>
                  <c:pt idx="413">
                    <c:v>34</c:v>
                  </c:pt>
                  <c:pt idx="460">
                    <c:v>0</c:v>
                  </c:pt>
                  <c:pt idx="482">
                    <c:v>1</c:v>
                  </c:pt>
                  <c:pt idx="493">
                    <c:v>45</c:v>
                  </c:pt>
                  <c:pt idx="496">
                    <c:v>44</c:v>
                  </c:pt>
                  <c:pt idx="540">
                    <c:v>45</c:v>
                  </c:pt>
                  <c:pt idx="544">
                    <c:v>45</c:v>
                  </c:pt>
                  <c:pt idx="567">
                    <c:v>am</c:v>
                  </c:pt>
                  <c:pt idx="572">
                    <c:v>47</c:v>
                  </c:pt>
                  <c:pt idx="574">
                    <c:v>45</c:v>
                  </c:pt>
                  <c:pt idx="590">
                    <c:v>41</c:v>
                  </c:pt>
                  <c:pt idx="591">
                    <c:v>41</c:v>
                  </c:pt>
                  <c:pt idx="592">
                    <c:v>42</c:v>
                  </c:pt>
                  <c:pt idx="593">
                    <c:v>0</c:v>
                  </c:pt>
                  <c:pt idx="596">
                    <c:v>41</c:v>
                  </c:pt>
                  <c:pt idx="598">
                    <c:v>44</c:v>
                  </c:pt>
                  <c:pt idx="599">
                    <c:v>44</c:v>
                  </c:pt>
                  <c:pt idx="622">
                    <c:v>0</c:v>
                  </c:pt>
                  <c:pt idx="633">
                    <c:v>0</c:v>
                  </c:pt>
                  <c:pt idx="636">
                    <c:v>0</c:v>
                  </c:pt>
                  <c:pt idx="694">
                    <c:v>0</c:v>
                  </c:pt>
                  <c:pt idx="702">
                    <c:v>0</c:v>
                  </c:pt>
                  <c:pt idx="706">
                    <c:v>0</c:v>
                  </c:pt>
                  <c:pt idx="722">
                    <c:v>0</c:v>
                  </c:pt>
                  <c:pt idx="751">
                    <c:v>0</c:v>
                  </c:pt>
                  <c:pt idx="754">
                    <c:v>42</c:v>
                  </c:pt>
                  <c:pt idx="762">
                    <c:v>0</c:v>
                  </c:pt>
                  <c:pt idx="765">
                    <c:v>44</c:v>
                  </c:pt>
                  <c:pt idx="766">
                    <c:v>45</c:v>
                  </c:pt>
                  <c:pt idx="767">
                    <c:v>42</c:v>
                  </c:pt>
                  <c:pt idx="768">
                    <c:v>42</c:v>
                  </c:pt>
                  <c:pt idx="769">
                    <c:v>42</c:v>
                  </c:pt>
                  <c:pt idx="773">
                    <c:v>42</c:v>
                  </c:pt>
                  <c:pt idx="848">
                    <c:v>0</c:v>
                  </c:pt>
                  <c:pt idx="855">
                    <c:v>0</c:v>
                  </c:pt>
                  <c:pt idx="881">
                    <c:v>0</c:v>
                  </c:pt>
                  <c:pt idx="882">
                    <c:v>42</c:v>
                  </c:pt>
                  <c:pt idx="883">
                    <c:v>45</c:v>
                  </c:pt>
                  <c:pt idx="907">
                    <c:v>1</c:v>
                  </c:pt>
                  <c:pt idx="921">
                    <c:v>45</c:v>
                  </c:pt>
                  <c:pt idx="959">
                    <c:v>41</c:v>
                  </c:pt>
                  <c:pt idx="961">
                    <c:v>41</c:v>
                  </c:pt>
                  <c:pt idx="982">
                    <c:v>41</c:v>
                  </c:pt>
                  <c:pt idx="987">
                    <c:v>0</c:v>
                  </c:pt>
                  <c:pt idx="1013">
                    <c:v>0</c:v>
                  </c:pt>
                  <c:pt idx="1048">
                    <c:v>0</c:v>
                  </c:pt>
                  <c:pt idx="1087">
                    <c:v>41</c:v>
                  </c:pt>
                  <c:pt idx="1088">
                    <c:v>41</c:v>
                  </c:pt>
                  <c:pt idx="1089">
                    <c:v>41</c:v>
                  </c:pt>
                  <c:pt idx="1090">
                    <c:v>41</c:v>
                  </c:pt>
                  <c:pt idx="1095">
                    <c:v>41</c:v>
                  </c:pt>
                  <c:pt idx="1096">
                    <c:v>45</c:v>
                  </c:pt>
                  <c:pt idx="1097">
                    <c:v>45</c:v>
                  </c:pt>
                  <c:pt idx="1115">
                    <c:v>42</c:v>
                  </c:pt>
                  <c:pt idx="1120">
                    <c:v>0</c:v>
                  </c:pt>
                  <c:pt idx="1218">
                    <c:v>46</c:v>
                  </c:pt>
                  <c:pt idx="1219">
                    <c:v>45</c:v>
                  </c:pt>
                  <c:pt idx="1220">
                    <c:v>45</c:v>
                  </c:pt>
                  <c:pt idx="1221">
                    <c:v>45</c:v>
                  </c:pt>
                  <c:pt idx="1222">
                    <c:v>45</c:v>
                  </c:pt>
                  <c:pt idx="1302">
                    <c:v>40</c:v>
                  </c:pt>
                  <c:pt idx="1303">
                    <c:v>40</c:v>
                  </c:pt>
                  <c:pt idx="1304">
                    <c:v>40</c:v>
                  </c:pt>
                  <c:pt idx="1305">
                    <c:v>40</c:v>
                  </c:pt>
                  <c:pt idx="1306">
                    <c:v>40</c:v>
                  </c:pt>
                  <c:pt idx="1307">
                    <c:v>40</c:v>
                  </c:pt>
                  <c:pt idx="1308">
                    <c:v>40</c:v>
                  </c:pt>
                  <c:pt idx="1309">
                    <c:v>40</c:v>
                  </c:pt>
                  <c:pt idx="1310">
                    <c:v>40</c:v>
                  </c:pt>
                  <c:pt idx="1311">
                    <c:v>40</c:v>
                  </c:pt>
                  <c:pt idx="1312">
                    <c:v>40</c:v>
                  </c:pt>
                  <c:pt idx="1313">
                    <c:v>40</c:v>
                  </c:pt>
                  <c:pt idx="1314">
                    <c:v>40</c:v>
                  </c:pt>
                  <c:pt idx="1315">
                    <c:v>45</c:v>
                  </c:pt>
                  <c:pt idx="1316">
                    <c:v>45</c:v>
                  </c:pt>
                  <c:pt idx="1317">
                    <c:v>45</c:v>
                  </c:pt>
                  <c:pt idx="1318">
                    <c:v>45</c:v>
                  </c:pt>
                  <c:pt idx="1319">
                    <c:v>11/02/1900</c:v>
                  </c:pt>
                  <c:pt idx="1324">
                    <c:v>42</c:v>
                  </c:pt>
                  <c:pt idx="1325">
                    <c:v>42</c:v>
                  </c:pt>
                  <c:pt idx="1326">
                    <c:v>45</c:v>
                  </c:pt>
                  <c:pt idx="1327">
                    <c:v>41</c:v>
                  </c:pt>
                  <c:pt idx="1328">
                    <c:v>45</c:v>
                  </c:pt>
                  <c:pt idx="1333">
                    <c:v>45</c:v>
                  </c:pt>
                  <c:pt idx="1334">
                    <c:v>45</c:v>
                  </c:pt>
                  <c:pt idx="1336">
                    <c:v>45</c:v>
                  </c:pt>
                  <c:pt idx="1337">
                    <c:v>45</c:v>
                  </c:pt>
                  <c:pt idx="1338">
                    <c:v>45</c:v>
                  </c:pt>
                  <c:pt idx="1342">
                    <c:v>45</c:v>
                  </c:pt>
                  <c:pt idx="1343">
                    <c:v>45</c:v>
                  </c:pt>
                  <c:pt idx="1344">
                    <c:v>45</c:v>
                  </c:pt>
                  <c:pt idx="1345">
                    <c:v>45</c:v>
                  </c:pt>
                  <c:pt idx="1346">
                    <c:v>41</c:v>
                  </c:pt>
                  <c:pt idx="1347">
                    <c:v>45</c:v>
                  </c:pt>
                  <c:pt idx="1350">
                    <c:v>41</c:v>
                  </c:pt>
                  <c:pt idx="1351">
                    <c:v>41</c:v>
                  </c:pt>
                  <c:pt idx="1352">
                    <c:v>41</c:v>
                  </c:pt>
                  <c:pt idx="1353">
                    <c:v>45</c:v>
                  </c:pt>
                  <c:pt idx="1354">
                    <c:v>45</c:v>
                  </c:pt>
                  <c:pt idx="1356">
                    <c:v>45</c:v>
                  </c:pt>
                  <c:pt idx="1381">
                    <c:v>45</c:v>
                  </c:pt>
                  <c:pt idx="1390">
                    <c:v>0</c:v>
                  </c:pt>
                  <c:pt idx="1394">
                    <c:v>42</c:v>
                  </c:pt>
                  <c:pt idx="1396">
                    <c:v>42</c:v>
                  </c:pt>
                  <c:pt idx="1397">
                    <c:v>42</c:v>
                  </c:pt>
                  <c:pt idx="1438">
                    <c:v>0</c:v>
                  </c:pt>
                  <c:pt idx="1441">
                    <c:v>0</c:v>
                  </c:pt>
                  <c:pt idx="1442">
                    <c:v>0</c:v>
                  </c:pt>
                  <c:pt idx="1444">
                    <c:v>45</c:v>
                  </c:pt>
                  <c:pt idx="1446">
                    <c:v>45</c:v>
                  </c:pt>
                  <c:pt idx="1447">
                    <c:v>45</c:v>
                  </c:pt>
                  <c:pt idx="1448">
                    <c:v>45</c:v>
                  </c:pt>
                  <c:pt idx="1477">
                    <c:v>42</c:v>
                  </c:pt>
                  <c:pt idx="1493">
                    <c:v>44</c:v>
                  </c:pt>
                  <c:pt idx="1504">
                    <c:v>0</c:v>
                  </c:pt>
                  <c:pt idx="1507">
                    <c:v>45</c:v>
                  </c:pt>
                  <c:pt idx="1508">
                    <c:v>0</c:v>
                  </c:pt>
                  <c:pt idx="1529">
                    <c:v>42</c:v>
                  </c:pt>
                  <c:pt idx="1530">
                    <c:v>45</c:v>
                  </c:pt>
                  <c:pt idx="1531">
                    <c:v>45</c:v>
                  </c:pt>
                  <c:pt idx="1534">
                    <c:v>0</c:v>
                  </c:pt>
                  <c:pt idx="1539">
                    <c:v>45</c:v>
                  </c:pt>
                  <c:pt idx="1547">
                    <c:v>45</c:v>
                  </c:pt>
                  <c:pt idx="1552">
                    <c:v>43</c:v>
                  </c:pt>
                  <c:pt idx="1553">
                    <c:v>0</c:v>
                  </c:pt>
                  <c:pt idx="1598">
                    <c:v>1,2</c:v>
                  </c:pt>
                  <c:pt idx="1600">
                    <c:v>0</c:v>
                  </c:pt>
                  <c:pt idx="1603">
                    <c:v>0</c:v>
                  </c:pt>
                  <c:pt idx="1610">
                    <c:v>0</c:v>
                  </c:pt>
                  <c:pt idx="1618">
                    <c:v>0</c:v>
                  </c:pt>
                  <c:pt idx="1639">
                    <c:v>0</c:v>
                  </c:pt>
                  <c:pt idx="1640">
                    <c:v>0</c:v>
                  </c:pt>
                  <c:pt idx="1643">
                    <c:v>0</c:v>
                  </c:pt>
                  <c:pt idx="1651">
                    <c:v>44</c:v>
                  </c:pt>
                  <c:pt idx="1716">
                    <c:v>0</c:v>
                  </c:pt>
                </c:lvl>
                <c:lvl>
                  <c:pt idx="0">
                    <c:v>1,5</c:v>
                  </c:pt>
                  <c:pt idx="1">
                    <c:v>1,5</c:v>
                  </c:pt>
                  <c:pt idx="2">
                    <c:v>1,5</c:v>
                  </c:pt>
                  <c:pt idx="3">
                    <c:v>1,3</c:v>
                  </c:pt>
                  <c:pt idx="4">
                    <c:v>3</c:v>
                  </c:pt>
                  <c:pt idx="5">
                    <c:v>1,8</c:v>
                  </c:pt>
                  <c:pt idx="6">
                    <c:v>5</c:v>
                  </c:pt>
                  <c:pt idx="7">
                    <c:v>1,6</c:v>
                  </c:pt>
                  <c:pt idx="8">
                    <c:v>1,5</c:v>
                  </c:pt>
                  <c:pt idx="9">
                    <c:v>1,5</c:v>
                  </c:pt>
                  <c:pt idx="10">
                    <c:v>1,8</c:v>
                  </c:pt>
                  <c:pt idx="11">
                    <c:v>2</c:v>
                  </c:pt>
                  <c:pt idx="12">
                    <c:v>1,6</c:v>
                  </c:pt>
                  <c:pt idx="13">
                    <c:v>1,6</c:v>
                  </c:pt>
                  <c:pt idx="14">
                    <c:v>1,6</c:v>
                  </c:pt>
                  <c:pt idx="15">
                    <c:v>1,8</c:v>
                  </c:pt>
                  <c:pt idx="16">
                    <c:v>2</c:v>
                  </c:pt>
                  <c:pt idx="17">
                    <c:v>1,8</c:v>
                  </c:pt>
                  <c:pt idx="18">
                    <c:v>1,6</c:v>
                  </c:pt>
                  <c:pt idx="19">
                    <c:v>3</c:v>
                  </c:pt>
                  <c:pt idx="20">
                    <c:v>3</c:v>
                  </c:pt>
                  <c:pt idx="21">
                    <c:v>3</c:v>
                  </c:pt>
                  <c:pt idx="22">
                    <c:v>3</c:v>
                  </c:pt>
                  <c:pt idx="23">
                    <c:v>2,5</c:v>
                  </c:pt>
                  <c:pt idx="24">
                    <c:v>1,6</c:v>
                  </c:pt>
                  <c:pt idx="25">
                    <c:v>1,4</c:v>
                  </c:pt>
                  <c:pt idx="26">
                    <c:v>1,6</c:v>
                  </c:pt>
                  <c:pt idx="27">
                    <c:v>1,7</c:v>
                  </c:pt>
                  <c:pt idx="28">
                    <c:v>1,7</c:v>
                  </c:pt>
                  <c:pt idx="29">
                    <c:v>1,6</c:v>
                  </c:pt>
                  <c:pt idx="30">
                    <c:v>1,7</c:v>
                  </c:pt>
                  <c:pt idx="31">
                    <c:v>1,6</c:v>
                  </c:pt>
                  <c:pt idx="32">
                    <c:v>1,5</c:v>
                  </c:pt>
                  <c:pt idx="33">
                    <c:v>2</c:v>
                  </c:pt>
                  <c:pt idx="34">
                    <c:v>1,6</c:v>
                  </c:pt>
                  <c:pt idx="35">
                    <c:v>1,5</c:v>
                  </c:pt>
                  <c:pt idx="36">
                    <c:v>1,8</c:v>
                  </c:pt>
                  <c:pt idx="37">
                    <c:v>1,3</c:v>
                  </c:pt>
                  <c:pt idx="38">
                    <c:v>1,2</c:v>
                  </c:pt>
                  <c:pt idx="39">
                    <c:v>2</c:v>
                  </c:pt>
                  <c:pt idx="40">
                    <c:v>1,2</c:v>
                  </c:pt>
                  <c:pt idx="41">
                    <c:v>1,2</c:v>
                  </c:pt>
                  <c:pt idx="42">
                    <c:v>2</c:v>
                  </c:pt>
                  <c:pt idx="43">
                    <c:v>1,8</c:v>
                  </c:pt>
                  <c:pt idx="44">
                    <c:v>1,6</c:v>
                  </c:pt>
                  <c:pt idx="45">
                    <c:v>1,1</c:v>
                  </c:pt>
                  <c:pt idx="46">
                    <c:v>2</c:v>
                  </c:pt>
                  <c:pt idx="47">
                    <c:v>1,8</c:v>
                  </c:pt>
                  <c:pt idx="48">
                    <c:v>1,7</c:v>
                  </c:pt>
                  <c:pt idx="49">
                    <c:v>1,6</c:v>
                  </c:pt>
                  <c:pt idx="50">
                    <c:v>1,8</c:v>
                  </c:pt>
                  <c:pt idx="51">
                    <c:v>1,5</c:v>
                  </c:pt>
                  <c:pt idx="52">
                    <c:v>1,2</c:v>
                  </c:pt>
                  <c:pt idx="53">
                    <c:v>4,5</c:v>
                  </c:pt>
                  <c:pt idx="54">
                    <c:v>1,5</c:v>
                  </c:pt>
                  <c:pt idx="55">
                    <c:v>1,6</c:v>
                  </c:pt>
                  <c:pt idx="56">
                    <c:v>1,8</c:v>
                  </c:pt>
                  <c:pt idx="57">
                    <c:v>1,4</c:v>
                  </c:pt>
                  <c:pt idx="58">
                    <c:v>1,1</c:v>
                  </c:pt>
                  <c:pt idx="59">
                    <c:v>1,6</c:v>
                  </c:pt>
                  <c:pt idx="60">
                    <c:v>1,6</c:v>
                  </c:pt>
                  <c:pt idx="61">
                    <c:v>1,6</c:v>
                  </c:pt>
                  <c:pt idx="62">
                    <c:v>1,5</c:v>
                  </c:pt>
                  <c:pt idx="63">
                    <c:v>1,6</c:v>
                  </c:pt>
                  <c:pt idx="64">
                    <c:v>1,6</c:v>
                  </c:pt>
                  <c:pt idx="65">
                    <c:v>1,6</c:v>
                  </c:pt>
                  <c:pt idx="66">
                    <c:v>1,5</c:v>
                  </c:pt>
                  <c:pt idx="67">
                    <c:v>2</c:v>
                  </c:pt>
                  <c:pt idx="68">
                    <c:v>2</c:v>
                  </c:pt>
                  <c:pt idx="69">
                    <c:v>2</c:v>
                  </c:pt>
                  <c:pt idx="70">
                    <c:v>2</c:v>
                  </c:pt>
                  <c:pt idx="71">
                    <c:v>1,8</c:v>
                  </c:pt>
                  <c:pt idx="72">
                    <c:v>1,3</c:v>
                  </c:pt>
                  <c:pt idx="73">
                    <c:v>1,5</c:v>
                  </c:pt>
                  <c:pt idx="74">
                    <c:v>1,3</c:v>
                  </c:pt>
                  <c:pt idx="75">
                    <c:v>1,5</c:v>
                  </c:pt>
                  <c:pt idx="76">
                    <c:v>2</c:v>
                  </c:pt>
                  <c:pt idx="77">
                    <c:v>2</c:v>
                  </c:pt>
                  <c:pt idx="78">
                    <c:v>1,85</c:v>
                  </c:pt>
                  <c:pt idx="79">
                    <c:v>1,85</c:v>
                  </c:pt>
                  <c:pt idx="80">
                    <c:v>2</c:v>
                  </c:pt>
                  <c:pt idx="81">
                    <c:v>1,62</c:v>
                  </c:pt>
                  <c:pt idx="82">
                    <c:v>1,3</c:v>
                  </c:pt>
                  <c:pt idx="83">
                    <c:v>1,8</c:v>
                  </c:pt>
                  <c:pt idx="84">
                    <c:v>1,8</c:v>
                  </c:pt>
                  <c:pt idx="85">
                    <c:v>3</c:v>
                  </c:pt>
                  <c:pt idx="86">
                    <c:v>3</c:v>
                  </c:pt>
                  <c:pt idx="87">
                    <c:v>3</c:v>
                  </c:pt>
                  <c:pt idx="88">
                    <c:v>1,3</c:v>
                  </c:pt>
                  <c:pt idx="89">
                    <c:v>1,4</c:v>
                  </c:pt>
                  <c:pt idx="90">
                    <c:v>1,6</c:v>
                  </c:pt>
                  <c:pt idx="91">
                    <c:v>1,8</c:v>
                  </c:pt>
                  <c:pt idx="92">
                    <c:v>1,7</c:v>
                  </c:pt>
                  <c:pt idx="93">
                    <c:v>1,8</c:v>
                  </c:pt>
                  <c:pt idx="94">
                    <c:v>1,8</c:v>
                  </c:pt>
                  <c:pt idx="95">
                    <c:v>1,8</c:v>
                  </c:pt>
                  <c:pt idx="96">
                    <c:v>1,8</c:v>
                  </c:pt>
                  <c:pt idx="97">
                    <c:v>1,6</c:v>
                  </c:pt>
                  <c:pt idx="98">
                    <c:v>1,8</c:v>
                  </c:pt>
                  <c:pt idx="99">
                    <c:v>2</c:v>
                  </c:pt>
                  <c:pt idx="100">
                    <c:v>1,3</c:v>
                  </c:pt>
                  <c:pt idx="101">
                    <c:v>1,5</c:v>
                  </c:pt>
                  <c:pt idx="102">
                    <c:v>1,8</c:v>
                  </c:pt>
                  <c:pt idx="103">
                    <c:v>1,5</c:v>
                  </c:pt>
                  <c:pt idx="104">
                    <c:v>1,4</c:v>
                  </c:pt>
                  <c:pt idx="105">
                    <c:v>1,5</c:v>
                  </c:pt>
                  <c:pt idx="106">
                    <c:v>1,35</c:v>
                  </c:pt>
                  <c:pt idx="107">
                    <c:v>1,35</c:v>
                  </c:pt>
                  <c:pt idx="108">
                    <c:v>1,5</c:v>
                  </c:pt>
                  <c:pt idx="109">
                    <c:v>1,4</c:v>
                  </c:pt>
                  <c:pt idx="110">
                    <c:v>1</c:v>
                  </c:pt>
                  <c:pt idx="111">
                    <c:v>1,4</c:v>
                  </c:pt>
                  <c:pt idx="112">
                    <c:v>1,6</c:v>
                  </c:pt>
                  <c:pt idx="113">
                    <c:v>1,8</c:v>
                  </c:pt>
                  <c:pt idx="114">
                    <c:v>2</c:v>
                  </c:pt>
                  <c:pt idx="115">
                    <c:v>2</c:v>
                  </c:pt>
                  <c:pt idx="116">
                    <c:v>1,8</c:v>
                  </c:pt>
                  <c:pt idx="117">
                    <c:v>1,6</c:v>
                  </c:pt>
                  <c:pt idx="118">
                    <c:v>1,6</c:v>
                  </c:pt>
                  <c:pt idx="119">
                    <c:v>1,6</c:v>
                  </c:pt>
                  <c:pt idx="120">
                    <c:v>2</c:v>
                  </c:pt>
                  <c:pt idx="121">
                    <c:v>1,4</c:v>
                  </c:pt>
                  <c:pt idx="122">
                    <c:v>1,2</c:v>
                  </c:pt>
                  <c:pt idx="123">
                    <c:v>1,3</c:v>
                  </c:pt>
                  <c:pt idx="124">
                    <c:v>1,4</c:v>
                  </c:pt>
                  <c:pt idx="125">
                    <c:v>1,5</c:v>
                  </c:pt>
                  <c:pt idx="126">
                    <c:v>2</c:v>
                  </c:pt>
                  <c:pt idx="127">
                    <c:v>1,6</c:v>
                  </c:pt>
                  <c:pt idx="128">
                    <c:v>1,6</c:v>
                  </c:pt>
                  <c:pt idx="129">
                    <c:v>1,3</c:v>
                  </c:pt>
                  <c:pt idx="130">
                    <c:v>1,5</c:v>
                  </c:pt>
                  <c:pt idx="131">
                    <c:v>1,5</c:v>
                  </c:pt>
                  <c:pt idx="132">
                    <c:v>1,45</c:v>
                  </c:pt>
                  <c:pt idx="133">
                    <c:v>1,45</c:v>
                  </c:pt>
                  <c:pt idx="134">
                    <c:v>1,3</c:v>
                  </c:pt>
                  <c:pt idx="135">
                    <c:v>1,5</c:v>
                  </c:pt>
                  <c:pt idx="136">
                    <c:v>1,8</c:v>
                  </c:pt>
                  <c:pt idx="137">
                    <c:v>1,5</c:v>
                  </c:pt>
                  <c:pt idx="138">
                    <c:v>1,6</c:v>
                  </c:pt>
                  <c:pt idx="139">
                    <c:v>1,8</c:v>
                  </c:pt>
                  <c:pt idx="140">
                    <c:v>1,6</c:v>
                  </c:pt>
                  <c:pt idx="141">
                    <c:v>1,8</c:v>
                  </c:pt>
                  <c:pt idx="142">
                    <c:v>1,6</c:v>
                  </c:pt>
                  <c:pt idx="143">
                    <c:v>1,4</c:v>
                  </c:pt>
                  <c:pt idx="144">
                    <c:v>1,8</c:v>
                  </c:pt>
                  <c:pt idx="145">
                    <c:v>1,8</c:v>
                  </c:pt>
                  <c:pt idx="146">
                    <c:v>1,8</c:v>
                  </c:pt>
                  <c:pt idx="147">
                    <c:v>1,6</c:v>
                  </c:pt>
                  <c:pt idx="148">
                    <c:v>1,8</c:v>
                  </c:pt>
                  <c:pt idx="149">
                    <c:v>1,8</c:v>
                  </c:pt>
                  <c:pt idx="150">
                    <c:v>1,8</c:v>
                  </c:pt>
                  <c:pt idx="151">
                    <c:v>1,6</c:v>
                  </c:pt>
                  <c:pt idx="152">
                    <c:v>1,5</c:v>
                  </c:pt>
                  <c:pt idx="153">
                    <c:v>1,8</c:v>
                  </c:pt>
                  <c:pt idx="154">
                    <c:v>1,6</c:v>
                  </c:pt>
                  <c:pt idx="155">
                    <c:v>1,6</c:v>
                  </c:pt>
                  <c:pt idx="156">
                    <c:v>1,6</c:v>
                  </c:pt>
                  <c:pt idx="157">
                    <c:v>1,6</c:v>
                  </c:pt>
                  <c:pt idx="158">
                    <c:v>1,6</c:v>
                  </c:pt>
                  <c:pt idx="159">
                    <c:v>1,6</c:v>
                  </c:pt>
                  <c:pt idx="160">
                    <c:v>1,6</c:v>
                  </c:pt>
                  <c:pt idx="161">
                    <c:v>1,8</c:v>
                  </c:pt>
                  <c:pt idx="162">
                    <c:v>1,8</c:v>
                  </c:pt>
                  <c:pt idx="163">
                    <c:v>1,5</c:v>
                  </c:pt>
                  <c:pt idx="164">
                    <c:v>1,8</c:v>
                  </c:pt>
                  <c:pt idx="165">
                    <c:v>2</c:v>
                  </c:pt>
                  <c:pt idx="166">
                    <c:v>1,4</c:v>
                  </c:pt>
                  <c:pt idx="167">
                    <c:v>1,6</c:v>
                  </c:pt>
                  <c:pt idx="168">
                    <c:v>1,6</c:v>
                  </c:pt>
                  <c:pt idx="169">
                    <c:v>1,3</c:v>
                  </c:pt>
                  <c:pt idx="170">
                    <c:v>1,3</c:v>
                  </c:pt>
                  <c:pt idx="171">
                    <c:v>1,6</c:v>
                  </c:pt>
                  <c:pt idx="172">
                    <c:v>1,6</c:v>
                  </c:pt>
                  <c:pt idx="173">
                    <c:v>1,6</c:v>
                  </c:pt>
                  <c:pt idx="174">
                    <c:v>1,6</c:v>
                  </c:pt>
                  <c:pt idx="175">
                    <c:v>1,6</c:v>
                  </c:pt>
                  <c:pt idx="176">
                    <c:v>1,6</c:v>
                  </c:pt>
                  <c:pt idx="177">
                    <c:v>1,45</c:v>
                  </c:pt>
                  <c:pt idx="178">
                    <c:v>1,45</c:v>
                  </c:pt>
                  <c:pt idx="179">
                    <c:v>1,8</c:v>
                  </c:pt>
                  <c:pt idx="180">
                    <c:v>1,8</c:v>
                  </c:pt>
                  <c:pt idx="181">
                    <c:v>1,6</c:v>
                  </c:pt>
                  <c:pt idx="182">
                    <c:v>1,6</c:v>
                  </c:pt>
                  <c:pt idx="183">
                    <c:v>1,6</c:v>
                  </c:pt>
                  <c:pt idx="184">
                    <c:v>1,6</c:v>
                  </c:pt>
                  <c:pt idx="185">
                    <c:v>1,6</c:v>
                  </c:pt>
                  <c:pt idx="186">
                    <c:v>1,4</c:v>
                  </c:pt>
                  <c:pt idx="187">
                    <c:v>1,4</c:v>
                  </c:pt>
                  <c:pt idx="188">
                    <c:v>1,6</c:v>
                  </c:pt>
                  <c:pt idx="189">
                    <c:v>1,6</c:v>
                  </c:pt>
                  <c:pt idx="190">
                    <c:v>1,6</c:v>
                  </c:pt>
                  <c:pt idx="191">
                    <c:v>1,6</c:v>
                  </c:pt>
                  <c:pt idx="192">
                    <c:v>1,6</c:v>
                  </c:pt>
                  <c:pt idx="193">
                    <c:v>1,8</c:v>
                  </c:pt>
                  <c:pt idx="194">
                    <c:v>1,8</c:v>
                  </c:pt>
                  <c:pt idx="195">
                    <c:v>1,8</c:v>
                  </c:pt>
                  <c:pt idx="196">
                    <c:v>1,6</c:v>
                  </c:pt>
                  <c:pt idx="197">
                    <c:v>1,6</c:v>
                  </c:pt>
                  <c:pt idx="198">
                    <c:v>1,6</c:v>
                  </c:pt>
                  <c:pt idx="199">
                    <c:v>1,6</c:v>
                  </c:pt>
                  <c:pt idx="200">
                    <c:v>1,6</c:v>
                  </c:pt>
                  <c:pt idx="201">
                    <c:v>1,8</c:v>
                  </c:pt>
                  <c:pt idx="202">
                    <c:v>1,8</c:v>
                  </c:pt>
                  <c:pt idx="203">
                    <c:v>1,46</c:v>
                  </c:pt>
                  <c:pt idx="204">
                    <c:v>2</c:v>
                  </c:pt>
                  <c:pt idx="205">
                    <c:v>1,6</c:v>
                  </c:pt>
                  <c:pt idx="206">
                    <c:v>1</c:v>
                  </c:pt>
                  <c:pt idx="208">
                    <c:v>1,4</c:v>
                  </c:pt>
                  <c:pt idx="209">
                    <c:v>1,4</c:v>
                  </c:pt>
                  <c:pt idx="210">
                    <c:v>1,8</c:v>
                  </c:pt>
                  <c:pt idx="211">
                    <c:v>1,3</c:v>
                  </c:pt>
                  <c:pt idx="212">
                    <c:v>1,6</c:v>
                  </c:pt>
                  <c:pt idx="213">
                    <c:v>1,6</c:v>
                  </c:pt>
                  <c:pt idx="214">
                    <c:v>1,6</c:v>
                  </c:pt>
                  <c:pt idx="215">
                    <c:v>1,6</c:v>
                  </c:pt>
                  <c:pt idx="216">
                    <c:v>1,8</c:v>
                  </c:pt>
                  <c:pt idx="217">
                    <c:v>1,8</c:v>
                  </c:pt>
                  <c:pt idx="218">
                    <c:v>1,3</c:v>
                  </c:pt>
                  <c:pt idx="219">
                    <c:v>2,6</c:v>
                  </c:pt>
                  <c:pt idx="220">
                    <c:v>3,2</c:v>
                  </c:pt>
                  <c:pt idx="221">
                    <c:v>1,8</c:v>
                  </c:pt>
                  <c:pt idx="222">
                    <c:v>1,8</c:v>
                  </c:pt>
                  <c:pt idx="223">
                    <c:v>1,6</c:v>
                  </c:pt>
                  <c:pt idx="224">
                    <c:v>1,6</c:v>
                  </c:pt>
                  <c:pt idx="225">
                    <c:v>1,6</c:v>
                  </c:pt>
                  <c:pt idx="226">
                    <c:v>1,7</c:v>
                  </c:pt>
                  <c:pt idx="227">
                    <c:v>1,8</c:v>
                  </c:pt>
                  <c:pt idx="228">
                    <c:v>2</c:v>
                  </c:pt>
                  <c:pt idx="229">
                    <c:v>1,4</c:v>
                  </c:pt>
                  <c:pt idx="230">
                    <c:v>1,6</c:v>
                  </c:pt>
                  <c:pt idx="231">
                    <c:v>1,6</c:v>
                  </c:pt>
                  <c:pt idx="232">
                    <c:v>1,6</c:v>
                  </c:pt>
                  <c:pt idx="233">
                    <c:v>1,6</c:v>
                  </c:pt>
                  <c:pt idx="234">
                    <c:v>1,6</c:v>
                  </c:pt>
                  <c:pt idx="235">
                    <c:v>3</c:v>
                  </c:pt>
                  <c:pt idx="236">
                    <c:v>1,3</c:v>
                  </c:pt>
                  <c:pt idx="237">
                    <c:v>1,6</c:v>
                  </c:pt>
                  <c:pt idx="238">
                    <c:v>1,6</c:v>
                  </c:pt>
                  <c:pt idx="239">
                    <c:v>1,6</c:v>
                  </c:pt>
                  <c:pt idx="240">
                    <c:v>1,4</c:v>
                  </c:pt>
                  <c:pt idx="241">
                    <c:v>1,4</c:v>
                  </c:pt>
                  <c:pt idx="242">
                    <c:v>1,6</c:v>
                  </c:pt>
                  <c:pt idx="243">
                    <c:v>1,4</c:v>
                  </c:pt>
                  <c:pt idx="244">
                    <c:v>1,45</c:v>
                  </c:pt>
                  <c:pt idx="245">
                    <c:v>1,45</c:v>
                  </c:pt>
                  <c:pt idx="246">
                    <c:v>1,45</c:v>
                  </c:pt>
                  <c:pt idx="247">
                    <c:v>2</c:v>
                  </c:pt>
                  <c:pt idx="248">
                    <c:v>1,5</c:v>
                  </c:pt>
                  <c:pt idx="249">
                    <c:v>1,6</c:v>
                  </c:pt>
                  <c:pt idx="250">
                    <c:v>1,6</c:v>
                  </c:pt>
                  <c:pt idx="251">
                    <c:v>1,3</c:v>
                  </c:pt>
                  <c:pt idx="252">
                    <c:v>1,6</c:v>
                  </c:pt>
                  <c:pt idx="253">
                    <c:v>1,6</c:v>
                  </c:pt>
                  <c:pt idx="254">
                    <c:v>1,6</c:v>
                  </c:pt>
                  <c:pt idx="255">
                    <c:v>1,8</c:v>
                  </c:pt>
                  <c:pt idx="256">
                    <c:v>1,8</c:v>
                  </c:pt>
                  <c:pt idx="257">
                    <c:v>1,8</c:v>
                  </c:pt>
                  <c:pt idx="258">
                    <c:v>1,5</c:v>
                  </c:pt>
                  <c:pt idx="259">
                    <c:v>1,8</c:v>
                  </c:pt>
                  <c:pt idx="260">
                    <c:v>2</c:v>
                  </c:pt>
                  <c:pt idx="261">
                    <c:v>1,3</c:v>
                  </c:pt>
                  <c:pt idx="262">
                    <c:v>1,45</c:v>
                  </c:pt>
                  <c:pt idx="263">
                    <c:v>1,5</c:v>
                  </c:pt>
                  <c:pt idx="264">
                    <c:v>1,4</c:v>
                  </c:pt>
                  <c:pt idx="265">
                    <c:v>1,6</c:v>
                  </c:pt>
                  <c:pt idx="266">
                    <c:v>1,6</c:v>
                  </c:pt>
                  <c:pt idx="267">
                    <c:v>1,6</c:v>
                  </c:pt>
                  <c:pt idx="268">
                    <c:v>1,3</c:v>
                  </c:pt>
                  <c:pt idx="269">
                    <c:v>1,5</c:v>
                  </c:pt>
                  <c:pt idx="270">
                    <c:v>1,45</c:v>
                  </c:pt>
                  <c:pt idx="271">
                    <c:v>1,5</c:v>
                  </c:pt>
                  <c:pt idx="272">
                    <c:v>1,6</c:v>
                  </c:pt>
                  <c:pt idx="273">
                    <c:v>1,6</c:v>
                  </c:pt>
                  <c:pt idx="274">
                    <c:v>1,7</c:v>
                  </c:pt>
                  <c:pt idx="275">
                    <c:v>1,3</c:v>
                  </c:pt>
                  <c:pt idx="276">
                    <c:v>1,6</c:v>
                  </c:pt>
                  <c:pt idx="277">
                    <c:v>1,8</c:v>
                  </c:pt>
                  <c:pt idx="278">
                    <c:v>1,8</c:v>
                  </c:pt>
                  <c:pt idx="279">
                    <c:v>1,8</c:v>
                  </c:pt>
                  <c:pt idx="280">
                    <c:v>1,8</c:v>
                  </c:pt>
                  <c:pt idx="281">
                    <c:v>1,8</c:v>
                  </c:pt>
                  <c:pt idx="282">
                    <c:v>1,5</c:v>
                  </c:pt>
                  <c:pt idx="283">
                    <c:v>1,8</c:v>
                  </c:pt>
                  <c:pt idx="284">
                    <c:v>1,8</c:v>
                  </c:pt>
                  <c:pt idx="285">
                    <c:v>1,6</c:v>
                  </c:pt>
                  <c:pt idx="286">
                    <c:v>1,5</c:v>
                  </c:pt>
                  <c:pt idx="287">
                    <c:v>1,4</c:v>
                  </c:pt>
                  <c:pt idx="288">
                    <c:v>1,45</c:v>
                  </c:pt>
                  <c:pt idx="289">
                    <c:v>1,45</c:v>
                  </c:pt>
                  <c:pt idx="290">
                    <c:v>1,6</c:v>
                  </c:pt>
                  <c:pt idx="291">
                    <c:v>1,45</c:v>
                  </c:pt>
                  <c:pt idx="292">
                    <c:v>1,5</c:v>
                  </c:pt>
                  <c:pt idx="293">
                    <c:v>1,6</c:v>
                  </c:pt>
                  <c:pt idx="294">
                    <c:v>1,5</c:v>
                  </c:pt>
                  <c:pt idx="295">
                    <c:v>1,6</c:v>
                  </c:pt>
                  <c:pt idx="296">
                    <c:v>1,6</c:v>
                  </c:pt>
                  <c:pt idx="297">
                    <c:v>1,4</c:v>
                  </c:pt>
                  <c:pt idx="298">
                    <c:v>1,5</c:v>
                  </c:pt>
                  <c:pt idx="299">
                    <c:v>1,5</c:v>
                  </c:pt>
                  <c:pt idx="300">
                    <c:v>1,5</c:v>
                  </c:pt>
                  <c:pt idx="301">
                    <c:v>1,3</c:v>
                  </c:pt>
                  <c:pt idx="302">
                    <c:v>1,3</c:v>
                  </c:pt>
                  <c:pt idx="303">
                    <c:v>1,45</c:v>
                  </c:pt>
                  <c:pt idx="304">
                    <c:v>1,5</c:v>
                  </c:pt>
                  <c:pt idx="305">
                    <c:v>1,5</c:v>
                  </c:pt>
                  <c:pt idx="306">
                    <c:v>1,5</c:v>
                  </c:pt>
                  <c:pt idx="307">
                    <c:v>1,45</c:v>
                  </c:pt>
                  <c:pt idx="308">
                    <c:v>1,5</c:v>
                  </c:pt>
                  <c:pt idx="309">
                    <c:v>1,5</c:v>
                  </c:pt>
                  <c:pt idx="310">
                    <c:v>1,7</c:v>
                  </c:pt>
                  <c:pt idx="311">
                    <c:v>1,8</c:v>
                  </c:pt>
                  <c:pt idx="312">
                    <c:v>1,8</c:v>
                  </c:pt>
                  <c:pt idx="313">
                    <c:v>1,7</c:v>
                  </c:pt>
                  <c:pt idx="314">
                    <c:v>2</c:v>
                  </c:pt>
                  <c:pt idx="315">
                    <c:v>2,5</c:v>
                  </c:pt>
                  <c:pt idx="316">
                    <c:v>1,6</c:v>
                  </c:pt>
                  <c:pt idx="317">
                    <c:v>1,35</c:v>
                  </c:pt>
                  <c:pt idx="318">
                    <c:v>1,3</c:v>
                  </c:pt>
                  <c:pt idx="319">
                    <c:v>1,3</c:v>
                  </c:pt>
                  <c:pt idx="320">
                    <c:v>1,45</c:v>
                  </c:pt>
                  <c:pt idx="321">
                    <c:v>2,5</c:v>
                  </c:pt>
                  <c:pt idx="322">
                    <c:v>2</c:v>
                  </c:pt>
                  <c:pt idx="323">
                    <c:v>1,6</c:v>
                  </c:pt>
                  <c:pt idx="324">
                    <c:v>1,6</c:v>
                  </c:pt>
                  <c:pt idx="325">
                    <c:v>1,6</c:v>
                  </c:pt>
                  <c:pt idx="326">
                    <c:v>1,6</c:v>
                  </c:pt>
                  <c:pt idx="327">
                    <c:v>2</c:v>
                  </c:pt>
                  <c:pt idx="328">
                    <c:v>1,4</c:v>
                  </c:pt>
                  <c:pt idx="329">
                    <c:v>1,4</c:v>
                  </c:pt>
                  <c:pt idx="330">
                    <c:v>1,4</c:v>
                  </c:pt>
                  <c:pt idx="331">
                    <c:v>1,8</c:v>
                  </c:pt>
                  <c:pt idx="332">
                    <c:v>1,4</c:v>
                  </c:pt>
                  <c:pt idx="333">
                    <c:v>1,4</c:v>
                  </c:pt>
                  <c:pt idx="334">
                    <c:v>1,4</c:v>
                  </c:pt>
                  <c:pt idx="335">
                    <c:v>1,4</c:v>
                  </c:pt>
                  <c:pt idx="336">
                    <c:v>1,4</c:v>
                  </c:pt>
                  <c:pt idx="337">
                    <c:v>1,3</c:v>
                  </c:pt>
                  <c:pt idx="338">
                    <c:v>1,4</c:v>
                  </c:pt>
                  <c:pt idx="339">
                    <c:v>1,6</c:v>
                  </c:pt>
                  <c:pt idx="340">
                    <c:v>1,5</c:v>
                  </c:pt>
                  <c:pt idx="341">
                    <c:v>1,8</c:v>
                  </c:pt>
                  <c:pt idx="342">
                    <c:v>1,5</c:v>
                  </c:pt>
                  <c:pt idx="343">
                    <c:v>1,6</c:v>
                  </c:pt>
                  <c:pt idx="344">
                    <c:v>1,5</c:v>
                  </c:pt>
                  <c:pt idx="345">
                    <c:v>1,8</c:v>
                  </c:pt>
                  <c:pt idx="346">
                    <c:v>1,3</c:v>
                  </c:pt>
                  <c:pt idx="347">
                    <c:v>1,6</c:v>
                  </c:pt>
                  <c:pt idx="348">
                    <c:v>1,45</c:v>
                  </c:pt>
                  <c:pt idx="349">
                    <c:v>1,8</c:v>
                  </c:pt>
                  <c:pt idx="350">
                    <c:v>1,4</c:v>
                  </c:pt>
                  <c:pt idx="351">
                    <c:v>1,5</c:v>
                  </c:pt>
                  <c:pt idx="352">
                    <c:v>1,6</c:v>
                  </c:pt>
                  <c:pt idx="353">
                    <c:v>1,4</c:v>
                  </c:pt>
                  <c:pt idx="354">
                    <c:v>1,5</c:v>
                  </c:pt>
                  <c:pt idx="355">
                    <c:v>1,5</c:v>
                  </c:pt>
                  <c:pt idx="356">
                    <c:v>1,6</c:v>
                  </c:pt>
                  <c:pt idx="357">
                    <c:v>1,6</c:v>
                  </c:pt>
                  <c:pt idx="358">
                    <c:v>1,6</c:v>
                  </c:pt>
                  <c:pt idx="359">
                    <c:v>1,3</c:v>
                  </c:pt>
                  <c:pt idx="360">
                    <c:v>1,3</c:v>
                  </c:pt>
                  <c:pt idx="361">
                    <c:v>1,35</c:v>
                  </c:pt>
                  <c:pt idx="362">
                    <c:v>1,35</c:v>
                  </c:pt>
                  <c:pt idx="363">
                    <c:v>1,6</c:v>
                  </c:pt>
                  <c:pt idx="364">
                    <c:v>1,35</c:v>
                  </c:pt>
                  <c:pt idx="365">
                    <c:v>1,3</c:v>
                  </c:pt>
                  <c:pt idx="366">
                    <c:v>1,35</c:v>
                  </c:pt>
                  <c:pt idx="367">
                    <c:v>1,35</c:v>
                  </c:pt>
                  <c:pt idx="368">
                    <c:v>1,3</c:v>
                  </c:pt>
                  <c:pt idx="369">
                    <c:v>1,8</c:v>
                  </c:pt>
                  <c:pt idx="370">
                    <c:v>1,4</c:v>
                  </c:pt>
                  <c:pt idx="371">
                    <c:v>1,8</c:v>
                  </c:pt>
                  <c:pt idx="372">
                    <c:v>1,8</c:v>
                  </c:pt>
                  <c:pt idx="373">
                    <c:v>1,8</c:v>
                  </c:pt>
                  <c:pt idx="374">
                    <c:v>1,6</c:v>
                  </c:pt>
                  <c:pt idx="375">
                    <c:v>1,6</c:v>
                  </c:pt>
                  <c:pt idx="376">
                    <c:v>1,8</c:v>
                  </c:pt>
                  <c:pt idx="377">
                    <c:v>1,6</c:v>
                  </c:pt>
                  <c:pt idx="378">
                    <c:v>1,4</c:v>
                  </c:pt>
                  <c:pt idx="379">
                    <c:v>1,4</c:v>
                  </c:pt>
                  <c:pt idx="380">
                    <c:v>1,8</c:v>
                  </c:pt>
                  <c:pt idx="381">
                    <c:v>1,8</c:v>
                  </c:pt>
                  <c:pt idx="382">
                    <c:v>1,6</c:v>
                  </c:pt>
                  <c:pt idx="383">
                    <c:v>1,8</c:v>
                  </c:pt>
                  <c:pt idx="384">
                    <c:v>1,6</c:v>
                  </c:pt>
                  <c:pt idx="385">
                    <c:v>1,6</c:v>
                  </c:pt>
                  <c:pt idx="386">
                    <c:v>1,4</c:v>
                  </c:pt>
                  <c:pt idx="387">
                    <c:v>1,4</c:v>
                  </c:pt>
                  <c:pt idx="388">
                    <c:v>1,6</c:v>
                  </c:pt>
                  <c:pt idx="389">
                    <c:v>1,6</c:v>
                  </c:pt>
                  <c:pt idx="390">
                    <c:v>1,6</c:v>
                  </c:pt>
                  <c:pt idx="391">
                    <c:v>1,3</c:v>
                  </c:pt>
                  <c:pt idx="392">
                    <c:v>1,3</c:v>
                  </c:pt>
                  <c:pt idx="393">
                    <c:v>1,3</c:v>
                  </c:pt>
                  <c:pt idx="394">
                    <c:v>1,6</c:v>
                  </c:pt>
                  <c:pt idx="395">
                    <c:v>1,8</c:v>
                  </c:pt>
                  <c:pt idx="396">
                    <c:v>1,8</c:v>
                  </c:pt>
                  <c:pt idx="397">
                    <c:v>1,3</c:v>
                  </c:pt>
                  <c:pt idx="398">
                    <c:v>2</c:v>
                  </c:pt>
                  <c:pt idx="399">
                    <c:v>1,8</c:v>
                  </c:pt>
                  <c:pt idx="400">
                    <c:v>1,8</c:v>
                  </c:pt>
                  <c:pt idx="401">
                    <c:v>1,6</c:v>
                  </c:pt>
                  <c:pt idx="402">
                    <c:v>2</c:v>
                  </c:pt>
                  <c:pt idx="403">
                    <c:v>1,6</c:v>
                  </c:pt>
                  <c:pt idx="404">
                    <c:v>1,8</c:v>
                  </c:pt>
                  <c:pt idx="405">
                    <c:v>1,6</c:v>
                  </c:pt>
                  <c:pt idx="406">
                    <c:v>1,8</c:v>
                  </c:pt>
                  <c:pt idx="407">
                    <c:v>1,5</c:v>
                  </c:pt>
                  <c:pt idx="408">
                    <c:v>1,6</c:v>
                  </c:pt>
                  <c:pt idx="409">
                    <c:v>1,6</c:v>
                  </c:pt>
                  <c:pt idx="410">
                    <c:v>1,45</c:v>
                  </c:pt>
                  <c:pt idx="411">
                    <c:v>1,4</c:v>
                  </c:pt>
                  <c:pt idx="412">
                    <c:v>1,67</c:v>
                  </c:pt>
                  <c:pt idx="413">
                    <c:v>1,2</c:v>
                  </c:pt>
                  <c:pt idx="414">
                    <c:v>1,8</c:v>
                  </c:pt>
                  <c:pt idx="415">
                    <c:v>1,6</c:v>
                  </c:pt>
                  <c:pt idx="416">
                    <c:v>1,8</c:v>
                  </c:pt>
                  <c:pt idx="417">
                    <c:v>1,8</c:v>
                  </c:pt>
                  <c:pt idx="418">
                    <c:v>2,5</c:v>
                  </c:pt>
                  <c:pt idx="419">
                    <c:v>2</c:v>
                  </c:pt>
                  <c:pt idx="420">
                    <c:v>3</c:v>
                  </c:pt>
                  <c:pt idx="421">
                    <c:v>3</c:v>
                  </c:pt>
                  <c:pt idx="422">
                    <c:v>2</c:v>
                  </c:pt>
                  <c:pt idx="423">
                    <c:v>2,5</c:v>
                  </c:pt>
                  <c:pt idx="424">
                    <c:v>2</c:v>
                  </c:pt>
                  <c:pt idx="425">
                    <c:v>2</c:v>
                  </c:pt>
                  <c:pt idx="426">
                    <c:v>2</c:v>
                  </c:pt>
                  <c:pt idx="427">
                    <c:v>2</c:v>
                  </c:pt>
                  <c:pt idx="428">
                    <c:v>1,5</c:v>
                  </c:pt>
                  <c:pt idx="429">
                    <c:v>1,5</c:v>
                  </c:pt>
                  <c:pt idx="430">
                    <c:v>1,8</c:v>
                  </c:pt>
                  <c:pt idx="431">
                    <c:v>1,5</c:v>
                  </c:pt>
                  <c:pt idx="432">
                    <c:v>1,8</c:v>
                  </c:pt>
                  <c:pt idx="433">
                    <c:v>1,4</c:v>
                  </c:pt>
                  <c:pt idx="434">
                    <c:v>1,5</c:v>
                  </c:pt>
                  <c:pt idx="435">
                    <c:v>1,4</c:v>
                  </c:pt>
                  <c:pt idx="436">
                    <c:v>1,45</c:v>
                  </c:pt>
                  <c:pt idx="437">
                    <c:v>1,4</c:v>
                  </c:pt>
                  <c:pt idx="438">
                    <c:v>1,8</c:v>
                  </c:pt>
                  <c:pt idx="439">
                    <c:v>1,8</c:v>
                  </c:pt>
                  <c:pt idx="440">
                    <c:v>1,7</c:v>
                  </c:pt>
                  <c:pt idx="441">
                    <c:v>1,6</c:v>
                  </c:pt>
                  <c:pt idx="442">
                    <c:v>1,6</c:v>
                  </c:pt>
                  <c:pt idx="443">
                    <c:v>1,7</c:v>
                  </c:pt>
                  <c:pt idx="444">
                    <c:v>1,5</c:v>
                  </c:pt>
                  <c:pt idx="445">
                    <c:v>1,6</c:v>
                  </c:pt>
                  <c:pt idx="446">
                    <c:v>1,6</c:v>
                  </c:pt>
                  <c:pt idx="447">
                    <c:v>1,6</c:v>
                  </c:pt>
                  <c:pt idx="448">
                    <c:v>1,5</c:v>
                  </c:pt>
                  <c:pt idx="449">
                    <c:v>1,7</c:v>
                  </c:pt>
                  <c:pt idx="450">
                    <c:v>1,6</c:v>
                  </c:pt>
                  <c:pt idx="451">
                    <c:v>1,5</c:v>
                  </c:pt>
                  <c:pt idx="452">
                    <c:v>1,6</c:v>
                  </c:pt>
                  <c:pt idx="453">
                    <c:v>1,35</c:v>
                  </c:pt>
                  <c:pt idx="454">
                    <c:v>1,35</c:v>
                  </c:pt>
                  <c:pt idx="455">
                    <c:v>1,4</c:v>
                  </c:pt>
                  <c:pt idx="456">
                    <c:v>1,4</c:v>
                  </c:pt>
                  <c:pt idx="457">
                    <c:v>1,4</c:v>
                  </c:pt>
                  <c:pt idx="458">
                    <c:v>1,6</c:v>
                  </c:pt>
                  <c:pt idx="459">
                    <c:v>2</c:v>
                  </c:pt>
                  <c:pt idx="460">
                    <c:v>1,45</c:v>
                  </c:pt>
                  <c:pt idx="461">
                    <c:v>1,45</c:v>
                  </c:pt>
                  <c:pt idx="462">
                    <c:v>1,8</c:v>
                  </c:pt>
                  <c:pt idx="463">
                    <c:v>1,6</c:v>
                  </c:pt>
                  <c:pt idx="464">
                    <c:v>1,4</c:v>
                  </c:pt>
                  <c:pt idx="465">
                    <c:v>1,4</c:v>
                  </c:pt>
                  <c:pt idx="466">
                    <c:v>1,4</c:v>
                  </c:pt>
                  <c:pt idx="467">
                    <c:v>1,3</c:v>
                  </c:pt>
                  <c:pt idx="468">
                    <c:v>1,3</c:v>
                  </c:pt>
                  <c:pt idx="469">
                    <c:v>1,3</c:v>
                  </c:pt>
                  <c:pt idx="470">
                    <c:v>1,3</c:v>
                  </c:pt>
                  <c:pt idx="471">
                    <c:v>1,3</c:v>
                  </c:pt>
                  <c:pt idx="472">
                    <c:v>1,6</c:v>
                  </c:pt>
                  <c:pt idx="473">
                    <c:v>1,6</c:v>
                  </c:pt>
                  <c:pt idx="474">
                    <c:v>1,3</c:v>
                  </c:pt>
                  <c:pt idx="475">
                    <c:v>1,8</c:v>
                  </c:pt>
                  <c:pt idx="476">
                    <c:v>2</c:v>
                  </c:pt>
                  <c:pt idx="477">
                    <c:v>1,5</c:v>
                  </c:pt>
                  <c:pt idx="478">
                    <c:v>1,6</c:v>
                  </c:pt>
                  <c:pt idx="479">
                    <c:v>1,6</c:v>
                  </c:pt>
                  <c:pt idx="480">
                    <c:v>1,6</c:v>
                  </c:pt>
                  <c:pt idx="481">
                    <c:v>1,5</c:v>
                  </c:pt>
                  <c:pt idx="482">
                    <c:v>1,1</c:v>
                  </c:pt>
                  <c:pt idx="483">
                    <c:v>1,4</c:v>
                  </c:pt>
                  <c:pt idx="484">
                    <c:v>1,35</c:v>
                  </c:pt>
                  <c:pt idx="486">
                    <c:v>1,8</c:v>
                  </c:pt>
                  <c:pt idx="487">
                    <c:v>1,8</c:v>
                  </c:pt>
                  <c:pt idx="488">
                    <c:v>1,6</c:v>
                  </c:pt>
                  <c:pt idx="489">
                    <c:v>1,5</c:v>
                  </c:pt>
                  <c:pt idx="490">
                    <c:v>1,8</c:v>
                  </c:pt>
                  <c:pt idx="491">
                    <c:v>1,5</c:v>
                  </c:pt>
                  <c:pt idx="492">
                    <c:v>1,3</c:v>
                  </c:pt>
                  <c:pt idx="493">
                    <c:v>1,4</c:v>
                  </c:pt>
                  <c:pt idx="495">
                    <c:v>1,6</c:v>
                  </c:pt>
                  <c:pt idx="496">
                    <c:v>1,4</c:v>
                  </c:pt>
                  <c:pt idx="497">
                    <c:v>1,6</c:v>
                  </c:pt>
                  <c:pt idx="498">
                    <c:v>1,6</c:v>
                  </c:pt>
                  <c:pt idx="499">
                    <c:v>1,4</c:v>
                  </c:pt>
                  <c:pt idx="500">
                    <c:v>1,4</c:v>
                  </c:pt>
                  <c:pt idx="501">
                    <c:v>2</c:v>
                  </c:pt>
                  <c:pt idx="502">
                    <c:v>1,6</c:v>
                  </c:pt>
                  <c:pt idx="503">
                    <c:v>2,4</c:v>
                  </c:pt>
                  <c:pt idx="504">
                    <c:v>1,6</c:v>
                  </c:pt>
                  <c:pt idx="505">
                    <c:v>1,6</c:v>
                  </c:pt>
                  <c:pt idx="506">
                    <c:v>1,8</c:v>
                  </c:pt>
                  <c:pt idx="507">
                    <c:v>2</c:v>
                  </c:pt>
                  <c:pt idx="508">
                    <c:v>2</c:v>
                  </c:pt>
                  <c:pt idx="509">
                    <c:v>1,6</c:v>
                  </c:pt>
                  <c:pt idx="510">
                    <c:v>2</c:v>
                  </c:pt>
                  <c:pt idx="511">
                    <c:v>1,7</c:v>
                  </c:pt>
                  <c:pt idx="512">
                    <c:v>1,6</c:v>
                  </c:pt>
                  <c:pt idx="513">
                    <c:v>1,6</c:v>
                  </c:pt>
                  <c:pt idx="514">
                    <c:v>2</c:v>
                  </c:pt>
                  <c:pt idx="515">
                    <c:v>2</c:v>
                  </c:pt>
                  <c:pt idx="516">
                    <c:v>1,45</c:v>
                  </c:pt>
                  <c:pt idx="517">
                    <c:v>1,25</c:v>
                  </c:pt>
                  <c:pt idx="518">
                    <c:v>1,3</c:v>
                  </c:pt>
                  <c:pt idx="519">
                    <c:v>1,5</c:v>
                  </c:pt>
                  <c:pt idx="520">
                    <c:v>1,4</c:v>
                  </c:pt>
                  <c:pt idx="521">
                    <c:v>1</c:v>
                  </c:pt>
                  <c:pt idx="522">
                    <c:v>1,6</c:v>
                  </c:pt>
                  <c:pt idx="524">
                    <c:v>1,3</c:v>
                  </c:pt>
                  <c:pt idx="525">
                    <c:v>1,6</c:v>
                  </c:pt>
                  <c:pt idx="526">
                    <c:v>1,1</c:v>
                  </c:pt>
                  <c:pt idx="527">
                    <c:v>1,1</c:v>
                  </c:pt>
                  <c:pt idx="528">
                    <c:v>1,1</c:v>
                  </c:pt>
                  <c:pt idx="529">
                    <c:v>1,1</c:v>
                  </c:pt>
                  <c:pt idx="530">
                    <c:v>1,6</c:v>
                  </c:pt>
                  <c:pt idx="531">
                    <c:v>1,3</c:v>
                  </c:pt>
                  <c:pt idx="532">
                    <c:v>1,6</c:v>
                  </c:pt>
                  <c:pt idx="534">
                    <c:v>1,6</c:v>
                  </c:pt>
                  <c:pt idx="535">
                    <c:v>1,3</c:v>
                  </c:pt>
                  <c:pt idx="536">
                    <c:v>1,6</c:v>
                  </c:pt>
                  <c:pt idx="537">
                    <c:v>1,8</c:v>
                  </c:pt>
                  <c:pt idx="538">
                    <c:v>1,6</c:v>
                  </c:pt>
                  <c:pt idx="539">
                    <c:v>1,3</c:v>
                  </c:pt>
                  <c:pt idx="540">
                    <c:v>1,35</c:v>
                  </c:pt>
                  <c:pt idx="541">
                    <c:v>1,2</c:v>
                  </c:pt>
                  <c:pt idx="542">
                    <c:v>1,8</c:v>
                  </c:pt>
                  <c:pt idx="543">
                    <c:v>1,6</c:v>
                  </c:pt>
                  <c:pt idx="544">
                    <c:v>1,6</c:v>
                  </c:pt>
                  <c:pt idx="545">
                    <c:v>1,45</c:v>
                  </c:pt>
                  <c:pt idx="546">
                    <c:v>1,7</c:v>
                  </c:pt>
                  <c:pt idx="547">
                    <c:v>1,5</c:v>
                  </c:pt>
                  <c:pt idx="548">
                    <c:v>1,5</c:v>
                  </c:pt>
                  <c:pt idx="549">
                    <c:v>1,6</c:v>
                  </c:pt>
                  <c:pt idx="550">
                    <c:v>1,6</c:v>
                  </c:pt>
                  <c:pt idx="551">
                    <c:v>1,6</c:v>
                  </c:pt>
                  <c:pt idx="552">
                    <c:v>1,6</c:v>
                  </c:pt>
                  <c:pt idx="553">
                    <c:v>1,6</c:v>
                  </c:pt>
                  <c:pt idx="554">
                    <c:v>1,3</c:v>
                  </c:pt>
                  <c:pt idx="555">
                    <c:v>1,6</c:v>
                  </c:pt>
                  <c:pt idx="556">
                    <c:v>1,8</c:v>
                  </c:pt>
                  <c:pt idx="557">
                    <c:v>1,6</c:v>
                  </c:pt>
                  <c:pt idx="558">
                    <c:v>1,3</c:v>
                  </c:pt>
                  <c:pt idx="559">
                    <c:v>1,3</c:v>
                  </c:pt>
                  <c:pt idx="560">
                    <c:v>1,6</c:v>
                  </c:pt>
                  <c:pt idx="561">
                    <c:v>1,6</c:v>
                  </c:pt>
                  <c:pt idx="562">
                    <c:v>1,6</c:v>
                  </c:pt>
                  <c:pt idx="563">
                    <c:v>1,4</c:v>
                  </c:pt>
                  <c:pt idx="564">
                    <c:v>1,6</c:v>
                  </c:pt>
                  <c:pt idx="565">
                    <c:v>1,6</c:v>
                  </c:pt>
                  <c:pt idx="566">
                    <c:v>1,4</c:v>
                  </c:pt>
                  <c:pt idx="567">
                    <c:v>1,5</c:v>
                  </c:pt>
                  <c:pt idx="568">
                    <c:v>1,5</c:v>
                  </c:pt>
                  <c:pt idx="569">
                    <c:v>2</c:v>
                  </c:pt>
                  <c:pt idx="570">
                    <c:v>1,6</c:v>
                  </c:pt>
                  <c:pt idx="571">
                    <c:v>1,6</c:v>
                  </c:pt>
                  <c:pt idx="572">
                    <c:v>1,4</c:v>
                  </c:pt>
                  <c:pt idx="573">
                    <c:v>1,35</c:v>
                  </c:pt>
                  <c:pt idx="574">
                    <c:v>1,7</c:v>
                  </c:pt>
                  <c:pt idx="575">
                    <c:v>1,6</c:v>
                  </c:pt>
                  <c:pt idx="576">
                    <c:v>1,6</c:v>
                  </c:pt>
                  <c:pt idx="577">
                    <c:v>1,4</c:v>
                  </c:pt>
                  <c:pt idx="579">
                    <c:v>1,6</c:v>
                  </c:pt>
                  <c:pt idx="580">
                    <c:v>1,6</c:v>
                  </c:pt>
                  <c:pt idx="582">
                    <c:v>1,5</c:v>
                  </c:pt>
                  <c:pt idx="583">
                    <c:v>1,6</c:v>
                  </c:pt>
                  <c:pt idx="584">
                    <c:v>1,1</c:v>
                  </c:pt>
                  <c:pt idx="585">
                    <c:v>2</c:v>
                  </c:pt>
                  <c:pt idx="586">
                    <c:v>3</c:v>
                  </c:pt>
                  <c:pt idx="587">
                    <c:v>1,7</c:v>
                  </c:pt>
                  <c:pt idx="588">
                    <c:v>1,6</c:v>
                  </c:pt>
                  <c:pt idx="589">
                    <c:v>1,6</c:v>
                  </c:pt>
                  <c:pt idx="590">
                    <c:v>1,5</c:v>
                  </c:pt>
                  <c:pt idx="591">
                    <c:v>1,8</c:v>
                  </c:pt>
                  <c:pt idx="592">
                    <c:v>1,6</c:v>
                  </c:pt>
                  <c:pt idx="593">
                    <c:v>1,4</c:v>
                  </c:pt>
                  <c:pt idx="594">
                    <c:v>2,25</c:v>
                  </c:pt>
                  <c:pt idx="595">
                    <c:v>2,3</c:v>
                  </c:pt>
                  <c:pt idx="596">
                    <c:v>1,6</c:v>
                  </c:pt>
                  <c:pt idx="597">
                    <c:v>2</c:v>
                  </c:pt>
                  <c:pt idx="598">
                    <c:v>1,5</c:v>
                  </c:pt>
                  <c:pt idx="599">
                    <c:v>2,6</c:v>
                  </c:pt>
                  <c:pt idx="600">
                    <c:v>1,3</c:v>
                  </c:pt>
                  <c:pt idx="601">
                    <c:v>1,6</c:v>
                  </c:pt>
                  <c:pt idx="602">
                    <c:v>1,6</c:v>
                  </c:pt>
                  <c:pt idx="603">
                    <c:v>1,3</c:v>
                  </c:pt>
                  <c:pt idx="604">
                    <c:v>3</c:v>
                  </c:pt>
                  <c:pt idx="605">
                    <c:v>1,6</c:v>
                  </c:pt>
                  <c:pt idx="606">
                    <c:v>1,6</c:v>
                  </c:pt>
                  <c:pt idx="607">
                    <c:v>1,8</c:v>
                  </c:pt>
                  <c:pt idx="608">
                    <c:v>1,8</c:v>
                  </c:pt>
                  <c:pt idx="609">
                    <c:v>1,6</c:v>
                  </c:pt>
                  <c:pt idx="610">
                    <c:v>1,4</c:v>
                  </c:pt>
                  <c:pt idx="611">
                    <c:v>1,6</c:v>
                  </c:pt>
                  <c:pt idx="612">
                    <c:v>1,8</c:v>
                  </c:pt>
                  <c:pt idx="613">
                    <c:v>1,6</c:v>
                  </c:pt>
                  <c:pt idx="614">
                    <c:v>1,8</c:v>
                  </c:pt>
                  <c:pt idx="615">
                    <c:v>1,6</c:v>
                  </c:pt>
                  <c:pt idx="616">
                    <c:v>2</c:v>
                  </c:pt>
                  <c:pt idx="617">
                    <c:v>1,8</c:v>
                  </c:pt>
                  <c:pt idx="618">
                    <c:v>1,8</c:v>
                  </c:pt>
                  <c:pt idx="619">
                    <c:v>1,6</c:v>
                  </c:pt>
                  <c:pt idx="620">
                    <c:v>1,7</c:v>
                  </c:pt>
                  <c:pt idx="621">
                    <c:v>1,7</c:v>
                  </c:pt>
                  <c:pt idx="622">
                    <c:v>1,7</c:v>
                  </c:pt>
                  <c:pt idx="623">
                    <c:v>1,7</c:v>
                  </c:pt>
                  <c:pt idx="624">
                    <c:v>1,7</c:v>
                  </c:pt>
                  <c:pt idx="625">
                    <c:v>1,6</c:v>
                  </c:pt>
                  <c:pt idx="626">
                    <c:v>1,7</c:v>
                  </c:pt>
                  <c:pt idx="627">
                    <c:v>1,7</c:v>
                  </c:pt>
                  <c:pt idx="628">
                    <c:v>1,7</c:v>
                  </c:pt>
                  <c:pt idx="629">
                    <c:v>1,7</c:v>
                  </c:pt>
                  <c:pt idx="630">
                    <c:v>1,7</c:v>
                  </c:pt>
                  <c:pt idx="631">
                    <c:v>1,6</c:v>
                  </c:pt>
                  <c:pt idx="632">
                    <c:v>1,4</c:v>
                  </c:pt>
                  <c:pt idx="633">
                    <c:v>1,6</c:v>
                  </c:pt>
                  <c:pt idx="634">
                    <c:v>1,3</c:v>
                  </c:pt>
                  <c:pt idx="635">
                    <c:v>1,2</c:v>
                  </c:pt>
                  <c:pt idx="636">
                    <c:v>1,4</c:v>
                  </c:pt>
                  <c:pt idx="637">
                    <c:v>2</c:v>
                  </c:pt>
                  <c:pt idx="638">
                    <c:v>1,8</c:v>
                  </c:pt>
                  <c:pt idx="639">
                    <c:v>2</c:v>
                  </c:pt>
                  <c:pt idx="640">
                    <c:v>1,6</c:v>
                  </c:pt>
                  <c:pt idx="641">
                    <c:v>2</c:v>
                  </c:pt>
                  <c:pt idx="642">
                    <c:v>1,8</c:v>
                  </c:pt>
                  <c:pt idx="643">
                    <c:v>1,8</c:v>
                  </c:pt>
                  <c:pt idx="644">
                    <c:v>1,8</c:v>
                  </c:pt>
                  <c:pt idx="645">
                    <c:v>1,6</c:v>
                  </c:pt>
                  <c:pt idx="646">
                    <c:v>1,8</c:v>
                  </c:pt>
                  <c:pt idx="647">
                    <c:v>2</c:v>
                  </c:pt>
                  <c:pt idx="648">
                    <c:v>1,8</c:v>
                  </c:pt>
                  <c:pt idx="649">
                    <c:v>1,8</c:v>
                  </c:pt>
                  <c:pt idx="650">
                    <c:v>1,8</c:v>
                  </c:pt>
                  <c:pt idx="651">
                    <c:v>2</c:v>
                  </c:pt>
                  <c:pt idx="652">
                    <c:v>2</c:v>
                  </c:pt>
                  <c:pt idx="653">
                    <c:v>2</c:v>
                  </c:pt>
                  <c:pt idx="654">
                    <c:v>2</c:v>
                  </c:pt>
                  <c:pt idx="655">
                    <c:v>2</c:v>
                  </c:pt>
                  <c:pt idx="656">
                    <c:v>1,5</c:v>
                  </c:pt>
                  <c:pt idx="657">
                    <c:v>1,8</c:v>
                  </c:pt>
                  <c:pt idx="658">
                    <c:v>1,8</c:v>
                  </c:pt>
                  <c:pt idx="659">
                    <c:v>1,8</c:v>
                  </c:pt>
                  <c:pt idx="660">
                    <c:v>1,8</c:v>
                  </c:pt>
                  <c:pt idx="661">
                    <c:v>1,8</c:v>
                  </c:pt>
                  <c:pt idx="662">
                    <c:v>1,8</c:v>
                  </c:pt>
                  <c:pt idx="663">
                    <c:v>1,8</c:v>
                  </c:pt>
                  <c:pt idx="664">
                    <c:v>1,8</c:v>
                  </c:pt>
                  <c:pt idx="665">
                    <c:v>1,8</c:v>
                  </c:pt>
                  <c:pt idx="666">
                    <c:v>1,8</c:v>
                  </c:pt>
                  <c:pt idx="667">
                    <c:v>1</c:v>
                  </c:pt>
                  <c:pt idx="668">
                    <c:v>1</c:v>
                  </c:pt>
                  <c:pt idx="670">
                    <c:v>1,6</c:v>
                  </c:pt>
                  <c:pt idx="671">
                    <c:v>1,6</c:v>
                  </c:pt>
                  <c:pt idx="672">
                    <c:v>1,2</c:v>
                  </c:pt>
                  <c:pt idx="673">
                    <c:v>1,3</c:v>
                  </c:pt>
                  <c:pt idx="674">
                    <c:v>1,3</c:v>
                  </c:pt>
                  <c:pt idx="675">
                    <c:v>1,3</c:v>
                  </c:pt>
                  <c:pt idx="676">
                    <c:v>1,5</c:v>
                  </c:pt>
                  <c:pt idx="677">
                    <c:v>1,5</c:v>
                  </c:pt>
                  <c:pt idx="678">
                    <c:v>2</c:v>
                  </c:pt>
                  <c:pt idx="679">
                    <c:v>1,3</c:v>
                  </c:pt>
                  <c:pt idx="680">
                    <c:v>1,4</c:v>
                  </c:pt>
                  <c:pt idx="681">
                    <c:v>1,3</c:v>
                  </c:pt>
                  <c:pt idx="682">
                    <c:v>1,45</c:v>
                  </c:pt>
                  <c:pt idx="683">
                    <c:v>1,2</c:v>
                  </c:pt>
                  <c:pt idx="684">
                    <c:v>1,4</c:v>
                  </c:pt>
                  <c:pt idx="685">
                    <c:v>1,3</c:v>
                  </c:pt>
                  <c:pt idx="687">
                    <c:v>1,8</c:v>
                  </c:pt>
                  <c:pt idx="688">
                    <c:v>1,45</c:v>
                  </c:pt>
                  <c:pt idx="689">
                    <c:v>1,6</c:v>
                  </c:pt>
                  <c:pt idx="690">
                    <c:v>1,25</c:v>
                  </c:pt>
                  <c:pt idx="691">
                    <c:v>1,3</c:v>
                  </c:pt>
                  <c:pt idx="692">
                    <c:v>1,3</c:v>
                  </c:pt>
                  <c:pt idx="693">
                    <c:v>1,4</c:v>
                  </c:pt>
                  <c:pt idx="694">
                    <c:v>1,6</c:v>
                  </c:pt>
                  <c:pt idx="695">
                    <c:v>1,4</c:v>
                  </c:pt>
                  <c:pt idx="696">
                    <c:v>1,4</c:v>
                  </c:pt>
                  <c:pt idx="697">
                    <c:v>1,4</c:v>
                  </c:pt>
                  <c:pt idx="698">
                    <c:v>1,4</c:v>
                  </c:pt>
                  <c:pt idx="699">
                    <c:v>1,4</c:v>
                  </c:pt>
                  <c:pt idx="700">
                    <c:v>1,3</c:v>
                  </c:pt>
                  <c:pt idx="701">
                    <c:v>1,3</c:v>
                  </c:pt>
                  <c:pt idx="702">
                    <c:v>1,5</c:v>
                  </c:pt>
                  <c:pt idx="703">
                    <c:v>1,4</c:v>
                  </c:pt>
                  <c:pt idx="704">
                    <c:v>1,4</c:v>
                  </c:pt>
                  <c:pt idx="705">
                    <c:v>1,6</c:v>
                  </c:pt>
                  <c:pt idx="706">
                    <c:v>1,2</c:v>
                  </c:pt>
                  <c:pt idx="707">
                    <c:v>1,4</c:v>
                  </c:pt>
                  <c:pt idx="708">
                    <c:v>1,5</c:v>
                  </c:pt>
                  <c:pt idx="709">
                    <c:v>1,4</c:v>
                  </c:pt>
                  <c:pt idx="710">
                    <c:v>1,5</c:v>
                  </c:pt>
                  <c:pt idx="711">
                    <c:v>1,45</c:v>
                  </c:pt>
                  <c:pt idx="712">
                    <c:v>1,3</c:v>
                  </c:pt>
                  <c:pt idx="713">
                    <c:v>1,5</c:v>
                  </c:pt>
                  <c:pt idx="714">
                    <c:v>1,5</c:v>
                  </c:pt>
                  <c:pt idx="715">
                    <c:v>1,6</c:v>
                  </c:pt>
                  <c:pt idx="716">
                    <c:v>1,6</c:v>
                  </c:pt>
                  <c:pt idx="717">
                    <c:v>1,6</c:v>
                  </c:pt>
                  <c:pt idx="718">
                    <c:v>1,6</c:v>
                  </c:pt>
                  <c:pt idx="719">
                    <c:v>1,6</c:v>
                  </c:pt>
                  <c:pt idx="720">
                    <c:v>1,3</c:v>
                  </c:pt>
                  <c:pt idx="721">
                    <c:v>1,3</c:v>
                  </c:pt>
                  <c:pt idx="722">
                    <c:v>1,4</c:v>
                  </c:pt>
                  <c:pt idx="723">
                    <c:v>1,6</c:v>
                  </c:pt>
                  <c:pt idx="724">
                    <c:v>1,3</c:v>
                  </c:pt>
                  <c:pt idx="725">
                    <c:v>1,8</c:v>
                  </c:pt>
                  <c:pt idx="726">
                    <c:v>1,5</c:v>
                  </c:pt>
                  <c:pt idx="727">
                    <c:v>1,8</c:v>
                  </c:pt>
                  <c:pt idx="728">
                    <c:v>1,8</c:v>
                  </c:pt>
                  <c:pt idx="729">
                    <c:v>3</c:v>
                  </c:pt>
                  <c:pt idx="730">
                    <c:v>1,6</c:v>
                  </c:pt>
                  <c:pt idx="731">
                    <c:v>1,6</c:v>
                  </c:pt>
                  <c:pt idx="732">
                    <c:v>1,4</c:v>
                  </c:pt>
                  <c:pt idx="733">
                    <c:v>1,6</c:v>
                  </c:pt>
                  <c:pt idx="734">
                    <c:v>1,5</c:v>
                  </c:pt>
                  <c:pt idx="735">
                    <c:v>1,4</c:v>
                  </c:pt>
                  <c:pt idx="736">
                    <c:v>2,5</c:v>
                  </c:pt>
                  <c:pt idx="737">
                    <c:v>3</c:v>
                  </c:pt>
                  <c:pt idx="738">
                    <c:v>2</c:v>
                  </c:pt>
                  <c:pt idx="739">
                    <c:v>1,5</c:v>
                  </c:pt>
                  <c:pt idx="740">
                    <c:v>1,6</c:v>
                  </c:pt>
                  <c:pt idx="741">
                    <c:v>1,5</c:v>
                  </c:pt>
                  <c:pt idx="742">
                    <c:v>1,6</c:v>
                  </c:pt>
                  <c:pt idx="743">
                    <c:v>1,6</c:v>
                  </c:pt>
                  <c:pt idx="744">
                    <c:v>1,8</c:v>
                  </c:pt>
                  <c:pt idx="747">
                    <c:v>1,7</c:v>
                  </c:pt>
                  <c:pt idx="748">
                    <c:v>1,7</c:v>
                  </c:pt>
                  <c:pt idx="749">
                    <c:v>1,2</c:v>
                  </c:pt>
                  <c:pt idx="750">
                    <c:v>1,4</c:v>
                  </c:pt>
                  <c:pt idx="751">
                    <c:v>5</c:v>
                  </c:pt>
                  <c:pt idx="754">
                    <c:v>1,7</c:v>
                  </c:pt>
                  <c:pt idx="755">
                    <c:v>1,6</c:v>
                  </c:pt>
                  <c:pt idx="756">
                    <c:v>2,1</c:v>
                  </c:pt>
                  <c:pt idx="757">
                    <c:v>1,4</c:v>
                  </c:pt>
                  <c:pt idx="758">
                    <c:v>1,8</c:v>
                  </c:pt>
                  <c:pt idx="759">
                    <c:v>2</c:v>
                  </c:pt>
                  <c:pt idx="760">
                    <c:v>1,4</c:v>
                  </c:pt>
                  <c:pt idx="761">
                    <c:v>1,6</c:v>
                  </c:pt>
                  <c:pt idx="762">
                    <c:v>1,3</c:v>
                  </c:pt>
                  <c:pt idx="763">
                    <c:v>2,5</c:v>
                  </c:pt>
                  <c:pt idx="764">
                    <c:v>1,2</c:v>
                  </c:pt>
                  <c:pt idx="765">
                    <c:v>1,6</c:v>
                  </c:pt>
                  <c:pt idx="766">
                    <c:v>1,5</c:v>
                  </c:pt>
                  <c:pt idx="767">
                    <c:v>1,7</c:v>
                  </c:pt>
                  <c:pt idx="768">
                    <c:v>1,4</c:v>
                  </c:pt>
                  <c:pt idx="769">
                    <c:v>1,5</c:v>
                  </c:pt>
                  <c:pt idx="770">
                    <c:v>1,5</c:v>
                  </c:pt>
                  <c:pt idx="771">
                    <c:v>1,8</c:v>
                  </c:pt>
                  <c:pt idx="772">
                    <c:v>1,5</c:v>
                  </c:pt>
                  <c:pt idx="773">
                    <c:v>1,6</c:v>
                  </c:pt>
                  <c:pt idx="774">
                    <c:v>1,3</c:v>
                  </c:pt>
                  <c:pt idx="775">
                    <c:v>1,8</c:v>
                  </c:pt>
                  <c:pt idx="776">
                    <c:v>1,4</c:v>
                  </c:pt>
                  <c:pt idx="777">
                    <c:v>1,6</c:v>
                  </c:pt>
                  <c:pt idx="778">
                    <c:v>1,8</c:v>
                  </c:pt>
                  <c:pt idx="779">
                    <c:v>1,6</c:v>
                  </c:pt>
                  <c:pt idx="780">
                    <c:v>1</c:v>
                  </c:pt>
                  <c:pt idx="781">
                    <c:v>1,6</c:v>
                  </c:pt>
                  <c:pt idx="782">
                    <c:v>1,6</c:v>
                  </c:pt>
                  <c:pt idx="783">
                    <c:v>2</c:v>
                  </c:pt>
                  <c:pt idx="784">
                    <c:v>1,5</c:v>
                  </c:pt>
                  <c:pt idx="785">
                    <c:v>1,5</c:v>
                  </c:pt>
                  <c:pt idx="786">
                    <c:v>1,4</c:v>
                  </c:pt>
                  <c:pt idx="787">
                    <c:v>1,6</c:v>
                  </c:pt>
                  <c:pt idx="788">
                    <c:v>1,6</c:v>
                  </c:pt>
                  <c:pt idx="789">
                    <c:v>1,6</c:v>
                  </c:pt>
                  <c:pt idx="790">
                    <c:v>1,6</c:v>
                  </c:pt>
                  <c:pt idx="791">
                    <c:v>1,6</c:v>
                  </c:pt>
                  <c:pt idx="792">
                    <c:v>1,3</c:v>
                  </c:pt>
                  <c:pt idx="793">
                    <c:v>1,2</c:v>
                  </c:pt>
                  <c:pt idx="794">
                    <c:v>1,8</c:v>
                  </c:pt>
                  <c:pt idx="796">
                    <c:v>1,5</c:v>
                  </c:pt>
                  <c:pt idx="797">
                    <c:v>1,4</c:v>
                  </c:pt>
                  <c:pt idx="798">
                    <c:v>1,55</c:v>
                  </c:pt>
                  <c:pt idx="799">
                    <c:v>1,2</c:v>
                  </c:pt>
                  <c:pt idx="800">
                    <c:v>1,2</c:v>
                  </c:pt>
                  <c:pt idx="801">
                    <c:v>1,5</c:v>
                  </c:pt>
                  <c:pt idx="802">
                    <c:v>1,5</c:v>
                  </c:pt>
                  <c:pt idx="803">
                    <c:v>1,5</c:v>
                  </c:pt>
                  <c:pt idx="804">
                    <c:v>1,4</c:v>
                  </c:pt>
                  <c:pt idx="805">
                    <c:v>1,4</c:v>
                  </c:pt>
                  <c:pt idx="806">
                    <c:v>1,5</c:v>
                  </c:pt>
                  <c:pt idx="807">
                    <c:v>1,8</c:v>
                  </c:pt>
                  <c:pt idx="808">
                    <c:v>1,8</c:v>
                  </c:pt>
                  <c:pt idx="809">
                    <c:v>1,8</c:v>
                  </c:pt>
                  <c:pt idx="810">
                    <c:v>1,6</c:v>
                  </c:pt>
                  <c:pt idx="811">
                    <c:v>1,4</c:v>
                  </c:pt>
                  <c:pt idx="812">
                    <c:v>1,4</c:v>
                  </c:pt>
                  <c:pt idx="813">
                    <c:v>1,7</c:v>
                  </c:pt>
                  <c:pt idx="814">
                    <c:v>1,6</c:v>
                  </c:pt>
                  <c:pt idx="815">
                    <c:v>1,6</c:v>
                  </c:pt>
                  <c:pt idx="816">
                    <c:v>1,6</c:v>
                  </c:pt>
                  <c:pt idx="817">
                    <c:v>1,6</c:v>
                  </c:pt>
                  <c:pt idx="818">
                    <c:v>1,7</c:v>
                  </c:pt>
                  <c:pt idx="819">
                    <c:v>1,7</c:v>
                  </c:pt>
                  <c:pt idx="820">
                    <c:v>1,7</c:v>
                  </c:pt>
                  <c:pt idx="821">
                    <c:v>1,7</c:v>
                  </c:pt>
                  <c:pt idx="822">
                    <c:v>1,7</c:v>
                  </c:pt>
                  <c:pt idx="823">
                    <c:v>1,6</c:v>
                  </c:pt>
                  <c:pt idx="824">
                    <c:v>1,6</c:v>
                  </c:pt>
                  <c:pt idx="825">
                    <c:v>1,6</c:v>
                  </c:pt>
                  <c:pt idx="826">
                    <c:v>1,6</c:v>
                  </c:pt>
                  <c:pt idx="827">
                    <c:v>1,4</c:v>
                  </c:pt>
                  <c:pt idx="828">
                    <c:v>1,4</c:v>
                  </c:pt>
                  <c:pt idx="829">
                    <c:v>1,8</c:v>
                  </c:pt>
                  <c:pt idx="830">
                    <c:v>1,7</c:v>
                  </c:pt>
                  <c:pt idx="831">
                    <c:v>1,6</c:v>
                  </c:pt>
                  <c:pt idx="832">
                    <c:v>1,4</c:v>
                  </c:pt>
                  <c:pt idx="833">
                    <c:v>1,6</c:v>
                  </c:pt>
                  <c:pt idx="834">
                    <c:v>1,6</c:v>
                  </c:pt>
                  <c:pt idx="835">
                    <c:v>1,6</c:v>
                  </c:pt>
                  <c:pt idx="836">
                    <c:v>1,6</c:v>
                  </c:pt>
                  <c:pt idx="837">
                    <c:v>1,6</c:v>
                  </c:pt>
                  <c:pt idx="838">
                    <c:v>1,6</c:v>
                  </c:pt>
                  <c:pt idx="839">
                    <c:v>1,7</c:v>
                  </c:pt>
                  <c:pt idx="840">
                    <c:v>1,4</c:v>
                  </c:pt>
                  <c:pt idx="841">
                    <c:v>1,6</c:v>
                  </c:pt>
                  <c:pt idx="842">
                    <c:v>1,6</c:v>
                  </c:pt>
                  <c:pt idx="843">
                    <c:v>1,6</c:v>
                  </c:pt>
                  <c:pt idx="844">
                    <c:v>1,6</c:v>
                  </c:pt>
                  <c:pt idx="845">
                    <c:v>1,6</c:v>
                  </c:pt>
                  <c:pt idx="846">
                    <c:v>1,6</c:v>
                  </c:pt>
                  <c:pt idx="847">
                    <c:v>1,6</c:v>
                  </c:pt>
                  <c:pt idx="848">
                    <c:v>1,6</c:v>
                  </c:pt>
                  <c:pt idx="849">
                    <c:v>1,3</c:v>
                  </c:pt>
                  <c:pt idx="850">
                    <c:v>1,2</c:v>
                  </c:pt>
                  <c:pt idx="851">
                    <c:v>1,3</c:v>
                  </c:pt>
                  <c:pt idx="852">
                    <c:v>1,3</c:v>
                  </c:pt>
                  <c:pt idx="853">
                    <c:v>1,6</c:v>
                  </c:pt>
                  <c:pt idx="854">
                    <c:v>1,6</c:v>
                  </c:pt>
                  <c:pt idx="855">
                    <c:v>1,6</c:v>
                  </c:pt>
                  <c:pt idx="856">
                    <c:v>1,5</c:v>
                  </c:pt>
                  <c:pt idx="857">
                    <c:v>1,6</c:v>
                  </c:pt>
                  <c:pt idx="858">
                    <c:v>1,6</c:v>
                  </c:pt>
                  <c:pt idx="859">
                    <c:v>1,4</c:v>
                  </c:pt>
                  <c:pt idx="860">
                    <c:v>1,6</c:v>
                  </c:pt>
                  <c:pt idx="861">
                    <c:v>1,6</c:v>
                  </c:pt>
                  <c:pt idx="862">
                    <c:v>1,3</c:v>
                  </c:pt>
                  <c:pt idx="863">
                    <c:v>1,3</c:v>
                  </c:pt>
                  <c:pt idx="864">
                    <c:v>1,45</c:v>
                  </c:pt>
                  <c:pt idx="865">
                    <c:v>1,45</c:v>
                  </c:pt>
                  <c:pt idx="866">
                    <c:v>1,4</c:v>
                  </c:pt>
                  <c:pt idx="867">
                    <c:v>1,5</c:v>
                  </c:pt>
                  <c:pt idx="868">
                    <c:v>1,4</c:v>
                  </c:pt>
                  <c:pt idx="869">
                    <c:v>1,4</c:v>
                  </c:pt>
                  <c:pt idx="870">
                    <c:v>1,45</c:v>
                  </c:pt>
                  <c:pt idx="871">
                    <c:v>1,5</c:v>
                  </c:pt>
                  <c:pt idx="872">
                    <c:v>1,45</c:v>
                  </c:pt>
                  <c:pt idx="873">
                    <c:v>1,7</c:v>
                  </c:pt>
                  <c:pt idx="874">
                    <c:v>1,7</c:v>
                  </c:pt>
                  <c:pt idx="875">
                    <c:v>1,7</c:v>
                  </c:pt>
                  <c:pt idx="876">
                    <c:v>1,4</c:v>
                  </c:pt>
                  <c:pt idx="877">
                    <c:v>1,4</c:v>
                  </c:pt>
                  <c:pt idx="878">
                    <c:v>1,4</c:v>
                  </c:pt>
                  <c:pt idx="879">
                    <c:v>1,6</c:v>
                  </c:pt>
                  <c:pt idx="880">
                    <c:v>1,9</c:v>
                  </c:pt>
                  <c:pt idx="881">
                    <c:v>1,4</c:v>
                  </c:pt>
                  <c:pt idx="882">
                    <c:v>1,2</c:v>
                  </c:pt>
                  <c:pt idx="883">
                    <c:v>1,2</c:v>
                  </c:pt>
                  <c:pt idx="884">
                    <c:v>1,6</c:v>
                  </c:pt>
                  <c:pt idx="885">
                    <c:v>1,6</c:v>
                  </c:pt>
                  <c:pt idx="886">
                    <c:v>1,4</c:v>
                  </c:pt>
                  <c:pt idx="887">
                    <c:v>1,4</c:v>
                  </c:pt>
                  <c:pt idx="888">
                    <c:v>1,5</c:v>
                  </c:pt>
                  <c:pt idx="889">
                    <c:v>1,6</c:v>
                  </c:pt>
                  <c:pt idx="890">
                    <c:v>1,8</c:v>
                  </c:pt>
                  <c:pt idx="891">
                    <c:v>1,6</c:v>
                  </c:pt>
                  <c:pt idx="892">
                    <c:v>1,6</c:v>
                  </c:pt>
                  <c:pt idx="893">
                    <c:v>1,5</c:v>
                  </c:pt>
                  <c:pt idx="894">
                    <c:v>1,9</c:v>
                  </c:pt>
                  <c:pt idx="895">
                    <c:v>1,8</c:v>
                  </c:pt>
                  <c:pt idx="896">
                    <c:v>2</c:v>
                  </c:pt>
                  <c:pt idx="897">
                    <c:v>1,6</c:v>
                  </c:pt>
                  <c:pt idx="898">
                    <c:v>1,4</c:v>
                  </c:pt>
                  <c:pt idx="899">
                    <c:v>1,6</c:v>
                  </c:pt>
                  <c:pt idx="900">
                    <c:v>1,6</c:v>
                  </c:pt>
                  <c:pt idx="901">
                    <c:v>1,6</c:v>
                  </c:pt>
                  <c:pt idx="902">
                    <c:v>1,4</c:v>
                  </c:pt>
                  <c:pt idx="903">
                    <c:v>1,4</c:v>
                  </c:pt>
                  <c:pt idx="904">
                    <c:v>2</c:v>
                  </c:pt>
                  <c:pt idx="905">
                    <c:v>1,4</c:v>
                  </c:pt>
                  <c:pt idx="906">
                    <c:v>1,4</c:v>
                  </c:pt>
                  <c:pt idx="907">
                    <c:v>1,8</c:v>
                  </c:pt>
                  <c:pt idx="908">
                    <c:v>1,4</c:v>
                  </c:pt>
                  <c:pt idx="909">
                    <c:v>1,8</c:v>
                  </c:pt>
                  <c:pt idx="910">
                    <c:v>1,6</c:v>
                  </c:pt>
                  <c:pt idx="911">
                    <c:v>2</c:v>
                  </c:pt>
                  <c:pt idx="912">
                    <c:v>3,3</c:v>
                  </c:pt>
                  <c:pt idx="913">
                    <c:v>1,6</c:v>
                  </c:pt>
                  <c:pt idx="914">
                    <c:v>1,6</c:v>
                  </c:pt>
                  <c:pt idx="915">
                    <c:v>1,6</c:v>
                  </c:pt>
                  <c:pt idx="916">
                    <c:v>1,6</c:v>
                  </c:pt>
                  <c:pt idx="917">
                    <c:v>1,6</c:v>
                  </c:pt>
                  <c:pt idx="918">
                    <c:v>1,3</c:v>
                  </c:pt>
                  <c:pt idx="919">
                    <c:v>1,6</c:v>
                  </c:pt>
                  <c:pt idx="920">
                    <c:v>1,8</c:v>
                  </c:pt>
                  <c:pt idx="921">
                    <c:v>1,5</c:v>
                  </c:pt>
                  <c:pt idx="922">
                    <c:v>2</c:v>
                  </c:pt>
                  <c:pt idx="923">
                    <c:v>1,8</c:v>
                  </c:pt>
                  <c:pt idx="924">
                    <c:v>2</c:v>
                  </c:pt>
                  <c:pt idx="925">
                    <c:v>1,8</c:v>
                  </c:pt>
                  <c:pt idx="926">
                    <c:v>1,6</c:v>
                  </c:pt>
                  <c:pt idx="927">
                    <c:v>1,4</c:v>
                  </c:pt>
                  <c:pt idx="928">
                    <c:v>1,4</c:v>
                  </c:pt>
                  <c:pt idx="929">
                    <c:v>1,4</c:v>
                  </c:pt>
                  <c:pt idx="930">
                    <c:v>1,4</c:v>
                  </c:pt>
                  <c:pt idx="931">
                    <c:v>1,6</c:v>
                  </c:pt>
                  <c:pt idx="932">
                    <c:v>1,6</c:v>
                  </c:pt>
                  <c:pt idx="933">
                    <c:v>1,6</c:v>
                  </c:pt>
                  <c:pt idx="934">
                    <c:v>1,6</c:v>
                  </c:pt>
                  <c:pt idx="935">
                    <c:v>1,4</c:v>
                  </c:pt>
                  <c:pt idx="936">
                    <c:v>1,6</c:v>
                  </c:pt>
                  <c:pt idx="937">
                    <c:v>1,6</c:v>
                  </c:pt>
                  <c:pt idx="938">
                    <c:v>1,6</c:v>
                  </c:pt>
                  <c:pt idx="939">
                    <c:v>1,6</c:v>
                  </c:pt>
                  <c:pt idx="940">
                    <c:v>1,6</c:v>
                  </c:pt>
                  <c:pt idx="941">
                    <c:v>1,4</c:v>
                  </c:pt>
                  <c:pt idx="942">
                    <c:v>1,4</c:v>
                  </c:pt>
                  <c:pt idx="943">
                    <c:v>1,4</c:v>
                  </c:pt>
                  <c:pt idx="944">
                    <c:v>1,6</c:v>
                  </c:pt>
                  <c:pt idx="945">
                    <c:v>1,6</c:v>
                  </c:pt>
                  <c:pt idx="946">
                    <c:v>1,6</c:v>
                  </c:pt>
                  <c:pt idx="947">
                    <c:v>1,6</c:v>
                  </c:pt>
                  <c:pt idx="948">
                    <c:v>1,6</c:v>
                  </c:pt>
                  <c:pt idx="949">
                    <c:v>1,6</c:v>
                  </c:pt>
                  <c:pt idx="950">
                    <c:v>1,6</c:v>
                  </c:pt>
                  <c:pt idx="951">
                    <c:v>1,6</c:v>
                  </c:pt>
                  <c:pt idx="952">
                    <c:v>1,6</c:v>
                  </c:pt>
                  <c:pt idx="953">
                    <c:v>1,6</c:v>
                  </c:pt>
                  <c:pt idx="954">
                    <c:v>1,6</c:v>
                  </c:pt>
                  <c:pt idx="955">
                    <c:v>1,7</c:v>
                  </c:pt>
                  <c:pt idx="956">
                    <c:v>1,5</c:v>
                  </c:pt>
                  <c:pt idx="957">
                    <c:v>1,5</c:v>
                  </c:pt>
                  <c:pt idx="958">
                    <c:v>1,5</c:v>
                  </c:pt>
                  <c:pt idx="959">
                    <c:v>1,5</c:v>
                  </c:pt>
                  <c:pt idx="960">
                    <c:v>1,4</c:v>
                  </c:pt>
                  <c:pt idx="961">
                    <c:v>1,5</c:v>
                  </c:pt>
                  <c:pt idx="962">
                    <c:v>1,3</c:v>
                  </c:pt>
                  <c:pt idx="963">
                    <c:v>1,3</c:v>
                  </c:pt>
                  <c:pt idx="964">
                    <c:v>1,3</c:v>
                  </c:pt>
                  <c:pt idx="965">
                    <c:v>1,3</c:v>
                  </c:pt>
                  <c:pt idx="966">
                    <c:v>1,4</c:v>
                  </c:pt>
                  <c:pt idx="967">
                    <c:v>1,3</c:v>
                  </c:pt>
                  <c:pt idx="968">
                    <c:v>1,6</c:v>
                  </c:pt>
                  <c:pt idx="969">
                    <c:v>1,6</c:v>
                  </c:pt>
                  <c:pt idx="971">
                    <c:v>1,6</c:v>
                  </c:pt>
                  <c:pt idx="972">
                    <c:v>1,6</c:v>
                  </c:pt>
                  <c:pt idx="973">
                    <c:v>1,6</c:v>
                  </c:pt>
                  <c:pt idx="974">
                    <c:v>1,5</c:v>
                  </c:pt>
                  <c:pt idx="975">
                    <c:v>1,6</c:v>
                  </c:pt>
                  <c:pt idx="976">
                    <c:v>1,6</c:v>
                  </c:pt>
                  <c:pt idx="977">
                    <c:v>1,5</c:v>
                  </c:pt>
                  <c:pt idx="978">
                    <c:v>1,5</c:v>
                  </c:pt>
                  <c:pt idx="979">
                    <c:v>1,6</c:v>
                  </c:pt>
                  <c:pt idx="980">
                    <c:v>1,3</c:v>
                  </c:pt>
                  <c:pt idx="981">
                    <c:v>1,3</c:v>
                  </c:pt>
                  <c:pt idx="982">
                    <c:v>1,5</c:v>
                  </c:pt>
                  <c:pt idx="983">
                    <c:v>1,4</c:v>
                  </c:pt>
                  <c:pt idx="984">
                    <c:v>1,2</c:v>
                  </c:pt>
                  <c:pt idx="985">
                    <c:v>1,4</c:v>
                  </c:pt>
                  <c:pt idx="986">
                    <c:v>2</c:v>
                  </c:pt>
                  <c:pt idx="987">
                    <c:v>1,6</c:v>
                  </c:pt>
                  <c:pt idx="988">
                    <c:v>2</c:v>
                  </c:pt>
                  <c:pt idx="989">
                    <c:v>2</c:v>
                  </c:pt>
                  <c:pt idx="990">
                    <c:v>2</c:v>
                  </c:pt>
                  <c:pt idx="991">
                    <c:v>2</c:v>
                  </c:pt>
                  <c:pt idx="992">
                    <c:v>1,45</c:v>
                  </c:pt>
                  <c:pt idx="993">
                    <c:v>1,8</c:v>
                  </c:pt>
                  <c:pt idx="994">
                    <c:v>1,45</c:v>
                  </c:pt>
                  <c:pt idx="995">
                    <c:v>1,45</c:v>
                  </c:pt>
                  <c:pt idx="996">
                    <c:v>1,8</c:v>
                  </c:pt>
                  <c:pt idx="997">
                    <c:v>1,6</c:v>
                  </c:pt>
                  <c:pt idx="998">
                    <c:v>1,7</c:v>
                  </c:pt>
                  <c:pt idx="999">
                    <c:v>1,7</c:v>
                  </c:pt>
                  <c:pt idx="1000">
                    <c:v>1,7</c:v>
                  </c:pt>
                  <c:pt idx="1001">
                    <c:v>1,7</c:v>
                  </c:pt>
                  <c:pt idx="1002">
                    <c:v>1,6</c:v>
                  </c:pt>
                  <c:pt idx="1003">
                    <c:v>1,45</c:v>
                  </c:pt>
                  <c:pt idx="1004">
                    <c:v>1,6</c:v>
                  </c:pt>
                  <c:pt idx="1005">
                    <c:v>1,6</c:v>
                  </c:pt>
                  <c:pt idx="1006">
                    <c:v>1,6</c:v>
                  </c:pt>
                  <c:pt idx="1007">
                    <c:v>1,6</c:v>
                  </c:pt>
                  <c:pt idx="1008">
                    <c:v>1,6</c:v>
                  </c:pt>
                  <c:pt idx="1009">
                    <c:v>1,6</c:v>
                  </c:pt>
                  <c:pt idx="1010">
                    <c:v>1,6</c:v>
                  </c:pt>
                  <c:pt idx="1011">
                    <c:v>1,6</c:v>
                  </c:pt>
                  <c:pt idx="1012">
                    <c:v>1,6</c:v>
                  </c:pt>
                  <c:pt idx="1013">
                    <c:v>1,6</c:v>
                  </c:pt>
                  <c:pt idx="1014">
                    <c:v>1,6</c:v>
                  </c:pt>
                  <c:pt idx="1015">
                    <c:v>1,6</c:v>
                  </c:pt>
                  <c:pt idx="1016">
                    <c:v>1,6</c:v>
                  </c:pt>
                  <c:pt idx="1017">
                    <c:v>1,4</c:v>
                  </c:pt>
                  <c:pt idx="1018">
                    <c:v>1,5</c:v>
                  </c:pt>
                  <c:pt idx="1019">
                    <c:v>1,5</c:v>
                  </c:pt>
                  <c:pt idx="1020">
                    <c:v>1,5</c:v>
                  </c:pt>
                  <c:pt idx="1021">
                    <c:v>1,5</c:v>
                  </c:pt>
                  <c:pt idx="1022">
                    <c:v>1,6</c:v>
                  </c:pt>
                  <c:pt idx="1023">
                    <c:v>1,7</c:v>
                  </c:pt>
                  <c:pt idx="1024">
                    <c:v>1,7</c:v>
                  </c:pt>
                  <c:pt idx="1025">
                    <c:v>1,6</c:v>
                  </c:pt>
                  <c:pt idx="1026">
                    <c:v>1,6</c:v>
                  </c:pt>
                  <c:pt idx="1027">
                    <c:v>1,6</c:v>
                  </c:pt>
                  <c:pt idx="1028">
                    <c:v>1,6</c:v>
                  </c:pt>
                  <c:pt idx="1029">
                    <c:v>1,6</c:v>
                  </c:pt>
                  <c:pt idx="1030">
                    <c:v>1,6</c:v>
                  </c:pt>
                  <c:pt idx="1031">
                    <c:v>1,5</c:v>
                  </c:pt>
                  <c:pt idx="1032">
                    <c:v>1,5</c:v>
                  </c:pt>
                  <c:pt idx="1033">
                    <c:v>1,8</c:v>
                  </c:pt>
                  <c:pt idx="1034">
                    <c:v>1,7</c:v>
                  </c:pt>
                  <c:pt idx="1035">
                    <c:v>1,7</c:v>
                  </c:pt>
                  <c:pt idx="1036">
                    <c:v>1,6</c:v>
                  </c:pt>
                  <c:pt idx="1037">
                    <c:v>1,6</c:v>
                  </c:pt>
                  <c:pt idx="1038">
                    <c:v>1,7</c:v>
                  </c:pt>
                  <c:pt idx="1039">
                    <c:v>1,5</c:v>
                  </c:pt>
                  <c:pt idx="1040">
                    <c:v>1,5</c:v>
                  </c:pt>
                  <c:pt idx="1041">
                    <c:v>1,5</c:v>
                  </c:pt>
                  <c:pt idx="1042">
                    <c:v>1,5</c:v>
                  </c:pt>
                  <c:pt idx="1043">
                    <c:v>1,5</c:v>
                  </c:pt>
                  <c:pt idx="1044">
                    <c:v>1,5</c:v>
                  </c:pt>
                  <c:pt idx="1045">
                    <c:v>1,5</c:v>
                  </c:pt>
                  <c:pt idx="1046">
                    <c:v>1,5</c:v>
                  </c:pt>
                  <c:pt idx="1047">
                    <c:v>1,7</c:v>
                  </c:pt>
                  <c:pt idx="1048">
                    <c:v>1,7</c:v>
                  </c:pt>
                  <c:pt idx="1049">
                    <c:v>1,7</c:v>
                  </c:pt>
                  <c:pt idx="1050">
                    <c:v>1,7</c:v>
                  </c:pt>
                  <c:pt idx="1051">
                    <c:v>1,7</c:v>
                  </c:pt>
                  <c:pt idx="1052">
                    <c:v>1,9</c:v>
                  </c:pt>
                  <c:pt idx="1053">
                    <c:v>1,6</c:v>
                  </c:pt>
                  <c:pt idx="1054">
                    <c:v>1,8</c:v>
                  </c:pt>
                  <c:pt idx="1055">
                    <c:v>1,8</c:v>
                  </c:pt>
                  <c:pt idx="1056">
                    <c:v>1,8</c:v>
                  </c:pt>
                  <c:pt idx="1057">
                    <c:v>1,5</c:v>
                  </c:pt>
                  <c:pt idx="1058">
                    <c:v>1,5</c:v>
                  </c:pt>
                  <c:pt idx="1059">
                    <c:v>1,8</c:v>
                  </c:pt>
                  <c:pt idx="1060">
                    <c:v>1,8</c:v>
                  </c:pt>
                  <c:pt idx="1061">
                    <c:v>1,5</c:v>
                  </c:pt>
                  <c:pt idx="1062">
                    <c:v>1,5</c:v>
                  </c:pt>
                  <c:pt idx="1063">
                    <c:v>1,5</c:v>
                  </c:pt>
                  <c:pt idx="1064">
                    <c:v>1,5</c:v>
                  </c:pt>
                  <c:pt idx="1065">
                    <c:v>1,5</c:v>
                  </c:pt>
                  <c:pt idx="1066">
                    <c:v>1,5</c:v>
                  </c:pt>
                  <c:pt idx="1067">
                    <c:v>1,8</c:v>
                  </c:pt>
                  <c:pt idx="1068">
                    <c:v>1,5</c:v>
                  </c:pt>
                  <c:pt idx="1069">
                    <c:v>1,6</c:v>
                  </c:pt>
                  <c:pt idx="1070">
                    <c:v>1,6</c:v>
                  </c:pt>
                  <c:pt idx="1071">
                    <c:v>1,8</c:v>
                  </c:pt>
                  <c:pt idx="1072">
                    <c:v>1,7</c:v>
                  </c:pt>
                  <c:pt idx="1073">
                    <c:v>1,7</c:v>
                  </c:pt>
                  <c:pt idx="1074">
                    <c:v>1,7</c:v>
                  </c:pt>
                  <c:pt idx="1075">
                    <c:v>1,7</c:v>
                  </c:pt>
                  <c:pt idx="1076">
                    <c:v>1,7</c:v>
                  </c:pt>
                  <c:pt idx="1078">
                    <c:v>1,6</c:v>
                  </c:pt>
                  <c:pt idx="1079">
                    <c:v>1,6</c:v>
                  </c:pt>
                  <c:pt idx="1080">
                    <c:v>2</c:v>
                  </c:pt>
                  <c:pt idx="1081">
                    <c:v>1,7</c:v>
                  </c:pt>
                  <c:pt idx="1082">
                    <c:v>1,7</c:v>
                  </c:pt>
                  <c:pt idx="1083">
                    <c:v>1,6</c:v>
                  </c:pt>
                  <c:pt idx="1084">
                    <c:v>1,7</c:v>
                  </c:pt>
                  <c:pt idx="1085">
                    <c:v>1,6</c:v>
                  </c:pt>
                  <c:pt idx="1086">
                    <c:v>1,6</c:v>
                  </c:pt>
                  <c:pt idx="1087">
                    <c:v>1,7</c:v>
                  </c:pt>
                  <c:pt idx="1088">
                    <c:v>1,7</c:v>
                  </c:pt>
                  <c:pt idx="1089">
                    <c:v>1,7</c:v>
                  </c:pt>
                  <c:pt idx="1090">
                    <c:v>1,7</c:v>
                  </c:pt>
                  <c:pt idx="1091">
                    <c:v>1,4</c:v>
                  </c:pt>
                  <c:pt idx="1092">
                    <c:v>1,4</c:v>
                  </c:pt>
                  <c:pt idx="1093">
                    <c:v>1,4</c:v>
                  </c:pt>
                  <c:pt idx="1094">
                    <c:v>1,3</c:v>
                  </c:pt>
                  <c:pt idx="1095">
                    <c:v>1,5</c:v>
                  </c:pt>
                  <c:pt idx="1096">
                    <c:v>1,4</c:v>
                  </c:pt>
                  <c:pt idx="1097">
                    <c:v>1,4</c:v>
                  </c:pt>
                  <c:pt idx="1098">
                    <c:v>1,6</c:v>
                  </c:pt>
                  <c:pt idx="1099">
                    <c:v>1,4</c:v>
                  </c:pt>
                  <c:pt idx="1100">
                    <c:v>1,6</c:v>
                  </c:pt>
                  <c:pt idx="1101">
                    <c:v>1,6</c:v>
                  </c:pt>
                  <c:pt idx="1102">
                    <c:v>1,6</c:v>
                  </c:pt>
                  <c:pt idx="1103">
                    <c:v>1,6</c:v>
                  </c:pt>
                  <c:pt idx="1104">
                    <c:v>1,4</c:v>
                  </c:pt>
                  <c:pt idx="1105">
                    <c:v>1,4</c:v>
                  </c:pt>
                  <c:pt idx="1106">
                    <c:v>1,6</c:v>
                  </c:pt>
                  <c:pt idx="1107">
                    <c:v>1,6</c:v>
                  </c:pt>
                  <c:pt idx="1108">
                    <c:v>1,8</c:v>
                  </c:pt>
                  <c:pt idx="1109">
                    <c:v>1,6</c:v>
                  </c:pt>
                  <c:pt idx="1110">
                    <c:v>1</c:v>
                  </c:pt>
                  <c:pt idx="1111">
                    <c:v>1,3</c:v>
                  </c:pt>
                  <c:pt idx="1112">
                    <c:v>1,3</c:v>
                  </c:pt>
                  <c:pt idx="1113">
                    <c:v>1,3</c:v>
                  </c:pt>
                  <c:pt idx="1114">
                    <c:v>1,3</c:v>
                  </c:pt>
                  <c:pt idx="1115">
                    <c:v>1,5</c:v>
                  </c:pt>
                  <c:pt idx="1116">
                    <c:v>1,6</c:v>
                  </c:pt>
                  <c:pt idx="1117">
                    <c:v>1,6</c:v>
                  </c:pt>
                  <c:pt idx="1118">
                    <c:v>1,3</c:v>
                  </c:pt>
                  <c:pt idx="1119">
                    <c:v>1,6</c:v>
                  </c:pt>
                  <c:pt idx="1120">
                    <c:v>1,6</c:v>
                  </c:pt>
                  <c:pt idx="1121">
                    <c:v>1,6</c:v>
                  </c:pt>
                  <c:pt idx="1122">
                    <c:v>1,7</c:v>
                  </c:pt>
                  <c:pt idx="1123">
                    <c:v>1,7</c:v>
                  </c:pt>
                  <c:pt idx="1124">
                    <c:v>1,6</c:v>
                  </c:pt>
                  <c:pt idx="1125">
                    <c:v>1,6</c:v>
                  </c:pt>
                  <c:pt idx="1126">
                    <c:v>1,6</c:v>
                  </c:pt>
                  <c:pt idx="1127">
                    <c:v>1,4</c:v>
                  </c:pt>
                  <c:pt idx="1128">
                    <c:v>1,6</c:v>
                  </c:pt>
                  <c:pt idx="1129">
                    <c:v>1,6</c:v>
                  </c:pt>
                  <c:pt idx="1130">
                    <c:v>1,6</c:v>
                  </c:pt>
                  <c:pt idx="1131">
                    <c:v>1,6</c:v>
                  </c:pt>
                  <c:pt idx="1132">
                    <c:v>1,6</c:v>
                  </c:pt>
                  <c:pt idx="1133">
                    <c:v>1,6</c:v>
                  </c:pt>
                  <c:pt idx="1134">
                    <c:v>1,6</c:v>
                  </c:pt>
                  <c:pt idx="1135">
                    <c:v>1,6</c:v>
                  </c:pt>
                  <c:pt idx="1136">
                    <c:v>1,6</c:v>
                  </c:pt>
                  <c:pt idx="1137">
                    <c:v>1,6</c:v>
                  </c:pt>
                  <c:pt idx="1138">
                    <c:v>1,6</c:v>
                  </c:pt>
                  <c:pt idx="1139">
                    <c:v>1,6</c:v>
                  </c:pt>
                  <c:pt idx="1140">
                    <c:v>1,6</c:v>
                  </c:pt>
                  <c:pt idx="1141">
                    <c:v>1,6</c:v>
                  </c:pt>
                  <c:pt idx="1142">
                    <c:v>1,6</c:v>
                  </c:pt>
                  <c:pt idx="1143">
                    <c:v>1,6</c:v>
                  </c:pt>
                  <c:pt idx="1144">
                    <c:v>1,7</c:v>
                  </c:pt>
                  <c:pt idx="1145">
                    <c:v>1,8</c:v>
                  </c:pt>
                  <c:pt idx="1146">
                    <c:v>1,7</c:v>
                  </c:pt>
                  <c:pt idx="1147">
                    <c:v>1,5</c:v>
                  </c:pt>
                  <c:pt idx="1148">
                    <c:v>1,6</c:v>
                  </c:pt>
                  <c:pt idx="1149">
                    <c:v>1,8</c:v>
                  </c:pt>
                  <c:pt idx="1150">
                    <c:v>1,6</c:v>
                  </c:pt>
                  <c:pt idx="1151">
                    <c:v>1,4</c:v>
                  </c:pt>
                  <c:pt idx="1152">
                    <c:v>1,4</c:v>
                  </c:pt>
                  <c:pt idx="1153">
                    <c:v>1,5</c:v>
                  </c:pt>
                  <c:pt idx="1154">
                    <c:v>1,5</c:v>
                  </c:pt>
                  <c:pt idx="1155">
                    <c:v>1,6</c:v>
                  </c:pt>
                  <c:pt idx="1156">
                    <c:v>1,5</c:v>
                  </c:pt>
                  <c:pt idx="1157">
                    <c:v>1,5</c:v>
                  </c:pt>
                  <c:pt idx="1158">
                    <c:v>1,4</c:v>
                  </c:pt>
                  <c:pt idx="1159">
                    <c:v>1,5</c:v>
                  </c:pt>
                  <c:pt idx="1160">
                    <c:v>1,5</c:v>
                  </c:pt>
                  <c:pt idx="1161">
                    <c:v>1,8</c:v>
                  </c:pt>
                  <c:pt idx="1162">
                    <c:v>1,5</c:v>
                  </c:pt>
                  <c:pt idx="1163">
                    <c:v>1,6</c:v>
                  </c:pt>
                  <c:pt idx="1164">
                    <c:v>1,7</c:v>
                  </c:pt>
                  <c:pt idx="1165">
                    <c:v>1,7</c:v>
                  </c:pt>
                  <c:pt idx="1166">
                    <c:v>1,6</c:v>
                  </c:pt>
                  <c:pt idx="1167">
                    <c:v>1,6</c:v>
                  </c:pt>
                  <c:pt idx="1168">
                    <c:v>1,6</c:v>
                  </c:pt>
                  <c:pt idx="1169">
                    <c:v>1,6</c:v>
                  </c:pt>
                  <c:pt idx="1170">
                    <c:v>1,6</c:v>
                  </c:pt>
                  <c:pt idx="1171">
                    <c:v>1,6</c:v>
                  </c:pt>
                  <c:pt idx="1172">
                    <c:v>1,6</c:v>
                  </c:pt>
                  <c:pt idx="1173">
                    <c:v>1,6</c:v>
                  </c:pt>
                  <c:pt idx="1174">
                    <c:v>1,6</c:v>
                  </c:pt>
                  <c:pt idx="1175">
                    <c:v>1,6</c:v>
                  </c:pt>
                  <c:pt idx="1176">
                    <c:v>1,6</c:v>
                  </c:pt>
                  <c:pt idx="1177">
                    <c:v>1,6</c:v>
                  </c:pt>
                  <c:pt idx="1178">
                    <c:v>1,7</c:v>
                  </c:pt>
                  <c:pt idx="1179">
                    <c:v>1,7</c:v>
                  </c:pt>
                  <c:pt idx="1180">
                    <c:v>1,7</c:v>
                  </c:pt>
                  <c:pt idx="1181">
                    <c:v>1,7</c:v>
                  </c:pt>
                  <c:pt idx="1182">
                    <c:v>1,6</c:v>
                  </c:pt>
                  <c:pt idx="1183">
                    <c:v>1,6</c:v>
                  </c:pt>
                  <c:pt idx="1184">
                    <c:v>1,5</c:v>
                  </c:pt>
                  <c:pt idx="1185">
                    <c:v>1,6</c:v>
                  </c:pt>
                  <c:pt idx="1186">
                    <c:v>1,6</c:v>
                  </c:pt>
                  <c:pt idx="1187">
                    <c:v>1,4</c:v>
                  </c:pt>
                  <c:pt idx="1188">
                    <c:v>1,4</c:v>
                  </c:pt>
                  <c:pt idx="1189">
                    <c:v>1,4</c:v>
                  </c:pt>
                  <c:pt idx="1190">
                    <c:v>1,4</c:v>
                  </c:pt>
                  <c:pt idx="1191">
                    <c:v>1,5</c:v>
                  </c:pt>
                  <c:pt idx="1192">
                    <c:v>1,4</c:v>
                  </c:pt>
                  <c:pt idx="1193">
                    <c:v>1,4</c:v>
                  </c:pt>
                  <c:pt idx="1194">
                    <c:v>1,6</c:v>
                  </c:pt>
                  <c:pt idx="1195">
                    <c:v>1,5</c:v>
                  </c:pt>
                  <c:pt idx="1196">
                    <c:v>1,5</c:v>
                  </c:pt>
                  <c:pt idx="1197">
                    <c:v>1,6</c:v>
                  </c:pt>
                  <c:pt idx="1198">
                    <c:v>1,5</c:v>
                  </c:pt>
                  <c:pt idx="1199">
                    <c:v>1,6</c:v>
                  </c:pt>
                  <c:pt idx="1200">
                    <c:v>1,6</c:v>
                  </c:pt>
                  <c:pt idx="1201">
                    <c:v>1,5</c:v>
                  </c:pt>
                  <c:pt idx="1202">
                    <c:v>1,8</c:v>
                  </c:pt>
                  <c:pt idx="1203">
                    <c:v>1,7</c:v>
                  </c:pt>
                  <c:pt idx="1204">
                    <c:v>1,6</c:v>
                  </c:pt>
                  <c:pt idx="1205">
                    <c:v>1,6</c:v>
                  </c:pt>
                  <c:pt idx="1206">
                    <c:v>1,6</c:v>
                  </c:pt>
                  <c:pt idx="1207">
                    <c:v>1,6</c:v>
                  </c:pt>
                  <c:pt idx="1208">
                    <c:v>1,6</c:v>
                  </c:pt>
                  <c:pt idx="1209">
                    <c:v>1,5</c:v>
                  </c:pt>
                  <c:pt idx="1210">
                    <c:v>1,8</c:v>
                  </c:pt>
                  <c:pt idx="1211">
                    <c:v>1,8</c:v>
                  </c:pt>
                  <c:pt idx="1212">
                    <c:v>1,8</c:v>
                  </c:pt>
                  <c:pt idx="1213">
                    <c:v>1,5</c:v>
                  </c:pt>
                  <c:pt idx="1214">
                    <c:v>1,6</c:v>
                  </c:pt>
                  <c:pt idx="1215">
                    <c:v>1,8</c:v>
                  </c:pt>
                  <c:pt idx="1216">
                    <c:v>1,8</c:v>
                  </c:pt>
                  <c:pt idx="1217">
                    <c:v>1,8</c:v>
                  </c:pt>
                  <c:pt idx="1218">
                    <c:v>1,6</c:v>
                  </c:pt>
                  <c:pt idx="1219">
                    <c:v>1,6</c:v>
                  </c:pt>
                  <c:pt idx="1220">
                    <c:v>1,4</c:v>
                  </c:pt>
                  <c:pt idx="1221">
                    <c:v>1,6</c:v>
                  </c:pt>
                  <c:pt idx="1222">
                    <c:v>1,4</c:v>
                  </c:pt>
                  <c:pt idx="1223">
                    <c:v>1,3</c:v>
                  </c:pt>
                  <c:pt idx="1224">
                    <c:v>1,5</c:v>
                  </c:pt>
                  <c:pt idx="1225">
                    <c:v>1,5</c:v>
                  </c:pt>
                  <c:pt idx="1226">
                    <c:v>1,5</c:v>
                  </c:pt>
                  <c:pt idx="1227">
                    <c:v>1,5</c:v>
                  </c:pt>
                  <c:pt idx="1228">
                    <c:v>1,5</c:v>
                  </c:pt>
                  <c:pt idx="1229">
                    <c:v>1,5</c:v>
                  </c:pt>
                  <c:pt idx="1230">
                    <c:v>1,5</c:v>
                  </c:pt>
                  <c:pt idx="1231">
                    <c:v>1,5</c:v>
                  </c:pt>
                  <c:pt idx="1232">
                    <c:v>1,5</c:v>
                  </c:pt>
                  <c:pt idx="1233">
                    <c:v>1,5</c:v>
                  </c:pt>
                  <c:pt idx="1234">
                    <c:v>1,6</c:v>
                  </c:pt>
                  <c:pt idx="1235">
                    <c:v>1,4</c:v>
                  </c:pt>
                  <c:pt idx="1236">
                    <c:v>1,4</c:v>
                  </c:pt>
                  <c:pt idx="1237">
                    <c:v>1,6</c:v>
                  </c:pt>
                  <c:pt idx="1238">
                    <c:v>1,6</c:v>
                  </c:pt>
                  <c:pt idx="1239">
                    <c:v>1,6</c:v>
                  </c:pt>
                  <c:pt idx="1240">
                    <c:v>1,6</c:v>
                  </c:pt>
                  <c:pt idx="1241">
                    <c:v>1,6</c:v>
                  </c:pt>
                  <c:pt idx="1242">
                    <c:v>1,6</c:v>
                  </c:pt>
                  <c:pt idx="1243">
                    <c:v>1,6</c:v>
                  </c:pt>
                  <c:pt idx="1244">
                    <c:v>1,6</c:v>
                  </c:pt>
                  <c:pt idx="1245">
                    <c:v>2</c:v>
                  </c:pt>
                  <c:pt idx="1246">
                    <c:v>2,5</c:v>
                  </c:pt>
                  <c:pt idx="1247">
                    <c:v>1,8</c:v>
                  </c:pt>
                  <c:pt idx="1248">
                    <c:v>1,8</c:v>
                  </c:pt>
                  <c:pt idx="1249">
                    <c:v>1,45</c:v>
                  </c:pt>
                  <c:pt idx="1250">
                    <c:v>1,45</c:v>
                  </c:pt>
                  <c:pt idx="1251">
                    <c:v>1,6</c:v>
                  </c:pt>
                  <c:pt idx="1252">
                    <c:v>1,45</c:v>
                  </c:pt>
                  <c:pt idx="1253">
                    <c:v>1,5</c:v>
                  </c:pt>
                  <c:pt idx="1254">
                    <c:v>2</c:v>
                  </c:pt>
                  <c:pt idx="1255">
                    <c:v>1,25</c:v>
                  </c:pt>
                  <c:pt idx="1256">
                    <c:v>1,25</c:v>
                  </c:pt>
                  <c:pt idx="1257">
                    <c:v>1,6</c:v>
                  </c:pt>
                  <c:pt idx="1258">
                    <c:v>1,25</c:v>
                  </c:pt>
                  <c:pt idx="1259">
                    <c:v>1,25</c:v>
                  </c:pt>
                  <c:pt idx="1260">
                    <c:v>1,25</c:v>
                  </c:pt>
                  <c:pt idx="1261">
                    <c:v>1,8</c:v>
                  </c:pt>
                  <c:pt idx="1262">
                    <c:v>1,6</c:v>
                  </c:pt>
                  <c:pt idx="1263">
                    <c:v>1,6</c:v>
                  </c:pt>
                  <c:pt idx="1264">
                    <c:v>1,6</c:v>
                  </c:pt>
                  <c:pt idx="1265">
                    <c:v>1,6</c:v>
                  </c:pt>
                  <c:pt idx="1266">
                    <c:v>1,6</c:v>
                  </c:pt>
                  <c:pt idx="1267">
                    <c:v>1,6</c:v>
                  </c:pt>
                  <c:pt idx="1268">
                    <c:v>1,6</c:v>
                  </c:pt>
                  <c:pt idx="1269">
                    <c:v>1,6</c:v>
                  </c:pt>
                  <c:pt idx="1270">
                    <c:v>1,6</c:v>
                  </c:pt>
                  <c:pt idx="1271">
                    <c:v>1,6</c:v>
                  </c:pt>
                  <c:pt idx="1272">
                    <c:v>1,6</c:v>
                  </c:pt>
                  <c:pt idx="1273">
                    <c:v>1,7</c:v>
                  </c:pt>
                  <c:pt idx="1274">
                    <c:v>1,6</c:v>
                  </c:pt>
                  <c:pt idx="1275">
                    <c:v>1,6</c:v>
                  </c:pt>
                  <c:pt idx="1276">
                    <c:v>1,6</c:v>
                  </c:pt>
                  <c:pt idx="1277">
                    <c:v>1,6</c:v>
                  </c:pt>
                  <c:pt idx="1278">
                    <c:v>1,5</c:v>
                  </c:pt>
                  <c:pt idx="1279">
                    <c:v>1,5</c:v>
                  </c:pt>
                  <c:pt idx="1280">
                    <c:v>1,5</c:v>
                  </c:pt>
                  <c:pt idx="1281">
                    <c:v>1,5</c:v>
                  </c:pt>
                  <c:pt idx="1282">
                    <c:v>1,5</c:v>
                  </c:pt>
                  <c:pt idx="1283">
                    <c:v>1,6</c:v>
                  </c:pt>
                  <c:pt idx="1284">
                    <c:v>1,6</c:v>
                  </c:pt>
                  <c:pt idx="1285">
                    <c:v>1,6</c:v>
                  </c:pt>
                  <c:pt idx="1286">
                    <c:v>1,6</c:v>
                  </c:pt>
                  <c:pt idx="1287">
                    <c:v>1,6</c:v>
                  </c:pt>
                  <c:pt idx="1288">
                    <c:v>1,6</c:v>
                  </c:pt>
                  <c:pt idx="1289">
                    <c:v>2</c:v>
                  </c:pt>
                  <c:pt idx="1290">
                    <c:v>1,4</c:v>
                  </c:pt>
                  <c:pt idx="1291">
                    <c:v>1,4</c:v>
                  </c:pt>
                  <c:pt idx="1292">
                    <c:v>1,6</c:v>
                  </c:pt>
                  <c:pt idx="1293">
                    <c:v>1,6</c:v>
                  </c:pt>
                  <c:pt idx="1294">
                    <c:v>1,6</c:v>
                  </c:pt>
                  <c:pt idx="1295">
                    <c:v>1,6</c:v>
                  </c:pt>
                  <c:pt idx="1296">
                    <c:v>1,6</c:v>
                  </c:pt>
                  <c:pt idx="1297">
                    <c:v>1,7</c:v>
                  </c:pt>
                  <c:pt idx="1298">
                    <c:v>1,7</c:v>
                  </c:pt>
                  <c:pt idx="1299">
                    <c:v>1,7</c:v>
                  </c:pt>
                  <c:pt idx="1300">
                    <c:v>1,7</c:v>
                  </c:pt>
                  <c:pt idx="1302">
                    <c:v>1,5</c:v>
                  </c:pt>
                  <c:pt idx="1303">
                    <c:v>1,5</c:v>
                  </c:pt>
                  <c:pt idx="1304">
                    <c:v>1,5</c:v>
                  </c:pt>
                  <c:pt idx="1305">
                    <c:v>1,5</c:v>
                  </c:pt>
                  <c:pt idx="1306">
                    <c:v>1,5</c:v>
                  </c:pt>
                  <c:pt idx="1307">
                    <c:v>1,5</c:v>
                  </c:pt>
                  <c:pt idx="1308">
                    <c:v>1,5</c:v>
                  </c:pt>
                  <c:pt idx="1309">
                    <c:v>1,5</c:v>
                  </c:pt>
                  <c:pt idx="1310">
                    <c:v>1,5</c:v>
                  </c:pt>
                  <c:pt idx="1311">
                    <c:v>1,5</c:v>
                  </c:pt>
                  <c:pt idx="1312">
                    <c:v>1,5</c:v>
                  </c:pt>
                  <c:pt idx="1313">
                    <c:v>1,4</c:v>
                  </c:pt>
                  <c:pt idx="1314">
                    <c:v>1,5</c:v>
                  </c:pt>
                  <c:pt idx="1315">
                    <c:v>1,6</c:v>
                  </c:pt>
                  <c:pt idx="1316">
                    <c:v>1,6</c:v>
                  </c:pt>
                  <c:pt idx="1317">
                    <c:v>1,6</c:v>
                  </c:pt>
                  <c:pt idx="1318">
                    <c:v>1,6</c:v>
                  </c:pt>
                  <c:pt idx="1319">
                    <c:v>1,4</c:v>
                  </c:pt>
                  <c:pt idx="1320">
                    <c:v>1,5</c:v>
                  </c:pt>
                  <c:pt idx="1321">
                    <c:v>1,6</c:v>
                  </c:pt>
                  <c:pt idx="1322">
                    <c:v>1,6</c:v>
                  </c:pt>
                  <c:pt idx="1323">
                    <c:v>1,6</c:v>
                  </c:pt>
                  <c:pt idx="1324">
                    <c:v>1,6</c:v>
                  </c:pt>
                  <c:pt idx="1325">
                    <c:v>1,6</c:v>
                  </c:pt>
                  <c:pt idx="1326">
                    <c:v>1,6</c:v>
                  </c:pt>
                  <c:pt idx="1327">
                    <c:v>1,6</c:v>
                  </c:pt>
                  <c:pt idx="1328">
                    <c:v>1,6</c:v>
                  </c:pt>
                  <c:pt idx="1329">
                    <c:v>1,55</c:v>
                  </c:pt>
                  <c:pt idx="1330">
                    <c:v>1,6</c:v>
                  </c:pt>
                  <c:pt idx="1331">
                    <c:v>1,5</c:v>
                  </c:pt>
                  <c:pt idx="1332">
                    <c:v>1,5</c:v>
                  </c:pt>
                  <c:pt idx="1333">
                    <c:v>1,6</c:v>
                  </c:pt>
                  <c:pt idx="1334">
                    <c:v>1,6</c:v>
                  </c:pt>
                  <c:pt idx="1335">
                    <c:v>1,6</c:v>
                  </c:pt>
                  <c:pt idx="1336">
                    <c:v>1,6</c:v>
                  </c:pt>
                  <c:pt idx="1337">
                    <c:v>1,5</c:v>
                  </c:pt>
                  <c:pt idx="1338">
                    <c:v>1,6</c:v>
                  </c:pt>
                  <c:pt idx="1339">
                    <c:v>1,5</c:v>
                  </c:pt>
                  <c:pt idx="1340">
                    <c:v>1,5</c:v>
                  </c:pt>
                  <c:pt idx="1341">
                    <c:v>1,4</c:v>
                  </c:pt>
                  <c:pt idx="1342">
                    <c:v>1,6</c:v>
                  </c:pt>
                  <c:pt idx="1343">
                    <c:v>1,6</c:v>
                  </c:pt>
                  <c:pt idx="1344">
                    <c:v>1,6</c:v>
                  </c:pt>
                  <c:pt idx="1345">
                    <c:v>1,5</c:v>
                  </c:pt>
                  <c:pt idx="1346">
                    <c:v>1,6</c:v>
                  </c:pt>
                  <c:pt idx="1347">
                    <c:v>1,6</c:v>
                  </c:pt>
                  <c:pt idx="1348">
                    <c:v>1,6</c:v>
                  </c:pt>
                  <c:pt idx="1349">
                    <c:v>1,6</c:v>
                  </c:pt>
                  <c:pt idx="1350">
                    <c:v>1,6</c:v>
                  </c:pt>
                  <c:pt idx="1351">
                    <c:v>1,6</c:v>
                  </c:pt>
                  <c:pt idx="1352">
                    <c:v>1,6</c:v>
                  </c:pt>
                  <c:pt idx="1353">
                    <c:v>1,6</c:v>
                  </c:pt>
                  <c:pt idx="1354">
                    <c:v>1,6</c:v>
                  </c:pt>
                  <c:pt idx="1355">
                    <c:v>1,5</c:v>
                  </c:pt>
                  <c:pt idx="1356">
                    <c:v>1,5</c:v>
                  </c:pt>
                  <c:pt idx="1357">
                    <c:v>1,6</c:v>
                  </c:pt>
                  <c:pt idx="1358">
                    <c:v>1,6</c:v>
                  </c:pt>
                  <c:pt idx="1359">
                    <c:v>1,7</c:v>
                  </c:pt>
                  <c:pt idx="1360">
                    <c:v>1,6</c:v>
                  </c:pt>
                  <c:pt idx="1361">
                    <c:v>1,6</c:v>
                  </c:pt>
                  <c:pt idx="1362">
                    <c:v>1,6</c:v>
                  </c:pt>
                  <c:pt idx="1363">
                    <c:v>1,6</c:v>
                  </c:pt>
                  <c:pt idx="1364">
                    <c:v>1,6</c:v>
                  </c:pt>
                  <c:pt idx="1365">
                    <c:v>1,8</c:v>
                  </c:pt>
                  <c:pt idx="1366">
                    <c:v>1,8</c:v>
                  </c:pt>
                  <c:pt idx="1367">
                    <c:v>1,8</c:v>
                  </c:pt>
                  <c:pt idx="1368">
                    <c:v>1,8</c:v>
                  </c:pt>
                  <c:pt idx="1369">
                    <c:v>1,8</c:v>
                  </c:pt>
                  <c:pt idx="1370">
                    <c:v>1,5</c:v>
                  </c:pt>
                  <c:pt idx="1371">
                    <c:v>1,5</c:v>
                  </c:pt>
                  <c:pt idx="1372">
                    <c:v>1,6</c:v>
                  </c:pt>
                  <c:pt idx="1373">
                    <c:v>1,6</c:v>
                  </c:pt>
                  <c:pt idx="1374">
                    <c:v>1,4</c:v>
                  </c:pt>
                  <c:pt idx="1375">
                    <c:v>1,5</c:v>
                  </c:pt>
                  <c:pt idx="1376">
                    <c:v>1,7</c:v>
                  </c:pt>
                  <c:pt idx="1377">
                    <c:v>1,7</c:v>
                  </c:pt>
                  <c:pt idx="1378">
                    <c:v>1,7</c:v>
                  </c:pt>
                  <c:pt idx="1379">
                    <c:v>1,4</c:v>
                  </c:pt>
                  <c:pt idx="1380">
                    <c:v>1,7</c:v>
                  </c:pt>
                  <c:pt idx="1381">
                    <c:v>1,7</c:v>
                  </c:pt>
                  <c:pt idx="1382">
                    <c:v>2</c:v>
                  </c:pt>
                  <c:pt idx="1383">
                    <c:v>2</c:v>
                  </c:pt>
                  <c:pt idx="1384">
                    <c:v>2</c:v>
                  </c:pt>
                  <c:pt idx="1385">
                    <c:v>2</c:v>
                  </c:pt>
                  <c:pt idx="1386">
                    <c:v>1,7</c:v>
                  </c:pt>
                  <c:pt idx="1388">
                    <c:v>1,3</c:v>
                  </c:pt>
                  <c:pt idx="1389">
                    <c:v>1,3</c:v>
                  </c:pt>
                  <c:pt idx="1390">
                    <c:v>1,3</c:v>
                  </c:pt>
                  <c:pt idx="1391">
                    <c:v>1,3</c:v>
                  </c:pt>
                  <c:pt idx="1392">
                    <c:v>1,4</c:v>
                  </c:pt>
                  <c:pt idx="1393">
                    <c:v>1,4</c:v>
                  </c:pt>
                  <c:pt idx="1394">
                    <c:v>1,6</c:v>
                  </c:pt>
                  <c:pt idx="1395">
                    <c:v>1,6</c:v>
                  </c:pt>
                  <c:pt idx="1396">
                    <c:v>1,36</c:v>
                  </c:pt>
                  <c:pt idx="1397">
                    <c:v>1,6</c:v>
                  </c:pt>
                  <c:pt idx="1398">
                    <c:v>1,6</c:v>
                  </c:pt>
                  <c:pt idx="1399">
                    <c:v>1,5</c:v>
                  </c:pt>
                  <c:pt idx="1400">
                    <c:v>1,6</c:v>
                  </c:pt>
                  <c:pt idx="1401">
                    <c:v>1,6</c:v>
                  </c:pt>
                  <c:pt idx="1402">
                    <c:v>1,8</c:v>
                  </c:pt>
                  <c:pt idx="1403">
                    <c:v>1,6</c:v>
                  </c:pt>
                  <c:pt idx="1404">
                    <c:v>1,6</c:v>
                  </c:pt>
                  <c:pt idx="1405">
                    <c:v>1,4</c:v>
                  </c:pt>
                  <c:pt idx="1406">
                    <c:v>1,4</c:v>
                  </c:pt>
                  <c:pt idx="1407">
                    <c:v>1,6</c:v>
                  </c:pt>
                  <c:pt idx="1408">
                    <c:v>1,6</c:v>
                  </c:pt>
                  <c:pt idx="1409">
                    <c:v>1,6</c:v>
                  </c:pt>
                  <c:pt idx="1410">
                    <c:v>1,6</c:v>
                  </c:pt>
                  <c:pt idx="1411">
                    <c:v>1,6</c:v>
                  </c:pt>
                  <c:pt idx="1412">
                    <c:v>1,6</c:v>
                  </c:pt>
                  <c:pt idx="1413">
                    <c:v>1,6</c:v>
                  </c:pt>
                  <c:pt idx="1414">
                    <c:v>1,6</c:v>
                  </c:pt>
                  <c:pt idx="1415">
                    <c:v>1,6</c:v>
                  </c:pt>
                  <c:pt idx="1416">
                    <c:v>1,6</c:v>
                  </c:pt>
                  <c:pt idx="1417">
                    <c:v>1,6</c:v>
                  </c:pt>
                  <c:pt idx="1418">
                    <c:v>1,6</c:v>
                  </c:pt>
                  <c:pt idx="1419">
                    <c:v>1,5</c:v>
                  </c:pt>
                  <c:pt idx="1420">
                    <c:v>1,5</c:v>
                  </c:pt>
                  <c:pt idx="1421">
                    <c:v>1,5</c:v>
                  </c:pt>
                  <c:pt idx="1422">
                    <c:v>1,5</c:v>
                  </c:pt>
                  <c:pt idx="1423">
                    <c:v>1,5</c:v>
                  </c:pt>
                  <c:pt idx="1424">
                    <c:v>1,6</c:v>
                  </c:pt>
                  <c:pt idx="1425">
                    <c:v>1,5</c:v>
                  </c:pt>
                  <c:pt idx="1426">
                    <c:v>1,5</c:v>
                  </c:pt>
                  <c:pt idx="1427">
                    <c:v>1,5</c:v>
                  </c:pt>
                  <c:pt idx="1428">
                    <c:v>1,5</c:v>
                  </c:pt>
                  <c:pt idx="1429">
                    <c:v>1,5</c:v>
                  </c:pt>
                  <c:pt idx="1430">
                    <c:v>2</c:v>
                  </c:pt>
                  <c:pt idx="1431">
                    <c:v>2</c:v>
                  </c:pt>
                  <c:pt idx="1432">
                    <c:v>2</c:v>
                  </c:pt>
                  <c:pt idx="1433">
                    <c:v>1,5</c:v>
                  </c:pt>
                  <c:pt idx="1434">
                    <c:v>1,5</c:v>
                  </c:pt>
                  <c:pt idx="1435">
                    <c:v>1,7</c:v>
                  </c:pt>
                  <c:pt idx="1436">
                    <c:v>1,6</c:v>
                  </c:pt>
                  <c:pt idx="1437">
                    <c:v>1,3</c:v>
                  </c:pt>
                  <c:pt idx="1438">
                    <c:v>1,35</c:v>
                  </c:pt>
                  <c:pt idx="1439">
                    <c:v>1,65</c:v>
                  </c:pt>
                  <c:pt idx="1440">
                    <c:v>1,5</c:v>
                  </c:pt>
                  <c:pt idx="1441">
                    <c:v>2</c:v>
                  </c:pt>
                  <c:pt idx="1442">
                    <c:v>2</c:v>
                  </c:pt>
                  <c:pt idx="1443">
                    <c:v>2,5</c:v>
                  </c:pt>
                  <c:pt idx="1444">
                    <c:v>1,5</c:v>
                  </c:pt>
                  <c:pt idx="1446">
                    <c:v>1,5</c:v>
                  </c:pt>
                  <c:pt idx="1447">
                    <c:v>1,8</c:v>
                  </c:pt>
                  <c:pt idx="1448">
                    <c:v>1,8</c:v>
                  </c:pt>
                  <c:pt idx="1449">
                    <c:v>1,6</c:v>
                  </c:pt>
                  <c:pt idx="1450">
                    <c:v>1,5</c:v>
                  </c:pt>
                  <c:pt idx="1451">
                    <c:v>1,4</c:v>
                  </c:pt>
                  <c:pt idx="1452">
                    <c:v>1,8</c:v>
                  </c:pt>
                  <c:pt idx="1453">
                    <c:v>1,8</c:v>
                  </c:pt>
                  <c:pt idx="1454">
                    <c:v>1,8</c:v>
                  </c:pt>
                  <c:pt idx="1455">
                    <c:v>1,7</c:v>
                  </c:pt>
                  <c:pt idx="1456">
                    <c:v>1,8</c:v>
                  </c:pt>
                  <c:pt idx="1457">
                    <c:v>1,7</c:v>
                  </c:pt>
                  <c:pt idx="1458">
                    <c:v>1,8</c:v>
                  </c:pt>
                  <c:pt idx="1459">
                    <c:v>1,8</c:v>
                  </c:pt>
                  <c:pt idx="1460">
                    <c:v>1,2</c:v>
                  </c:pt>
                  <c:pt idx="1461">
                    <c:v>1,8</c:v>
                  </c:pt>
                  <c:pt idx="1462">
                    <c:v>2</c:v>
                  </c:pt>
                  <c:pt idx="1463">
                    <c:v>1,3</c:v>
                  </c:pt>
                  <c:pt idx="1464">
                    <c:v>1,6</c:v>
                  </c:pt>
                  <c:pt idx="1465">
                    <c:v>3</c:v>
                  </c:pt>
                  <c:pt idx="1466">
                    <c:v>1,4</c:v>
                  </c:pt>
                  <c:pt idx="1467">
                    <c:v>1,6</c:v>
                  </c:pt>
                  <c:pt idx="1468">
                    <c:v>1,5</c:v>
                  </c:pt>
                  <c:pt idx="1469">
                    <c:v>1,5</c:v>
                  </c:pt>
                  <c:pt idx="1470">
                    <c:v>1,6</c:v>
                  </c:pt>
                  <c:pt idx="1471">
                    <c:v>1,2</c:v>
                  </c:pt>
                  <c:pt idx="1472">
                    <c:v>1,2</c:v>
                  </c:pt>
                  <c:pt idx="1473">
                    <c:v>1,3</c:v>
                  </c:pt>
                  <c:pt idx="1474">
                    <c:v>1,4</c:v>
                  </c:pt>
                  <c:pt idx="1475">
                    <c:v>1,5</c:v>
                  </c:pt>
                  <c:pt idx="1476">
                    <c:v>1,4</c:v>
                  </c:pt>
                  <c:pt idx="1477">
                    <c:v>1,6</c:v>
                  </c:pt>
                  <c:pt idx="1478">
                    <c:v>2</c:v>
                  </c:pt>
                  <c:pt idx="1479">
                    <c:v>1,4</c:v>
                  </c:pt>
                  <c:pt idx="1480">
                    <c:v>1,8</c:v>
                  </c:pt>
                  <c:pt idx="1481">
                    <c:v>1,6</c:v>
                  </c:pt>
                  <c:pt idx="1482">
                    <c:v>1,8</c:v>
                  </c:pt>
                  <c:pt idx="1483">
                    <c:v>1,4</c:v>
                  </c:pt>
                  <c:pt idx="1484">
                    <c:v>1,6</c:v>
                  </c:pt>
                  <c:pt idx="1485">
                    <c:v>1,3</c:v>
                  </c:pt>
                  <c:pt idx="1486">
                    <c:v>1,4</c:v>
                  </c:pt>
                  <c:pt idx="1487">
                    <c:v>1,4</c:v>
                  </c:pt>
                  <c:pt idx="1488">
                    <c:v>1,8</c:v>
                  </c:pt>
                  <c:pt idx="1489">
                    <c:v>2</c:v>
                  </c:pt>
                  <c:pt idx="1490">
                    <c:v>1,8</c:v>
                  </c:pt>
                  <c:pt idx="1491">
                    <c:v>1,8</c:v>
                  </c:pt>
                  <c:pt idx="1492">
                    <c:v>1,8</c:v>
                  </c:pt>
                  <c:pt idx="1493">
                    <c:v>1,8</c:v>
                  </c:pt>
                  <c:pt idx="1494">
                    <c:v>1,8</c:v>
                  </c:pt>
                  <c:pt idx="1495">
                    <c:v>1,8</c:v>
                  </c:pt>
                  <c:pt idx="1496">
                    <c:v>1,6</c:v>
                  </c:pt>
                  <c:pt idx="1497">
                    <c:v>1,4</c:v>
                  </c:pt>
                  <c:pt idx="1498">
                    <c:v>1,25</c:v>
                  </c:pt>
                  <c:pt idx="1499">
                    <c:v>1,6</c:v>
                  </c:pt>
                  <c:pt idx="1500">
                    <c:v>1,6</c:v>
                  </c:pt>
                  <c:pt idx="1501">
                    <c:v>1,6</c:v>
                  </c:pt>
                  <c:pt idx="1502">
                    <c:v>1,6</c:v>
                  </c:pt>
                  <c:pt idx="1503">
                    <c:v>1,7</c:v>
                  </c:pt>
                  <c:pt idx="1504">
                    <c:v>1,6</c:v>
                  </c:pt>
                  <c:pt idx="1505">
                    <c:v>1,7</c:v>
                  </c:pt>
                  <c:pt idx="1506">
                    <c:v>1,75</c:v>
                  </c:pt>
                  <c:pt idx="1507">
                    <c:v>1,3</c:v>
                  </c:pt>
                  <c:pt idx="1508">
                    <c:v>1,3</c:v>
                  </c:pt>
                  <c:pt idx="1509">
                    <c:v>1,1</c:v>
                  </c:pt>
                  <c:pt idx="1510">
                    <c:v>1,6</c:v>
                  </c:pt>
                  <c:pt idx="1511">
                    <c:v>1,6</c:v>
                  </c:pt>
                  <c:pt idx="1512">
                    <c:v>1,3</c:v>
                  </c:pt>
                  <c:pt idx="1513">
                    <c:v>1,3</c:v>
                  </c:pt>
                  <c:pt idx="1514">
                    <c:v>1,6</c:v>
                  </c:pt>
                  <c:pt idx="1515">
                    <c:v>1,6</c:v>
                  </c:pt>
                  <c:pt idx="1516">
                    <c:v>1,5</c:v>
                  </c:pt>
                  <c:pt idx="1517">
                    <c:v>1,6</c:v>
                  </c:pt>
                  <c:pt idx="1518">
                    <c:v>1,6</c:v>
                  </c:pt>
                  <c:pt idx="1519">
                    <c:v>1,3</c:v>
                  </c:pt>
                  <c:pt idx="1520">
                    <c:v>1,6</c:v>
                  </c:pt>
                  <c:pt idx="1521">
                    <c:v>1,6</c:v>
                  </c:pt>
                  <c:pt idx="1522">
                    <c:v>1,6</c:v>
                  </c:pt>
                  <c:pt idx="1523">
                    <c:v>1,7</c:v>
                  </c:pt>
                  <c:pt idx="1524">
                    <c:v>2</c:v>
                  </c:pt>
                  <c:pt idx="1525">
                    <c:v>1,3</c:v>
                  </c:pt>
                  <c:pt idx="1526">
                    <c:v>2</c:v>
                  </c:pt>
                  <c:pt idx="1527">
                    <c:v>2</c:v>
                  </c:pt>
                  <c:pt idx="1528">
                    <c:v>1,6</c:v>
                  </c:pt>
                  <c:pt idx="1529">
                    <c:v>1,9</c:v>
                  </c:pt>
                  <c:pt idx="1530">
                    <c:v>1,5</c:v>
                  </c:pt>
                  <c:pt idx="1531">
                    <c:v>1,5</c:v>
                  </c:pt>
                  <c:pt idx="1532">
                    <c:v>1,8</c:v>
                  </c:pt>
                  <c:pt idx="1533">
                    <c:v>1,5</c:v>
                  </c:pt>
                  <c:pt idx="1534">
                    <c:v>1,6</c:v>
                  </c:pt>
                  <c:pt idx="1535">
                    <c:v>1,6</c:v>
                  </c:pt>
                  <c:pt idx="1536">
                    <c:v>1,8</c:v>
                  </c:pt>
                  <c:pt idx="1537">
                    <c:v>1,6</c:v>
                  </c:pt>
                  <c:pt idx="1538">
                    <c:v>1,6</c:v>
                  </c:pt>
                  <c:pt idx="1539">
                    <c:v>1,4</c:v>
                  </c:pt>
                  <c:pt idx="1540">
                    <c:v>1,4</c:v>
                  </c:pt>
                  <c:pt idx="1541">
                    <c:v>1,6</c:v>
                  </c:pt>
                  <c:pt idx="1542">
                    <c:v>1,3</c:v>
                  </c:pt>
                  <c:pt idx="1543">
                    <c:v>1,6</c:v>
                  </c:pt>
                  <c:pt idx="1544">
                    <c:v>1,6</c:v>
                  </c:pt>
                  <c:pt idx="1545">
                    <c:v>1,6</c:v>
                  </c:pt>
                  <c:pt idx="1546">
                    <c:v>2</c:v>
                  </c:pt>
                  <c:pt idx="1547">
                    <c:v>2</c:v>
                  </c:pt>
                  <c:pt idx="1548">
                    <c:v>1</c:v>
                  </c:pt>
                  <c:pt idx="1549">
                    <c:v>1,6</c:v>
                  </c:pt>
                  <c:pt idx="1550">
                    <c:v>1,8</c:v>
                  </c:pt>
                  <c:pt idx="1551">
                    <c:v>1,7</c:v>
                  </c:pt>
                  <c:pt idx="1552">
                    <c:v>1,5</c:v>
                  </c:pt>
                  <c:pt idx="1553">
                    <c:v>1,5</c:v>
                  </c:pt>
                  <c:pt idx="1554">
                    <c:v>1,7</c:v>
                  </c:pt>
                  <c:pt idx="1555">
                    <c:v>1,6</c:v>
                  </c:pt>
                  <c:pt idx="1556">
                    <c:v>1,5</c:v>
                  </c:pt>
                  <c:pt idx="1557">
                    <c:v>1,5</c:v>
                  </c:pt>
                  <c:pt idx="1558">
                    <c:v>1,5</c:v>
                  </c:pt>
                  <c:pt idx="1559">
                    <c:v>1,5</c:v>
                  </c:pt>
                  <c:pt idx="1560">
                    <c:v>1,3</c:v>
                  </c:pt>
                  <c:pt idx="1561">
                    <c:v>1,5</c:v>
                  </c:pt>
                  <c:pt idx="1562">
                    <c:v>1,4</c:v>
                  </c:pt>
                  <c:pt idx="1563">
                    <c:v>1,3</c:v>
                  </c:pt>
                  <c:pt idx="1564">
                    <c:v>1,3</c:v>
                  </c:pt>
                  <c:pt idx="1565">
                    <c:v>1,3</c:v>
                  </c:pt>
                  <c:pt idx="1566">
                    <c:v>1,7</c:v>
                  </c:pt>
                  <c:pt idx="1567">
                    <c:v>1,5</c:v>
                  </c:pt>
                  <c:pt idx="1568">
                    <c:v>1,5</c:v>
                  </c:pt>
                  <c:pt idx="1569">
                    <c:v>1,4</c:v>
                  </c:pt>
                  <c:pt idx="1570">
                    <c:v>1,25</c:v>
                  </c:pt>
                  <c:pt idx="1571">
                    <c:v>1,25</c:v>
                  </c:pt>
                  <c:pt idx="1572">
                    <c:v>2</c:v>
                  </c:pt>
                  <c:pt idx="1573">
                    <c:v>2</c:v>
                  </c:pt>
                  <c:pt idx="1574">
                    <c:v>1,6</c:v>
                  </c:pt>
                  <c:pt idx="1575">
                    <c:v>1,4</c:v>
                  </c:pt>
                  <c:pt idx="1576">
                    <c:v>1,8</c:v>
                  </c:pt>
                  <c:pt idx="1577">
                    <c:v>1,5</c:v>
                  </c:pt>
                  <c:pt idx="1578">
                    <c:v>1,6</c:v>
                  </c:pt>
                  <c:pt idx="1579">
                    <c:v>1,6</c:v>
                  </c:pt>
                  <c:pt idx="1580">
                    <c:v>1,6</c:v>
                  </c:pt>
                  <c:pt idx="1581">
                    <c:v>1,6</c:v>
                  </c:pt>
                  <c:pt idx="1582">
                    <c:v>1,6</c:v>
                  </c:pt>
                  <c:pt idx="1583">
                    <c:v>1,8</c:v>
                  </c:pt>
                  <c:pt idx="1584">
                    <c:v>1,6</c:v>
                  </c:pt>
                  <c:pt idx="1585">
                    <c:v>1,6</c:v>
                  </c:pt>
                  <c:pt idx="1586">
                    <c:v>1,6</c:v>
                  </c:pt>
                  <c:pt idx="1587">
                    <c:v>1,9</c:v>
                  </c:pt>
                  <c:pt idx="1588">
                    <c:v>1,4</c:v>
                  </c:pt>
                  <c:pt idx="1589">
                    <c:v>1,4</c:v>
                  </c:pt>
                  <c:pt idx="1590">
                    <c:v>1,25</c:v>
                  </c:pt>
                  <c:pt idx="1591">
                    <c:v>1,25</c:v>
                  </c:pt>
                  <c:pt idx="1592">
                    <c:v>1,25</c:v>
                  </c:pt>
                  <c:pt idx="1593">
                    <c:v>1,2</c:v>
                  </c:pt>
                  <c:pt idx="1594">
                    <c:v>1,6</c:v>
                  </c:pt>
                  <c:pt idx="1595">
                    <c:v>1,3</c:v>
                  </c:pt>
                  <c:pt idx="1596">
                    <c:v>1,4</c:v>
                  </c:pt>
                  <c:pt idx="1597">
                    <c:v>1,4</c:v>
                  </c:pt>
                  <c:pt idx="1598">
                    <c:v>1,3</c:v>
                  </c:pt>
                  <c:pt idx="1599">
                    <c:v>1,3</c:v>
                  </c:pt>
                  <c:pt idx="1600">
                    <c:v>1,45</c:v>
                  </c:pt>
                  <c:pt idx="1601">
                    <c:v>1,37</c:v>
                  </c:pt>
                  <c:pt idx="1602">
                    <c:v>1,3</c:v>
                  </c:pt>
                  <c:pt idx="1603">
                    <c:v>1,45</c:v>
                  </c:pt>
                  <c:pt idx="1604">
                    <c:v>1,3</c:v>
                  </c:pt>
                  <c:pt idx="1605">
                    <c:v>1,4</c:v>
                  </c:pt>
                  <c:pt idx="1606">
                    <c:v>1,8</c:v>
                  </c:pt>
                  <c:pt idx="1607">
                    <c:v>1,4</c:v>
                  </c:pt>
                  <c:pt idx="1608">
                    <c:v>1,2</c:v>
                  </c:pt>
                  <c:pt idx="1609">
                    <c:v>1,4</c:v>
                  </c:pt>
                  <c:pt idx="1610">
                    <c:v>1,3</c:v>
                  </c:pt>
                  <c:pt idx="1611">
                    <c:v>1,2</c:v>
                  </c:pt>
                  <c:pt idx="1612">
                    <c:v>1,5</c:v>
                  </c:pt>
                  <c:pt idx="1613">
                    <c:v>1,2</c:v>
                  </c:pt>
                  <c:pt idx="1614">
                    <c:v>1,5</c:v>
                  </c:pt>
                  <c:pt idx="1615">
                    <c:v>1,6</c:v>
                  </c:pt>
                  <c:pt idx="1616">
                    <c:v>1,6</c:v>
                  </c:pt>
                  <c:pt idx="1617">
                    <c:v>1,35</c:v>
                  </c:pt>
                  <c:pt idx="1618">
                    <c:v>1,4</c:v>
                  </c:pt>
                  <c:pt idx="1619">
                    <c:v>1,4</c:v>
                  </c:pt>
                  <c:pt idx="1620">
                    <c:v>1,3</c:v>
                  </c:pt>
                  <c:pt idx="1621">
                    <c:v>1,3</c:v>
                  </c:pt>
                  <c:pt idx="1622">
                    <c:v>1,3</c:v>
                  </c:pt>
                  <c:pt idx="1623">
                    <c:v>1,6</c:v>
                  </c:pt>
                  <c:pt idx="1624">
                    <c:v>1</c:v>
                  </c:pt>
                  <c:pt idx="1625">
                    <c:v>1,4</c:v>
                  </c:pt>
                  <c:pt idx="1626">
                    <c:v>1,4</c:v>
                  </c:pt>
                  <c:pt idx="1627">
                    <c:v>1,35</c:v>
                  </c:pt>
                  <c:pt idx="1628">
                    <c:v>1,2</c:v>
                  </c:pt>
                  <c:pt idx="1629">
                    <c:v>1,25</c:v>
                  </c:pt>
                  <c:pt idx="1630">
                    <c:v>1,25</c:v>
                  </c:pt>
                  <c:pt idx="1631">
                    <c:v>1,4</c:v>
                  </c:pt>
                  <c:pt idx="1632">
                    <c:v>1,3</c:v>
                  </c:pt>
                  <c:pt idx="1633">
                    <c:v>1,4</c:v>
                  </c:pt>
                  <c:pt idx="1634">
                    <c:v>1,5</c:v>
                  </c:pt>
                  <c:pt idx="1635">
                    <c:v>1,4</c:v>
                  </c:pt>
                  <c:pt idx="1636">
                    <c:v>1,4</c:v>
                  </c:pt>
                  <c:pt idx="1637">
                    <c:v>1,5</c:v>
                  </c:pt>
                  <c:pt idx="1638">
                    <c:v>1,4</c:v>
                  </c:pt>
                  <c:pt idx="1639">
                    <c:v>1,3</c:v>
                  </c:pt>
                  <c:pt idx="1640">
                    <c:v>1,3</c:v>
                  </c:pt>
                  <c:pt idx="1641">
                    <c:v>1,59</c:v>
                  </c:pt>
                  <c:pt idx="1642">
                    <c:v>1,5</c:v>
                  </c:pt>
                  <c:pt idx="1643">
                    <c:v>1,5</c:v>
                  </c:pt>
                  <c:pt idx="1644">
                    <c:v>1,5</c:v>
                  </c:pt>
                  <c:pt idx="1645">
                    <c:v>1,5</c:v>
                  </c:pt>
                  <c:pt idx="1646">
                    <c:v>1,5</c:v>
                  </c:pt>
                  <c:pt idx="1647">
                    <c:v>1,25</c:v>
                  </c:pt>
                  <c:pt idx="1648">
                    <c:v>1,2</c:v>
                  </c:pt>
                  <c:pt idx="1649">
                    <c:v>1,7</c:v>
                  </c:pt>
                  <c:pt idx="1650">
                    <c:v>1,8</c:v>
                  </c:pt>
                  <c:pt idx="1651">
                    <c:v>1,4</c:v>
                  </c:pt>
                  <c:pt idx="1652">
                    <c:v>2</c:v>
                  </c:pt>
                  <c:pt idx="1653">
                    <c:v>1,5</c:v>
                  </c:pt>
                  <c:pt idx="1654">
                    <c:v>2</c:v>
                  </c:pt>
                  <c:pt idx="1655">
                    <c:v>1,3</c:v>
                  </c:pt>
                  <c:pt idx="1656">
                    <c:v>1,8</c:v>
                  </c:pt>
                  <c:pt idx="1657">
                    <c:v>1,8</c:v>
                  </c:pt>
                  <c:pt idx="1658">
                    <c:v>1,7</c:v>
                  </c:pt>
                  <c:pt idx="1659">
                    <c:v>2</c:v>
                  </c:pt>
                  <c:pt idx="1660">
                    <c:v>2</c:v>
                  </c:pt>
                  <c:pt idx="1661">
                    <c:v>2,5</c:v>
                  </c:pt>
                  <c:pt idx="1662">
                    <c:v>1,6</c:v>
                  </c:pt>
                  <c:pt idx="1663">
                    <c:v>1,6</c:v>
                  </c:pt>
                  <c:pt idx="1664">
                    <c:v>1,6</c:v>
                  </c:pt>
                  <c:pt idx="1665">
                    <c:v>1,2</c:v>
                  </c:pt>
                  <c:pt idx="1666">
                    <c:v>1,6</c:v>
                  </c:pt>
                  <c:pt idx="1667">
                    <c:v>2,5</c:v>
                  </c:pt>
                  <c:pt idx="1668">
                    <c:v>2</c:v>
                  </c:pt>
                  <c:pt idx="1669">
                    <c:v>2</c:v>
                  </c:pt>
                  <c:pt idx="1670">
                    <c:v>1,8</c:v>
                  </c:pt>
                  <c:pt idx="1671">
                    <c:v>1,6</c:v>
                  </c:pt>
                  <c:pt idx="1672">
                    <c:v>1,4</c:v>
                  </c:pt>
                  <c:pt idx="1673">
                    <c:v>1,35</c:v>
                  </c:pt>
                  <c:pt idx="1674">
                    <c:v>1,6</c:v>
                  </c:pt>
                  <c:pt idx="1675">
                    <c:v>1,6</c:v>
                  </c:pt>
                  <c:pt idx="1676">
                    <c:v>1,6</c:v>
                  </c:pt>
                  <c:pt idx="1677">
                    <c:v>1,6</c:v>
                  </c:pt>
                  <c:pt idx="1678">
                    <c:v>1,6</c:v>
                  </c:pt>
                  <c:pt idx="1679">
                    <c:v>1,6</c:v>
                  </c:pt>
                  <c:pt idx="1680">
                    <c:v>1,5</c:v>
                  </c:pt>
                  <c:pt idx="1681">
                    <c:v>1,6</c:v>
                  </c:pt>
                  <c:pt idx="1682">
                    <c:v>1,6</c:v>
                  </c:pt>
                  <c:pt idx="1683">
                    <c:v>1,6</c:v>
                  </c:pt>
                  <c:pt idx="1684">
                    <c:v>1,5</c:v>
                  </c:pt>
                  <c:pt idx="1685">
                    <c:v>1,8</c:v>
                  </c:pt>
                  <c:pt idx="1686">
                    <c:v>1,8</c:v>
                  </c:pt>
                  <c:pt idx="1687">
                    <c:v>1,6</c:v>
                  </c:pt>
                  <c:pt idx="1688">
                    <c:v>1,6</c:v>
                  </c:pt>
                  <c:pt idx="1689">
                    <c:v>1,6</c:v>
                  </c:pt>
                  <c:pt idx="1690">
                    <c:v>1,6</c:v>
                  </c:pt>
                  <c:pt idx="1691">
                    <c:v>1,6</c:v>
                  </c:pt>
                  <c:pt idx="1692">
                    <c:v>1,9</c:v>
                  </c:pt>
                  <c:pt idx="1693">
                    <c:v>1,6</c:v>
                  </c:pt>
                  <c:pt idx="1694">
                    <c:v>1,6</c:v>
                  </c:pt>
                  <c:pt idx="1695">
                    <c:v>1,6</c:v>
                  </c:pt>
                  <c:pt idx="1696">
                    <c:v>2</c:v>
                  </c:pt>
                  <c:pt idx="1697">
                    <c:v>2</c:v>
                  </c:pt>
                  <c:pt idx="1698">
                    <c:v>2</c:v>
                  </c:pt>
                  <c:pt idx="1699">
                    <c:v>1,8</c:v>
                  </c:pt>
                  <c:pt idx="1700">
                    <c:v>1,7</c:v>
                  </c:pt>
                  <c:pt idx="1701">
                    <c:v>1,7</c:v>
                  </c:pt>
                  <c:pt idx="1702">
                    <c:v>1,7</c:v>
                  </c:pt>
                  <c:pt idx="1703">
                    <c:v>1,7</c:v>
                  </c:pt>
                  <c:pt idx="1704">
                    <c:v>2</c:v>
                  </c:pt>
                  <c:pt idx="1705">
                    <c:v>2</c:v>
                  </c:pt>
                  <c:pt idx="1706">
                    <c:v>2</c:v>
                  </c:pt>
                  <c:pt idx="1707">
                    <c:v>1,8</c:v>
                  </c:pt>
                  <c:pt idx="1708">
                    <c:v>1,8</c:v>
                  </c:pt>
                  <c:pt idx="1709">
                    <c:v>1,6</c:v>
                  </c:pt>
                  <c:pt idx="1710">
                    <c:v>2</c:v>
                  </c:pt>
                  <c:pt idx="1711">
                    <c:v>2</c:v>
                  </c:pt>
                  <c:pt idx="1712">
                    <c:v>2</c:v>
                  </c:pt>
                  <c:pt idx="1713">
                    <c:v>2</c:v>
                  </c:pt>
                  <c:pt idx="1714">
                    <c:v>1,5</c:v>
                  </c:pt>
                  <c:pt idx="1715">
                    <c:v>1,6</c:v>
                  </c:pt>
                  <c:pt idx="1716">
                    <c:v>1,35</c:v>
                  </c:pt>
                  <c:pt idx="1717">
                    <c:v>1,7</c:v>
                  </c:pt>
                  <c:pt idx="1718">
                    <c:v>1,7</c:v>
                  </c:pt>
                  <c:pt idx="1719">
                    <c:v>1,7</c:v>
                  </c:pt>
                  <c:pt idx="1720">
                    <c:v>1,2</c:v>
                  </c:pt>
                  <c:pt idx="1721">
                    <c:v>1,2</c:v>
                  </c:pt>
                  <c:pt idx="1722">
                    <c:v>1,2</c:v>
                  </c:pt>
                  <c:pt idx="1723">
                    <c:v>1,3</c:v>
                  </c:pt>
                  <c:pt idx="1724">
                    <c:v>1,3</c:v>
                  </c:pt>
                </c:lvl>
                <c:lvl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15">
                    <c:v>0</c:v>
                  </c:pt>
                  <c:pt idx="18">
                    <c:v>0</c:v>
                  </c:pt>
                  <c:pt idx="24">
                    <c:v>0</c:v>
                  </c:pt>
                  <c:pt idx="25">
                    <c:v>0</c:v>
                  </c:pt>
                  <c:pt idx="37">
                    <c:v>0</c:v>
                  </c:pt>
                  <c:pt idx="72">
                    <c:v>0</c:v>
                  </c:pt>
                  <c:pt idx="73">
                    <c:v>0</c:v>
                  </c:pt>
                  <c:pt idx="74">
                    <c:v>0</c:v>
                  </c:pt>
                  <c:pt idx="88">
                    <c:v>0</c:v>
                  </c:pt>
                  <c:pt idx="99">
                    <c:v>s</c:v>
                  </c:pt>
                  <c:pt idx="103">
                    <c:v>2,79</c:v>
                  </c:pt>
                  <c:pt idx="121">
                    <c:v>3,64</c:v>
                  </c:pt>
                  <c:pt idx="130">
                    <c:v>5</c:v>
                  </c:pt>
                  <c:pt idx="131">
                    <c:v>3,05</c:v>
                  </c:pt>
                  <c:pt idx="132">
                    <c:v>3,05</c:v>
                  </c:pt>
                  <c:pt idx="133">
                    <c:v>5</c:v>
                  </c:pt>
                  <c:pt idx="172">
                    <c:v>15,1</c:v>
                  </c:pt>
                  <c:pt idx="199">
                    <c:v>q</c:v>
                  </c:pt>
                  <c:pt idx="203">
                    <c:v>0</c:v>
                  </c:pt>
                  <c:pt idx="218">
                    <c:v>0</c:v>
                  </c:pt>
                  <c:pt idx="248">
                    <c:v>5,1</c:v>
                  </c:pt>
                  <c:pt idx="251">
                    <c:v>0</c:v>
                  </c:pt>
                  <c:pt idx="261">
                    <c:v>1,1</c:v>
                  </c:pt>
                  <c:pt idx="263">
                    <c:v>0</c:v>
                  </c:pt>
                  <c:pt idx="266">
                    <c:v>5</c:v>
                  </c:pt>
                  <c:pt idx="267">
                    <c:v>3</c:v>
                  </c:pt>
                  <c:pt idx="299">
                    <c:v>23,65</c:v>
                  </c:pt>
                  <c:pt idx="300">
                    <c:v>6,4</c:v>
                  </c:pt>
                  <c:pt idx="303">
                    <c:v>55,65</c:v>
                  </c:pt>
                  <c:pt idx="304">
                    <c:v>7,3</c:v>
                  </c:pt>
                  <c:pt idx="305">
                    <c:v>4,7</c:v>
                  </c:pt>
                  <c:pt idx="306">
                    <c:v>8</c:v>
                  </c:pt>
                  <c:pt idx="307">
                    <c:v>135</c:v>
                  </c:pt>
                  <c:pt idx="317">
                    <c:v>0</c:v>
                  </c:pt>
                  <c:pt idx="333">
                    <c:v>0</c:v>
                  </c:pt>
                  <c:pt idx="386">
                    <c:v>0</c:v>
                  </c:pt>
                  <c:pt idx="413">
                    <c:v>0</c:v>
                  </c:pt>
                  <c:pt idx="460">
                    <c:v>1,1</c:v>
                  </c:pt>
                  <c:pt idx="461">
                    <c:v>1,1</c:v>
                  </c:pt>
                  <c:pt idx="493">
                    <c:v>0</c:v>
                  </c:pt>
                  <c:pt idx="495">
                    <c:v>1</c:v>
                  </c:pt>
                  <c:pt idx="496">
                    <c:v>0</c:v>
                  </c:pt>
                  <c:pt idx="516">
                    <c:v>1,1</c:v>
                  </c:pt>
                  <c:pt idx="517">
                    <c:v>1,1</c:v>
                  </c:pt>
                  <c:pt idx="525">
                    <c:v>12</c:v>
                  </c:pt>
                  <c:pt idx="540">
                    <c:v>11,45</c:v>
                  </c:pt>
                  <c:pt idx="544">
                    <c:v>0</c:v>
                  </c:pt>
                  <c:pt idx="554">
                    <c:v>45</c:v>
                  </c:pt>
                  <c:pt idx="572">
                    <c:v>6,18</c:v>
                  </c:pt>
                  <c:pt idx="574">
                    <c:v>5</c:v>
                  </c:pt>
                  <c:pt idx="590">
                    <c:v>82</c:v>
                  </c:pt>
                  <c:pt idx="591">
                    <c:v>3,28</c:v>
                  </c:pt>
                  <c:pt idx="592">
                    <c:v>0</c:v>
                  </c:pt>
                  <c:pt idx="593">
                    <c:v>0</c:v>
                  </c:pt>
                  <c:pt idx="596">
                    <c:v>18,2</c:v>
                  </c:pt>
                  <c:pt idx="598">
                    <c:v>41</c:v>
                  </c:pt>
                  <c:pt idx="599">
                    <c:v>0</c:v>
                  </c:pt>
                  <c:pt idx="606">
                    <c:v>0</c:v>
                  </c:pt>
                  <c:pt idx="607">
                    <c:v>c</c:v>
                  </c:pt>
                  <c:pt idx="622">
                    <c:v>0</c:v>
                  </c:pt>
                  <c:pt idx="633">
                    <c:v>1</c:v>
                  </c:pt>
                  <c:pt idx="694">
                    <c:v>0</c:v>
                  </c:pt>
                  <c:pt idx="705">
                    <c:v>36,32</c:v>
                  </c:pt>
                  <c:pt idx="706">
                    <c:v>1</c:v>
                  </c:pt>
                  <c:pt idx="751">
                    <c:v>0</c:v>
                  </c:pt>
                  <c:pt idx="754">
                    <c:v>3</c:v>
                  </c:pt>
                  <c:pt idx="755">
                    <c:v>0</c:v>
                  </c:pt>
                  <c:pt idx="757">
                    <c:v>0</c:v>
                  </c:pt>
                  <c:pt idx="762">
                    <c:v>0</c:v>
                  </c:pt>
                  <c:pt idx="766">
                    <c:v>2,4</c:v>
                  </c:pt>
                  <c:pt idx="767">
                    <c:v>2,99</c:v>
                  </c:pt>
                  <c:pt idx="768">
                    <c:v>2,78</c:v>
                  </c:pt>
                  <c:pt idx="769">
                    <c:v>1,55</c:v>
                  </c:pt>
                  <c:pt idx="773">
                    <c:v>1,52</c:v>
                  </c:pt>
                  <c:pt idx="852">
                    <c:v>0</c:v>
                  </c:pt>
                  <c:pt idx="855">
                    <c:v>0</c:v>
                  </c:pt>
                  <c:pt idx="880">
                    <c:v>1</c:v>
                  </c:pt>
                  <c:pt idx="881">
                    <c:v>0</c:v>
                  </c:pt>
                  <c:pt idx="900">
                    <c:v>0</c:v>
                  </c:pt>
                  <c:pt idx="921">
                    <c:v>37</c:v>
                  </c:pt>
                  <c:pt idx="959">
                    <c:v>11,45</c:v>
                  </c:pt>
                  <c:pt idx="961">
                    <c:v>36</c:v>
                  </c:pt>
                  <c:pt idx="964">
                    <c:v>0</c:v>
                  </c:pt>
                  <c:pt idx="965">
                    <c:v>0</c:v>
                  </c:pt>
                  <c:pt idx="982">
                    <c:v>15,6</c:v>
                  </c:pt>
                  <c:pt idx="987">
                    <c:v>0</c:v>
                  </c:pt>
                  <c:pt idx="1013">
                    <c:v>0</c:v>
                  </c:pt>
                  <c:pt idx="1087">
                    <c:v>1,95</c:v>
                  </c:pt>
                  <c:pt idx="1088">
                    <c:v>2</c:v>
                  </c:pt>
                  <c:pt idx="1089">
                    <c:v>3,1</c:v>
                  </c:pt>
                  <c:pt idx="1090">
                    <c:v>4,65</c:v>
                  </c:pt>
                  <c:pt idx="1095">
                    <c:v>15,4</c:v>
                  </c:pt>
                  <c:pt idx="1115">
                    <c:v>0,16</c:v>
                  </c:pt>
                  <c:pt idx="1120">
                    <c:v>0</c:v>
                  </c:pt>
                  <c:pt idx="1146">
                    <c:v>1,05</c:v>
                  </c:pt>
                  <c:pt idx="1218">
                    <c:v>5,12</c:v>
                  </c:pt>
                  <c:pt idx="1220">
                    <c:v>1,5</c:v>
                  </c:pt>
                  <c:pt idx="1221">
                    <c:v>1,81</c:v>
                  </c:pt>
                  <c:pt idx="1315">
                    <c:v>12</c:v>
                  </c:pt>
                  <c:pt idx="1316">
                    <c:v>19</c:v>
                  </c:pt>
                  <c:pt idx="1317">
                    <c:v>23</c:v>
                  </c:pt>
                  <c:pt idx="1318">
                    <c:v>20</c:v>
                  </c:pt>
                  <c:pt idx="1319">
                    <c:v>29</c:v>
                  </c:pt>
                  <c:pt idx="1324">
                    <c:v>23</c:v>
                  </c:pt>
                  <c:pt idx="1325">
                    <c:v>24</c:v>
                  </c:pt>
                  <c:pt idx="1326">
                    <c:v>26</c:v>
                  </c:pt>
                  <c:pt idx="1327">
                    <c:v>37</c:v>
                  </c:pt>
                  <c:pt idx="1328">
                    <c:v>23</c:v>
                  </c:pt>
                  <c:pt idx="1333">
                    <c:v>13</c:v>
                  </c:pt>
                  <c:pt idx="1334">
                    <c:v>30</c:v>
                  </c:pt>
                  <c:pt idx="1336">
                    <c:v>9</c:v>
                  </c:pt>
                  <c:pt idx="1337">
                    <c:v>21</c:v>
                  </c:pt>
                  <c:pt idx="1338">
                    <c:v>29</c:v>
                  </c:pt>
                  <c:pt idx="1342">
                    <c:v>21</c:v>
                  </c:pt>
                  <c:pt idx="1343">
                    <c:v>21</c:v>
                  </c:pt>
                  <c:pt idx="1344">
                    <c:v>30</c:v>
                  </c:pt>
                  <c:pt idx="1345">
                    <c:v>14,5</c:v>
                  </c:pt>
                  <c:pt idx="1346">
                    <c:v>22</c:v>
                  </c:pt>
                  <c:pt idx="1347">
                    <c:v>28</c:v>
                  </c:pt>
                  <c:pt idx="1350">
                    <c:v>72</c:v>
                  </c:pt>
                  <c:pt idx="1351">
                    <c:v>75</c:v>
                  </c:pt>
                  <c:pt idx="1352">
                    <c:v>51</c:v>
                  </c:pt>
                  <c:pt idx="1354">
                    <c:v>41</c:v>
                  </c:pt>
                  <c:pt idx="1356">
                    <c:v>28</c:v>
                  </c:pt>
                  <c:pt idx="1378">
                    <c:v>1</c:v>
                  </c:pt>
                  <c:pt idx="1381">
                    <c:v>0</c:v>
                  </c:pt>
                  <c:pt idx="1390">
                    <c:v>0</c:v>
                  </c:pt>
                  <c:pt idx="1394">
                    <c:v>6,8</c:v>
                  </c:pt>
                  <c:pt idx="1395">
                    <c:v>17,6</c:v>
                  </c:pt>
                  <c:pt idx="1396">
                    <c:v>7,45</c:v>
                  </c:pt>
                  <c:pt idx="1397">
                    <c:v>5,35</c:v>
                  </c:pt>
                  <c:pt idx="1436">
                    <c:v>0,3</c:v>
                  </c:pt>
                  <c:pt idx="1437">
                    <c:v>7,5</c:v>
                  </c:pt>
                  <c:pt idx="1438">
                    <c:v>7,13</c:v>
                  </c:pt>
                  <c:pt idx="1439">
                    <c:v>0,31</c:v>
                  </c:pt>
                  <c:pt idx="1441">
                    <c:v>0</c:v>
                  </c:pt>
                  <c:pt idx="1444">
                    <c:v>70</c:v>
                  </c:pt>
                  <c:pt idx="1446">
                    <c:v>112,04</c:v>
                  </c:pt>
                  <c:pt idx="1447">
                    <c:v>1,12</c:v>
                  </c:pt>
                  <c:pt idx="1448">
                    <c:v>1,12</c:v>
                  </c:pt>
                  <c:pt idx="1464">
                    <c:v>0</c:v>
                  </c:pt>
                  <c:pt idx="1477">
                    <c:v>3,73</c:v>
                  </c:pt>
                  <c:pt idx="1493">
                    <c:v>1,78</c:v>
                  </c:pt>
                  <c:pt idx="1508">
                    <c:v>0</c:v>
                  </c:pt>
                  <c:pt idx="1529">
                    <c:v>7,18</c:v>
                  </c:pt>
                  <c:pt idx="1530">
                    <c:v>17,9</c:v>
                  </c:pt>
                  <c:pt idx="1531">
                    <c:v>1,79</c:v>
                  </c:pt>
                  <c:pt idx="1534">
                    <c:v>0</c:v>
                  </c:pt>
                  <c:pt idx="1547">
                    <c:v>0</c:v>
                  </c:pt>
                  <c:pt idx="1552">
                    <c:v>1,65</c:v>
                  </c:pt>
                  <c:pt idx="1554">
                    <c:v>0</c:v>
                  </c:pt>
                  <c:pt idx="1558">
                    <c:v>0</c:v>
                  </c:pt>
                  <c:pt idx="1599">
                    <c:v>1</c:v>
                  </c:pt>
                  <c:pt idx="1600">
                    <c:v>1</c:v>
                  </c:pt>
                  <c:pt idx="1601">
                    <c:v>1</c:v>
                  </c:pt>
                  <c:pt idx="1602">
                    <c:v>1</c:v>
                  </c:pt>
                  <c:pt idx="1603">
                    <c:v>1</c:v>
                  </c:pt>
                  <c:pt idx="1604">
                    <c:v>1</c:v>
                  </c:pt>
                  <c:pt idx="1620">
                    <c:v>1,05</c:v>
                  </c:pt>
                  <c:pt idx="1624">
                    <c:v>1</c:v>
                  </c:pt>
                  <c:pt idx="1639">
                    <c:v>0</c:v>
                  </c:pt>
                  <c:pt idx="1651">
                    <c:v>0</c:v>
                  </c:pt>
                  <c:pt idx="1674">
                    <c:v>1</c:v>
                  </c:pt>
                  <c:pt idx="1716">
                    <c:v>0</c:v>
                  </c:pt>
                </c:lvl>
                <c:lvl>
                  <c:pt idx="0">
                    <c:v>1800</c:v>
                  </c:pt>
                  <c:pt idx="1">
                    <c:v>264,17</c:v>
                  </c:pt>
                  <c:pt idx="2">
                    <c:v>168</c:v>
                  </c:pt>
                  <c:pt idx="3">
                    <c:v>260</c:v>
                  </c:pt>
                  <c:pt idx="4">
                    <c:v>13</c:v>
                  </c:pt>
                  <c:pt idx="5">
                    <c:v>93,5</c:v>
                  </c:pt>
                  <c:pt idx="6">
                    <c:v>9,35</c:v>
                  </c:pt>
                  <c:pt idx="7">
                    <c:v>1070</c:v>
                  </c:pt>
                  <c:pt idx="8">
                    <c:v>0</c:v>
                  </c:pt>
                  <c:pt idx="9">
                    <c:v>906</c:v>
                  </c:pt>
                  <c:pt idx="10">
                    <c:v>72</c:v>
                  </c:pt>
                  <c:pt idx="11">
                    <c:v>72</c:v>
                  </c:pt>
                  <c:pt idx="12">
                    <c:v>72</c:v>
                  </c:pt>
                  <c:pt idx="13">
                    <c:v>160</c:v>
                  </c:pt>
                  <c:pt idx="14">
                    <c:v>363</c:v>
                  </c:pt>
                  <c:pt idx="15">
                    <c:v>19,9</c:v>
                  </c:pt>
                  <c:pt idx="16">
                    <c:v>19,9</c:v>
                  </c:pt>
                  <c:pt idx="17">
                    <c:v>8</c:v>
                  </c:pt>
                  <c:pt idx="18">
                    <c:v>109,9</c:v>
                  </c:pt>
                  <c:pt idx="19">
                    <c:v>24,9</c:v>
                  </c:pt>
                  <c:pt idx="20">
                    <c:v>34,9</c:v>
                  </c:pt>
                  <c:pt idx="21">
                    <c:v>24,9</c:v>
                  </c:pt>
                  <c:pt idx="22">
                    <c:v>39,9</c:v>
                  </c:pt>
                  <c:pt idx="23">
                    <c:v>34,9</c:v>
                  </c:pt>
                  <c:pt idx="24">
                    <c:v>0</c:v>
                  </c:pt>
                  <c:pt idx="25">
                    <c:v>0</c:v>
                  </c:pt>
                  <c:pt idx="26">
                    <c:v>175,41</c:v>
                  </c:pt>
                  <c:pt idx="27">
                    <c:v>182,95</c:v>
                  </c:pt>
                  <c:pt idx="28">
                    <c:v>199,8</c:v>
                  </c:pt>
                  <c:pt idx="29">
                    <c:v>198,77</c:v>
                  </c:pt>
                  <c:pt idx="30">
                    <c:v>254</c:v>
                  </c:pt>
                  <c:pt idx="31">
                    <c:v>411</c:v>
                  </c:pt>
                  <c:pt idx="32">
                    <c:v>307,359</c:v>
                  </c:pt>
                  <c:pt idx="33">
                    <c:v>127</c:v>
                  </c:pt>
                  <c:pt idx="34">
                    <c:v>159</c:v>
                  </c:pt>
                  <c:pt idx="35">
                    <c:v>97</c:v>
                  </c:pt>
                  <c:pt idx="36">
                    <c:v>44</c:v>
                  </c:pt>
                  <c:pt idx="37">
                    <c:v>800</c:v>
                  </c:pt>
                  <c:pt idx="38">
                    <c:v>148</c:v>
                  </c:pt>
                  <c:pt idx="39">
                    <c:v>1135</c:v>
                  </c:pt>
                  <c:pt idx="40">
                    <c:v>110</c:v>
                  </c:pt>
                  <c:pt idx="41">
                    <c:v>1107</c:v>
                  </c:pt>
                  <c:pt idx="42">
                    <c:v>644</c:v>
                  </c:pt>
                  <c:pt idx="43">
                    <c:v>262</c:v>
                  </c:pt>
                  <c:pt idx="44">
                    <c:v>314</c:v>
                  </c:pt>
                  <c:pt idx="45">
                    <c:v>100</c:v>
                  </c:pt>
                  <c:pt idx="46">
                    <c:v>675,85</c:v>
                  </c:pt>
                  <c:pt idx="47">
                    <c:v>430,5</c:v>
                  </c:pt>
                  <c:pt idx="48">
                    <c:v>533</c:v>
                  </c:pt>
                  <c:pt idx="49">
                    <c:v>150</c:v>
                  </c:pt>
                  <c:pt idx="50">
                    <c:v>430,5</c:v>
                  </c:pt>
                  <c:pt idx="51">
                    <c:v>200</c:v>
                  </c:pt>
                  <c:pt idx="52">
                    <c:v>150</c:v>
                  </c:pt>
                  <c:pt idx="53">
                    <c:v>10</c:v>
                  </c:pt>
                  <c:pt idx="54">
                    <c:v>1702,8</c:v>
                  </c:pt>
                  <c:pt idx="55">
                    <c:v>187,98</c:v>
                  </c:pt>
                  <c:pt idx="56">
                    <c:v>1179</c:v>
                  </c:pt>
                  <c:pt idx="57">
                    <c:v>258</c:v>
                  </c:pt>
                  <c:pt idx="58">
                    <c:v>44</c:v>
                  </c:pt>
                  <c:pt idx="59">
                    <c:v>179</c:v>
                  </c:pt>
                  <c:pt idx="60">
                    <c:v>49,2</c:v>
                  </c:pt>
                  <c:pt idx="61">
                    <c:v>99</c:v>
                  </c:pt>
                  <c:pt idx="62">
                    <c:v>98</c:v>
                  </c:pt>
                  <c:pt idx="63">
                    <c:v>57</c:v>
                  </c:pt>
                  <c:pt idx="64">
                    <c:v>57</c:v>
                  </c:pt>
                  <c:pt idx="65">
                    <c:v>67</c:v>
                  </c:pt>
                  <c:pt idx="66">
                    <c:v>69</c:v>
                  </c:pt>
                  <c:pt idx="67">
                    <c:v>14,9</c:v>
                  </c:pt>
                  <c:pt idx="68">
                    <c:v>14,9</c:v>
                  </c:pt>
                  <c:pt idx="69">
                    <c:v>29,9</c:v>
                  </c:pt>
                  <c:pt idx="70">
                    <c:v>29,9</c:v>
                  </c:pt>
                  <c:pt idx="71">
                    <c:v>275</c:v>
                  </c:pt>
                  <c:pt idx="72">
                    <c:v>1490</c:v>
                  </c:pt>
                  <c:pt idx="73">
                    <c:v>59,6</c:v>
                  </c:pt>
                  <c:pt idx="74">
                    <c:v>1739,49</c:v>
                  </c:pt>
                  <c:pt idx="75">
                    <c:v>59,9</c:v>
                  </c:pt>
                  <c:pt idx="76">
                    <c:v>89,9</c:v>
                  </c:pt>
                  <c:pt idx="77">
                    <c:v>109,9</c:v>
                  </c:pt>
                  <c:pt idx="78">
                    <c:v>89,9</c:v>
                  </c:pt>
                  <c:pt idx="79">
                    <c:v>109,9</c:v>
                  </c:pt>
                  <c:pt idx="80">
                    <c:v>9</c:v>
                  </c:pt>
                  <c:pt idx="81">
                    <c:v>81</c:v>
                  </c:pt>
                  <c:pt idx="82">
                    <c:v>1941,8</c:v>
                  </c:pt>
                  <c:pt idx="83">
                    <c:v>80</c:v>
                  </c:pt>
                  <c:pt idx="84">
                    <c:v>110</c:v>
                  </c:pt>
                  <c:pt idx="85">
                    <c:v>50</c:v>
                  </c:pt>
                  <c:pt idx="86">
                    <c:v>60</c:v>
                  </c:pt>
                  <c:pt idx="87">
                    <c:v>90</c:v>
                  </c:pt>
                  <c:pt idx="88">
                    <c:v>695</c:v>
                  </c:pt>
                  <c:pt idx="89">
                    <c:v>27</c:v>
                  </c:pt>
                  <c:pt idx="90">
                    <c:v>299,9</c:v>
                  </c:pt>
                  <c:pt idx="91">
                    <c:v>299,9</c:v>
                  </c:pt>
                  <c:pt idx="92">
                    <c:v>299,9</c:v>
                  </c:pt>
                  <c:pt idx="93">
                    <c:v>79</c:v>
                  </c:pt>
                  <c:pt idx="94">
                    <c:v>79</c:v>
                  </c:pt>
                  <c:pt idx="95">
                    <c:v>119</c:v>
                  </c:pt>
                  <c:pt idx="96">
                    <c:v>189</c:v>
                  </c:pt>
                  <c:pt idx="97">
                    <c:v>198</c:v>
                  </c:pt>
                  <c:pt idx="98">
                    <c:v>220</c:v>
                  </c:pt>
                  <c:pt idx="99">
                    <c:v>22</c:v>
                  </c:pt>
                  <c:pt idx="100">
                    <c:v>167,5</c:v>
                  </c:pt>
                  <c:pt idx="101">
                    <c:v>176</c:v>
                  </c:pt>
                  <c:pt idx="102">
                    <c:v>221</c:v>
                  </c:pt>
                  <c:pt idx="104">
                    <c:v>62,88</c:v>
                  </c:pt>
                  <c:pt idx="105">
                    <c:v>89</c:v>
                  </c:pt>
                  <c:pt idx="106">
                    <c:v>387</c:v>
                  </c:pt>
                  <c:pt idx="107">
                    <c:v>299,25</c:v>
                  </c:pt>
                  <c:pt idx="108">
                    <c:v>84</c:v>
                  </c:pt>
                  <c:pt idx="109">
                    <c:v>269</c:v>
                  </c:pt>
                  <c:pt idx="110">
                    <c:v>6,5</c:v>
                  </c:pt>
                  <c:pt idx="111">
                    <c:v>246</c:v>
                  </c:pt>
                  <c:pt idx="112">
                    <c:v>206</c:v>
                  </c:pt>
                  <c:pt idx="113">
                    <c:v>247</c:v>
                  </c:pt>
                  <c:pt idx="114">
                    <c:v>43</c:v>
                  </c:pt>
                  <c:pt idx="115">
                    <c:v>26</c:v>
                  </c:pt>
                  <c:pt idx="116">
                    <c:v>48</c:v>
                  </c:pt>
                  <c:pt idx="117">
                    <c:v>46,81</c:v>
                  </c:pt>
                  <c:pt idx="118">
                    <c:v>40,81</c:v>
                  </c:pt>
                  <c:pt idx="119">
                    <c:v>326</c:v>
                  </c:pt>
                  <c:pt idx="120">
                    <c:v>225</c:v>
                  </c:pt>
                  <c:pt idx="121">
                    <c:v>0</c:v>
                  </c:pt>
                  <c:pt idx="122">
                    <c:v>82,9</c:v>
                  </c:pt>
                  <c:pt idx="123">
                    <c:v>2984,18</c:v>
                  </c:pt>
                  <c:pt idx="124">
                    <c:v>160</c:v>
                  </c:pt>
                  <c:pt idx="125">
                    <c:v>210</c:v>
                  </c:pt>
                  <c:pt idx="126">
                    <c:v>40</c:v>
                  </c:pt>
                  <c:pt idx="127">
                    <c:v>390</c:v>
                  </c:pt>
                  <c:pt idx="128">
                    <c:v>600</c:v>
                  </c:pt>
                  <c:pt idx="129">
                    <c:v>644,79</c:v>
                  </c:pt>
                  <c:pt idx="134">
                    <c:v>129</c:v>
                  </c:pt>
                  <c:pt idx="135">
                    <c:v>103</c:v>
                  </c:pt>
                  <c:pt idx="136">
                    <c:v>20</c:v>
                  </c:pt>
                  <c:pt idx="137">
                    <c:v>280</c:v>
                  </c:pt>
                  <c:pt idx="138">
                    <c:v>125</c:v>
                  </c:pt>
                  <c:pt idx="139">
                    <c:v>116</c:v>
                  </c:pt>
                  <c:pt idx="140">
                    <c:v>40</c:v>
                  </c:pt>
                  <c:pt idx="141">
                    <c:v>63</c:v>
                  </c:pt>
                  <c:pt idx="142">
                    <c:v>110,59</c:v>
                  </c:pt>
                  <c:pt idx="143">
                    <c:v>128,8</c:v>
                  </c:pt>
                  <c:pt idx="144">
                    <c:v>157,95</c:v>
                  </c:pt>
                  <c:pt idx="145">
                    <c:v>101,4</c:v>
                  </c:pt>
                  <c:pt idx="146">
                    <c:v>90,2</c:v>
                  </c:pt>
                  <c:pt idx="147">
                    <c:v>100</c:v>
                  </c:pt>
                  <c:pt idx="148">
                    <c:v>160</c:v>
                  </c:pt>
                  <c:pt idx="149">
                    <c:v>114,8</c:v>
                  </c:pt>
                  <c:pt idx="150">
                    <c:v>98,4</c:v>
                  </c:pt>
                  <c:pt idx="151">
                    <c:v>350</c:v>
                  </c:pt>
                  <c:pt idx="152">
                    <c:v>185</c:v>
                  </c:pt>
                  <c:pt idx="153">
                    <c:v>20,43</c:v>
                  </c:pt>
                  <c:pt idx="154">
                    <c:v>39,52</c:v>
                  </c:pt>
                  <c:pt idx="155">
                    <c:v>65,38</c:v>
                  </c:pt>
                  <c:pt idx="156">
                    <c:v>81,4</c:v>
                  </c:pt>
                  <c:pt idx="157">
                    <c:v>184,5</c:v>
                  </c:pt>
                  <c:pt idx="158">
                    <c:v>123</c:v>
                  </c:pt>
                  <c:pt idx="159">
                    <c:v>241,56</c:v>
                  </c:pt>
                  <c:pt idx="160">
                    <c:v>246</c:v>
                  </c:pt>
                  <c:pt idx="161">
                    <c:v>86,31</c:v>
                  </c:pt>
                  <c:pt idx="162">
                    <c:v>109</c:v>
                  </c:pt>
                  <c:pt idx="163">
                    <c:v>1900</c:v>
                  </c:pt>
                  <c:pt idx="164">
                    <c:v>49</c:v>
                  </c:pt>
                  <c:pt idx="165">
                    <c:v>95</c:v>
                  </c:pt>
                  <c:pt idx="166">
                    <c:v>594</c:v>
                  </c:pt>
                  <c:pt idx="167">
                    <c:v>160</c:v>
                  </c:pt>
                  <c:pt idx="168">
                    <c:v>388</c:v>
                  </c:pt>
                  <c:pt idx="169">
                    <c:v>1383</c:v>
                  </c:pt>
                  <c:pt idx="170">
                    <c:v>138,3</c:v>
                  </c:pt>
                  <c:pt idx="171">
                    <c:v>138</c:v>
                  </c:pt>
                  <c:pt idx="172">
                    <c:v>350</c:v>
                  </c:pt>
                  <c:pt idx="173">
                    <c:v>101</c:v>
                  </c:pt>
                  <c:pt idx="174">
                    <c:v>160</c:v>
                  </c:pt>
                  <c:pt idx="175">
                    <c:v>116</c:v>
                  </c:pt>
                  <c:pt idx="176">
                    <c:v>249</c:v>
                  </c:pt>
                  <c:pt idx="177">
                    <c:v>50,88</c:v>
                  </c:pt>
                  <c:pt idx="178">
                    <c:v>192,2</c:v>
                  </c:pt>
                  <c:pt idx="179">
                    <c:v>247</c:v>
                  </c:pt>
                  <c:pt idx="180">
                    <c:v>289</c:v>
                  </c:pt>
                  <c:pt idx="181">
                    <c:v>154</c:v>
                  </c:pt>
                  <c:pt idx="182">
                    <c:v>187</c:v>
                  </c:pt>
                  <c:pt idx="183">
                    <c:v>242</c:v>
                  </c:pt>
                  <c:pt idx="184">
                    <c:v>297</c:v>
                  </c:pt>
                  <c:pt idx="185">
                    <c:v>324</c:v>
                  </c:pt>
                  <c:pt idx="186">
                    <c:v>550</c:v>
                  </c:pt>
                  <c:pt idx="187">
                    <c:v>650</c:v>
                  </c:pt>
                  <c:pt idx="188">
                    <c:v>61</c:v>
                  </c:pt>
                  <c:pt idx="189">
                    <c:v>85</c:v>
                  </c:pt>
                  <c:pt idx="190">
                    <c:v>198</c:v>
                  </c:pt>
                  <c:pt idx="191">
                    <c:v>276</c:v>
                  </c:pt>
                  <c:pt idx="192">
                    <c:v>130</c:v>
                  </c:pt>
                  <c:pt idx="193">
                    <c:v>75</c:v>
                  </c:pt>
                  <c:pt idx="194">
                    <c:v>95</c:v>
                  </c:pt>
                  <c:pt idx="195">
                    <c:v>230</c:v>
                  </c:pt>
                  <c:pt idx="196">
                    <c:v>51</c:v>
                  </c:pt>
                  <c:pt idx="197">
                    <c:v>61</c:v>
                  </c:pt>
                  <c:pt idx="198">
                    <c:v>72</c:v>
                  </c:pt>
                  <c:pt idx="199">
                    <c:v>81</c:v>
                  </c:pt>
                  <c:pt idx="200">
                    <c:v>107</c:v>
                  </c:pt>
                  <c:pt idx="201">
                    <c:v>100</c:v>
                  </c:pt>
                  <c:pt idx="202">
                    <c:v>120</c:v>
                  </c:pt>
                  <c:pt idx="203">
                    <c:v>180</c:v>
                  </c:pt>
                  <c:pt idx="204">
                    <c:v>180</c:v>
                  </c:pt>
                  <c:pt idx="205">
                    <c:v>180</c:v>
                  </c:pt>
                  <c:pt idx="206">
                    <c:v>2459,02</c:v>
                  </c:pt>
                  <c:pt idx="207">
                    <c:v>0</c:v>
                  </c:pt>
                  <c:pt idx="208">
                    <c:v>600</c:v>
                  </c:pt>
                  <c:pt idx="209">
                    <c:v>600</c:v>
                  </c:pt>
                  <c:pt idx="210">
                    <c:v>39,9</c:v>
                  </c:pt>
                  <c:pt idx="211">
                    <c:v>290</c:v>
                  </c:pt>
                  <c:pt idx="212">
                    <c:v>130</c:v>
                  </c:pt>
                  <c:pt idx="213">
                    <c:v>220,5</c:v>
                  </c:pt>
                  <c:pt idx="214">
                    <c:v>173,25</c:v>
                  </c:pt>
                  <c:pt idx="215">
                    <c:v>141,75</c:v>
                  </c:pt>
                  <c:pt idx="216">
                    <c:v>267,75</c:v>
                  </c:pt>
                  <c:pt idx="217">
                    <c:v>233,25</c:v>
                  </c:pt>
                  <c:pt idx="218">
                    <c:v>98,6</c:v>
                  </c:pt>
                  <c:pt idx="219">
                    <c:v>25</c:v>
                  </c:pt>
                  <c:pt idx="220">
                    <c:v>30</c:v>
                  </c:pt>
                  <c:pt idx="221">
                    <c:v>266,4</c:v>
                  </c:pt>
                  <c:pt idx="222">
                    <c:v>420,24</c:v>
                  </c:pt>
                  <c:pt idx="223">
                    <c:v>469,8</c:v>
                  </c:pt>
                  <c:pt idx="224">
                    <c:v>742,6</c:v>
                  </c:pt>
                  <c:pt idx="225">
                    <c:v>284,92</c:v>
                  </c:pt>
                  <c:pt idx="226">
                    <c:v>366,3</c:v>
                  </c:pt>
                  <c:pt idx="227">
                    <c:v>99,9</c:v>
                  </c:pt>
                  <c:pt idx="228">
                    <c:v>72</c:v>
                  </c:pt>
                  <c:pt idx="229">
                    <c:v>483</c:v>
                  </c:pt>
                  <c:pt idx="230">
                    <c:v>239</c:v>
                  </c:pt>
                  <c:pt idx="231">
                    <c:v>260</c:v>
                  </c:pt>
                  <c:pt idx="232">
                    <c:v>295</c:v>
                  </c:pt>
                  <c:pt idx="233">
                    <c:v>51</c:v>
                  </c:pt>
                  <c:pt idx="234">
                    <c:v>185</c:v>
                  </c:pt>
                  <c:pt idx="235">
                    <c:v>50</c:v>
                  </c:pt>
                  <c:pt idx="236">
                    <c:v>1128</c:v>
                  </c:pt>
                  <c:pt idx="237">
                    <c:v>76</c:v>
                  </c:pt>
                  <c:pt idx="238">
                    <c:v>48</c:v>
                  </c:pt>
                  <c:pt idx="239">
                    <c:v>163</c:v>
                  </c:pt>
                  <c:pt idx="240">
                    <c:v>140</c:v>
                  </c:pt>
                  <c:pt idx="241">
                    <c:v>202,01</c:v>
                  </c:pt>
                  <c:pt idx="242">
                    <c:v>168</c:v>
                  </c:pt>
                  <c:pt idx="243">
                    <c:v>237,17</c:v>
                  </c:pt>
                  <c:pt idx="244">
                    <c:v>221</c:v>
                  </c:pt>
                  <c:pt idx="245">
                    <c:v>163</c:v>
                  </c:pt>
                  <c:pt idx="246">
                    <c:v>144</c:v>
                  </c:pt>
                  <c:pt idx="247">
                    <c:v>25</c:v>
                  </c:pt>
                  <c:pt idx="249">
                    <c:v>70</c:v>
                  </c:pt>
                  <c:pt idx="250">
                    <c:v>111</c:v>
                  </c:pt>
                  <c:pt idx="251">
                    <c:v>179,24</c:v>
                  </c:pt>
                  <c:pt idx="252">
                    <c:v>230,85</c:v>
                  </c:pt>
                  <c:pt idx="253">
                    <c:v>222,3</c:v>
                  </c:pt>
                  <c:pt idx="254">
                    <c:v>550</c:v>
                  </c:pt>
                  <c:pt idx="255">
                    <c:v>231,99</c:v>
                  </c:pt>
                  <c:pt idx="256">
                    <c:v>599</c:v>
                  </c:pt>
                  <c:pt idx="257">
                    <c:v>799</c:v>
                  </c:pt>
                  <c:pt idx="258">
                    <c:v>278</c:v>
                  </c:pt>
                  <c:pt idx="259">
                    <c:v>25</c:v>
                  </c:pt>
                  <c:pt idx="260">
                    <c:v>13</c:v>
                  </c:pt>
                  <c:pt idx="261">
                    <c:v>118,5</c:v>
                  </c:pt>
                  <c:pt idx="262">
                    <c:v>171,66</c:v>
                  </c:pt>
                  <c:pt idx="263">
                    <c:v>182</c:v>
                  </c:pt>
                  <c:pt idx="264">
                    <c:v>2,97</c:v>
                  </c:pt>
                  <c:pt idx="265">
                    <c:v>383,94</c:v>
                  </c:pt>
                  <c:pt idx="266">
                    <c:v>0</c:v>
                  </c:pt>
                  <c:pt idx="267">
                    <c:v>0</c:v>
                  </c:pt>
                  <c:pt idx="268">
                    <c:v>58,2</c:v>
                  </c:pt>
                  <c:pt idx="269">
                    <c:v>67,05</c:v>
                  </c:pt>
                  <c:pt idx="270">
                    <c:v>175</c:v>
                  </c:pt>
                  <c:pt idx="271">
                    <c:v>121,6</c:v>
                  </c:pt>
                  <c:pt idx="272">
                    <c:v>92</c:v>
                  </c:pt>
                  <c:pt idx="273">
                    <c:v>5720</c:v>
                  </c:pt>
                  <c:pt idx="274">
                    <c:v>103</c:v>
                  </c:pt>
                  <c:pt idx="275">
                    <c:v>263,98</c:v>
                  </c:pt>
                  <c:pt idx="276">
                    <c:v>279</c:v>
                  </c:pt>
                  <c:pt idx="277">
                    <c:v>266</c:v>
                  </c:pt>
                  <c:pt idx="278">
                    <c:v>59,9</c:v>
                  </c:pt>
                  <c:pt idx="279">
                    <c:v>50</c:v>
                  </c:pt>
                  <c:pt idx="280">
                    <c:v>90</c:v>
                  </c:pt>
                  <c:pt idx="281">
                    <c:v>190</c:v>
                  </c:pt>
                  <c:pt idx="282">
                    <c:v>399,9</c:v>
                  </c:pt>
                  <c:pt idx="283">
                    <c:v>66</c:v>
                  </c:pt>
                  <c:pt idx="284">
                    <c:v>87</c:v>
                  </c:pt>
                  <c:pt idx="285">
                    <c:v>279</c:v>
                  </c:pt>
                  <c:pt idx="286">
                    <c:v>138</c:v>
                  </c:pt>
                  <c:pt idx="287">
                    <c:v>142</c:v>
                  </c:pt>
                  <c:pt idx="288">
                    <c:v>176</c:v>
                  </c:pt>
                  <c:pt idx="289">
                    <c:v>119</c:v>
                  </c:pt>
                  <c:pt idx="290">
                    <c:v>219</c:v>
                  </c:pt>
                  <c:pt idx="291">
                    <c:v>165</c:v>
                  </c:pt>
                  <c:pt idx="292">
                    <c:v>169</c:v>
                  </c:pt>
                  <c:pt idx="293">
                    <c:v>305</c:v>
                  </c:pt>
                  <c:pt idx="294">
                    <c:v>200</c:v>
                  </c:pt>
                  <c:pt idx="295">
                    <c:v>206</c:v>
                  </c:pt>
                  <c:pt idx="296">
                    <c:v>270,16</c:v>
                  </c:pt>
                  <c:pt idx="297">
                    <c:v>145</c:v>
                  </c:pt>
                  <c:pt idx="298">
                    <c:v>224</c:v>
                  </c:pt>
                  <c:pt idx="299">
                    <c:v>0</c:v>
                  </c:pt>
                  <c:pt idx="300">
                    <c:v>0</c:v>
                  </c:pt>
                  <c:pt idx="301">
                    <c:v>3307</c:v>
                  </c:pt>
                  <c:pt idx="302">
                    <c:v>7488</c:v>
                  </c:pt>
                  <c:pt idx="303">
                    <c:v>1760</c:v>
                  </c:pt>
                  <c:pt idx="304">
                    <c:v>0</c:v>
                  </c:pt>
                  <c:pt idx="306">
                    <c:v>0</c:v>
                  </c:pt>
                  <c:pt idx="307">
                    <c:v>3485</c:v>
                  </c:pt>
                  <c:pt idx="308">
                    <c:v>1085</c:v>
                  </c:pt>
                  <c:pt idx="309">
                    <c:v>120</c:v>
                  </c:pt>
                  <c:pt idx="310">
                    <c:v>305</c:v>
                  </c:pt>
                  <c:pt idx="311">
                    <c:v>49,9</c:v>
                  </c:pt>
                  <c:pt idx="312">
                    <c:v>18,9</c:v>
                  </c:pt>
                  <c:pt idx="313">
                    <c:v>60</c:v>
                  </c:pt>
                  <c:pt idx="314">
                    <c:v>12</c:v>
                  </c:pt>
                  <c:pt idx="315">
                    <c:v>24,9</c:v>
                  </c:pt>
                  <c:pt idx="316">
                    <c:v>123</c:v>
                  </c:pt>
                  <c:pt idx="317">
                    <c:v>367</c:v>
                  </c:pt>
                  <c:pt idx="318">
                    <c:v>630</c:v>
                  </c:pt>
                  <c:pt idx="319">
                    <c:v>2692,83</c:v>
                  </c:pt>
                  <c:pt idx="320">
                    <c:v>208,54</c:v>
                  </c:pt>
                  <c:pt idx="321">
                    <c:v>14</c:v>
                  </c:pt>
                  <c:pt idx="322">
                    <c:v>29</c:v>
                  </c:pt>
                  <c:pt idx="323">
                    <c:v>140</c:v>
                  </c:pt>
                  <c:pt idx="324">
                    <c:v>242</c:v>
                  </c:pt>
                  <c:pt idx="325">
                    <c:v>295</c:v>
                  </c:pt>
                  <c:pt idx="326">
                    <c:v>390</c:v>
                  </c:pt>
                  <c:pt idx="327">
                    <c:v>150</c:v>
                  </c:pt>
                  <c:pt idx="328">
                    <c:v>250</c:v>
                  </c:pt>
                  <c:pt idx="329">
                    <c:v>350</c:v>
                  </c:pt>
                  <c:pt idx="330">
                    <c:v>3250</c:v>
                  </c:pt>
                  <c:pt idx="331">
                    <c:v>88</c:v>
                  </c:pt>
                  <c:pt idx="332">
                    <c:v>108</c:v>
                  </c:pt>
                  <c:pt idx="333">
                    <c:v>224</c:v>
                  </c:pt>
                  <c:pt idx="334">
                    <c:v>165</c:v>
                  </c:pt>
                  <c:pt idx="335">
                    <c:v>97</c:v>
                  </c:pt>
                  <c:pt idx="336">
                    <c:v>69,56</c:v>
                  </c:pt>
                  <c:pt idx="337">
                    <c:v>143,01</c:v>
                  </c:pt>
                  <c:pt idx="338">
                    <c:v>95</c:v>
                  </c:pt>
                  <c:pt idx="339">
                    <c:v>212</c:v>
                  </c:pt>
                  <c:pt idx="340">
                    <c:v>101</c:v>
                  </c:pt>
                  <c:pt idx="341">
                    <c:v>105</c:v>
                  </c:pt>
                  <c:pt idx="342">
                    <c:v>88</c:v>
                  </c:pt>
                  <c:pt idx="343">
                    <c:v>185</c:v>
                  </c:pt>
                  <c:pt idx="344">
                    <c:v>129</c:v>
                  </c:pt>
                  <c:pt idx="345">
                    <c:v>135</c:v>
                  </c:pt>
                  <c:pt idx="346">
                    <c:v>67</c:v>
                  </c:pt>
                  <c:pt idx="347">
                    <c:v>156</c:v>
                  </c:pt>
                  <c:pt idx="348">
                    <c:v>54</c:v>
                  </c:pt>
                  <c:pt idx="349">
                    <c:v>70,01</c:v>
                  </c:pt>
                  <c:pt idx="350">
                    <c:v>81</c:v>
                  </c:pt>
                  <c:pt idx="351">
                    <c:v>141,8</c:v>
                  </c:pt>
                  <c:pt idx="352">
                    <c:v>150</c:v>
                  </c:pt>
                  <c:pt idx="353">
                    <c:v>51,23</c:v>
                  </c:pt>
                  <c:pt idx="354">
                    <c:v>187</c:v>
                  </c:pt>
                  <c:pt idx="355">
                    <c:v>138</c:v>
                  </c:pt>
                  <c:pt idx="356">
                    <c:v>59</c:v>
                  </c:pt>
                  <c:pt idx="357">
                    <c:v>152,02</c:v>
                  </c:pt>
                  <c:pt idx="358">
                    <c:v>209</c:v>
                  </c:pt>
                  <c:pt idx="359">
                    <c:v>205,1</c:v>
                  </c:pt>
                  <c:pt idx="360">
                    <c:v>275</c:v>
                  </c:pt>
                  <c:pt idx="361">
                    <c:v>300,81</c:v>
                  </c:pt>
                  <c:pt idx="362">
                    <c:v>468,85</c:v>
                  </c:pt>
                  <c:pt idx="363">
                    <c:v>299,18</c:v>
                  </c:pt>
                  <c:pt idx="364">
                    <c:v>299,18</c:v>
                  </c:pt>
                  <c:pt idx="365">
                    <c:v>310</c:v>
                  </c:pt>
                  <c:pt idx="366">
                    <c:v>394,26</c:v>
                  </c:pt>
                  <c:pt idx="367">
                    <c:v>314,75</c:v>
                  </c:pt>
                  <c:pt idx="368">
                    <c:v>290</c:v>
                  </c:pt>
                  <c:pt idx="369">
                    <c:v>32</c:v>
                  </c:pt>
                  <c:pt idx="370">
                    <c:v>66</c:v>
                  </c:pt>
                  <c:pt idx="371">
                    <c:v>29</c:v>
                  </c:pt>
                  <c:pt idx="372">
                    <c:v>49</c:v>
                  </c:pt>
                  <c:pt idx="373">
                    <c:v>56,09</c:v>
                  </c:pt>
                  <c:pt idx="374">
                    <c:v>147</c:v>
                  </c:pt>
                  <c:pt idx="375">
                    <c:v>37,83</c:v>
                  </c:pt>
                  <c:pt idx="376">
                    <c:v>89</c:v>
                  </c:pt>
                  <c:pt idx="377">
                    <c:v>209</c:v>
                  </c:pt>
                  <c:pt idx="378">
                    <c:v>279</c:v>
                  </c:pt>
                  <c:pt idx="379">
                    <c:v>413</c:v>
                  </c:pt>
                  <c:pt idx="380">
                    <c:v>69</c:v>
                  </c:pt>
                  <c:pt idx="381">
                    <c:v>50</c:v>
                  </c:pt>
                  <c:pt idx="382">
                    <c:v>71,25</c:v>
                  </c:pt>
                  <c:pt idx="383">
                    <c:v>50</c:v>
                  </c:pt>
                  <c:pt idx="384">
                    <c:v>1250</c:v>
                  </c:pt>
                  <c:pt idx="385">
                    <c:v>65</c:v>
                  </c:pt>
                  <c:pt idx="386">
                    <c:v>150</c:v>
                  </c:pt>
                  <c:pt idx="387">
                    <c:v>98</c:v>
                  </c:pt>
                  <c:pt idx="388">
                    <c:v>266,81</c:v>
                  </c:pt>
                  <c:pt idx="389">
                    <c:v>80</c:v>
                  </c:pt>
                  <c:pt idx="390">
                    <c:v>345</c:v>
                  </c:pt>
                  <c:pt idx="391">
                    <c:v>438,35</c:v>
                  </c:pt>
                  <c:pt idx="392">
                    <c:v>81</c:v>
                  </c:pt>
                  <c:pt idx="393">
                    <c:v>109</c:v>
                  </c:pt>
                  <c:pt idx="394">
                    <c:v>73,2</c:v>
                  </c:pt>
                  <c:pt idx="395">
                    <c:v>65</c:v>
                  </c:pt>
                  <c:pt idx="396">
                    <c:v>47,01</c:v>
                  </c:pt>
                  <c:pt idx="397">
                    <c:v>122</c:v>
                  </c:pt>
                  <c:pt idx="398">
                    <c:v>55</c:v>
                  </c:pt>
                  <c:pt idx="399">
                    <c:v>179</c:v>
                  </c:pt>
                  <c:pt idx="400">
                    <c:v>43,07</c:v>
                  </c:pt>
                  <c:pt idx="401">
                    <c:v>98</c:v>
                  </c:pt>
                  <c:pt idx="402">
                    <c:v>25</c:v>
                  </c:pt>
                  <c:pt idx="403">
                    <c:v>177,87</c:v>
                  </c:pt>
                  <c:pt idx="404">
                    <c:v>91,22</c:v>
                  </c:pt>
                  <c:pt idx="405">
                    <c:v>47,92</c:v>
                  </c:pt>
                  <c:pt idx="406">
                    <c:v>67,366</c:v>
                  </c:pt>
                  <c:pt idx="407">
                    <c:v>150</c:v>
                  </c:pt>
                  <c:pt idx="408">
                    <c:v>35,16</c:v>
                  </c:pt>
                  <c:pt idx="409">
                    <c:v>143</c:v>
                  </c:pt>
                  <c:pt idx="410">
                    <c:v>3,47</c:v>
                  </c:pt>
                  <c:pt idx="411">
                    <c:v>45</c:v>
                  </c:pt>
                  <c:pt idx="412">
                    <c:v>200</c:v>
                  </c:pt>
                  <c:pt idx="413">
                    <c:v>320</c:v>
                  </c:pt>
                  <c:pt idx="414">
                    <c:v>49,92</c:v>
                  </c:pt>
                  <c:pt idx="415">
                    <c:v>78,01</c:v>
                  </c:pt>
                  <c:pt idx="416">
                    <c:v>176</c:v>
                  </c:pt>
                  <c:pt idx="417">
                    <c:v>92</c:v>
                  </c:pt>
                  <c:pt idx="418">
                    <c:v>19,9</c:v>
                  </c:pt>
                  <c:pt idx="419">
                    <c:v>9,9</c:v>
                  </c:pt>
                  <c:pt idx="420">
                    <c:v>17,9</c:v>
                  </c:pt>
                  <c:pt idx="421">
                    <c:v>8,9</c:v>
                  </c:pt>
                  <c:pt idx="422">
                    <c:v>164</c:v>
                  </c:pt>
                  <c:pt idx="423">
                    <c:v>99</c:v>
                  </c:pt>
                  <c:pt idx="424">
                    <c:v>1500</c:v>
                  </c:pt>
                  <c:pt idx="425">
                    <c:v>3200</c:v>
                  </c:pt>
                  <c:pt idx="426">
                    <c:v>3000</c:v>
                  </c:pt>
                  <c:pt idx="427">
                    <c:v>2500</c:v>
                  </c:pt>
                  <c:pt idx="428">
                    <c:v>92</c:v>
                  </c:pt>
                  <c:pt idx="429">
                    <c:v>91</c:v>
                  </c:pt>
                  <c:pt idx="430">
                    <c:v>147</c:v>
                  </c:pt>
                  <c:pt idx="431">
                    <c:v>158</c:v>
                  </c:pt>
                  <c:pt idx="432">
                    <c:v>73</c:v>
                  </c:pt>
                  <c:pt idx="433">
                    <c:v>324</c:v>
                  </c:pt>
                  <c:pt idx="434">
                    <c:v>183</c:v>
                  </c:pt>
                  <c:pt idx="435">
                    <c:v>176</c:v>
                  </c:pt>
                  <c:pt idx="436">
                    <c:v>220</c:v>
                  </c:pt>
                  <c:pt idx="437">
                    <c:v>305</c:v>
                  </c:pt>
                  <c:pt idx="438">
                    <c:v>254</c:v>
                  </c:pt>
                  <c:pt idx="439">
                    <c:v>47,5</c:v>
                  </c:pt>
                  <c:pt idx="440">
                    <c:v>217</c:v>
                  </c:pt>
                  <c:pt idx="441">
                    <c:v>243</c:v>
                  </c:pt>
                  <c:pt idx="442">
                    <c:v>139,5</c:v>
                  </c:pt>
                  <c:pt idx="443">
                    <c:v>46</c:v>
                  </c:pt>
                  <c:pt idx="444">
                    <c:v>155</c:v>
                  </c:pt>
                  <c:pt idx="445">
                    <c:v>331</c:v>
                  </c:pt>
                  <c:pt idx="446">
                    <c:v>224</c:v>
                  </c:pt>
                  <c:pt idx="447">
                    <c:v>163</c:v>
                  </c:pt>
                  <c:pt idx="448">
                    <c:v>295</c:v>
                  </c:pt>
                  <c:pt idx="449">
                    <c:v>209</c:v>
                  </c:pt>
                  <c:pt idx="450">
                    <c:v>49</c:v>
                  </c:pt>
                  <c:pt idx="451">
                    <c:v>169</c:v>
                  </c:pt>
                  <c:pt idx="452">
                    <c:v>84,31</c:v>
                  </c:pt>
                  <c:pt idx="453">
                    <c:v>172,13</c:v>
                  </c:pt>
                  <c:pt idx="454">
                    <c:v>240</c:v>
                  </c:pt>
                  <c:pt idx="455">
                    <c:v>517</c:v>
                  </c:pt>
                  <c:pt idx="456">
                    <c:v>285</c:v>
                  </c:pt>
                  <c:pt idx="457">
                    <c:v>158</c:v>
                  </c:pt>
                  <c:pt idx="458">
                    <c:v>63,21</c:v>
                  </c:pt>
                  <c:pt idx="459">
                    <c:v>435</c:v>
                  </c:pt>
                  <c:pt idx="460">
                    <c:v>100,56</c:v>
                  </c:pt>
                  <c:pt idx="461">
                    <c:v>0</c:v>
                  </c:pt>
                  <c:pt idx="462">
                    <c:v>165</c:v>
                  </c:pt>
                  <c:pt idx="463">
                    <c:v>108,13</c:v>
                  </c:pt>
                  <c:pt idx="464">
                    <c:v>128,78</c:v>
                  </c:pt>
                  <c:pt idx="465">
                    <c:v>121,87</c:v>
                  </c:pt>
                  <c:pt idx="466">
                    <c:v>205,01</c:v>
                  </c:pt>
                  <c:pt idx="467">
                    <c:v>1572</c:v>
                  </c:pt>
                  <c:pt idx="468">
                    <c:v>896</c:v>
                  </c:pt>
                  <c:pt idx="469">
                    <c:v>650</c:v>
                  </c:pt>
                  <c:pt idx="470">
                    <c:v>444</c:v>
                  </c:pt>
                  <c:pt idx="471">
                    <c:v>896</c:v>
                  </c:pt>
                  <c:pt idx="472">
                    <c:v>734</c:v>
                  </c:pt>
                  <c:pt idx="473">
                    <c:v>885</c:v>
                  </c:pt>
                  <c:pt idx="474">
                    <c:v>377</c:v>
                  </c:pt>
                  <c:pt idx="475">
                    <c:v>203,38</c:v>
                  </c:pt>
                  <c:pt idx="476">
                    <c:v>105</c:v>
                  </c:pt>
                  <c:pt idx="477">
                    <c:v>1350</c:v>
                  </c:pt>
                  <c:pt idx="478">
                    <c:v>65,01</c:v>
                  </c:pt>
                  <c:pt idx="479">
                    <c:v>56</c:v>
                  </c:pt>
                  <c:pt idx="480">
                    <c:v>29,9</c:v>
                  </c:pt>
                  <c:pt idx="481">
                    <c:v>240</c:v>
                  </c:pt>
                  <c:pt idx="482">
                    <c:v>1107</c:v>
                  </c:pt>
                  <c:pt idx="483">
                    <c:v>73,5</c:v>
                  </c:pt>
                  <c:pt idx="484">
                    <c:v>370</c:v>
                  </c:pt>
                  <c:pt idx="485">
                    <c:v>150</c:v>
                  </c:pt>
                  <c:pt idx="486">
                    <c:v>59</c:v>
                  </c:pt>
                  <c:pt idx="487">
                    <c:v>59</c:v>
                  </c:pt>
                  <c:pt idx="488">
                    <c:v>102</c:v>
                  </c:pt>
                  <c:pt idx="489">
                    <c:v>157</c:v>
                  </c:pt>
                  <c:pt idx="490">
                    <c:v>730</c:v>
                  </c:pt>
                  <c:pt idx="491">
                    <c:v>102</c:v>
                  </c:pt>
                  <c:pt idx="492">
                    <c:v>310</c:v>
                  </c:pt>
                  <c:pt idx="493">
                    <c:v>233,89</c:v>
                  </c:pt>
                  <c:pt idx="495">
                    <c:v>143,82</c:v>
                  </c:pt>
                  <c:pt idx="496">
                    <c:v>141,75</c:v>
                  </c:pt>
                  <c:pt idx="497">
                    <c:v>194</c:v>
                  </c:pt>
                  <c:pt idx="498">
                    <c:v>120,27</c:v>
                  </c:pt>
                  <c:pt idx="499">
                    <c:v>133</c:v>
                  </c:pt>
                  <c:pt idx="500">
                    <c:v>138,65</c:v>
                  </c:pt>
                  <c:pt idx="501">
                    <c:v>135</c:v>
                  </c:pt>
                  <c:pt idx="502">
                    <c:v>92</c:v>
                  </c:pt>
                  <c:pt idx="503">
                    <c:v>12</c:v>
                  </c:pt>
                  <c:pt idx="504">
                    <c:v>23,88</c:v>
                  </c:pt>
                  <c:pt idx="505">
                    <c:v>125</c:v>
                  </c:pt>
                  <c:pt idx="506">
                    <c:v>179,9</c:v>
                  </c:pt>
                  <c:pt idx="507">
                    <c:v>179,9</c:v>
                  </c:pt>
                  <c:pt idx="508">
                    <c:v>79,9</c:v>
                  </c:pt>
                  <c:pt idx="509">
                    <c:v>94</c:v>
                  </c:pt>
                  <c:pt idx="510">
                    <c:v>265</c:v>
                  </c:pt>
                  <c:pt idx="511">
                    <c:v>235,27</c:v>
                  </c:pt>
                  <c:pt idx="512">
                    <c:v>124</c:v>
                  </c:pt>
                  <c:pt idx="513">
                    <c:v>50</c:v>
                  </c:pt>
                  <c:pt idx="514">
                    <c:v>472</c:v>
                  </c:pt>
                  <c:pt idx="515">
                    <c:v>472</c:v>
                  </c:pt>
                  <c:pt idx="516">
                    <c:v>137,86</c:v>
                  </c:pt>
                  <c:pt idx="517">
                    <c:v>102,92</c:v>
                  </c:pt>
                  <c:pt idx="518">
                    <c:v>202,5</c:v>
                  </c:pt>
                  <c:pt idx="519">
                    <c:v>165</c:v>
                  </c:pt>
                  <c:pt idx="520">
                    <c:v>112,49</c:v>
                  </c:pt>
                  <c:pt idx="521">
                    <c:v>0</c:v>
                  </c:pt>
                  <c:pt idx="522">
                    <c:v>138</c:v>
                  </c:pt>
                  <c:pt idx="524">
                    <c:v>220</c:v>
                  </c:pt>
                  <c:pt idx="525">
                    <c:v>0</c:v>
                  </c:pt>
                  <c:pt idx="526">
                    <c:v>258</c:v>
                  </c:pt>
                  <c:pt idx="527">
                    <c:v>327</c:v>
                  </c:pt>
                  <c:pt idx="528">
                    <c:v>455</c:v>
                  </c:pt>
                  <c:pt idx="529">
                    <c:v>496</c:v>
                  </c:pt>
                  <c:pt idx="530">
                    <c:v>96</c:v>
                  </c:pt>
                  <c:pt idx="531">
                    <c:v>79</c:v>
                  </c:pt>
                  <c:pt idx="532">
                    <c:v>110</c:v>
                  </c:pt>
                  <c:pt idx="534">
                    <c:v>0</c:v>
                  </c:pt>
                  <c:pt idx="535">
                    <c:v>1333,5</c:v>
                  </c:pt>
                  <c:pt idx="536">
                    <c:v>234</c:v>
                  </c:pt>
                  <c:pt idx="537">
                    <c:v>101,45</c:v>
                  </c:pt>
                  <c:pt idx="538">
                    <c:v>208,41</c:v>
                  </c:pt>
                  <c:pt idx="539">
                    <c:v>680,71</c:v>
                  </c:pt>
                  <c:pt idx="540">
                    <c:v>5,95</c:v>
                  </c:pt>
                  <c:pt idx="541">
                    <c:v>88,9</c:v>
                  </c:pt>
                  <c:pt idx="542">
                    <c:v>451</c:v>
                  </c:pt>
                  <c:pt idx="543">
                    <c:v>451</c:v>
                  </c:pt>
                  <c:pt idx="544">
                    <c:v>104</c:v>
                  </c:pt>
                  <c:pt idx="545">
                    <c:v>230</c:v>
                  </c:pt>
                  <c:pt idx="546">
                    <c:v>18,03</c:v>
                  </c:pt>
                  <c:pt idx="547">
                    <c:v>216,36</c:v>
                  </c:pt>
                  <c:pt idx="548">
                    <c:v>65</c:v>
                  </c:pt>
                  <c:pt idx="549">
                    <c:v>220</c:v>
                  </c:pt>
                  <c:pt idx="550">
                    <c:v>89</c:v>
                  </c:pt>
                  <c:pt idx="551">
                    <c:v>122</c:v>
                  </c:pt>
                  <c:pt idx="552">
                    <c:v>89</c:v>
                  </c:pt>
                  <c:pt idx="553">
                    <c:v>34</c:v>
                  </c:pt>
                  <c:pt idx="554">
                    <c:v>5,58</c:v>
                  </c:pt>
                  <c:pt idx="555">
                    <c:v>241,73</c:v>
                  </c:pt>
                  <c:pt idx="556">
                    <c:v>24,18</c:v>
                  </c:pt>
                  <c:pt idx="557">
                    <c:v>200</c:v>
                  </c:pt>
                  <c:pt idx="558">
                    <c:v>88,81</c:v>
                  </c:pt>
                  <c:pt idx="559">
                    <c:v>348</c:v>
                  </c:pt>
                  <c:pt idx="560">
                    <c:v>121</c:v>
                  </c:pt>
                  <c:pt idx="561">
                    <c:v>45</c:v>
                  </c:pt>
                  <c:pt idx="562">
                    <c:v>20</c:v>
                  </c:pt>
                  <c:pt idx="563">
                    <c:v>182,9</c:v>
                  </c:pt>
                  <c:pt idx="564">
                    <c:v>217</c:v>
                  </c:pt>
                  <c:pt idx="565">
                    <c:v>167</c:v>
                  </c:pt>
                  <c:pt idx="566">
                    <c:v>210</c:v>
                  </c:pt>
                  <c:pt idx="567">
                    <c:v>130</c:v>
                  </c:pt>
                  <c:pt idx="568">
                    <c:v>124</c:v>
                  </c:pt>
                  <c:pt idx="569">
                    <c:v>119</c:v>
                  </c:pt>
                  <c:pt idx="570">
                    <c:v>123</c:v>
                  </c:pt>
                  <c:pt idx="571">
                    <c:v>149,9</c:v>
                  </c:pt>
                  <c:pt idx="572">
                    <c:v>0</c:v>
                  </c:pt>
                  <c:pt idx="573">
                    <c:v>590</c:v>
                  </c:pt>
                  <c:pt idx="575">
                    <c:v>227</c:v>
                  </c:pt>
                  <c:pt idx="576">
                    <c:v>153</c:v>
                  </c:pt>
                  <c:pt idx="577">
                    <c:v>199</c:v>
                  </c:pt>
                  <c:pt idx="579">
                    <c:v>400,21</c:v>
                  </c:pt>
                  <c:pt idx="580">
                    <c:v>227,19</c:v>
                  </c:pt>
                  <c:pt idx="582">
                    <c:v>53</c:v>
                  </c:pt>
                  <c:pt idx="583">
                    <c:v>336</c:v>
                  </c:pt>
                  <c:pt idx="584">
                    <c:v>694</c:v>
                  </c:pt>
                  <c:pt idx="585">
                    <c:v>18</c:v>
                  </c:pt>
                  <c:pt idx="586">
                    <c:v>3,9</c:v>
                  </c:pt>
                  <c:pt idx="587">
                    <c:v>78</c:v>
                  </c:pt>
                  <c:pt idx="588">
                    <c:v>78,68</c:v>
                  </c:pt>
                  <c:pt idx="589">
                    <c:v>118</c:v>
                  </c:pt>
                  <c:pt idx="591">
                    <c:v>140</c:v>
                  </c:pt>
                  <c:pt idx="592">
                    <c:v>740</c:v>
                  </c:pt>
                  <c:pt idx="593">
                    <c:v>83,31</c:v>
                  </c:pt>
                  <c:pt idx="594">
                    <c:v>41,4</c:v>
                  </c:pt>
                  <c:pt idx="595">
                    <c:v>31</c:v>
                  </c:pt>
                  <c:pt idx="597">
                    <c:v>16</c:v>
                  </c:pt>
                  <c:pt idx="599">
                    <c:v>69</c:v>
                  </c:pt>
                  <c:pt idx="600">
                    <c:v>1856</c:v>
                  </c:pt>
                  <c:pt idx="601">
                    <c:v>96</c:v>
                  </c:pt>
                  <c:pt idx="602">
                    <c:v>2400</c:v>
                  </c:pt>
                  <c:pt idx="603">
                    <c:v>172</c:v>
                  </c:pt>
                  <c:pt idx="604">
                    <c:v>20</c:v>
                  </c:pt>
                  <c:pt idx="605">
                    <c:v>68</c:v>
                  </c:pt>
                  <c:pt idx="606">
                    <c:v>73</c:v>
                  </c:pt>
                  <c:pt idx="607">
                    <c:v>86</c:v>
                  </c:pt>
                  <c:pt idx="608">
                    <c:v>62</c:v>
                  </c:pt>
                  <c:pt idx="609">
                    <c:v>77</c:v>
                  </c:pt>
                  <c:pt idx="610">
                    <c:v>97</c:v>
                  </c:pt>
                  <c:pt idx="611">
                    <c:v>69</c:v>
                  </c:pt>
                  <c:pt idx="612">
                    <c:v>68</c:v>
                  </c:pt>
                  <c:pt idx="613">
                    <c:v>95</c:v>
                  </c:pt>
                  <c:pt idx="614">
                    <c:v>473</c:v>
                  </c:pt>
                  <c:pt idx="615">
                    <c:v>111</c:v>
                  </c:pt>
                  <c:pt idx="616">
                    <c:v>48</c:v>
                  </c:pt>
                  <c:pt idx="617">
                    <c:v>128</c:v>
                  </c:pt>
                  <c:pt idx="618">
                    <c:v>150</c:v>
                  </c:pt>
                  <c:pt idx="619">
                    <c:v>765</c:v>
                  </c:pt>
                  <c:pt idx="620">
                    <c:v>294</c:v>
                  </c:pt>
                  <c:pt idx="621">
                    <c:v>220,86</c:v>
                  </c:pt>
                  <c:pt idx="622">
                    <c:v>191,6</c:v>
                  </c:pt>
                  <c:pt idx="623">
                    <c:v>231</c:v>
                  </c:pt>
                  <c:pt idx="624">
                    <c:v>477,09</c:v>
                  </c:pt>
                  <c:pt idx="625">
                    <c:v>418</c:v>
                  </c:pt>
                  <c:pt idx="626">
                    <c:v>312</c:v>
                  </c:pt>
                  <c:pt idx="627">
                    <c:v>331,5</c:v>
                  </c:pt>
                  <c:pt idx="628">
                    <c:v>379,76</c:v>
                  </c:pt>
                  <c:pt idx="629">
                    <c:v>351,48</c:v>
                  </c:pt>
                  <c:pt idx="630">
                    <c:v>307,04</c:v>
                  </c:pt>
                  <c:pt idx="631">
                    <c:v>765</c:v>
                  </c:pt>
                  <c:pt idx="632">
                    <c:v>411,12</c:v>
                  </c:pt>
                  <c:pt idx="633">
                    <c:v>159,6</c:v>
                  </c:pt>
                  <c:pt idx="634">
                    <c:v>1045</c:v>
                  </c:pt>
                  <c:pt idx="635">
                    <c:v>92</c:v>
                  </c:pt>
                  <c:pt idx="636">
                    <c:v>56</c:v>
                  </c:pt>
                  <c:pt idx="637">
                    <c:v>19,8</c:v>
                  </c:pt>
                  <c:pt idx="638">
                    <c:v>39,9</c:v>
                  </c:pt>
                  <c:pt idx="639">
                    <c:v>9,08</c:v>
                  </c:pt>
                  <c:pt idx="640">
                    <c:v>30</c:v>
                  </c:pt>
                  <c:pt idx="641">
                    <c:v>89,9</c:v>
                  </c:pt>
                  <c:pt idx="642">
                    <c:v>139,9</c:v>
                  </c:pt>
                  <c:pt idx="643">
                    <c:v>29,9</c:v>
                  </c:pt>
                  <c:pt idx="644">
                    <c:v>99,9</c:v>
                  </c:pt>
                  <c:pt idx="645">
                    <c:v>43</c:v>
                  </c:pt>
                  <c:pt idx="646">
                    <c:v>189</c:v>
                  </c:pt>
                  <c:pt idx="647">
                    <c:v>99,9</c:v>
                  </c:pt>
                  <c:pt idx="648">
                    <c:v>69</c:v>
                  </c:pt>
                  <c:pt idx="649">
                    <c:v>99</c:v>
                  </c:pt>
                  <c:pt idx="650">
                    <c:v>79</c:v>
                  </c:pt>
                  <c:pt idx="651">
                    <c:v>152</c:v>
                  </c:pt>
                  <c:pt idx="652">
                    <c:v>119,9</c:v>
                  </c:pt>
                  <c:pt idx="653">
                    <c:v>189,9</c:v>
                  </c:pt>
                  <c:pt idx="654">
                    <c:v>79,9</c:v>
                  </c:pt>
                  <c:pt idx="655">
                    <c:v>75</c:v>
                  </c:pt>
                  <c:pt idx="656">
                    <c:v>164</c:v>
                  </c:pt>
                  <c:pt idx="657">
                    <c:v>260</c:v>
                  </c:pt>
                  <c:pt idx="658">
                    <c:v>160</c:v>
                  </c:pt>
                  <c:pt idx="659">
                    <c:v>16</c:v>
                  </c:pt>
                  <c:pt idx="660">
                    <c:v>135</c:v>
                  </c:pt>
                  <c:pt idx="661">
                    <c:v>120</c:v>
                  </c:pt>
                  <c:pt idx="662">
                    <c:v>135</c:v>
                  </c:pt>
                  <c:pt idx="663">
                    <c:v>249</c:v>
                  </c:pt>
                  <c:pt idx="664">
                    <c:v>159</c:v>
                  </c:pt>
                  <c:pt idx="665">
                    <c:v>110</c:v>
                  </c:pt>
                  <c:pt idx="666">
                    <c:v>14,9</c:v>
                  </c:pt>
                  <c:pt idx="667">
                    <c:v>9</c:v>
                  </c:pt>
                  <c:pt idx="668">
                    <c:v>9,8</c:v>
                  </c:pt>
                  <c:pt idx="670">
                    <c:v>429,9</c:v>
                  </c:pt>
                  <c:pt idx="671">
                    <c:v>179,9</c:v>
                  </c:pt>
                  <c:pt idx="672">
                    <c:v>316,8</c:v>
                  </c:pt>
                  <c:pt idx="673">
                    <c:v>1592</c:v>
                  </c:pt>
                  <c:pt idx="674">
                    <c:v>254</c:v>
                  </c:pt>
                  <c:pt idx="675">
                    <c:v>2150</c:v>
                  </c:pt>
                  <c:pt idx="676">
                    <c:v>215</c:v>
                  </c:pt>
                  <c:pt idx="677">
                    <c:v>158</c:v>
                  </c:pt>
                  <c:pt idx="678">
                    <c:v>23</c:v>
                  </c:pt>
                  <c:pt idx="679">
                    <c:v>1639,21</c:v>
                  </c:pt>
                  <c:pt idx="680">
                    <c:v>350</c:v>
                  </c:pt>
                  <c:pt idx="681">
                    <c:v>1445</c:v>
                  </c:pt>
                  <c:pt idx="682">
                    <c:v>96</c:v>
                  </c:pt>
                  <c:pt idx="683">
                    <c:v>2422,82</c:v>
                  </c:pt>
                  <c:pt idx="684">
                    <c:v>48,46</c:v>
                  </c:pt>
                  <c:pt idx="685">
                    <c:v>833</c:v>
                  </c:pt>
                  <c:pt idx="686">
                    <c:v>59,57</c:v>
                  </c:pt>
                  <c:pt idx="687">
                    <c:v>46,64</c:v>
                  </c:pt>
                  <c:pt idx="688">
                    <c:v>60</c:v>
                  </c:pt>
                  <c:pt idx="689">
                    <c:v>81</c:v>
                  </c:pt>
                  <c:pt idx="690">
                    <c:v>76,38</c:v>
                  </c:pt>
                  <c:pt idx="691">
                    <c:v>1960</c:v>
                  </c:pt>
                  <c:pt idx="692">
                    <c:v>2291,44</c:v>
                  </c:pt>
                  <c:pt idx="693">
                    <c:v>96,6</c:v>
                  </c:pt>
                  <c:pt idx="694">
                    <c:v>97,54</c:v>
                  </c:pt>
                  <c:pt idx="695">
                    <c:v>157,37</c:v>
                  </c:pt>
                  <c:pt idx="696">
                    <c:v>1043,44</c:v>
                  </c:pt>
                  <c:pt idx="697">
                    <c:v>516,39</c:v>
                  </c:pt>
                  <c:pt idx="698">
                    <c:v>92,62</c:v>
                  </c:pt>
                  <c:pt idx="699">
                    <c:v>96,33</c:v>
                  </c:pt>
                  <c:pt idx="700">
                    <c:v>1445,08</c:v>
                  </c:pt>
                  <c:pt idx="701">
                    <c:v>1853,51</c:v>
                  </c:pt>
                  <c:pt idx="702">
                    <c:v>61,78</c:v>
                  </c:pt>
                  <c:pt idx="703">
                    <c:v>85,24</c:v>
                  </c:pt>
                  <c:pt idx="704">
                    <c:v>532,79</c:v>
                  </c:pt>
                  <c:pt idx="705">
                    <c:v>38,06</c:v>
                  </c:pt>
                  <c:pt idx="706">
                    <c:v>0</c:v>
                  </c:pt>
                  <c:pt idx="707">
                    <c:v>3575</c:v>
                  </c:pt>
                  <c:pt idx="708">
                    <c:v>84</c:v>
                  </c:pt>
                  <c:pt idx="709">
                    <c:v>2617,5</c:v>
                  </c:pt>
                  <c:pt idx="710">
                    <c:v>87</c:v>
                  </c:pt>
                  <c:pt idx="711">
                    <c:v>1886,25</c:v>
                  </c:pt>
                  <c:pt idx="712">
                    <c:v>94</c:v>
                  </c:pt>
                  <c:pt idx="713">
                    <c:v>541</c:v>
                  </c:pt>
                  <c:pt idx="714">
                    <c:v>1229</c:v>
                  </c:pt>
                  <c:pt idx="715">
                    <c:v>1572,3</c:v>
                  </c:pt>
                  <c:pt idx="716">
                    <c:v>78,61</c:v>
                  </c:pt>
                  <c:pt idx="717">
                    <c:v>32,92</c:v>
                  </c:pt>
                  <c:pt idx="718">
                    <c:v>73,26</c:v>
                  </c:pt>
                  <c:pt idx="719">
                    <c:v>81,96</c:v>
                  </c:pt>
                  <c:pt idx="720">
                    <c:v>1639,21</c:v>
                  </c:pt>
                  <c:pt idx="721">
                    <c:v>1465,26</c:v>
                  </c:pt>
                  <c:pt idx="722">
                    <c:v>497</c:v>
                  </c:pt>
                  <c:pt idx="723">
                    <c:v>246,82</c:v>
                  </c:pt>
                  <c:pt idx="724">
                    <c:v>2500</c:v>
                  </c:pt>
                  <c:pt idx="725">
                    <c:v>100</c:v>
                  </c:pt>
                  <c:pt idx="726">
                    <c:v>1400</c:v>
                  </c:pt>
                  <c:pt idx="727">
                    <c:v>70</c:v>
                  </c:pt>
                  <c:pt idx="728">
                    <c:v>0</c:v>
                  </c:pt>
                  <c:pt idx="730">
                    <c:v>2640</c:v>
                  </c:pt>
                  <c:pt idx="731">
                    <c:v>132</c:v>
                  </c:pt>
                  <c:pt idx="732">
                    <c:v>50</c:v>
                  </c:pt>
                  <c:pt idx="733">
                    <c:v>214</c:v>
                  </c:pt>
                  <c:pt idx="734">
                    <c:v>251,57</c:v>
                  </c:pt>
                  <c:pt idx="735">
                    <c:v>630</c:v>
                  </c:pt>
                  <c:pt idx="736">
                    <c:v>56</c:v>
                  </c:pt>
                  <c:pt idx="737">
                    <c:v>29,9</c:v>
                  </c:pt>
                  <c:pt idx="738">
                    <c:v>79,9</c:v>
                  </c:pt>
                  <c:pt idx="739">
                    <c:v>109</c:v>
                  </c:pt>
                  <c:pt idx="740">
                    <c:v>99</c:v>
                  </c:pt>
                  <c:pt idx="741">
                    <c:v>148</c:v>
                  </c:pt>
                  <c:pt idx="742">
                    <c:v>33</c:v>
                  </c:pt>
                  <c:pt idx="743">
                    <c:v>90</c:v>
                  </c:pt>
                  <c:pt idx="744">
                    <c:v>99,9</c:v>
                  </c:pt>
                  <c:pt idx="747">
                    <c:v>269,9</c:v>
                  </c:pt>
                  <c:pt idx="748">
                    <c:v>269,9</c:v>
                  </c:pt>
                  <c:pt idx="749">
                    <c:v>265</c:v>
                  </c:pt>
                  <c:pt idx="750">
                    <c:v>170</c:v>
                  </c:pt>
                  <c:pt idx="751">
                    <c:v>0</c:v>
                  </c:pt>
                  <c:pt idx="754">
                    <c:v>0</c:v>
                  </c:pt>
                  <c:pt idx="755">
                    <c:v>229,28</c:v>
                  </c:pt>
                  <c:pt idx="756">
                    <c:v>122,55</c:v>
                  </c:pt>
                  <c:pt idx="757">
                    <c:v>2451</c:v>
                  </c:pt>
                  <c:pt idx="758">
                    <c:v>89,9</c:v>
                  </c:pt>
                  <c:pt idx="759">
                    <c:v>79,9</c:v>
                  </c:pt>
                  <c:pt idx="760">
                    <c:v>25</c:v>
                  </c:pt>
                  <c:pt idx="761">
                    <c:v>0</c:v>
                  </c:pt>
                  <c:pt idx="762">
                    <c:v>0</c:v>
                  </c:pt>
                  <c:pt idx="763">
                    <c:v>15</c:v>
                  </c:pt>
                  <c:pt idx="764">
                    <c:v>79</c:v>
                  </c:pt>
                  <c:pt idx="765">
                    <c:v>2,1</c:v>
                  </c:pt>
                  <c:pt idx="766">
                    <c:v>2,3</c:v>
                  </c:pt>
                  <c:pt idx="767">
                    <c:v>0</c:v>
                  </c:pt>
                  <c:pt idx="768">
                    <c:v>1</c:v>
                  </c:pt>
                  <c:pt idx="769">
                    <c:v>0</c:v>
                  </c:pt>
                  <c:pt idx="770">
                    <c:v>164,8</c:v>
                  </c:pt>
                  <c:pt idx="771">
                    <c:v>98,12</c:v>
                  </c:pt>
                  <c:pt idx="772">
                    <c:v>184,95</c:v>
                  </c:pt>
                  <c:pt idx="773">
                    <c:v>0</c:v>
                  </c:pt>
                  <c:pt idx="774">
                    <c:v>105,49</c:v>
                  </c:pt>
                  <c:pt idx="775">
                    <c:v>39</c:v>
                  </c:pt>
                  <c:pt idx="776">
                    <c:v>122,67</c:v>
                  </c:pt>
                  <c:pt idx="777">
                    <c:v>26,72</c:v>
                  </c:pt>
                  <c:pt idx="778">
                    <c:v>26,15</c:v>
                  </c:pt>
                  <c:pt idx="779">
                    <c:v>1600</c:v>
                  </c:pt>
                  <c:pt idx="780">
                    <c:v>130</c:v>
                  </c:pt>
                  <c:pt idx="781">
                    <c:v>35</c:v>
                  </c:pt>
                  <c:pt idx="782">
                    <c:v>104</c:v>
                  </c:pt>
                  <c:pt idx="783">
                    <c:v>125</c:v>
                  </c:pt>
                  <c:pt idx="784">
                    <c:v>98</c:v>
                  </c:pt>
                  <c:pt idx="785">
                    <c:v>210</c:v>
                  </c:pt>
                  <c:pt idx="786">
                    <c:v>112,48</c:v>
                  </c:pt>
                  <c:pt idx="787">
                    <c:v>78,68</c:v>
                  </c:pt>
                  <c:pt idx="788">
                    <c:v>51</c:v>
                  </c:pt>
                  <c:pt idx="789">
                    <c:v>699</c:v>
                  </c:pt>
                  <c:pt idx="790">
                    <c:v>819</c:v>
                  </c:pt>
                  <c:pt idx="791">
                    <c:v>779</c:v>
                  </c:pt>
                  <c:pt idx="792">
                    <c:v>175</c:v>
                  </c:pt>
                  <c:pt idx="793">
                    <c:v>167</c:v>
                  </c:pt>
                  <c:pt idx="794">
                    <c:v>6,96</c:v>
                  </c:pt>
                  <c:pt idx="796">
                    <c:v>897</c:v>
                  </c:pt>
                  <c:pt idx="797">
                    <c:v>175</c:v>
                  </c:pt>
                  <c:pt idx="798">
                    <c:v>80,5</c:v>
                  </c:pt>
                  <c:pt idx="799">
                    <c:v>162</c:v>
                  </c:pt>
                  <c:pt idx="800">
                    <c:v>123,68</c:v>
                  </c:pt>
                  <c:pt idx="801">
                    <c:v>84</c:v>
                  </c:pt>
                  <c:pt idx="802">
                    <c:v>310</c:v>
                  </c:pt>
                  <c:pt idx="803">
                    <c:v>560</c:v>
                  </c:pt>
                  <c:pt idx="804">
                    <c:v>3700</c:v>
                  </c:pt>
                  <c:pt idx="805">
                    <c:v>265</c:v>
                  </c:pt>
                  <c:pt idx="806">
                    <c:v>91</c:v>
                  </c:pt>
                  <c:pt idx="807">
                    <c:v>115</c:v>
                  </c:pt>
                  <c:pt idx="808">
                    <c:v>155</c:v>
                  </c:pt>
                  <c:pt idx="809">
                    <c:v>220</c:v>
                  </c:pt>
                  <c:pt idx="810">
                    <c:v>250</c:v>
                  </c:pt>
                  <c:pt idx="811">
                    <c:v>128,14</c:v>
                  </c:pt>
                  <c:pt idx="812">
                    <c:v>662,18</c:v>
                  </c:pt>
                  <c:pt idx="813">
                    <c:v>149</c:v>
                  </c:pt>
                  <c:pt idx="814">
                    <c:v>74</c:v>
                  </c:pt>
                  <c:pt idx="815">
                    <c:v>133</c:v>
                  </c:pt>
                  <c:pt idx="816">
                    <c:v>164</c:v>
                  </c:pt>
                  <c:pt idx="817">
                    <c:v>194</c:v>
                  </c:pt>
                  <c:pt idx="818">
                    <c:v>431</c:v>
                  </c:pt>
                  <c:pt idx="819">
                    <c:v>121,14</c:v>
                  </c:pt>
                  <c:pt idx="820">
                    <c:v>50,66</c:v>
                  </c:pt>
                  <c:pt idx="821">
                    <c:v>60</c:v>
                  </c:pt>
                  <c:pt idx="822">
                    <c:v>113</c:v>
                  </c:pt>
                  <c:pt idx="823">
                    <c:v>75</c:v>
                  </c:pt>
                  <c:pt idx="824">
                    <c:v>85</c:v>
                  </c:pt>
                  <c:pt idx="825">
                    <c:v>95</c:v>
                  </c:pt>
                  <c:pt idx="826">
                    <c:v>120</c:v>
                  </c:pt>
                  <c:pt idx="827">
                    <c:v>300</c:v>
                  </c:pt>
                  <c:pt idx="828">
                    <c:v>1653</c:v>
                  </c:pt>
                  <c:pt idx="829">
                    <c:v>94</c:v>
                  </c:pt>
                  <c:pt idx="830">
                    <c:v>175</c:v>
                  </c:pt>
                  <c:pt idx="831">
                    <c:v>184</c:v>
                  </c:pt>
                  <c:pt idx="832">
                    <c:v>1600</c:v>
                  </c:pt>
                  <c:pt idx="833">
                    <c:v>147</c:v>
                  </c:pt>
                  <c:pt idx="834">
                    <c:v>218</c:v>
                  </c:pt>
                  <c:pt idx="835">
                    <c:v>328</c:v>
                  </c:pt>
                  <c:pt idx="836">
                    <c:v>670</c:v>
                  </c:pt>
                  <c:pt idx="837">
                    <c:v>320</c:v>
                  </c:pt>
                  <c:pt idx="838">
                    <c:v>93</c:v>
                  </c:pt>
                  <c:pt idx="839">
                    <c:v>150</c:v>
                  </c:pt>
                  <c:pt idx="840">
                    <c:v>91</c:v>
                  </c:pt>
                  <c:pt idx="841">
                    <c:v>123</c:v>
                  </c:pt>
                  <c:pt idx="842">
                    <c:v>662,94</c:v>
                  </c:pt>
                  <c:pt idx="843">
                    <c:v>1636</c:v>
                  </c:pt>
                  <c:pt idx="844">
                    <c:v>2454</c:v>
                  </c:pt>
                  <c:pt idx="845">
                    <c:v>1104</c:v>
                  </c:pt>
                  <c:pt idx="846">
                    <c:v>1075,31</c:v>
                  </c:pt>
                  <c:pt idx="847">
                    <c:v>418,43</c:v>
                  </c:pt>
                  <c:pt idx="848">
                    <c:v>731,97</c:v>
                  </c:pt>
                  <c:pt idx="849">
                    <c:v>290</c:v>
                  </c:pt>
                  <c:pt idx="850">
                    <c:v>680</c:v>
                  </c:pt>
                  <c:pt idx="851">
                    <c:v>1900</c:v>
                  </c:pt>
                  <c:pt idx="852">
                    <c:v>1300</c:v>
                  </c:pt>
                  <c:pt idx="853">
                    <c:v>430</c:v>
                  </c:pt>
                  <c:pt idx="854">
                    <c:v>1774,33</c:v>
                  </c:pt>
                  <c:pt idx="855">
                    <c:v>1774,33</c:v>
                  </c:pt>
                  <c:pt idx="856">
                    <c:v>2788,35</c:v>
                  </c:pt>
                  <c:pt idx="857">
                    <c:v>428,06</c:v>
                  </c:pt>
                  <c:pt idx="858">
                    <c:v>400</c:v>
                  </c:pt>
                  <c:pt idx="859">
                    <c:v>1245,97</c:v>
                  </c:pt>
                  <c:pt idx="860">
                    <c:v>430</c:v>
                  </c:pt>
                  <c:pt idx="861">
                    <c:v>430</c:v>
                  </c:pt>
                  <c:pt idx="862">
                    <c:v>1700</c:v>
                  </c:pt>
                  <c:pt idx="863">
                    <c:v>205,7</c:v>
                  </c:pt>
                  <c:pt idx="864">
                    <c:v>178,42</c:v>
                  </c:pt>
                  <c:pt idx="865">
                    <c:v>198</c:v>
                  </c:pt>
                  <c:pt idx="866">
                    <c:v>288</c:v>
                  </c:pt>
                  <c:pt idx="867">
                    <c:v>146,68</c:v>
                  </c:pt>
                  <c:pt idx="868">
                    <c:v>139</c:v>
                  </c:pt>
                  <c:pt idx="869">
                    <c:v>528,05</c:v>
                  </c:pt>
                  <c:pt idx="870">
                    <c:v>119</c:v>
                  </c:pt>
                  <c:pt idx="871">
                    <c:v>128,52</c:v>
                  </c:pt>
                  <c:pt idx="872">
                    <c:v>117</c:v>
                  </c:pt>
                  <c:pt idx="873">
                    <c:v>1452</c:v>
                  </c:pt>
                  <c:pt idx="874">
                    <c:v>1980</c:v>
                  </c:pt>
                  <c:pt idx="875">
                    <c:v>1650</c:v>
                  </c:pt>
                  <c:pt idx="876">
                    <c:v>132,7</c:v>
                  </c:pt>
                  <c:pt idx="877">
                    <c:v>141</c:v>
                  </c:pt>
                  <c:pt idx="878">
                    <c:v>87</c:v>
                  </c:pt>
                  <c:pt idx="879">
                    <c:v>132,67</c:v>
                  </c:pt>
                  <c:pt idx="880">
                    <c:v>75</c:v>
                  </c:pt>
                  <c:pt idx="881">
                    <c:v>119</c:v>
                  </c:pt>
                  <c:pt idx="882">
                    <c:v>10,19</c:v>
                  </c:pt>
                  <c:pt idx="883">
                    <c:v>10,19</c:v>
                  </c:pt>
                  <c:pt idx="884">
                    <c:v>114</c:v>
                  </c:pt>
                  <c:pt idx="885">
                    <c:v>227</c:v>
                  </c:pt>
                  <c:pt idx="886">
                    <c:v>129</c:v>
                  </c:pt>
                  <c:pt idx="887">
                    <c:v>102</c:v>
                  </c:pt>
                  <c:pt idx="888">
                    <c:v>88</c:v>
                  </c:pt>
                  <c:pt idx="889">
                    <c:v>140</c:v>
                  </c:pt>
                  <c:pt idx="890">
                    <c:v>59</c:v>
                  </c:pt>
                  <c:pt idx="891">
                    <c:v>81</c:v>
                  </c:pt>
                  <c:pt idx="892">
                    <c:v>58</c:v>
                  </c:pt>
                  <c:pt idx="893">
                    <c:v>90</c:v>
                  </c:pt>
                  <c:pt idx="894">
                    <c:v>99,9</c:v>
                  </c:pt>
                  <c:pt idx="895">
                    <c:v>124</c:v>
                  </c:pt>
                  <c:pt idx="896">
                    <c:v>48</c:v>
                  </c:pt>
                  <c:pt idx="897">
                    <c:v>97</c:v>
                  </c:pt>
                  <c:pt idx="898">
                    <c:v>50</c:v>
                  </c:pt>
                  <c:pt idx="899">
                    <c:v>46</c:v>
                  </c:pt>
                  <c:pt idx="900">
                    <c:v>94</c:v>
                  </c:pt>
                  <c:pt idx="901">
                    <c:v>67</c:v>
                  </c:pt>
                  <c:pt idx="902">
                    <c:v>69,09</c:v>
                  </c:pt>
                  <c:pt idx="903">
                    <c:v>99</c:v>
                  </c:pt>
                  <c:pt idx="904">
                    <c:v>48</c:v>
                  </c:pt>
                  <c:pt idx="905">
                    <c:v>178,5</c:v>
                  </c:pt>
                  <c:pt idx="906">
                    <c:v>278</c:v>
                  </c:pt>
                  <c:pt idx="907">
                    <c:v>140</c:v>
                  </c:pt>
                  <c:pt idx="908">
                    <c:v>100</c:v>
                  </c:pt>
                  <c:pt idx="909">
                    <c:v>17</c:v>
                  </c:pt>
                  <c:pt idx="910">
                    <c:v>1046,81</c:v>
                  </c:pt>
                  <c:pt idx="911">
                    <c:v>67,78</c:v>
                  </c:pt>
                  <c:pt idx="912">
                    <c:v>10</c:v>
                  </c:pt>
                  <c:pt idx="913">
                    <c:v>492</c:v>
                  </c:pt>
                  <c:pt idx="914">
                    <c:v>620,45</c:v>
                  </c:pt>
                  <c:pt idx="915">
                    <c:v>574</c:v>
                  </c:pt>
                  <c:pt idx="916">
                    <c:v>397</c:v>
                  </c:pt>
                  <c:pt idx="917">
                    <c:v>456</c:v>
                  </c:pt>
                  <c:pt idx="918">
                    <c:v>110</c:v>
                  </c:pt>
                  <c:pt idx="919">
                    <c:v>95</c:v>
                  </c:pt>
                  <c:pt idx="920">
                    <c:v>29,9</c:v>
                  </c:pt>
                  <c:pt idx="922">
                    <c:v>39,8</c:v>
                  </c:pt>
                  <c:pt idx="923">
                    <c:v>49,9</c:v>
                  </c:pt>
                  <c:pt idx="924">
                    <c:v>69,9</c:v>
                  </c:pt>
                  <c:pt idx="925">
                    <c:v>29,9</c:v>
                  </c:pt>
                  <c:pt idx="926">
                    <c:v>41</c:v>
                  </c:pt>
                  <c:pt idx="927">
                    <c:v>129</c:v>
                  </c:pt>
                  <c:pt idx="928">
                    <c:v>288</c:v>
                  </c:pt>
                  <c:pt idx="929">
                    <c:v>654</c:v>
                  </c:pt>
                  <c:pt idx="930">
                    <c:v>1118</c:v>
                  </c:pt>
                  <c:pt idx="931">
                    <c:v>25</c:v>
                  </c:pt>
                  <c:pt idx="932">
                    <c:v>40</c:v>
                  </c:pt>
                  <c:pt idx="933">
                    <c:v>43</c:v>
                  </c:pt>
                  <c:pt idx="934">
                    <c:v>110</c:v>
                  </c:pt>
                  <c:pt idx="935">
                    <c:v>62</c:v>
                  </c:pt>
                  <c:pt idx="936">
                    <c:v>92</c:v>
                  </c:pt>
                  <c:pt idx="937">
                    <c:v>173</c:v>
                  </c:pt>
                  <c:pt idx="938">
                    <c:v>55</c:v>
                  </c:pt>
                  <c:pt idx="939">
                    <c:v>236</c:v>
                  </c:pt>
                  <c:pt idx="940">
                    <c:v>147</c:v>
                  </c:pt>
                  <c:pt idx="941">
                    <c:v>436</c:v>
                  </c:pt>
                  <c:pt idx="942">
                    <c:v>274</c:v>
                  </c:pt>
                  <c:pt idx="943">
                    <c:v>164</c:v>
                  </c:pt>
                  <c:pt idx="944">
                    <c:v>57</c:v>
                  </c:pt>
                  <c:pt idx="945">
                    <c:v>63</c:v>
                  </c:pt>
                  <c:pt idx="946">
                    <c:v>79</c:v>
                  </c:pt>
                  <c:pt idx="947">
                    <c:v>99</c:v>
                  </c:pt>
                  <c:pt idx="948">
                    <c:v>137</c:v>
                  </c:pt>
                  <c:pt idx="949">
                    <c:v>168</c:v>
                  </c:pt>
                  <c:pt idx="950">
                    <c:v>270</c:v>
                  </c:pt>
                  <c:pt idx="951">
                    <c:v>424</c:v>
                  </c:pt>
                  <c:pt idx="952">
                    <c:v>576</c:v>
                  </c:pt>
                  <c:pt idx="953">
                    <c:v>34</c:v>
                  </c:pt>
                  <c:pt idx="954">
                    <c:v>54</c:v>
                  </c:pt>
                  <c:pt idx="955">
                    <c:v>114</c:v>
                  </c:pt>
                  <c:pt idx="956">
                    <c:v>253</c:v>
                  </c:pt>
                  <c:pt idx="957">
                    <c:v>471</c:v>
                  </c:pt>
                  <c:pt idx="958">
                    <c:v>790</c:v>
                  </c:pt>
                  <c:pt idx="960">
                    <c:v>556</c:v>
                  </c:pt>
                  <c:pt idx="962">
                    <c:v>486</c:v>
                  </c:pt>
                  <c:pt idx="963">
                    <c:v>98</c:v>
                  </c:pt>
                  <c:pt idx="964">
                    <c:v>128</c:v>
                  </c:pt>
                  <c:pt idx="965">
                    <c:v>190</c:v>
                  </c:pt>
                  <c:pt idx="966">
                    <c:v>68</c:v>
                  </c:pt>
                  <c:pt idx="967">
                    <c:v>224</c:v>
                  </c:pt>
                  <c:pt idx="968">
                    <c:v>63</c:v>
                  </c:pt>
                  <c:pt idx="969">
                    <c:v>99</c:v>
                  </c:pt>
                  <c:pt idx="971">
                    <c:v>1185</c:v>
                  </c:pt>
                  <c:pt idx="972">
                    <c:v>1809</c:v>
                  </c:pt>
                  <c:pt idx="973">
                    <c:v>2835</c:v>
                  </c:pt>
                  <c:pt idx="974">
                    <c:v>256</c:v>
                  </c:pt>
                  <c:pt idx="975">
                    <c:v>256</c:v>
                  </c:pt>
                  <c:pt idx="976">
                    <c:v>295</c:v>
                  </c:pt>
                  <c:pt idx="977">
                    <c:v>150</c:v>
                  </c:pt>
                  <c:pt idx="978">
                    <c:v>1015</c:v>
                  </c:pt>
                  <c:pt idx="979">
                    <c:v>2300</c:v>
                  </c:pt>
                  <c:pt idx="980">
                    <c:v>537</c:v>
                  </c:pt>
                  <c:pt idx="981">
                    <c:v>897</c:v>
                  </c:pt>
                  <c:pt idx="983">
                    <c:v>110</c:v>
                  </c:pt>
                  <c:pt idx="984">
                    <c:v>13,56</c:v>
                  </c:pt>
                  <c:pt idx="985">
                    <c:v>3,32</c:v>
                  </c:pt>
                  <c:pt idx="986">
                    <c:v>814</c:v>
                  </c:pt>
                  <c:pt idx="987">
                    <c:v>624</c:v>
                  </c:pt>
                  <c:pt idx="988">
                    <c:v>1,73</c:v>
                  </c:pt>
                  <c:pt idx="989">
                    <c:v>1</c:v>
                  </c:pt>
                  <c:pt idx="990">
                    <c:v>506</c:v>
                  </c:pt>
                  <c:pt idx="991">
                    <c:v>519</c:v>
                  </c:pt>
                  <c:pt idx="992">
                    <c:v>64,6</c:v>
                  </c:pt>
                  <c:pt idx="993">
                    <c:v>79</c:v>
                  </c:pt>
                  <c:pt idx="994">
                    <c:v>67,15</c:v>
                  </c:pt>
                  <c:pt idx="995">
                    <c:v>89,26</c:v>
                  </c:pt>
                  <c:pt idx="996">
                    <c:v>76</c:v>
                  </c:pt>
                  <c:pt idx="997">
                    <c:v>52</c:v>
                  </c:pt>
                  <c:pt idx="998">
                    <c:v>75</c:v>
                  </c:pt>
                  <c:pt idx="999">
                    <c:v>130</c:v>
                  </c:pt>
                  <c:pt idx="1000">
                    <c:v>65</c:v>
                  </c:pt>
                  <c:pt idx="1001">
                    <c:v>130</c:v>
                  </c:pt>
                  <c:pt idx="1002">
                    <c:v>23</c:v>
                  </c:pt>
                  <c:pt idx="1003">
                    <c:v>487</c:v>
                  </c:pt>
                  <c:pt idx="1004">
                    <c:v>87</c:v>
                  </c:pt>
                  <c:pt idx="1005">
                    <c:v>114</c:v>
                  </c:pt>
                  <c:pt idx="1006">
                    <c:v>163</c:v>
                  </c:pt>
                  <c:pt idx="1007">
                    <c:v>245</c:v>
                  </c:pt>
                  <c:pt idx="1008">
                    <c:v>356</c:v>
                  </c:pt>
                  <c:pt idx="1009">
                    <c:v>487</c:v>
                  </c:pt>
                  <c:pt idx="1010">
                    <c:v>612</c:v>
                  </c:pt>
                  <c:pt idx="1011">
                    <c:v>375</c:v>
                  </c:pt>
                  <c:pt idx="1012">
                    <c:v>22,09</c:v>
                  </c:pt>
                  <c:pt idx="1013">
                    <c:v>824</c:v>
                  </c:pt>
                  <c:pt idx="1014">
                    <c:v>597</c:v>
                  </c:pt>
                  <c:pt idx="1015">
                    <c:v>546</c:v>
                  </c:pt>
                  <c:pt idx="1016">
                    <c:v>378</c:v>
                  </c:pt>
                  <c:pt idx="1017">
                    <c:v>726</c:v>
                  </c:pt>
                  <c:pt idx="1018">
                    <c:v>86</c:v>
                  </c:pt>
                  <c:pt idx="1019">
                    <c:v>198</c:v>
                  </c:pt>
                  <c:pt idx="1020">
                    <c:v>358</c:v>
                  </c:pt>
                  <c:pt idx="1021">
                    <c:v>555</c:v>
                  </c:pt>
                  <c:pt idx="1022">
                    <c:v>75</c:v>
                  </c:pt>
                  <c:pt idx="1023">
                    <c:v>145</c:v>
                  </c:pt>
                  <c:pt idx="1024">
                    <c:v>120</c:v>
                  </c:pt>
                  <c:pt idx="1025">
                    <c:v>140</c:v>
                  </c:pt>
                  <c:pt idx="1026">
                    <c:v>90</c:v>
                  </c:pt>
                  <c:pt idx="1027">
                    <c:v>102</c:v>
                  </c:pt>
                  <c:pt idx="1028">
                    <c:v>170</c:v>
                  </c:pt>
                  <c:pt idx="1029">
                    <c:v>234</c:v>
                  </c:pt>
                  <c:pt idx="1030">
                    <c:v>149</c:v>
                  </c:pt>
                  <c:pt idx="1031">
                    <c:v>195</c:v>
                  </c:pt>
                  <c:pt idx="1032">
                    <c:v>270</c:v>
                  </c:pt>
                  <c:pt idx="1033">
                    <c:v>62</c:v>
                  </c:pt>
                  <c:pt idx="1034">
                    <c:v>24,23</c:v>
                  </c:pt>
                  <c:pt idx="1035">
                    <c:v>45</c:v>
                  </c:pt>
                  <c:pt idx="1036">
                    <c:v>63</c:v>
                  </c:pt>
                  <c:pt idx="1037">
                    <c:v>75</c:v>
                  </c:pt>
                  <c:pt idx="1038">
                    <c:v>99</c:v>
                  </c:pt>
                  <c:pt idx="1039">
                    <c:v>137</c:v>
                  </c:pt>
                  <c:pt idx="1040">
                    <c:v>168</c:v>
                  </c:pt>
                  <c:pt idx="1041">
                    <c:v>270</c:v>
                  </c:pt>
                  <c:pt idx="1042">
                    <c:v>342</c:v>
                  </c:pt>
                  <c:pt idx="1043">
                    <c:v>424</c:v>
                  </c:pt>
                  <c:pt idx="1044">
                    <c:v>576</c:v>
                  </c:pt>
                  <c:pt idx="1045">
                    <c:v>755</c:v>
                  </c:pt>
                  <c:pt idx="1046">
                    <c:v>1185</c:v>
                  </c:pt>
                  <c:pt idx="1047">
                    <c:v>59</c:v>
                  </c:pt>
                  <c:pt idx="1048">
                    <c:v>117</c:v>
                  </c:pt>
                  <c:pt idx="1049">
                    <c:v>376</c:v>
                  </c:pt>
                  <c:pt idx="1050">
                    <c:v>10,57</c:v>
                  </c:pt>
                  <c:pt idx="1051">
                    <c:v>19,82</c:v>
                  </c:pt>
                  <c:pt idx="1052">
                    <c:v>549,9</c:v>
                  </c:pt>
                  <c:pt idx="1053">
                    <c:v>59,9</c:v>
                  </c:pt>
                  <c:pt idx="1054">
                    <c:v>19</c:v>
                  </c:pt>
                  <c:pt idx="1055">
                    <c:v>24</c:v>
                  </c:pt>
                  <c:pt idx="1056">
                    <c:v>30</c:v>
                  </c:pt>
                  <c:pt idx="1057">
                    <c:v>137</c:v>
                  </c:pt>
                  <c:pt idx="1058">
                    <c:v>83</c:v>
                  </c:pt>
                  <c:pt idx="1059">
                    <c:v>169</c:v>
                  </c:pt>
                  <c:pt idx="1060">
                    <c:v>174</c:v>
                  </c:pt>
                  <c:pt idx="1061">
                    <c:v>129</c:v>
                  </c:pt>
                  <c:pt idx="1062">
                    <c:v>94</c:v>
                  </c:pt>
                  <c:pt idx="1063">
                    <c:v>128</c:v>
                  </c:pt>
                  <c:pt idx="1064">
                    <c:v>142</c:v>
                  </c:pt>
                  <c:pt idx="1065">
                    <c:v>269</c:v>
                  </c:pt>
                  <c:pt idx="1066">
                    <c:v>173</c:v>
                  </c:pt>
                  <c:pt idx="1067">
                    <c:v>199,8</c:v>
                  </c:pt>
                  <c:pt idx="1068">
                    <c:v>257</c:v>
                  </c:pt>
                  <c:pt idx="1069">
                    <c:v>207</c:v>
                  </c:pt>
                  <c:pt idx="1070">
                    <c:v>153</c:v>
                  </c:pt>
                  <c:pt idx="1071">
                    <c:v>74</c:v>
                  </c:pt>
                  <c:pt idx="1072">
                    <c:v>130</c:v>
                  </c:pt>
                  <c:pt idx="1073">
                    <c:v>158</c:v>
                  </c:pt>
                  <c:pt idx="1074">
                    <c:v>202</c:v>
                  </c:pt>
                  <c:pt idx="1075">
                    <c:v>252</c:v>
                  </c:pt>
                  <c:pt idx="1076">
                    <c:v>278</c:v>
                  </c:pt>
                  <c:pt idx="1078">
                    <c:v>103</c:v>
                  </c:pt>
                  <c:pt idx="1079">
                    <c:v>84</c:v>
                  </c:pt>
                  <c:pt idx="1080">
                    <c:v>49</c:v>
                  </c:pt>
                  <c:pt idx="1081">
                    <c:v>104</c:v>
                  </c:pt>
                  <c:pt idx="1082">
                    <c:v>199</c:v>
                  </c:pt>
                  <c:pt idx="1083">
                    <c:v>265</c:v>
                  </c:pt>
                  <c:pt idx="1085">
                    <c:v>84</c:v>
                  </c:pt>
                  <c:pt idx="1086">
                    <c:v>86</c:v>
                  </c:pt>
                  <c:pt idx="1091">
                    <c:v>45,94</c:v>
                  </c:pt>
                  <c:pt idx="1092">
                    <c:v>230</c:v>
                  </c:pt>
                  <c:pt idx="1093">
                    <c:v>588</c:v>
                  </c:pt>
                  <c:pt idx="1094">
                    <c:v>291</c:v>
                  </c:pt>
                  <c:pt idx="1096">
                    <c:v>24,8</c:v>
                  </c:pt>
                  <c:pt idx="1097">
                    <c:v>10,88</c:v>
                  </c:pt>
                  <c:pt idx="1098">
                    <c:v>172</c:v>
                  </c:pt>
                  <c:pt idx="1099">
                    <c:v>153</c:v>
                  </c:pt>
                  <c:pt idx="1100">
                    <c:v>121</c:v>
                  </c:pt>
                  <c:pt idx="1101">
                    <c:v>154</c:v>
                  </c:pt>
                  <c:pt idx="1102">
                    <c:v>119</c:v>
                  </c:pt>
                  <c:pt idx="1103">
                    <c:v>126</c:v>
                  </c:pt>
                  <c:pt idx="1104">
                    <c:v>102</c:v>
                  </c:pt>
                  <c:pt idx="1105">
                    <c:v>216</c:v>
                  </c:pt>
                  <c:pt idx="1106">
                    <c:v>23</c:v>
                  </c:pt>
                  <c:pt idx="1107">
                    <c:v>97</c:v>
                  </c:pt>
                  <c:pt idx="1108">
                    <c:v>79</c:v>
                  </c:pt>
                  <c:pt idx="1109">
                    <c:v>4,8</c:v>
                  </c:pt>
                  <c:pt idx="1110">
                    <c:v>155</c:v>
                  </c:pt>
                  <c:pt idx="1111">
                    <c:v>95</c:v>
                  </c:pt>
                  <c:pt idx="1112">
                    <c:v>37</c:v>
                  </c:pt>
                  <c:pt idx="1113">
                    <c:v>27</c:v>
                  </c:pt>
                  <c:pt idx="1114">
                    <c:v>27</c:v>
                  </c:pt>
                  <c:pt idx="1115">
                    <c:v>4,8</c:v>
                  </c:pt>
                  <c:pt idx="1116">
                    <c:v>4,8</c:v>
                  </c:pt>
                  <c:pt idx="1117">
                    <c:v>2,8</c:v>
                  </c:pt>
                  <c:pt idx="1118">
                    <c:v>137</c:v>
                  </c:pt>
                  <c:pt idx="1119">
                    <c:v>60</c:v>
                  </c:pt>
                  <c:pt idx="1120">
                    <c:v>95</c:v>
                  </c:pt>
                  <c:pt idx="1121">
                    <c:v>184</c:v>
                  </c:pt>
                  <c:pt idx="1122">
                    <c:v>60</c:v>
                  </c:pt>
                  <c:pt idx="1123">
                    <c:v>95</c:v>
                  </c:pt>
                  <c:pt idx="1124">
                    <c:v>131</c:v>
                  </c:pt>
                  <c:pt idx="1125">
                    <c:v>211</c:v>
                  </c:pt>
                  <c:pt idx="1126">
                    <c:v>436</c:v>
                  </c:pt>
                  <c:pt idx="1127">
                    <c:v>160</c:v>
                  </c:pt>
                  <c:pt idx="1128">
                    <c:v>36</c:v>
                  </c:pt>
                  <c:pt idx="1129">
                    <c:v>38</c:v>
                  </c:pt>
                  <c:pt idx="1130">
                    <c:v>42</c:v>
                  </c:pt>
                  <c:pt idx="1131">
                    <c:v>47</c:v>
                  </c:pt>
                  <c:pt idx="1132">
                    <c:v>59</c:v>
                  </c:pt>
                  <c:pt idx="1133">
                    <c:v>78</c:v>
                  </c:pt>
                  <c:pt idx="1134">
                    <c:v>113</c:v>
                  </c:pt>
                  <c:pt idx="1135">
                    <c:v>133</c:v>
                  </c:pt>
                  <c:pt idx="1136">
                    <c:v>105</c:v>
                  </c:pt>
                  <c:pt idx="1137">
                    <c:v>131</c:v>
                  </c:pt>
                  <c:pt idx="1138">
                    <c:v>182</c:v>
                  </c:pt>
                  <c:pt idx="1139">
                    <c:v>249</c:v>
                  </c:pt>
                  <c:pt idx="1140">
                    <c:v>254</c:v>
                  </c:pt>
                  <c:pt idx="1141">
                    <c:v>432</c:v>
                  </c:pt>
                  <c:pt idx="1142">
                    <c:v>110</c:v>
                  </c:pt>
                  <c:pt idx="1143">
                    <c:v>177</c:v>
                  </c:pt>
                  <c:pt idx="1144">
                    <c:v>17,22</c:v>
                  </c:pt>
                  <c:pt idx="1145">
                    <c:v>160</c:v>
                  </c:pt>
                  <c:pt idx="1146">
                    <c:v>10,57</c:v>
                  </c:pt>
                  <c:pt idx="1147">
                    <c:v>194</c:v>
                  </c:pt>
                  <c:pt idx="1148">
                    <c:v>226</c:v>
                  </c:pt>
                  <c:pt idx="1149">
                    <c:v>79</c:v>
                  </c:pt>
                  <c:pt idx="1150">
                    <c:v>91</c:v>
                  </c:pt>
                  <c:pt idx="1151">
                    <c:v>73</c:v>
                  </c:pt>
                  <c:pt idx="1152">
                    <c:v>194</c:v>
                  </c:pt>
                  <c:pt idx="1153">
                    <c:v>249</c:v>
                  </c:pt>
                  <c:pt idx="1154">
                    <c:v>142</c:v>
                  </c:pt>
                  <c:pt idx="1155">
                    <c:v>256</c:v>
                  </c:pt>
                  <c:pt idx="1156">
                    <c:v>102</c:v>
                  </c:pt>
                  <c:pt idx="1157">
                    <c:v>84</c:v>
                  </c:pt>
                  <c:pt idx="1158">
                    <c:v>44</c:v>
                  </c:pt>
                  <c:pt idx="1159">
                    <c:v>54</c:v>
                  </c:pt>
                  <c:pt idx="1160">
                    <c:v>279</c:v>
                  </c:pt>
                  <c:pt idx="1161">
                    <c:v>51</c:v>
                  </c:pt>
                  <c:pt idx="1162">
                    <c:v>142</c:v>
                  </c:pt>
                  <c:pt idx="1163">
                    <c:v>68</c:v>
                  </c:pt>
                  <c:pt idx="1164">
                    <c:v>90</c:v>
                  </c:pt>
                  <c:pt idx="1165">
                    <c:v>130</c:v>
                  </c:pt>
                  <c:pt idx="1166">
                    <c:v>58</c:v>
                  </c:pt>
                  <c:pt idx="1167">
                    <c:v>38</c:v>
                  </c:pt>
                  <c:pt idx="1168">
                    <c:v>64</c:v>
                  </c:pt>
                  <c:pt idx="1169">
                    <c:v>64</c:v>
                  </c:pt>
                  <c:pt idx="1170">
                    <c:v>31</c:v>
                  </c:pt>
                  <c:pt idx="1171">
                    <c:v>11</c:v>
                  </c:pt>
                  <c:pt idx="1172">
                    <c:v>17</c:v>
                  </c:pt>
                  <c:pt idx="1173">
                    <c:v>35</c:v>
                  </c:pt>
                  <c:pt idx="1174">
                    <c:v>39</c:v>
                  </c:pt>
                  <c:pt idx="1175">
                    <c:v>41</c:v>
                  </c:pt>
                  <c:pt idx="1176">
                    <c:v>49</c:v>
                  </c:pt>
                  <c:pt idx="1177">
                    <c:v>145</c:v>
                  </c:pt>
                  <c:pt idx="1178">
                    <c:v>19</c:v>
                  </c:pt>
                  <c:pt idx="1179">
                    <c:v>21</c:v>
                  </c:pt>
                  <c:pt idx="1180">
                    <c:v>25</c:v>
                  </c:pt>
                  <c:pt idx="1181">
                    <c:v>15</c:v>
                  </c:pt>
                  <c:pt idx="1182">
                    <c:v>698</c:v>
                  </c:pt>
                  <c:pt idx="1183">
                    <c:v>524</c:v>
                  </c:pt>
                  <c:pt idx="1184">
                    <c:v>85</c:v>
                  </c:pt>
                  <c:pt idx="1185">
                    <c:v>145</c:v>
                  </c:pt>
                  <c:pt idx="1186">
                    <c:v>234</c:v>
                  </c:pt>
                  <c:pt idx="1187">
                    <c:v>214</c:v>
                  </c:pt>
                  <c:pt idx="1188">
                    <c:v>339</c:v>
                  </c:pt>
                  <c:pt idx="1189">
                    <c:v>177</c:v>
                  </c:pt>
                  <c:pt idx="1190">
                    <c:v>91</c:v>
                  </c:pt>
                  <c:pt idx="1191">
                    <c:v>123</c:v>
                  </c:pt>
                  <c:pt idx="1192">
                    <c:v>388</c:v>
                  </c:pt>
                  <c:pt idx="1193">
                    <c:v>186</c:v>
                  </c:pt>
                  <c:pt idx="1194">
                    <c:v>257</c:v>
                  </c:pt>
                  <c:pt idx="1195">
                    <c:v>257</c:v>
                  </c:pt>
                  <c:pt idx="1196">
                    <c:v>144</c:v>
                  </c:pt>
                  <c:pt idx="1197">
                    <c:v>324</c:v>
                  </c:pt>
                  <c:pt idx="1198">
                    <c:v>107,92</c:v>
                  </c:pt>
                  <c:pt idx="1199">
                    <c:v>38</c:v>
                  </c:pt>
                  <c:pt idx="1200">
                    <c:v>47</c:v>
                  </c:pt>
                  <c:pt idx="1201">
                    <c:v>184</c:v>
                  </c:pt>
                  <c:pt idx="1202">
                    <c:v>319</c:v>
                  </c:pt>
                  <c:pt idx="1203">
                    <c:v>40</c:v>
                  </c:pt>
                  <c:pt idx="1204">
                    <c:v>38</c:v>
                  </c:pt>
                  <c:pt idx="1205">
                    <c:v>47</c:v>
                  </c:pt>
                  <c:pt idx="1206">
                    <c:v>120</c:v>
                  </c:pt>
                  <c:pt idx="1207">
                    <c:v>129</c:v>
                  </c:pt>
                  <c:pt idx="1208">
                    <c:v>296</c:v>
                  </c:pt>
                  <c:pt idx="1209">
                    <c:v>169</c:v>
                  </c:pt>
                  <c:pt idx="1210">
                    <c:v>99</c:v>
                  </c:pt>
                  <c:pt idx="1211">
                    <c:v>55</c:v>
                  </c:pt>
                  <c:pt idx="1212">
                    <c:v>77</c:v>
                  </c:pt>
                  <c:pt idx="1213">
                    <c:v>62</c:v>
                  </c:pt>
                  <c:pt idx="1214">
                    <c:v>94</c:v>
                  </c:pt>
                  <c:pt idx="1215">
                    <c:v>105</c:v>
                  </c:pt>
                  <c:pt idx="1216">
                    <c:v>190</c:v>
                  </c:pt>
                  <c:pt idx="1217">
                    <c:v>326</c:v>
                  </c:pt>
                  <c:pt idx="1218">
                    <c:v>5,12</c:v>
                  </c:pt>
                  <c:pt idx="1219">
                    <c:v>3,13</c:v>
                  </c:pt>
                  <c:pt idx="1220">
                    <c:v>1,5</c:v>
                  </c:pt>
                  <c:pt idx="1221">
                    <c:v>1,81</c:v>
                  </c:pt>
                  <c:pt idx="1222">
                    <c:v>7,21</c:v>
                  </c:pt>
                  <c:pt idx="1223">
                    <c:v>2078,7</c:v>
                  </c:pt>
                  <c:pt idx="1224">
                    <c:v>163</c:v>
                  </c:pt>
                  <c:pt idx="1225">
                    <c:v>133</c:v>
                  </c:pt>
                  <c:pt idx="1226">
                    <c:v>101</c:v>
                  </c:pt>
                  <c:pt idx="1227">
                    <c:v>93</c:v>
                  </c:pt>
                  <c:pt idx="1228">
                    <c:v>59</c:v>
                  </c:pt>
                  <c:pt idx="1229">
                    <c:v>39</c:v>
                  </c:pt>
                  <c:pt idx="1230">
                    <c:v>99</c:v>
                  </c:pt>
                  <c:pt idx="1231">
                    <c:v>76</c:v>
                  </c:pt>
                  <c:pt idx="1232">
                    <c:v>57</c:v>
                  </c:pt>
                  <c:pt idx="1233">
                    <c:v>56</c:v>
                  </c:pt>
                  <c:pt idx="1234">
                    <c:v>125</c:v>
                  </c:pt>
                  <c:pt idx="1235">
                    <c:v>190</c:v>
                  </c:pt>
                  <c:pt idx="1236">
                    <c:v>295</c:v>
                  </c:pt>
                  <c:pt idx="1237">
                    <c:v>44</c:v>
                  </c:pt>
                  <c:pt idx="1238">
                    <c:v>51</c:v>
                  </c:pt>
                  <c:pt idx="1239">
                    <c:v>66</c:v>
                  </c:pt>
                  <c:pt idx="1240">
                    <c:v>160</c:v>
                  </c:pt>
                  <c:pt idx="1241">
                    <c:v>32</c:v>
                  </c:pt>
                  <c:pt idx="1242">
                    <c:v>36</c:v>
                  </c:pt>
                  <c:pt idx="1243">
                    <c:v>45</c:v>
                  </c:pt>
                  <c:pt idx="1244">
                    <c:v>124</c:v>
                  </c:pt>
                  <c:pt idx="1245">
                    <c:v>69,9</c:v>
                  </c:pt>
                  <c:pt idx="1246">
                    <c:v>38</c:v>
                  </c:pt>
                  <c:pt idx="1247">
                    <c:v>39,9</c:v>
                  </c:pt>
                  <c:pt idx="1248">
                    <c:v>99,9</c:v>
                  </c:pt>
                  <c:pt idx="1249">
                    <c:v>28,9</c:v>
                  </c:pt>
                  <c:pt idx="1250">
                    <c:v>22,09</c:v>
                  </c:pt>
                  <c:pt idx="1251">
                    <c:v>89,9</c:v>
                  </c:pt>
                  <c:pt idx="1252">
                    <c:v>39,1</c:v>
                  </c:pt>
                  <c:pt idx="1253">
                    <c:v>74</c:v>
                  </c:pt>
                  <c:pt idx="1254">
                    <c:v>49,9</c:v>
                  </c:pt>
                  <c:pt idx="1255">
                    <c:v>240</c:v>
                  </c:pt>
                  <c:pt idx="1256">
                    <c:v>250</c:v>
                  </c:pt>
                  <c:pt idx="1257">
                    <c:v>78</c:v>
                  </c:pt>
                  <c:pt idx="1258">
                    <c:v>80</c:v>
                  </c:pt>
                  <c:pt idx="1259">
                    <c:v>72</c:v>
                  </c:pt>
                  <c:pt idx="1260">
                    <c:v>51</c:v>
                  </c:pt>
                  <c:pt idx="1261">
                    <c:v>636</c:v>
                  </c:pt>
                  <c:pt idx="1262">
                    <c:v>199</c:v>
                  </c:pt>
                  <c:pt idx="1263">
                    <c:v>119</c:v>
                  </c:pt>
                  <c:pt idx="1264">
                    <c:v>6</c:v>
                  </c:pt>
                  <c:pt idx="1265">
                    <c:v>4</c:v>
                  </c:pt>
                  <c:pt idx="1266">
                    <c:v>150</c:v>
                  </c:pt>
                  <c:pt idx="1267">
                    <c:v>52</c:v>
                  </c:pt>
                  <c:pt idx="1268">
                    <c:v>78</c:v>
                  </c:pt>
                  <c:pt idx="1269">
                    <c:v>105</c:v>
                  </c:pt>
                  <c:pt idx="1270">
                    <c:v>157</c:v>
                  </c:pt>
                  <c:pt idx="1271">
                    <c:v>249</c:v>
                  </c:pt>
                  <c:pt idx="1272">
                    <c:v>326</c:v>
                  </c:pt>
                  <c:pt idx="1273">
                    <c:v>80</c:v>
                  </c:pt>
                  <c:pt idx="1274">
                    <c:v>66</c:v>
                  </c:pt>
                  <c:pt idx="1275">
                    <c:v>94</c:v>
                  </c:pt>
                  <c:pt idx="1276">
                    <c:v>140</c:v>
                  </c:pt>
                  <c:pt idx="1277">
                    <c:v>184</c:v>
                  </c:pt>
                  <c:pt idx="1278">
                    <c:v>68</c:v>
                  </c:pt>
                  <c:pt idx="1279">
                    <c:v>339</c:v>
                  </c:pt>
                  <c:pt idx="1280">
                    <c:v>252</c:v>
                  </c:pt>
                  <c:pt idx="1281">
                    <c:v>217</c:v>
                  </c:pt>
                  <c:pt idx="1282">
                    <c:v>79</c:v>
                  </c:pt>
                  <c:pt idx="1283">
                    <c:v>458</c:v>
                  </c:pt>
                  <c:pt idx="1284">
                    <c:v>297</c:v>
                  </c:pt>
                  <c:pt idx="1285">
                    <c:v>87</c:v>
                  </c:pt>
                  <c:pt idx="1286">
                    <c:v>115</c:v>
                  </c:pt>
                  <c:pt idx="1287">
                    <c:v>209</c:v>
                  </c:pt>
                  <c:pt idx="1288">
                    <c:v>290</c:v>
                  </c:pt>
                  <c:pt idx="1289">
                    <c:v>22</c:v>
                  </c:pt>
                  <c:pt idx="1290">
                    <c:v>450,8</c:v>
                  </c:pt>
                  <c:pt idx="1291">
                    <c:v>614,75</c:v>
                  </c:pt>
                  <c:pt idx="1292">
                    <c:v>112</c:v>
                  </c:pt>
                  <c:pt idx="1293">
                    <c:v>16</c:v>
                  </c:pt>
                  <c:pt idx="1294">
                    <c:v>27</c:v>
                  </c:pt>
                  <c:pt idx="1295">
                    <c:v>42</c:v>
                  </c:pt>
                  <c:pt idx="1296">
                    <c:v>56</c:v>
                  </c:pt>
                  <c:pt idx="1297">
                    <c:v>8</c:v>
                  </c:pt>
                  <c:pt idx="1298">
                    <c:v>11</c:v>
                  </c:pt>
                  <c:pt idx="1299">
                    <c:v>14</c:v>
                  </c:pt>
                  <c:pt idx="1300">
                    <c:v>16</c:v>
                  </c:pt>
                  <c:pt idx="1302">
                    <c:v>7,26</c:v>
                  </c:pt>
                  <c:pt idx="1303">
                    <c:v>11</c:v>
                  </c:pt>
                  <c:pt idx="1304">
                    <c:v>14,85</c:v>
                  </c:pt>
                  <c:pt idx="1305">
                    <c:v>18,7</c:v>
                  </c:pt>
                  <c:pt idx="1306">
                    <c:v>12,1</c:v>
                  </c:pt>
                  <c:pt idx="1307">
                    <c:v>16,5</c:v>
                  </c:pt>
                  <c:pt idx="1308">
                    <c:v>17,05</c:v>
                  </c:pt>
                  <c:pt idx="1309">
                    <c:v>21,67</c:v>
                  </c:pt>
                  <c:pt idx="1310">
                    <c:v>37,95</c:v>
                  </c:pt>
                  <c:pt idx="1311">
                    <c:v>10,45</c:v>
                  </c:pt>
                  <c:pt idx="1312">
                    <c:v>39,6</c:v>
                  </c:pt>
                  <c:pt idx="1313">
                    <c:v>52,8</c:v>
                  </c:pt>
                  <c:pt idx="1314">
                    <c:v>1,21</c:v>
                  </c:pt>
                  <c:pt idx="1319">
                    <c:v>1218</c:v>
                  </c:pt>
                  <c:pt idx="1320">
                    <c:v>600</c:v>
                  </c:pt>
                  <c:pt idx="1321">
                    <c:v>495</c:v>
                  </c:pt>
                  <c:pt idx="1322">
                    <c:v>800</c:v>
                  </c:pt>
                  <c:pt idx="1323">
                    <c:v>574</c:v>
                  </c:pt>
                  <c:pt idx="1324">
                    <c:v>920</c:v>
                  </c:pt>
                  <c:pt idx="1325">
                    <c:v>1008</c:v>
                  </c:pt>
                  <c:pt idx="1328">
                    <c:v>0</c:v>
                  </c:pt>
                  <c:pt idx="1329">
                    <c:v>1035</c:v>
                  </c:pt>
                  <c:pt idx="1330">
                    <c:v>1012</c:v>
                  </c:pt>
                  <c:pt idx="1331">
                    <c:v>1653</c:v>
                  </c:pt>
                  <c:pt idx="1332">
                    <c:v>2280</c:v>
                  </c:pt>
                  <c:pt idx="1335">
                    <c:v>960</c:v>
                  </c:pt>
                  <c:pt idx="1339">
                    <c:v>720</c:v>
                  </c:pt>
                  <c:pt idx="1340">
                    <c:v>1520</c:v>
                  </c:pt>
                  <c:pt idx="1341">
                    <c:v>3760</c:v>
                  </c:pt>
                  <c:pt idx="1348">
                    <c:v>1273</c:v>
                  </c:pt>
                  <c:pt idx="1349">
                    <c:v>1247</c:v>
                  </c:pt>
                  <c:pt idx="1353">
                    <c:v>22</c:v>
                  </c:pt>
                  <c:pt idx="1355">
                    <c:v>836</c:v>
                  </c:pt>
                  <c:pt idx="1356">
                    <c:v>1232</c:v>
                  </c:pt>
                  <c:pt idx="1357">
                    <c:v>1934</c:v>
                  </c:pt>
                  <c:pt idx="1358">
                    <c:v>800</c:v>
                  </c:pt>
                  <c:pt idx="1359">
                    <c:v>153</c:v>
                  </c:pt>
                  <c:pt idx="1360">
                    <c:v>1281</c:v>
                  </c:pt>
                  <c:pt idx="1361">
                    <c:v>125</c:v>
                  </c:pt>
                  <c:pt idx="1362">
                    <c:v>100</c:v>
                  </c:pt>
                  <c:pt idx="1363">
                    <c:v>69</c:v>
                  </c:pt>
                  <c:pt idx="1364">
                    <c:v>115</c:v>
                  </c:pt>
                  <c:pt idx="1365">
                    <c:v>24</c:v>
                  </c:pt>
                  <c:pt idx="1366">
                    <c:v>31</c:v>
                  </c:pt>
                  <c:pt idx="1367">
                    <c:v>44</c:v>
                  </c:pt>
                  <c:pt idx="1368">
                    <c:v>56</c:v>
                  </c:pt>
                  <c:pt idx="1369">
                    <c:v>81</c:v>
                  </c:pt>
                  <c:pt idx="1370">
                    <c:v>20</c:v>
                  </c:pt>
                  <c:pt idx="1371">
                    <c:v>26</c:v>
                  </c:pt>
                  <c:pt idx="1372">
                    <c:v>30</c:v>
                  </c:pt>
                  <c:pt idx="1373">
                    <c:v>45</c:v>
                  </c:pt>
                  <c:pt idx="1374">
                    <c:v>647,54</c:v>
                  </c:pt>
                  <c:pt idx="1375">
                    <c:v>209</c:v>
                  </c:pt>
                  <c:pt idx="1376">
                    <c:v>7</c:v>
                  </c:pt>
                  <c:pt idx="1377">
                    <c:v>18,37</c:v>
                  </c:pt>
                  <c:pt idx="1378">
                    <c:v>31,89</c:v>
                  </c:pt>
                  <c:pt idx="1379">
                    <c:v>42</c:v>
                  </c:pt>
                  <c:pt idx="1380">
                    <c:v>38</c:v>
                  </c:pt>
                  <c:pt idx="1381">
                    <c:v>47</c:v>
                  </c:pt>
                  <c:pt idx="1382">
                    <c:v>8</c:v>
                  </c:pt>
                  <c:pt idx="1383">
                    <c:v>12</c:v>
                  </c:pt>
                  <c:pt idx="1384">
                    <c:v>9</c:v>
                  </c:pt>
                  <c:pt idx="1385">
                    <c:v>9</c:v>
                  </c:pt>
                  <c:pt idx="1386">
                    <c:v>48,46</c:v>
                  </c:pt>
                  <c:pt idx="1388">
                    <c:v>80</c:v>
                  </c:pt>
                  <c:pt idx="1389">
                    <c:v>138</c:v>
                  </c:pt>
                  <c:pt idx="1390">
                    <c:v>192</c:v>
                  </c:pt>
                  <c:pt idx="1391">
                    <c:v>259</c:v>
                  </c:pt>
                  <c:pt idx="1392">
                    <c:v>59</c:v>
                  </c:pt>
                  <c:pt idx="1393">
                    <c:v>138</c:v>
                  </c:pt>
                  <c:pt idx="1394">
                    <c:v>285</c:v>
                  </c:pt>
                  <c:pt idx="1395">
                    <c:v>739</c:v>
                  </c:pt>
                  <c:pt idx="1398">
                    <c:v>254</c:v>
                  </c:pt>
                  <c:pt idx="1399">
                    <c:v>3,93</c:v>
                  </c:pt>
                  <c:pt idx="1400">
                    <c:v>162</c:v>
                  </c:pt>
                  <c:pt idx="1401">
                    <c:v>235</c:v>
                  </c:pt>
                  <c:pt idx="1402">
                    <c:v>127,1</c:v>
                  </c:pt>
                  <c:pt idx="1403">
                    <c:v>137</c:v>
                  </c:pt>
                  <c:pt idx="1404">
                    <c:v>94</c:v>
                  </c:pt>
                  <c:pt idx="1405">
                    <c:v>662</c:v>
                  </c:pt>
                  <c:pt idx="1406">
                    <c:v>270</c:v>
                  </c:pt>
                  <c:pt idx="1407">
                    <c:v>80</c:v>
                  </c:pt>
                  <c:pt idx="1408">
                    <c:v>25</c:v>
                  </c:pt>
                  <c:pt idx="1409">
                    <c:v>31</c:v>
                  </c:pt>
                  <c:pt idx="1410">
                    <c:v>46</c:v>
                  </c:pt>
                  <c:pt idx="1411">
                    <c:v>59</c:v>
                  </c:pt>
                  <c:pt idx="1412">
                    <c:v>67</c:v>
                  </c:pt>
                  <c:pt idx="1413">
                    <c:v>89</c:v>
                  </c:pt>
                  <c:pt idx="1414">
                    <c:v>140</c:v>
                  </c:pt>
                  <c:pt idx="1415">
                    <c:v>185</c:v>
                  </c:pt>
                  <c:pt idx="1416">
                    <c:v>340</c:v>
                  </c:pt>
                  <c:pt idx="1417">
                    <c:v>446</c:v>
                  </c:pt>
                  <c:pt idx="1418">
                    <c:v>990</c:v>
                  </c:pt>
                  <c:pt idx="1419">
                    <c:v>28</c:v>
                  </c:pt>
                  <c:pt idx="1420">
                    <c:v>36</c:v>
                  </c:pt>
                  <c:pt idx="1421">
                    <c:v>40</c:v>
                  </c:pt>
                  <c:pt idx="1422">
                    <c:v>52</c:v>
                  </c:pt>
                  <c:pt idx="1423">
                    <c:v>55</c:v>
                  </c:pt>
                  <c:pt idx="1424">
                    <c:v>57,4</c:v>
                  </c:pt>
                  <c:pt idx="1425">
                    <c:v>71</c:v>
                  </c:pt>
                  <c:pt idx="1426">
                    <c:v>84</c:v>
                  </c:pt>
                  <c:pt idx="1427">
                    <c:v>180,6</c:v>
                  </c:pt>
                  <c:pt idx="1428">
                    <c:v>212</c:v>
                  </c:pt>
                  <c:pt idx="1429">
                    <c:v>317</c:v>
                  </c:pt>
                  <c:pt idx="1430">
                    <c:v>199</c:v>
                  </c:pt>
                  <c:pt idx="1431">
                    <c:v>299</c:v>
                  </c:pt>
                  <c:pt idx="1432">
                    <c:v>259</c:v>
                  </c:pt>
                  <c:pt idx="1433">
                    <c:v>69</c:v>
                  </c:pt>
                  <c:pt idx="1434">
                    <c:v>106</c:v>
                  </c:pt>
                  <c:pt idx="1435">
                    <c:v>269,9</c:v>
                  </c:pt>
                  <c:pt idx="1436">
                    <c:v>11,4</c:v>
                  </c:pt>
                  <c:pt idx="1437">
                    <c:v>285</c:v>
                  </c:pt>
                  <c:pt idx="1438">
                    <c:v>288,6</c:v>
                  </c:pt>
                  <c:pt idx="1439">
                    <c:v>11,7</c:v>
                  </c:pt>
                  <c:pt idx="1440">
                    <c:v>68,03</c:v>
                  </c:pt>
                  <c:pt idx="1441">
                    <c:v>57,6</c:v>
                  </c:pt>
                  <c:pt idx="1442">
                    <c:v>62,32</c:v>
                  </c:pt>
                  <c:pt idx="1443">
                    <c:v>38,124</c:v>
                  </c:pt>
                  <c:pt idx="1446">
                    <c:v>0</c:v>
                  </c:pt>
                  <c:pt idx="1449">
                    <c:v>166</c:v>
                  </c:pt>
                  <c:pt idx="1450">
                    <c:v>189</c:v>
                  </c:pt>
                  <c:pt idx="1451">
                    <c:v>180</c:v>
                  </c:pt>
                  <c:pt idx="1452">
                    <c:v>199,9</c:v>
                  </c:pt>
                  <c:pt idx="1453">
                    <c:v>499,9</c:v>
                  </c:pt>
                  <c:pt idx="1454">
                    <c:v>199,9</c:v>
                  </c:pt>
                  <c:pt idx="1455">
                    <c:v>249,9</c:v>
                  </c:pt>
                  <c:pt idx="1456">
                    <c:v>269,9</c:v>
                  </c:pt>
                  <c:pt idx="1457">
                    <c:v>269,9</c:v>
                  </c:pt>
                  <c:pt idx="1458">
                    <c:v>199,9</c:v>
                  </c:pt>
                  <c:pt idx="1459">
                    <c:v>650</c:v>
                  </c:pt>
                  <c:pt idx="1460">
                    <c:v>70</c:v>
                  </c:pt>
                  <c:pt idx="1461">
                    <c:v>65</c:v>
                  </c:pt>
                  <c:pt idx="1462">
                    <c:v>14,9</c:v>
                  </c:pt>
                  <c:pt idx="1463">
                    <c:v>632</c:v>
                  </c:pt>
                  <c:pt idx="1464">
                    <c:v>5,3</c:v>
                  </c:pt>
                  <c:pt idx="1465">
                    <c:v>79,9</c:v>
                  </c:pt>
                  <c:pt idx="1466">
                    <c:v>71</c:v>
                  </c:pt>
                  <c:pt idx="1467">
                    <c:v>80</c:v>
                  </c:pt>
                  <c:pt idx="1468">
                    <c:v>138,71</c:v>
                  </c:pt>
                  <c:pt idx="1469">
                    <c:v>41</c:v>
                  </c:pt>
                  <c:pt idx="1470">
                    <c:v>179,9</c:v>
                  </c:pt>
                  <c:pt idx="1474">
                    <c:v>380</c:v>
                  </c:pt>
                  <c:pt idx="1475">
                    <c:v>130</c:v>
                  </c:pt>
                  <c:pt idx="1476">
                    <c:v>760</c:v>
                  </c:pt>
                  <c:pt idx="1477">
                    <c:v>0</c:v>
                  </c:pt>
                  <c:pt idx="1478">
                    <c:v>29</c:v>
                  </c:pt>
                  <c:pt idx="1479">
                    <c:v>240</c:v>
                  </c:pt>
                  <c:pt idx="1480">
                    <c:v>79</c:v>
                  </c:pt>
                  <c:pt idx="1481">
                    <c:v>20</c:v>
                  </c:pt>
                  <c:pt idx="1482">
                    <c:v>890</c:v>
                  </c:pt>
                  <c:pt idx="1483">
                    <c:v>1225</c:v>
                  </c:pt>
                  <c:pt idx="1484">
                    <c:v>399,9</c:v>
                  </c:pt>
                  <c:pt idx="1485">
                    <c:v>1200</c:v>
                  </c:pt>
                  <c:pt idx="1486">
                    <c:v>2320</c:v>
                  </c:pt>
                  <c:pt idx="1487">
                    <c:v>58</c:v>
                  </c:pt>
                  <c:pt idx="1488">
                    <c:v>83</c:v>
                  </c:pt>
                  <c:pt idx="1489">
                    <c:v>48</c:v>
                  </c:pt>
                  <c:pt idx="1490">
                    <c:v>130</c:v>
                  </c:pt>
                  <c:pt idx="1491">
                    <c:v>59,9</c:v>
                  </c:pt>
                  <c:pt idx="1492">
                    <c:v>59,9</c:v>
                  </c:pt>
                  <c:pt idx="1493">
                    <c:v>59,9</c:v>
                  </c:pt>
                  <c:pt idx="1494">
                    <c:v>49,9</c:v>
                  </c:pt>
                  <c:pt idx="1495">
                    <c:v>129,9</c:v>
                  </c:pt>
                  <c:pt idx="1496">
                    <c:v>49,9</c:v>
                  </c:pt>
                  <c:pt idx="1497">
                    <c:v>149,09</c:v>
                  </c:pt>
                  <c:pt idx="1498">
                    <c:v>188</c:v>
                  </c:pt>
                  <c:pt idx="1499">
                    <c:v>17,68</c:v>
                  </c:pt>
                  <c:pt idx="1500">
                    <c:v>39,1</c:v>
                  </c:pt>
                  <c:pt idx="1501">
                    <c:v>57,8</c:v>
                  </c:pt>
                  <c:pt idx="1502">
                    <c:v>77,35</c:v>
                  </c:pt>
                  <c:pt idx="1503">
                    <c:v>320</c:v>
                  </c:pt>
                  <c:pt idx="1504">
                    <c:v>551</c:v>
                  </c:pt>
                  <c:pt idx="1505">
                    <c:v>369</c:v>
                  </c:pt>
                  <c:pt idx="1506">
                    <c:v>380</c:v>
                  </c:pt>
                  <c:pt idx="1507">
                    <c:v>16,4</c:v>
                  </c:pt>
                  <c:pt idx="1508">
                    <c:v>2509,92</c:v>
                  </c:pt>
                  <c:pt idx="1509">
                    <c:v>209</c:v>
                  </c:pt>
                  <c:pt idx="1510">
                    <c:v>242</c:v>
                  </c:pt>
                  <c:pt idx="1511">
                    <c:v>245,4</c:v>
                  </c:pt>
                  <c:pt idx="1512">
                    <c:v>217</c:v>
                  </c:pt>
                  <c:pt idx="1513">
                    <c:v>155</c:v>
                  </c:pt>
                  <c:pt idx="1514">
                    <c:v>245,4</c:v>
                  </c:pt>
                  <c:pt idx="1515">
                    <c:v>150</c:v>
                  </c:pt>
                  <c:pt idx="1516">
                    <c:v>140</c:v>
                  </c:pt>
                  <c:pt idx="1517">
                    <c:v>139</c:v>
                  </c:pt>
                  <c:pt idx="1518">
                    <c:v>170</c:v>
                  </c:pt>
                  <c:pt idx="1519">
                    <c:v>1933,8</c:v>
                  </c:pt>
                  <c:pt idx="1520">
                    <c:v>194</c:v>
                  </c:pt>
                  <c:pt idx="1521">
                    <c:v>345</c:v>
                  </c:pt>
                  <c:pt idx="1522">
                    <c:v>261,12</c:v>
                  </c:pt>
                  <c:pt idx="1523">
                    <c:v>150</c:v>
                  </c:pt>
                  <c:pt idx="1524">
                    <c:v>1544</c:v>
                  </c:pt>
                  <c:pt idx="1525">
                    <c:v>59</c:v>
                  </c:pt>
                  <c:pt idx="1526">
                    <c:v>47</c:v>
                  </c:pt>
                  <c:pt idx="1527">
                    <c:v>42</c:v>
                  </c:pt>
                  <c:pt idx="1528">
                    <c:v>47,11</c:v>
                  </c:pt>
                  <c:pt idx="1529">
                    <c:v>0</c:v>
                  </c:pt>
                  <c:pt idx="1530">
                    <c:v>0</c:v>
                  </c:pt>
                  <c:pt idx="1531">
                    <c:v>0</c:v>
                  </c:pt>
                  <c:pt idx="1532">
                    <c:v>62</c:v>
                  </c:pt>
                  <c:pt idx="1533">
                    <c:v>123</c:v>
                  </c:pt>
                  <c:pt idx="1534">
                    <c:v>219</c:v>
                  </c:pt>
                  <c:pt idx="1535">
                    <c:v>80</c:v>
                  </c:pt>
                  <c:pt idx="1536">
                    <c:v>32</c:v>
                  </c:pt>
                  <c:pt idx="1537">
                    <c:v>35,15</c:v>
                  </c:pt>
                  <c:pt idx="1538">
                    <c:v>31,15</c:v>
                  </c:pt>
                  <c:pt idx="1539">
                    <c:v>3,23</c:v>
                  </c:pt>
                  <c:pt idx="1540">
                    <c:v>91</c:v>
                  </c:pt>
                  <c:pt idx="1541">
                    <c:v>62</c:v>
                  </c:pt>
                  <c:pt idx="1542">
                    <c:v>29</c:v>
                  </c:pt>
                  <c:pt idx="1543">
                    <c:v>79</c:v>
                  </c:pt>
                  <c:pt idx="1544">
                    <c:v>209</c:v>
                  </c:pt>
                  <c:pt idx="1545">
                    <c:v>149</c:v>
                  </c:pt>
                  <c:pt idx="1546">
                    <c:v>19,9</c:v>
                  </c:pt>
                  <c:pt idx="1547">
                    <c:v>25,9</c:v>
                  </c:pt>
                  <c:pt idx="1548">
                    <c:v>100</c:v>
                  </c:pt>
                  <c:pt idx="1549">
                    <c:v>184,05</c:v>
                  </c:pt>
                  <c:pt idx="1550">
                    <c:v>409</c:v>
                  </c:pt>
                  <c:pt idx="1551">
                    <c:v>216,77</c:v>
                  </c:pt>
                  <c:pt idx="1552">
                    <c:v>1</c:v>
                  </c:pt>
                  <c:pt idx="1553">
                    <c:v>116,74</c:v>
                  </c:pt>
                  <c:pt idx="1554">
                    <c:v>68,67</c:v>
                  </c:pt>
                  <c:pt idx="1555">
                    <c:v>45</c:v>
                  </c:pt>
                  <c:pt idx="1556">
                    <c:v>330,87</c:v>
                  </c:pt>
                  <c:pt idx="1557">
                    <c:v>410,1</c:v>
                  </c:pt>
                  <c:pt idx="1558">
                    <c:v>243,44</c:v>
                  </c:pt>
                  <c:pt idx="1559">
                    <c:v>212,02</c:v>
                  </c:pt>
                  <c:pt idx="1560">
                    <c:v>86,45</c:v>
                  </c:pt>
                  <c:pt idx="1561">
                    <c:v>1870</c:v>
                  </c:pt>
                  <c:pt idx="1562">
                    <c:v>1220</c:v>
                  </c:pt>
                  <c:pt idx="1563">
                    <c:v>1</c:v>
                  </c:pt>
                  <c:pt idx="1564">
                    <c:v>1</c:v>
                  </c:pt>
                  <c:pt idx="1565">
                    <c:v>1</c:v>
                  </c:pt>
                  <c:pt idx="1566">
                    <c:v>0</c:v>
                  </c:pt>
                  <c:pt idx="1567">
                    <c:v>2940</c:v>
                  </c:pt>
                  <c:pt idx="1568">
                    <c:v>1553</c:v>
                  </c:pt>
                  <c:pt idx="1569">
                    <c:v>153</c:v>
                  </c:pt>
                  <c:pt idx="1570">
                    <c:v>1030,36</c:v>
                  </c:pt>
                  <c:pt idx="1571">
                    <c:v>1935,81</c:v>
                  </c:pt>
                  <c:pt idx="1572">
                    <c:v>24,9</c:v>
                  </c:pt>
                  <c:pt idx="1573">
                    <c:v>145</c:v>
                  </c:pt>
                  <c:pt idx="1574">
                    <c:v>54</c:v>
                  </c:pt>
                  <c:pt idx="1575">
                    <c:v>66</c:v>
                  </c:pt>
                  <c:pt idx="1576">
                    <c:v>108</c:v>
                  </c:pt>
                  <c:pt idx="1577">
                    <c:v>97</c:v>
                  </c:pt>
                  <c:pt idx="1578">
                    <c:v>42,77</c:v>
                  </c:pt>
                  <c:pt idx="1579">
                    <c:v>764,15</c:v>
                  </c:pt>
                  <c:pt idx="1580">
                    <c:v>1319,2</c:v>
                  </c:pt>
                  <c:pt idx="1581">
                    <c:v>578</c:v>
                  </c:pt>
                  <c:pt idx="1582">
                    <c:v>444,56</c:v>
                  </c:pt>
                  <c:pt idx="1583">
                    <c:v>9</c:v>
                  </c:pt>
                  <c:pt idx="1584">
                    <c:v>1805</c:v>
                  </c:pt>
                  <c:pt idx="1585">
                    <c:v>555</c:v>
                  </c:pt>
                  <c:pt idx="1586">
                    <c:v>60</c:v>
                  </c:pt>
                  <c:pt idx="1587">
                    <c:v>461</c:v>
                  </c:pt>
                  <c:pt idx="1588">
                    <c:v>250</c:v>
                  </c:pt>
                  <c:pt idx="1589">
                    <c:v>515</c:v>
                  </c:pt>
                  <c:pt idx="1590">
                    <c:v>265</c:v>
                  </c:pt>
                  <c:pt idx="1591">
                    <c:v>1442,93</c:v>
                  </c:pt>
                  <c:pt idx="1592">
                    <c:v>57</c:v>
                  </c:pt>
                  <c:pt idx="1593">
                    <c:v>1360,81</c:v>
                  </c:pt>
                  <c:pt idx="1594">
                    <c:v>108</c:v>
                  </c:pt>
                  <c:pt idx="1595">
                    <c:v>756,51</c:v>
                  </c:pt>
                  <c:pt idx="1596">
                    <c:v>139,93</c:v>
                  </c:pt>
                  <c:pt idx="1597">
                    <c:v>927,31</c:v>
                  </c:pt>
                  <c:pt idx="1598">
                    <c:v>828</c:v>
                  </c:pt>
                  <c:pt idx="1599">
                    <c:v>882,75</c:v>
                  </c:pt>
                  <c:pt idx="1600">
                    <c:v>49,06</c:v>
                  </c:pt>
                  <c:pt idx="1601">
                    <c:v>362,3</c:v>
                  </c:pt>
                  <c:pt idx="1602">
                    <c:v>980,12</c:v>
                  </c:pt>
                  <c:pt idx="1603">
                    <c:v>54,45</c:v>
                  </c:pt>
                  <c:pt idx="1604">
                    <c:v>457,1</c:v>
                  </c:pt>
                  <c:pt idx="1605">
                    <c:v>1406,17</c:v>
                  </c:pt>
                  <c:pt idx="1606">
                    <c:v>63,92</c:v>
                  </c:pt>
                  <c:pt idx="1607">
                    <c:v>719,67</c:v>
                  </c:pt>
                  <c:pt idx="1608">
                    <c:v>541,66</c:v>
                  </c:pt>
                  <c:pt idx="1609">
                    <c:v>353,28</c:v>
                  </c:pt>
                  <c:pt idx="1610">
                    <c:v>928,24</c:v>
                  </c:pt>
                  <c:pt idx="1611">
                    <c:v>2302,31</c:v>
                  </c:pt>
                  <c:pt idx="1612">
                    <c:v>95,93</c:v>
                  </c:pt>
                  <c:pt idx="1613">
                    <c:v>1970,98</c:v>
                  </c:pt>
                  <c:pt idx="1614">
                    <c:v>82,08</c:v>
                  </c:pt>
                  <c:pt idx="1615">
                    <c:v>1299,18</c:v>
                  </c:pt>
                  <c:pt idx="1616">
                    <c:v>173,224</c:v>
                  </c:pt>
                  <c:pt idx="1617">
                    <c:v>0</c:v>
                  </c:pt>
                  <c:pt idx="1618">
                    <c:v>229</c:v>
                  </c:pt>
                  <c:pt idx="1619">
                    <c:v>767</c:v>
                  </c:pt>
                  <c:pt idx="1621">
                    <c:v>1395</c:v>
                  </c:pt>
                  <c:pt idx="1622">
                    <c:v>715,5</c:v>
                  </c:pt>
                  <c:pt idx="1623">
                    <c:v>63</c:v>
                  </c:pt>
                  <c:pt idx="1624">
                    <c:v>1602</c:v>
                  </c:pt>
                  <c:pt idx="1625">
                    <c:v>285</c:v>
                  </c:pt>
                  <c:pt idx="1626">
                    <c:v>817</c:v>
                  </c:pt>
                  <c:pt idx="1627">
                    <c:v>1097,33</c:v>
                  </c:pt>
                  <c:pt idx="1628">
                    <c:v>2013</c:v>
                  </c:pt>
                  <c:pt idx="1629">
                    <c:v>2142,86</c:v>
                  </c:pt>
                  <c:pt idx="1630">
                    <c:v>1035,07</c:v>
                  </c:pt>
                  <c:pt idx="1631">
                    <c:v>101,8</c:v>
                  </c:pt>
                  <c:pt idx="1632">
                    <c:v>2137,14</c:v>
                  </c:pt>
                  <c:pt idx="1633">
                    <c:v>121</c:v>
                  </c:pt>
                  <c:pt idx="1634">
                    <c:v>142,5</c:v>
                  </c:pt>
                  <c:pt idx="1635">
                    <c:v>742,5</c:v>
                  </c:pt>
                  <c:pt idx="1636">
                    <c:v>1945</c:v>
                  </c:pt>
                  <c:pt idx="1637">
                    <c:v>97</c:v>
                  </c:pt>
                  <c:pt idx="1638">
                    <c:v>145</c:v>
                  </c:pt>
                  <c:pt idx="1639">
                    <c:v>2908,75</c:v>
                  </c:pt>
                  <c:pt idx="1640">
                    <c:v>2232</c:v>
                  </c:pt>
                  <c:pt idx="1641">
                    <c:v>307,38</c:v>
                  </c:pt>
                  <c:pt idx="1642">
                    <c:v>725</c:v>
                  </c:pt>
                  <c:pt idx="1643">
                    <c:v>1165</c:v>
                  </c:pt>
                  <c:pt idx="1644">
                    <c:v>329</c:v>
                  </c:pt>
                  <c:pt idx="1645">
                    <c:v>859</c:v>
                  </c:pt>
                  <c:pt idx="1646">
                    <c:v>639</c:v>
                  </c:pt>
                  <c:pt idx="1647">
                    <c:v>289</c:v>
                  </c:pt>
                  <c:pt idx="1648">
                    <c:v>490</c:v>
                  </c:pt>
                  <c:pt idx="1649">
                    <c:v>158</c:v>
                  </c:pt>
                  <c:pt idx="1650">
                    <c:v>151</c:v>
                  </c:pt>
                  <c:pt idx="1651">
                    <c:v>131,6</c:v>
                  </c:pt>
                  <c:pt idx="1652">
                    <c:v>35</c:v>
                  </c:pt>
                  <c:pt idx="1653">
                    <c:v>1200</c:v>
                  </c:pt>
                  <c:pt idx="1654">
                    <c:v>70</c:v>
                  </c:pt>
                  <c:pt idx="1655">
                    <c:v>138,25</c:v>
                  </c:pt>
                  <c:pt idx="1656">
                    <c:v>18</c:v>
                  </c:pt>
                  <c:pt idx="1657">
                    <c:v>28</c:v>
                  </c:pt>
                  <c:pt idx="1658">
                    <c:v>84</c:v>
                  </c:pt>
                  <c:pt idx="1659">
                    <c:v>46</c:v>
                  </c:pt>
                  <c:pt idx="1660">
                    <c:v>56</c:v>
                  </c:pt>
                  <c:pt idx="1661">
                    <c:v>16,13</c:v>
                  </c:pt>
                  <c:pt idx="1662">
                    <c:v>62,3</c:v>
                  </c:pt>
                  <c:pt idx="1663">
                    <c:v>114,75</c:v>
                  </c:pt>
                  <c:pt idx="1664">
                    <c:v>85</c:v>
                  </c:pt>
                  <c:pt idx="1665">
                    <c:v>260</c:v>
                  </c:pt>
                  <c:pt idx="1666">
                    <c:v>620</c:v>
                  </c:pt>
                  <c:pt idx="1667">
                    <c:v>62</c:v>
                  </c:pt>
                  <c:pt idx="1668">
                    <c:v>44,9</c:v>
                  </c:pt>
                  <c:pt idx="1669">
                    <c:v>28</c:v>
                  </c:pt>
                  <c:pt idx="1670">
                    <c:v>234</c:v>
                  </c:pt>
                  <c:pt idx="1671">
                    <c:v>216</c:v>
                  </c:pt>
                  <c:pt idx="1672">
                    <c:v>155</c:v>
                  </c:pt>
                  <c:pt idx="1673">
                    <c:v>220</c:v>
                  </c:pt>
                  <c:pt idx="1674">
                    <c:v>134,42</c:v>
                  </c:pt>
                  <c:pt idx="1675">
                    <c:v>119,67</c:v>
                  </c:pt>
                  <c:pt idx="1676">
                    <c:v>105,73</c:v>
                  </c:pt>
                  <c:pt idx="1677">
                    <c:v>122,95</c:v>
                  </c:pt>
                  <c:pt idx="1678">
                    <c:v>155,98</c:v>
                  </c:pt>
                  <c:pt idx="1679">
                    <c:v>171,96</c:v>
                  </c:pt>
                  <c:pt idx="1680">
                    <c:v>140,16</c:v>
                  </c:pt>
                  <c:pt idx="1681">
                    <c:v>118,03</c:v>
                  </c:pt>
                  <c:pt idx="1682">
                    <c:v>169,67</c:v>
                  </c:pt>
                  <c:pt idx="1683">
                    <c:v>209,84</c:v>
                  </c:pt>
                  <c:pt idx="1684">
                    <c:v>130</c:v>
                  </c:pt>
                  <c:pt idx="1685">
                    <c:v>102,28</c:v>
                  </c:pt>
                  <c:pt idx="1686">
                    <c:v>93,44</c:v>
                  </c:pt>
                  <c:pt idx="1687">
                    <c:v>111,47</c:v>
                  </c:pt>
                  <c:pt idx="1688">
                    <c:v>156,55</c:v>
                  </c:pt>
                  <c:pt idx="1689">
                    <c:v>98,36</c:v>
                  </c:pt>
                  <c:pt idx="1690">
                    <c:v>285</c:v>
                  </c:pt>
                  <c:pt idx="1691">
                    <c:v>25</c:v>
                  </c:pt>
                  <c:pt idx="1692">
                    <c:v>649,9</c:v>
                  </c:pt>
                  <c:pt idx="1693">
                    <c:v>141</c:v>
                  </c:pt>
                  <c:pt idx="1694">
                    <c:v>86</c:v>
                  </c:pt>
                  <c:pt idx="1695">
                    <c:v>75</c:v>
                  </c:pt>
                  <c:pt idx="1696">
                    <c:v>121,5</c:v>
                  </c:pt>
                  <c:pt idx="1697">
                    <c:v>121,5</c:v>
                  </c:pt>
                  <c:pt idx="1698">
                    <c:v>121,5</c:v>
                  </c:pt>
                  <c:pt idx="1699">
                    <c:v>499,9</c:v>
                  </c:pt>
                  <c:pt idx="1700">
                    <c:v>87,62</c:v>
                  </c:pt>
                  <c:pt idx="1701">
                    <c:v>163,27</c:v>
                  </c:pt>
                  <c:pt idx="1702">
                    <c:v>60,64</c:v>
                  </c:pt>
                  <c:pt idx="1703">
                    <c:v>38,67</c:v>
                  </c:pt>
                  <c:pt idx="1704">
                    <c:v>79,9</c:v>
                  </c:pt>
                  <c:pt idx="1705">
                    <c:v>69,9</c:v>
                  </c:pt>
                  <c:pt idx="1706">
                    <c:v>645</c:v>
                  </c:pt>
                  <c:pt idx="1707">
                    <c:v>195</c:v>
                  </c:pt>
                  <c:pt idx="1708">
                    <c:v>139</c:v>
                  </c:pt>
                  <c:pt idx="1709">
                    <c:v>145,8</c:v>
                  </c:pt>
                  <c:pt idx="1710">
                    <c:v>59</c:v>
                  </c:pt>
                  <c:pt idx="1711">
                    <c:v>64</c:v>
                  </c:pt>
                  <c:pt idx="1712">
                    <c:v>81</c:v>
                  </c:pt>
                  <c:pt idx="1713">
                    <c:v>29</c:v>
                  </c:pt>
                  <c:pt idx="1714">
                    <c:v>238</c:v>
                  </c:pt>
                  <c:pt idx="1715">
                    <c:v>212</c:v>
                  </c:pt>
                  <c:pt idx="1716">
                    <c:v>185</c:v>
                  </c:pt>
                  <c:pt idx="1717">
                    <c:v>46,72</c:v>
                  </c:pt>
                  <c:pt idx="1718">
                    <c:v>68,85</c:v>
                  </c:pt>
                  <c:pt idx="1719">
                    <c:v>100</c:v>
                  </c:pt>
                  <c:pt idx="1720">
                    <c:v>25</c:v>
                  </c:pt>
                  <c:pt idx="1721">
                    <c:v>35</c:v>
                  </c:pt>
                  <c:pt idx="1722">
                    <c:v>90</c:v>
                  </c:pt>
                  <c:pt idx="1723">
                    <c:v>222</c:v>
                  </c:pt>
                  <c:pt idx="1724">
                    <c:v>318</c:v>
                  </c:pt>
                </c:lvl>
                <c:lvl>
                  <c:pt idx="0">
                    <c:v>1,2</c:v>
                  </c:pt>
                  <c:pt idx="1">
                    <c:v>1</c:v>
                  </c:pt>
                  <c:pt idx="2">
                    <c:v>1</c:v>
                  </c:pt>
                  <c:pt idx="3">
                    <c:v>1,22</c:v>
                  </c:pt>
                  <c:pt idx="4">
                    <c:v>1,22</c:v>
                  </c:pt>
                  <c:pt idx="5">
                    <c:v>1</c:v>
                  </c:pt>
                  <c:pt idx="6">
                    <c:v>1</c:v>
                  </c:pt>
                  <c:pt idx="7">
                    <c:v>1</c:v>
                  </c:pt>
                  <c:pt idx="8">
                    <c:v>1,22</c:v>
                  </c:pt>
                  <c:pt idx="9">
                    <c:v>1</c:v>
                  </c:pt>
                  <c:pt idx="10">
                    <c:v>1,22</c:v>
                  </c:pt>
                  <c:pt idx="11">
                    <c:v>1,22</c:v>
                  </c:pt>
                  <c:pt idx="12">
                    <c:v>1,22</c:v>
                  </c:pt>
                  <c:pt idx="13">
                    <c:v>1,22</c:v>
                  </c:pt>
                  <c:pt idx="14">
                    <c:v>1,22</c:v>
                  </c:pt>
                  <c:pt idx="15">
                    <c:v>1,22</c:v>
                  </c:pt>
                  <c:pt idx="16">
                    <c:v>1,22</c:v>
                  </c:pt>
                  <c:pt idx="17">
                    <c:v>1,22</c:v>
                  </c:pt>
                  <c:pt idx="18">
                    <c:v>1,22</c:v>
                  </c:pt>
                  <c:pt idx="19">
                    <c:v>1,22</c:v>
                  </c:pt>
                  <c:pt idx="20">
                    <c:v>1,22</c:v>
                  </c:pt>
                  <c:pt idx="21">
                    <c:v>1,22</c:v>
                  </c:pt>
                  <c:pt idx="22">
                    <c:v>1,22</c:v>
                  </c:pt>
                  <c:pt idx="23">
                    <c:v>1,22</c:v>
                  </c:pt>
                  <c:pt idx="24">
                    <c:v>1</c:v>
                  </c:pt>
                  <c:pt idx="25">
                    <c:v>1</c:v>
                  </c:pt>
                  <c:pt idx="26">
                    <c:v>1,22</c:v>
                  </c:pt>
                  <c:pt idx="27">
                    <c:v>1,22</c:v>
                  </c:pt>
                  <c:pt idx="28">
                    <c:v>1,22</c:v>
                  </c:pt>
                  <c:pt idx="29">
                    <c:v>1,22</c:v>
                  </c:pt>
                  <c:pt idx="30">
                    <c:v>1,22</c:v>
                  </c:pt>
                  <c:pt idx="31">
                    <c:v>1,22</c:v>
                  </c:pt>
                  <c:pt idx="32">
                    <c:v>1,22</c:v>
                  </c:pt>
                  <c:pt idx="33">
                    <c:v>1,22</c:v>
                  </c:pt>
                  <c:pt idx="34">
                    <c:v>1</c:v>
                  </c:pt>
                  <c:pt idx="35">
                    <c:v>1,22</c:v>
                  </c:pt>
                  <c:pt idx="36">
                    <c:v>1,22</c:v>
                  </c:pt>
                  <c:pt idx="37">
                    <c:v>1,22</c:v>
                  </c:pt>
                  <c:pt idx="38">
                    <c:v>1,22</c:v>
                  </c:pt>
                  <c:pt idx="39">
                    <c:v>1,22</c:v>
                  </c:pt>
                  <c:pt idx="40">
                    <c:v>1</c:v>
                  </c:pt>
                  <c:pt idx="41">
                    <c:v>1</c:v>
                  </c:pt>
                  <c:pt idx="42">
                    <c:v>1,22</c:v>
                  </c:pt>
                  <c:pt idx="43">
                    <c:v>1,22</c:v>
                  </c:pt>
                  <c:pt idx="44">
                    <c:v>1</c:v>
                  </c:pt>
                  <c:pt idx="45">
                    <c:v>1</c:v>
                  </c:pt>
                  <c:pt idx="46">
                    <c:v>1,22</c:v>
                  </c:pt>
                  <c:pt idx="47">
                    <c:v>1,22</c:v>
                  </c:pt>
                  <c:pt idx="48">
                    <c:v>1,22</c:v>
                  </c:pt>
                  <c:pt idx="49">
                    <c:v>1,22</c:v>
                  </c:pt>
                  <c:pt idx="50">
                    <c:v>1,22</c:v>
                  </c:pt>
                  <c:pt idx="51">
                    <c:v>1</c:v>
                  </c:pt>
                  <c:pt idx="52">
                    <c:v>1</c:v>
                  </c:pt>
                  <c:pt idx="53">
                    <c:v>1,22</c:v>
                  </c:pt>
                  <c:pt idx="54">
                    <c:v>1,22</c:v>
                  </c:pt>
                  <c:pt idx="55">
                    <c:v>1,22</c:v>
                  </c:pt>
                  <c:pt idx="56">
                    <c:v>1,22</c:v>
                  </c:pt>
                  <c:pt idx="57">
                    <c:v>1,22</c:v>
                  </c:pt>
                  <c:pt idx="58">
                    <c:v>1,22</c:v>
                  </c:pt>
                  <c:pt idx="59">
                    <c:v>1,22</c:v>
                  </c:pt>
                  <c:pt idx="60">
                    <c:v>1</c:v>
                  </c:pt>
                  <c:pt idx="61">
                    <c:v>1,22</c:v>
                  </c:pt>
                  <c:pt idx="62">
                    <c:v>1,22</c:v>
                  </c:pt>
                  <c:pt idx="63">
                    <c:v>1,22</c:v>
                  </c:pt>
                  <c:pt idx="64">
                    <c:v>1,22</c:v>
                  </c:pt>
                  <c:pt idx="65">
                    <c:v>1,22</c:v>
                  </c:pt>
                  <c:pt idx="66">
                    <c:v>1,22</c:v>
                  </c:pt>
                  <c:pt idx="67">
                    <c:v>1,22</c:v>
                  </c:pt>
                  <c:pt idx="68">
                    <c:v>1,22</c:v>
                  </c:pt>
                  <c:pt idx="69">
                    <c:v>1,22</c:v>
                  </c:pt>
                  <c:pt idx="70">
                    <c:v>1,22</c:v>
                  </c:pt>
                  <c:pt idx="71">
                    <c:v>1,22</c:v>
                  </c:pt>
                  <c:pt idx="72">
                    <c:v>1</c:v>
                  </c:pt>
                  <c:pt idx="73">
                    <c:v>1</c:v>
                  </c:pt>
                  <c:pt idx="74">
                    <c:v>1</c:v>
                  </c:pt>
                  <c:pt idx="75">
                    <c:v>1</c:v>
                  </c:pt>
                  <c:pt idx="76">
                    <c:v>1,22</c:v>
                  </c:pt>
                  <c:pt idx="77">
                    <c:v>1,22</c:v>
                  </c:pt>
                  <c:pt idx="78">
                    <c:v>1,22</c:v>
                  </c:pt>
                  <c:pt idx="79">
                    <c:v>1,22</c:v>
                  </c:pt>
                  <c:pt idx="80">
                    <c:v>1,22</c:v>
                  </c:pt>
                  <c:pt idx="81">
                    <c:v>1,22</c:v>
                  </c:pt>
                  <c:pt idx="82">
                    <c:v>1,22</c:v>
                  </c:pt>
                  <c:pt idx="83">
                    <c:v>1,22</c:v>
                  </c:pt>
                  <c:pt idx="84">
                    <c:v>1,22</c:v>
                  </c:pt>
                  <c:pt idx="85">
                    <c:v>1,22</c:v>
                  </c:pt>
                  <c:pt idx="86">
                    <c:v>1,22</c:v>
                  </c:pt>
                  <c:pt idx="87">
                    <c:v>1,22</c:v>
                  </c:pt>
                  <c:pt idx="88">
                    <c:v>1</c:v>
                  </c:pt>
                  <c:pt idx="89">
                    <c:v>1</c:v>
                  </c:pt>
                  <c:pt idx="90">
                    <c:v>1,22</c:v>
                  </c:pt>
                  <c:pt idx="91">
                    <c:v>1,22</c:v>
                  </c:pt>
                  <c:pt idx="92">
                    <c:v>1,22</c:v>
                  </c:pt>
                  <c:pt idx="93">
                    <c:v>1,22</c:v>
                  </c:pt>
                  <c:pt idx="94">
                    <c:v>1,22</c:v>
                  </c:pt>
                  <c:pt idx="95">
                    <c:v>1,22</c:v>
                  </c:pt>
                  <c:pt idx="96">
                    <c:v>1,22</c:v>
                  </c:pt>
                  <c:pt idx="97">
                    <c:v>1</c:v>
                  </c:pt>
                  <c:pt idx="98">
                    <c:v>1,22</c:v>
                  </c:pt>
                  <c:pt idx="99">
                    <c:v>1,22</c:v>
                  </c:pt>
                  <c:pt idx="100">
                    <c:v>1</c:v>
                  </c:pt>
                  <c:pt idx="101">
                    <c:v>1,22</c:v>
                  </c:pt>
                  <c:pt idx="102">
                    <c:v>1,22</c:v>
                  </c:pt>
                  <c:pt idx="103">
                    <c:v>1,22</c:v>
                  </c:pt>
                  <c:pt idx="104">
                    <c:v>1,22</c:v>
                  </c:pt>
                  <c:pt idx="105">
                    <c:v>1,22</c:v>
                  </c:pt>
                  <c:pt idx="106">
                    <c:v>1,22</c:v>
                  </c:pt>
                  <c:pt idx="107">
                    <c:v>1,22</c:v>
                  </c:pt>
                  <c:pt idx="108">
                    <c:v>1,22</c:v>
                  </c:pt>
                  <c:pt idx="109">
                    <c:v>1,22</c:v>
                  </c:pt>
                  <c:pt idx="110">
                    <c:v>1,22</c:v>
                  </c:pt>
                  <c:pt idx="111">
                    <c:v>1,22</c:v>
                  </c:pt>
                  <c:pt idx="112">
                    <c:v>1,22</c:v>
                  </c:pt>
                  <c:pt idx="113">
                    <c:v>1,2</c:v>
                  </c:pt>
                  <c:pt idx="114">
                    <c:v>1,22</c:v>
                  </c:pt>
                  <c:pt idx="115">
                    <c:v>1,22</c:v>
                  </c:pt>
                  <c:pt idx="116">
                    <c:v>1,22</c:v>
                  </c:pt>
                  <c:pt idx="117">
                    <c:v>1,22</c:v>
                  </c:pt>
                  <c:pt idx="118">
                    <c:v>1,22</c:v>
                  </c:pt>
                  <c:pt idx="119">
                    <c:v>1,22</c:v>
                  </c:pt>
                  <c:pt idx="120">
                    <c:v>1,22</c:v>
                  </c:pt>
                  <c:pt idx="121">
                    <c:v>1,22</c:v>
                  </c:pt>
                  <c:pt idx="122">
                    <c:v>1</c:v>
                  </c:pt>
                  <c:pt idx="123">
                    <c:v>1</c:v>
                  </c:pt>
                  <c:pt idx="124">
                    <c:v>1,22</c:v>
                  </c:pt>
                  <c:pt idx="125">
                    <c:v>1,22</c:v>
                  </c:pt>
                  <c:pt idx="126">
                    <c:v>1,22</c:v>
                  </c:pt>
                  <c:pt idx="127">
                    <c:v>1,22</c:v>
                  </c:pt>
                  <c:pt idx="128">
                    <c:v>1,22</c:v>
                  </c:pt>
                  <c:pt idx="129">
                    <c:v>1,22</c:v>
                  </c:pt>
                  <c:pt idx="130">
                    <c:v>1,22</c:v>
                  </c:pt>
                  <c:pt idx="131">
                    <c:v>1,22</c:v>
                  </c:pt>
                  <c:pt idx="132">
                    <c:v>1,22</c:v>
                  </c:pt>
                  <c:pt idx="133">
                    <c:v>1,22</c:v>
                  </c:pt>
                  <c:pt idx="134">
                    <c:v>1,22</c:v>
                  </c:pt>
                  <c:pt idx="135">
                    <c:v>1,22</c:v>
                  </c:pt>
                  <c:pt idx="136">
                    <c:v>1,22</c:v>
                  </c:pt>
                  <c:pt idx="137">
                    <c:v>1,22</c:v>
                  </c:pt>
                  <c:pt idx="138">
                    <c:v>1,22</c:v>
                  </c:pt>
                  <c:pt idx="139">
                    <c:v>1,22</c:v>
                  </c:pt>
                  <c:pt idx="140">
                    <c:v>1,22</c:v>
                  </c:pt>
                  <c:pt idx="141">
                    <c:v>1,22</c:v>
                  </c:pt>
                  <c:pt idx="142">
                    <c:v>1,22</c:v>
                  </c:pt>
                  <c:pt idx="143">
                    <c:v>1,22</c:v>
                  </c:pt>
                  <c:pt idx="144">
                    <c:v>1,22</c:v>
                  </c:pt>
                  <c:pt idx="145">
                    <c:v>1,22</c:v>
                  </c:pt>
                  <c:pt idx="146">
                    <c:v>1,22</c:v>
                  </c:pt>
                  <c:pt idx="147">
                    <c:v>1,22</c:v>
                  </c:pt>
                  <c:pt idx="148">
                    <c:v>1,22</c:v>
                  </c:pt>
                  <c:pt idx="149">
                    <c:v>1,22</c:v>
                  </c:pt>
                  <c:pt idx="150">
                    <c:v>1,22</c:v>
                  </c:pt>
                  <c:pt idx="151">
                    <c:v>1,22</c:v>
                  </c:pt>
                  <c:pt idx="152">
                    <c:v>1,22</c:v>
                  </c:pt>
                  <c:pt idx="153">
                    <c:v>1,22</c:v>
                  </c:pt>
                  <c:pt idx="154">
                    <c:v>1,22</c:v>
                  </c:pt>
                  <c:pt idx="155">
                    <c:v>1,22</c:v>
                  </c:pt>
                  <c:pt idx="156">
                    <c:v>1,22</c:v>
                  </c:pt>
                  <c:pt idx="157">
                    <c:v>1,22</c:v>
                  </c:pt>
                  <c:pt idx="158">
                    <c:v>1,22</c:v>
                  </c:pt>
                  <c:pt idx="159">
                    <c:v>1,22</c:v>
                  </c:pt>
                  <c:pt idx="160">
                    <c:v>1,22</c:v>
                  </c:pt>
                  <c:pt idx="161">
                    <c:v>1</c:v>
                  </c:pt>
                  <c:pt idx="162">
                    <c:v>1,22</c:v>
                  </c:pt>
                  <c:pt idx="163">
                    <c:v>1,22</c:v>
                  </c:pt>
                  <c:pt idx="164">
                    <c:v>1,22</c:v>
                  </c:pt>
                  <c:pt idx="165">
                    <c:v>1</c:v>
                  </c:pt>
                  <c:pt idx="166">
                    <c:v>1,22</c:v>
                  </c:pt>
                  <c:pt idx="167">
                    <c:v>1,22</c:v>
                  </c:pt>
                  <c:pt idx="168">
                    <c:v>1,22</c:v>
                  </c:pt>
                  <c:pt idx="169">
                    <c:v>1,22</c:v>
                  </c:pt>
                  <c:pt idx="170">
                    <c:v>1</c:v>
                  </c:pt>
                  <c:pt idx="171">
                    <c:v>1,22</c:v>
                  </c:pt>
                  <c:pt idx="172">
                    <c:v>1,22</c:v>
                  </c:pt>
                  <c:pt idx="173">
                    <c:v>1</c:v>
                  </c:pt>
                  <c:pt idx="174">
                    <c:v>1,22</c:v>
                  </c:pt>
                  <c:pt idx="175">
                    <c:v>1,22</c:v>
                  </c:pt>
                  <c:pt idx="176">
                    <c:v>1,22</c:v>
                  </c:pt>
                  <c:pt idx="177">
                    <c:v>1,22</c:v>
                  </c:pt>
                  <c:pt idx="178">
                    <c:v>1,22</c:v>
                  </c:pt>
                  <c:pt idx="179">
                    <c:v>1,22</c:v>
                  </c:pt>
                  <c:pt idx="180">
                    <c:v>1,22</c:v>
                  </c:pt>
                  <c:pt idx="181">
                    <c:v>1,22</c:v>
                  </c:pt>
                  <c:pt idx="182">
                    <c:v>1,22</c:v>
                  </c:pt>
                  <c:pt idx="183">
                    <c:v>1,22</c:v>
                  </c:pt>
                  <c:pt idx="184">
                    <c:v>1,22</c:v>
                  </c:pt>
                  <c:pt idx="185">
                    <c:v>1,22</c:v>
                  </c:pt>
                  <c:pt idx="186">
                    <c:v>1,22</c:v>
                  </c:pt>
                  <c:pt idx="187">
                    <c:v>1,22</c:v>
                  </c:pt>
                  <c:pt idx="188">
                    <c:v>1,22</c:v>
                  </c:pt>
                  <c:pt idx="189">
                    <c:v>1,22</c:v>
                  </c:pt>
                  <c:pt idx="190">
                    <c:v>1,22</c:v>
                  </c:pt>
                  <c:pt idx="191">
                    <c:v>1,22</c:v>
                  </c:pt>
                  <c:pt idx="192">
                    <c:v>1,22</c:v>
                  </c:pt>
                  <c:pt idx="193">
                    <c:v>1,22</c:v>
                  </c:pt>
                  <c:pt idx="194">
                    <c:v>1,22</c:v>
                  </c:pt>
                  <c:pt idx="195">
                    <c:v>1,22</c:v>
                  </c:pt>
                  <c:pt idx="196">
                    <c:v>1,22</c:v>
                  </c:pt>
                  <c:pt idx="197">
                    <c:v>1,22</c:v>
                  </c:pt>
                  <c:pt idx="198">
                    <c:v>1,22</c:v>
                  </c:pt>
                  <c:pt idx="199">
                    <c:v>1,22</c:v>
                  </c:pt>
                  <c:pt idx="200">
                    <c:v>1,22</c:v>
                  </c:pt>
                  <c:pt idx="201">
                    <c:v>1,22</c:v>
                  </c:pt>
                  <c:pt idx="202">
                    <c:v>1,22</c:v>
                  </c:pt>
                  <c:pt idx="203">
                    <c:v>1,22</c:v>
                  </c:pt>
                  <c:pt idx="204">
                    <c:v>1,22</c:v>
                  </c:pt>
                  <c:pt idx="205">
                    <c:v>1,22</c:v>
                  </c:pt>
                  <c:pt idx="206">
                    <c:v>1,22</c:v>
                  </c:pt>
                  <c:pt idx="207">
                    <c:v>1,22</c:v>
                  </c:pt>
                  <c:pt idx="208">
                    <c:v>1,22</c:v>
                  </c:pt>
                  <c:pt idx="209">
                    <c:v>1,22</c:v>
                  </c:pt>
                  <c:pt idx="210">
                    <c:v>1,22</c:v>
                  </c:pt>
                  <c:pt idx="211">
                    <c:v>1,22</c:v>
                  </c:pt>
                  <c:pt idx="212">
                    <c:v>1,22</c:v>
                  </c:pt>
                  <c:pt idx="213">
                    <c:v>1,22</c:v>
                  </c:pt>
                  <c:pt idx="214">
                    <c:v>1,22</c:v>
                  </c:pt>
                  <c:pt idx="215">
                    <c:v>1,22</c:v>
                  </c:pt>
                  <c:pt idx="216">
                    <c:v>1</c:v>
                  </c:pt>
                  <c:pt idx="217">
                    <c:v>1</c:v>
                  </c:pt>
                  <c:pt idx="218">
                    <c:v>1,22</c:v>
                  </c:pt>
                  <c:pt idx="219">
                    <c:v>1,22</c:v>
                  </c:pt>
                  <c:pt idx="220">
                    <c:v>1,22</c:v>
                  </c:pt>
                  <c:pt idx="221">
                    <c:v>1,22</c:v>
                  </c:pt>
                  <c:pt idx="222">
                    <c:v>1,22</c:v>
                  </c:pt>
                  <c:pt idx="223">
                    <c:v>1,22</c:v>
                  </c:pt>
                  <c:pt idx="224">
                    <c:v>1,22</c:v>
                  </c:pt>
                  <c:pt idx="225">
                    <c:v>1,22</c:v>
                  </c:pt>
                  <c:pt idx="226">
                    <c:v>1,22</c:v>
                  </c:pt>
                  <c:pt idx="227">
                    <c:v>1,22</c:v>
                  </c:pt>
                  <c:pt idx="228">
                    <c:v>1</c:v>
                  </c:pt>
                  <c:pt idx="229">
                    <c:v>1,22</c:v>
                  </c:pt>
                  <c:pt idx="230">
                    <c:v>1,22</c:v>
                  </c:pt>
                  <c:pt idx="231">
                    <c:v>1,22</c:v>
                  </c:pt>
                  <c:pt idx="232">
                    <c:v>1,22</c:v>
                  </c:pt>
                  <c:pt idx="233">
                    <c:v>1,22</c:v>
                  </c:pt>
                  <c:pt idx="234">
                    <c:v>1,22</c:v>
                  </c:pt>
                  <c:pt idx="235">
                    <c:v>1,22</c:v>
                  </c:pt>
                  <c:pt idx="236">
                    <c:v>1,22</c:v>
                  </c:pt>
                  <c:pt idx="237">
                    <c:v>1,22</c:v>
                  </c:pt>
                  <c:pt idx="238">
                    <c:v>1,22</c:v>
                  </c:pt>
                  <c:pt idx="239">
                    <c:v>1,22</c:v>
                  </c:pt>
                  <c:pt idx="240">
                    <c:v>1,22</c:v>
                  </c:pt>
                  <c:pt idx="241">
                    <c:v>1,22</c:v>
                  </c:pt>
                  <c:pt idx="242">
                    <c:v>1,22</c:v>
                  </c:pt>
                  <c:pt idx="243">
                    <c:v>1,22</c:v>
                  </c:pt>
                  <c:pt idx="244">
                    <c:v>1,22</c:v>
                  </c:pt>
                  <c:pt idx="245">
                    <c:v>1,22</c:v>
                  </c:pt>
                  <c:pt idx="246">
                    <c:v>1,22</c:v>
                  </c:pt>
                  <c:pt idx="247">
                    <c:v>1</c:v>
                  </c:pt>
                  <c:pt idx="248">
                    <c:v>1,22</c:v>
                  </c:pt>
                  <c:pt idx="249">
                    <c:v>1,22</c:v>
                  </c:pt>
                  <c:pt idx="250">
                    <c:v>1,22</c:v>
                  </c:pt>
                  <c:pt idx="251">
                    <c:v>1</c:v>
                  </c:pt>
                  <c:pt idx="252">
                    <c:v>1,22</c:v>
                  </c:pt>
                  <c:pt idx="253">
                    <c:v>1,22</c:v>
                  </c:pt>
                  <c:pt idx="254">
                    <c:v>1,22</c:v>
                  </c:pt>
                  <c:pt idx="255">
                    <c:v>1,22</c:v>
                  </c:pt>
                  <c:pt idx="256">
                    <c:v>1,22</c:v>
                  </c:pt>
                  <c:pt idx="257">
                    <c:v>1,22</c:v>
                  </c:pt>
                  <c:pt idx="258">
                    <c:v>1,22</c:v>
                  </c:pt>
                  <c:pt idx="259">
                    <c:v>1,22</c:v>
                  </c:pt>
                  <c:pt idx="260">
                    <c:v>1,22</c:v>
                  </c:pt>
                  <c:pt idx="261">
                    <c:v>1,22</c:v>
                  </c:pt>
                  <c:pt idx="262">
                    <c:v>1,22</c:v>
                  </c:pt>
                  <c:pt idx="263">
                    <c:v>1</c:v>
                  </c:pt>
                  <c:pt idx="264">
                    <c:v>1</c:v>
                  </c:pt>
                  <c:pt idx="265">
                    <c:v>1</c:v>
                  </c:pt>
                  <c:pt idx="266">
                    <c:v>1</c:v>
                  </c:pt>
                  <c:pt idx="267">
                    <c:v>1</c:v>
                  </c:pt>
                  <c:pt idx="268">
                    <c:v>1,22</c:v>
                  </c:pt>
                  <c:pt idx="269">
                    <c:v>1,22</c:v>
                  </c:pt>
                  <c:pt idx="270">
                    <c:v>1,22</c:v>
                  </c:pt>
                  <c:pt idx="271">
                    <c:v>1,22</c:v>
                  </c:pt>
                  <c:pt idx="272">
                    <c:v>1,22</c:v>
                  </c:pt>
                  <c:pt idx="273">
                    <c:v>1</c:v>
                  </c:pt>
                  <c:pt idx="274">
                    <c:v>1,22</c:v>
                  </c:pt>
                  <c:pt idx="275">
                    <c:v>1,22</c:v>
                  </c:pt>
                  <c:pt idx="276">
                    <c:v>1,22</c:v>
                  </c:pt>
                  <c:pt idx="277">
                    <c:v>1,22</c:v>
                  </c:pt>
                  <c:pt idx="278">
                    <c:v>1,22</c:v>
                  </c:pt>
                  <c:pt idx="279">
                    <c:v>1,22</c:v>
                  </c:pt>
                  <c:pt idx="280">
                    <c:v>1,22</c:v>
                  </c:pt>
                  <c:pt idx="281">
                    <c:v>1,22</c:v>
                  </c:pt>
                  <c:pt idx="282">
                    <c:v>1,22</c:v>
                  </c:pt>
                  <c:pt idx="283">
                    <c:v>1,22</c:v>
                  </c:pt>
                  <c:pt idx="284">
                    <c:v>1,22</c:v>
                  </c:pt>
                  <c:pt idx="285">
                    <c:v>1,22</c:v>
                  </c:pt>
                  <c:pt idx="286">
                    <c:v>1,22</c:v>
                  </c:pt>
                  <c:pt idx="287">
                    <c:v>1,22</c:v>
                  </c:pt>
                  <c:pt idx="288">
                    <c:v>1,22</c:v>
                  </c:pt>
                  <c:pt idx="289">
                    <c:v>1,22</c:v>
                  </c:pt>
                  <c:pt idx="290">
                    <c:v>1,22</c:v>
                  </c:pt>
                  <c:pt idx="291">
                    <c:v>1,22</c:v>
                  </c:pt>
                  <c:pt idx="292">
                    <c:v>1,22</c:v>
                  </c:pt>
                  <c:pt idx="293">
                    <c:v>1,22</c:v>
                  </c:pt>
                  <c:pt idx="294">
                    <c:v>1,22</c:v>
                  </c:pt>
                  <c:pt idx="295">
                    <c:v>1,22</c:v>
                  </c:pt>
                  <c:pt idx="296">
                    <c:v>1,22</c:v>
                  </c:pt>
                  <c:pt idx="297">
                    <c:v>1,22</c:v>
                  </c:pt>
                  <c:pt idx="298">
                    <c:v>1,22</c:v>
                  </c:pt>
                  <c:pt idx="299">
                    <c:v>1</c:v>
                  </c:pt>
                  <c:pt idx="300">
                    <c:v>1</c:v>
                  </c:pt>
                  <c:pt idx="301">
                    <c:v>1</c:v>
                  </c:pt>
                  <c:pt idx="302">
                    <c:v>1</c:v>
                  </c:pt>
                  <c:pt idx="303">
                    <c:v>1</c:v>
                  </c:pt>
                  <c:pt idx="304">
                    <c:v>1</c:v>
                  </c:pt>
                  <c:pt idx="305">
                    <c:v>1</c:v>
                  </c:pt>
                  <c:pt idx="306">
                    <c:v>1</c:v>
                  </c:pt>
                  <c:pt idx="307">
                    <c:v>1</c:v>
                  </c:pt>
                  <c:pt idx="308">
                    <c:v>1</c:v>
                  </c:pt>
                  <c:pt idx="309">
                    <c:v>1,22</c:v>
                  </c:pt>
                  <c:pt idx="310">
                    <c:v>1,22</c:v>
                  </c:pt>
                  <c:pt idx="311">
                    <c:v>1,22</c:v>
                  </c:pt>
                  <c:pt idx="312">
                    <c:v>1,22</c:v>
                  </c:pt>
                  <c:pt idx="313">
                    <c:v>1,22</c:v>
                  </c:pt>
                  <c:pt idx="314">
                    <c:v>1,22</c:v>
                  </c:pt>
                  <c:pt idx="315">
                    <c:v>1,22</c:v>
                  </c:pt>
                  <c:pt idx="316">
                    <c:v>1</c:v>
                  </c:pt>
                  <c:pt idx="317">
                    <c:v>1,22</c:v>
                  </c:pt>
                  <c:pt idx="318">
                    <c:v>1</c:v>
                  </c:pt>
                  <c:pt idx="319">
                    <c:v>1</c:v>
                  </c:pt>
                  <c:pt idx="320">
                    <c:v>1,22</c:v>
                  </c:pt>
                  <c:pt idx="321">
                    <c:v>1,22</c:v>
                  </c:pt>
                  <c:pt idx="322">
                    <c:v>1,22</c:v>
                  </c:pt>
                  <c:pt idx="323">
                    <c:v>1,22</c:v>
                  </c:pt>
                  <c:pt idx="324">
                    <c:v>1,22</c:v>
                  </c:pt>
                  <c:pt idx="325">
                    <c:v>1,22</c:v>
                  </c:pt>
                  <c:pt idx="326">
                    <c:v>1,22</c:v>
                  </c:pt>
                  <c:pt idx="327">
                    <c:v>1</c:v>
                  </c:pt>
                  <c:pt idx="328">
                    <c:v>1,22</c:v>
                  </c:pt>
                  <c:pt idx="329">
                    <c:v>1,22</c:v>
                  </c:pt>
                  <c:pt idx="330">
                    <c:v>1,22</c:v>
                  </c:pt>
                  <c:pt idx="331">
                    <c:v>1,22</c:v>
                  </c:pt>
                  <c:pt idx="332">
                    <c:v>1,22</c:v>
                  </c:pt>
                  <c:pt idx="333">
                    <c:v>1,22</c:v>
                  </c:pt>
                  <c:pt idx="334">
                    <c:v>1,22</c:v>
                  </c:pt>
                  <c:pt idx="335">
                    <c:v>1,22</c:v>
                  </c:pt>
                  <c:pt idx="336">
                    <c:v>1,22</c:v>
                  </c:pt>
                  <c:pt idx="337">
                    <c:v>1,22</c:v>
                  </c:pt>
                  <c:pt idx="338">
                    <c:v>1,22</c:v>
                  </c:pt>
                  <c:pt idx="339">
                    <c:v>1,22</c:v>
                  </c:pt>
                  <c:pt idx="340">
                    <c:v>1,22</c:v>
                  </c:pt>
                  <c:pt idx="341">
                    <c:v>1,22</c:v>
                  </c:pt>
                  <c:pt idx="342">
                    <c:v>1,22</c:v>
                  </c:pt>
                  <c:pt idx="343">
                    <c:v>1,22</c:v>
                  </c:pt>
                  <c:pt idx="344">
                    <c:v>1,22</c:v>
                  </c:pt>
                  <c:pt idx="345">
                    <c:v>1,22</c:v>
                  </c:pt>
                  <c:pt idx="346">
                    <c:v>1,22</c:v>
                  </c:pt>
                  <c:pt idx="347">
                    <c:v>1,22</c:v>
                  </c:pt>
                  <c:pt idx="348">
                    <c:v>1,22</c:v>
                  </c:pt>
                  <c:pt idx="349">
                    <c:v>1,22</c:v>
                  </c:pt>
                  <c:pt idx="350">
                    <c:v>1,22</c:v>
                  </c:pt>
                  <c:pt idx="351">
                    <c:v>1,22</c:v>
                  </c:pt>
                  <c:pt idx="352">
                    <c:v>1,22</c:v>
                  </c:pt>
                  <c:pt idx="353">
                    <c:v>1,22</c:v>
                  </c:pt>
                  <c:pt idx="354">
                    <c:v>1,22</c:v>
                  </c:pt>
                  <c:pt idx="355">
                    <c:v>1,22</c:v>
                  </c:pt>
                  <c:pt idx="356">
                    <c:v>1</c:v>
                  </c:pt>
                  <c:pt idx="357">
                    <c:v>1,22</c:v>
                  </c:pt>
                  <c:pt idx="358">
                    <c:v>1,22</c:v>
                  </c:pt>
                  <c:pt idx="359">
                    <c:v>1,22</c:v>
                  </c:pt>
                  <c:pt idx="360">
                    <c:v>1,22</c:v>
                  </c:pt>
                  <c:pt idx="361">
                    <c:v>1,22</c:v>
                  </c:pt>
                  <c:pt idx="362">
                    <c:v>1,22</c:v>
                  </c:pt>
                  <c:pt idx="363">
                    <c:v>1,22</c:v>
                  </c:pt>
                  <c:pt idx="364">
                    <c:v>1,22</c:v>
                  </c:pt>
                  <c:pt idx="365">
                    <c:v>1,22</c:v>
                  </c:pt>
                  <c:pt idx="366">
                    <c:v>1,22</c:v>
                  </c:pt>
                  <c:pt idx="367">
                    <c:v>1,22</c:v>
                  </c:pt>
                  <c:pt idx="368">
                    <c:v>1,22</c:v>
                  </c:pt>
                  <c:pt idx="369">
                    <c:v>1,22</c:v>
                  </c:pt>
                  <c:pt idx="370">
                    <c:v>1,22</c:v>
                  </c:pt>
                  <c:pt idx="371">
                    <c:v>1,22</c:v>
                  </c:pt>
                  <c:pt idx="372">
                    <c:v>1,22</c:v>
                  </c:pt>
                  <c:pt idx="373">
                    <c:v>1,22</c:v>
                  </c:pt>
                  <c:pt idx="374">
                    <c:v>1,22</c:v>
                  </c:pt>
                  <c:pt idx="375">
                    <c:v>1,22</c:v>
                  </c:pt>
                  <c:pt idx="376">
                    <c:v>1,22</c:v>
                  </c:pt>
                  <c:pt idx="377">
                    <c:v>1,22</c:v>
                  </c:pt>
                  <c:pt idx="378">
                    <c:v>1,22</c:v>
                  </c:pt>
                  <c:pt idx="379">
                    <c:v>1,22</c:v>
                  </c:pt>
                  <c:pt idx="380">
                    <c:v>1,22</c:v>
                  </c:pt>
                  <c:pt idx="381">
                    <c:v>1,22</c:v>
                  </c:pt>
                  <c:pt idx="382">
                    <c:v>1,22</c:v>
                  </c:pt>
                  <c:pt idx="383">
                    <c:v>1</c:v>
                  </c:pt>
                  <c:pt idx="384">
                    <c:v>1</c:v>
                  </c:pt>
                  <c:pt idx="385">
                    <c:v>1,22</c:v>
                  </c:pt>
                  <c:pt idx="386">
                    <c:v>1,22</c:v>
                  </c:pt>
                  <c:pt idx="387">
                    <c:v>1,22</c:v>
                  </c:pt>
                  <c:pt idx="388">
                    <c:v>1,22</c:v>
                  </c:pt>
                  <c:pt idx="389">
                    <c:v>1,22</c:v>
                  </c:pt>
                  <c:pt idx="390">
                    <c:v>1,22</c:v>
                  </c:pt>
                  <c:pt idx="391">
                    <c:v>1,22</c:v>
                  </c:pt>
                  <c:pt idx="392">
                    <c:v>1,22</c:v>
                  </c:pt>
                  <c:pt idx="393">
                    <c:v>1,22</c:v>
                  </c:pt>
                  <c:pt idx="394">
                    <c:v>1,22</c:v>
                  </c:pt>
                  <c:pt idx="395">
                    <c:v>1,22</c:v>
                  </c:pt>
                  <c:pt idx="396">
                    <c:v>1,22</c:v>
                  </c:pt>
                  <c:pt idx="397">
                    <c:v>1,22</c:v>
                  </c:pt>
                  <c:pt idx="398">
                    <c:v>1,22</c:v>
                  </c:pt>
                  <c:pt idx="399">
                    <c:v>1,22</c:v>
                  </c:pt>
                  <c:pt idx="400">
                    <c:v>1,22</c:v>
                  </c:pt>
                  <c:pt idx="401">
                    <c:v>1,22</c:v>
                  </c:pt>
                  <c:pt idx="402">
                    <c:v>1,22</c:v>
                  </c:pt>
                  <c:pt idx="403">
                    <c:v>1,22</c:v>
                  </c:pt>
                  <c:pt idx="404">
                    <c:v>1,22</c:v>
                  </c:pt>
                  <c:pt idx="405">
                    <c:v>1,22</c:v>
                  </c:pt>
                  <c:pt idx="406">
                    <c:v>1,22</c:v>
                  </c:pt>
                  <c:pt idx="407">
                    <c:v>1,22</c:v>
                  </c:pt>
                  <c:pt idx="408">
                    <c:v>1,22</c:v>
                  </c:pt>
                  <c:pt idx="409">
                    <c:v>1,22</c:v>
                  </c:pt>
                  <c:pt idx="410">
                    <c:v>1,22</c:v>
                  </c:pt>
                  <c:pt idx="411">
                    <c:v>1,22</c:v>
                  </c:pt>
                  <c:pt idx="412">
                    <c:v>1,22</c:v>
                  </c:pt>
                  <c:pt idx="413">
                    <c:v>1,22</c:v>
                  </c:pt>
                  <c:pt idx="414">
                    <c:v>1,22</c:v>
                  </c:pt>
                  <c:pt idx="415">
                    <c:v>1,22</c:v>
                  </c:pt>
                  <c:pt idx="416">
                    <c:v>1</c:v>
                  </c:pt>
                  <c:pt idx="417">
                    <c:v>1</c:v>
                  </c:pt>
                  <c:pt idx="418">
                    <c:v>1,22</c:v>
                  </c:pt>
                  <c:pt idx="419">
                    <c:v>1</c:v>
                  </c:pt>
                  <c:pt idx="420">
                    <c:v>1</c:v>
                  </c:pt>
                  <c:pt idx="421">
                    <c:v>1,22</c:v>
                  </c:pt>
                  <c:pt idx="422">
                    <c:v>1,22</c:v>
                  </c:pt>
                  <c:pt idx="423">
                    <c:v>1,22</c:v>
                  </c:pt>
                  <c:pt idx="424">
                    <c:v>1,2</c:v>
                  </c:pt>
                  <c:pt idx="425">
                    <c:v>1,2</c:v>
                  </c:pt>
                  <c:pt idx="426">
                    <c:v>1,2</c:v>
                  </c:pt>
                  <c:pt idx="427">
                    <c:v>1,2</c:v>
                  </c:pt>
                  <c:pt idx="428">
                    <c:v>1,22</c:v>
                  </c:pt>
                  <c:pt idx="429">
                    <c:v>1,22</c:v>
                  </c:pt>
                  <c:pt idx="430">
                    <c:v>1,22</c:v>
                  </c:pt>
                  <c:pt idx="431">
                    <c:v>1,22</c:v>
                  </c:pt>
                  <c:pt idx="432">
                    <c:v>1,22</c:v>
                  </c:pt>
                  <c:pt idx="433">
                    <c:v>1,22</c:v>
                  </c:pt>
                  <c:pt idx="434">
                    <c:v>1,22</c:v>
                  </c:pt>
                  <c:pt idx="435">
                    <c:v>1,22</c:v>
                  </c:pt>
                  <c:pt idx="436">
                    <c:v>1,22</c:v>
                  </c:pt>
                  <c:pt idx="437">
                    <c:v>1,22</c:v>
                  </c:pt>
                  <c:pt idx="438">
                    <c:v>1,22</c:v>
                  </c:pt>
                  <c:pt idx="439">
                    <c:v>1,22</c:v>
                  </c:pt>
                  <c:pt idx="440">
                    <c:v>1,22</c:v>
                  </c:pt>
                  <c:pt idx="441">
                    <c:v>1,22</c:v>
                  </c:pt>
                  <c:pt idx="442">
                    <c:v>1,22</c:v>
                  </c:pt>
                  <c:pt idx="443">
                    <c:v>1,22</c:v>
                  </c:pt>
                  <c:pt idx="444">
                    <c:v>1,22</c:v>
                  </c:pt>
                  <c:pt idx="445">
                    <c:v>1,22</c:v>
                  </c:pt>
                  <c:pt idx="446">
                    <c:v>1,22</c:v>
                  </c:pt>
                  <c:pt idx="447">
                    <c:v>1,22</c:v>
                  </c:pt>
                  <c:pt idx="448">
                    <c:v>1,22</c:v>
                  </c:pt>
                  <c:pt idx="449">
                    <c:v>1,22</c:v>
                  </c:pt>
                  <c:pt idx="450">
                    <c:v>1,22</c:v>
                  </c:pt>
                  <c:pt idx="451">
                    <c:v>1,22</c:v>
                  </c:pt>
                  <c:pt idx="452">
                    <c:v>1,22</c:v>
                  </c:pt>
                  <c:pt idx="453">
                    <c:v>1,22</c:v>
                  </c:pt>
                  <c:pt idx="454">
                    <c:v>1,22</c:v>
                  </c:pt>
                  <c:pt idx="455">
                    <c:v>1,22</c:v>
                  </c:pt>
                  <c:pt idx="456">
                    <c:v>1,22</c:v>
                  </c:pt>
                  <c:pt idx="457">
                    <c:v>1,22</c:v>
                  </c:pt>
                  <c:pt idx="458">
                    <c:v>1,22</c:v>
                  </c:pt>
                  <c:pt idx="459">
                    <c:v>1,22</c:v>
                  </c:pt>
                  <c:pt idx="460">
                    <c:v>1,22</c:v>
                  </c:pt>
                  <c:pt idx="461">
                    <c:v>1,22</c:v>
                  </c:pt>
                  <c:pt idx="462">
                    <c:v>1</c:v>
                  </c:pt>
                  <c:pt idx="463">
                    <c:v>1,22</c:v>
                  </c:pt>
                  <c:pt idx="464">
                    <c:v>1,22</c:v>
                  </c:pt>
                  <c:pt idx="465">
                    <c:v>1,22</c:v>
                  </c:pt>
                  <c:pt idx="466">
                    <c:v>1,22</c:v>
                  </c:pt>
                  <c:pt idx="467">
                    <c:v>1,22</c:v>
                  </c:pt>
                  <c:pt idx="468">
                    <c:v>1,22</c:v>
                  </c:pt>
                  <c:pt idx="469">
                    <c:v>1,22</c:v>
                  </c:pt>
                  <c:pt idx="470">
                    <c:v>1,22</c:v>
                  </c:pt>
                  <c:pt idx="471">
                    <c:v>1,22</c:v>
                  </c:pt>
                  <c:pt idx="472">
                    <c:v>1,22</c:v>
                  </c:pt>
                  <c:pt idx="473">
                    <c:v>1,22</c:v>
                  </c:pt>
                  <c:pt idx="474">
                    <c:v>1</c:v>
                  </c:pt>
                  <c:pt idx="475">
                    <c:v>1</c:v>
                  </c:pt>
                  <c:pt idx="476">
                    <c:v>1,22</c:v>
                  </c:pt>
                  <c:pt idx="477">
                    <c:v>1,22</c:v>
                  </c:pt>
                  <c:pt idx="478">
                    <c:v>1,22</c:v>
                  </c:pt>
                  <c:pt idx="479">
                    <c:v>1,22</c:v>
                  </c:pt>
                  <c:pt idx="480">
                    <c:v>1,22</c:v>
                  </c:pt>
                  <c:pt idx="481">
                    <c:v>1,22</c:v>
                  </c:pt>
                  <c:pt idx="482">
                    <c:v>1,22</c:v>
                  </c:pt>
                  <c:pt idx="483">
                    <c:v>1,22</c:v>
                  </c:pt>
                  <c:pt idx="484">
                    <c:v>1,22</c:v>
                  </c:pt>
                  <c:pt idx="486">
                    <c:v>1,22</c:v>
                  </c:pt>
                  <c:pt idx="487">
                    <c:v>1,22</c:v>
                  </c:pt>
                  <c:pt idx="488">
                    <c:v>1,22</c:v>
                  </c:pt>
                  <c:pt idx="489">
                    <c:v>1,22</c:v>
                  </c:pt>
                  <c:pt idx="490">
                    <c:v>1,22</c:v>
                  </c:pt>
                  <c:pt idx="491">
                    <c:v>1,22</c:v>
                  </c:pt>
                  <c:pt idx="492">
                    <c:v>1,22</c:v>
                  </c:pt>
                  <c:pt idx="493">
                    <c:v>1,22</c:v>
                  </c:pt>
                  <c:pt idx="495">
                    <c:v>1</c:v>
                  </c:pt>
                  <c:pt idx="496">
                    <c:v>1,22</c:v>
                  </c:pt>
                  <c:pt idx="497">
                    <c:v>1,22</c:v>
                  </c:pt>
                  <c:pt idx="498">
                    <c:v>1,22</c:v>
                  </c:pt>
                  <c:pt idx="499">
                    <c:v>1,22</c:v>
                  </c:pt>
                  <c:pt idx="500">
                    <c:v>1,22</c:v>
                  </c:pt>
                  <c:pt idx="501">
                    <c:v>1,22</c:v>
                  </c:pt>
                  <c:pt idx="502">
                    <c:v>1,22</c:v>
                  </c:pt>
                  <c:pt idx="503">
                    <c:v>1,22</c:v>
                  </c:pt>
                  <c:pt idx="504">
                    <c:v>1,22</c:v>
                  </c:pt>
                  <c:pt idx="505">
                    <c:v>1,22</c:v>
                  </c:pt>
                  <c:pt idx="506">
                    <c:v>1,22</c:v>
                  </c:pt>
                  <c:pt idx="507">
                    <c:v>1,22</c:v>
                  </c:pt>
                  <c:pt idx="508">
                    <c:v>1,22</c:v>
                  </c:pt>
                  <c:pt idx="509">
                    <c:v>1,22</c:v>
                  </c:pt>
                  <c:pt idx="510">
                    <c:v>1,22</c:v>
                  </c:pt>
                  <c:pt idx="511">
                    <c:v>1,22</c:v>
                  </c:pt>
                  <c:pt idx="512">
                    <c:v>1,22</c:v>
                  </c:pt>
                  <c:pt idx="513">
                    <c:v>1,22</c:v>
                  </c:pt>
                  <c:pt idx="514">
                    <c:v>1,22</c:v>
                  </c:pt>
                  <c:pt idx="515">
                    <c:v>1,22</c:v>
                  </c:pt>
                  <c:pt idx="516">
                    <c:v>1,22</c:v>
                  </c:pt>
                  <c:pt idx="517">
                    <c:v>1,22</c:v>
                  </c:pt>
                  <c:pt idx="518">
                    <c:v>1,22</c:v>
                  </c:pt>
                  <c:pt idx="519">
                    <c:v>1,22</c:v>
                  </c:pt>
                  <c:pt idx="520">
                    <c:v>1,22</c:v>
                  </c:pt>
                  <c:pt idx="521">
                    <c:v>1</c:v>
                  </c:pt>
                  <c:pt idx="522">
                    <c:v>1,22</c:v>
                  </c:pt>
                  <c:pt idx="524">
                    <c:v>1,22</c:v>
                  </c:pt>
                  <c:pt idx="525">
                    <c:v>1</c:v>
                  </c:pt>
                  <c:pt idx="526">
                    <c:v>1,22</c:v>
                  </c:pt>
                  <c:pt idx="527">
                    <c:v>1,22</c:v>
                  </c:pt>
                  <c:pt idx="528">
                    <c:v>1,22</c:v>
                  </c:pt>
                  <c:pt idx="529">
                    <c:v>1,22</c:v>
                  </c:pt>
                  <c:pt idx="530">
                    <c:v>1,22</c:v>
                  </c:pt>
                  <c:pt idx="531">
                    <c:v>1,22</c:v>
                  </c:pt>
                  <c:pt idx="532">
                    <c:v>1,22</c:v>
                  </c:pt>
                  <c:pt idx="534">
                    <c:v>1,22</c:v>
                  </c:pt>
                  <c:pt idx="535">
                    <c:v>1,22</c:v>
                  </c:pt>
                  <c:pt idx="536">
                    <c:v>1,22</c:v>
                  </c:pt>
                  <c:pt idx="537">
                    <c:v>1,22</c:v>
                  </c:pt>
                  <c:pt idx="538">
                    <c:v>1,22</c:v>
                  </c:pt>
                  <c:pt idx="539">
                    <c:v>1,22</c:v>
                  </c:pt>
                  <c:pt idx="540">
                    <c:v>1,22</c:v>
                  </c:pt>
                  <c:pt idx="541">
                    <c:v>1,22</c:v>
                  </c:pt>
                  <c:pt idx="542">
                    <c:v>1,22</c:v>
                  </c:pt>
                  <c:pt idx="543">
                    <c:v>1,22</c:v>
                  </c:pt>
                  <c:pt idx="544">
                    <c:v>1,22</c:v>
                  </c:pt>
                  <c:pt idx="545">
                    <c:v>1,22</c:v>
                  </c:pt>
                  <c:pt idx="546">
                    <c:v>1,22</c:v>
                  </c:pt>
                  <c:pt idx="547">
                    <c:v>1,22</c:v>
                  </c:pt>
                  <c:pt idx="548">
                    <c:v>1,22</c:v>
                  </c:pt>
                  <c:pt idx="549">
                    <c:v>1</c:v>
                  </c:pt>
                  <c:pt idx="552">
                    <c:v>1,22</c:v>
                  </c:pt>
                  <c:pt idx="553">
                    <c:v>1,22</c:v>
                  </c:pt>
                  <c:pt idx="554">
                    <c:v>1</c:v>
                  </c:pt>
                  <c:pt idx="555">
                    <c:v>1,22</c:v>
                  </c:pt>
                  <c:pt idx="556">
                    <c:v>1,22</c:v>
                  </c:pt>
                  <c:pt idx="557">
                    <c:v>1,22</c:v>
                  </c:pt>
                  <c:pt idx="558">
                    <c:v>1</c:v>
                  </c:pt>
                  <c:pt idx="559">
                    <c:v>1,22</c:v>
                  </c:pt>
                  <c:pt idx="560">
                    <c:v>1,22</c:v>
                  </c:pt>
                  <c:pt idx="561">
                    <c:v>1,22</c:v>
                  </c:pt>
                  <c:pt idx="562">
                    <c:v>1,22</c:v>
                  </c:pt>
                  <c:pt idx="563">
                    <c:v>1,22</c:v>
                  </c:pt>
                  <c:pt idx="564">
                    <c:v>1,22</c:v>
                  </c:pt>
                  <c:pt idx="565">
                    <c:v>1,22</c:v>
                  </c:pt>
                  <c:pt idx="566">
                    <c:v>1</c:v>
                  </c:pt>
                  <c:pt idx="567">
                    <c:v>1,22</c:v>
                  </c:pt>
                  <c:pt idx="568">
                    <c:v>1,22</c:v>
                  </c:pt>
                  <c:pt idx="569">
                    <c:v>1,22</c:v>
                  </c:pt>
                  <c:pt idx="570">
                    <c:v>1,22</c:v>
                  </c:pt>
                  <c:pt idx="571">
                    <c:v>1,22</c:v>
                  </c:pt>
                  <c:pt idx="572">
                    <c:v>1,22</c:v>
                  </c:pt>
                  <c:pt idx="573">
                    <c:v>1,22</c:v>
                  </c:pt>
                  <c:pt idx="574">
                    <c:v>1,22</c:v>
                  </c:pt>
                  <c:pt idx="575">
                    <c:v>1,22</c:v>
                  </c:pt>
                  <c:pt idx="576">
                    <c:v>1,22</c:v>
                  </c:pt>
                  <c:pt idx="577">
                    <c:v>1,22</c:v>
                  </c:pt>
                  <c:pt idx="579">
                    <c:v>1,22</c:v>
                  </c:pt>
                  <c:pt idx="580">
                    <c:v>1,22</c:v>
                  </c:pt>
                  <c:pt idx="582">
                    <c:v>1,22</c:v>
                  </c:pt>
                  <c:pt idx="583">
                    <c:v>1,22</c:v>
                  </c:pt>
                  <c:pt idx="584">
                    <c:v>1</c:v>
                  </c:pt>
                  <c:pt idx="585">
                    <c:v>1,22</c:v>
                  </c:pt>
                  <c:pt idx="586">
                    <c:v>1,22</c:v>
                  </c:pt>
                  <c:pt idx="587">
                    <c:v>1,22</c:v>
                  </c:pt>
                  <c:pt idx="588">
                    <c:v>1,22</c:v>
                  </c:pt>
                  <c:pt idx="589">
                    <c:v>1</c:v>
                  </c:pt>
                  <c:pt idx="590">
                    <c:v>1</c:v>
                  </c:pt>
                  <c:pt idx="591">
                    <c:v>1</c:v>
                  </c:pt>
                  <c:pt idx="592">
                    <c:v>1</c:v>
                  </c:pt>
                  <c:pt idx="593">
                    <c:v>1,22</c:v>
                  </c:pt>
                  <c:pt idx="594">
                    <c:v>1</c:v>
                  </c:pt>
                  <c:pt idx="595">
                    <c:v>1</c:v>
                  </c:pt>
                  <c:pt idx="596">
                    <c:v>1</c:v>
                  </c:pt>
                  <c:pt idx="597">
                    <c:v>1</c:v>
                  </c:pt>
                  <c:pt idx="598">
                    <c:v>1</c:v>
                  </c:pt>
                  <c:pt idx="599">
                    <c:v>1</c:v>
                  </c:pt>
                  <c:pt idx="600">
                    <c:v>1</c:v>
                  </c:pt>
                  <c:pt idx="601">
                    <c:v>1</c:v>
                  </c:pt>
                  <c:pt idx="602">
                    <c:v>1,12</c:v>
                  </c:pt>
                  <c:pt idx="603">
                    <c:v>1,12</c:v>
                  </c:pt>
                  <c:pt idx="604">
                    <c:v>1,22</c:v>
                  </c:pt>
                  <c:pt idx="605">
                    <c:v>1,22</c:v>
                  </c:pt>
                  <c:pt idx="606">
                    <c:v>1,22</c:v>
                  </c:pt>
                  <c:pt idx="607">
                    <c:v>1,22</c:v>
                  </c:pt>
                  <c:pt idx="608">
                    <c:v>1,22</c:v>
                  </c:pt>
                  <c:pt idx="609">
                    <c:v>1,22</c:v>
                  </c:pt>
                  <c:pt idx="610">
                    <c:v>1,22</c:v>
                  </c:pt>
                  <c:pt idx="611">
                    <c:v>1,22</c:v>
                  </c:pt>
                  <c:pt idx="612">
                    <c:v>1,22</c:v>
                  </c:pt>
                  <c:pt idx="613">
                    <c:v>1,22</c:v>
                  </c:pt>
                  <c:pt idx="614">
                    <c:v>1,22</c:v>
                  </c:pt>
                  <c:pt idx="615">
                    <c:v>1,22</c:v>
                  </c:pt>
                  <c:pt idx="616">
                    <c:v>1,22</c:v>
                  </c:pt>
                  <c:pt idx="617">
                    <c:v>1,22</c:v>
                  </c:pt>
                  <c:pt idx="618">
                    <c:v>1,22</c:v>
                  </c:pt>
                  <c:pt idx="619">
                    <c:v>1,22</c:v>
                  </c:pt>
                  <c:pt idx="620">
                    <c:v>1,22</c:v>
                  </c:pt>
                  <c:pt idx="621">
                    <c:v>1,22</c:v>
                  </c:pt>
                  <c:pt idx="622">
                    <c:v>1,22</c:v>
                  </c:pt>
                  <c:pt idx="623">
                    <c:v>1,22</c:v>
                  </c:pt>
                  <c:pt idx="624">
                    <c:v>1,22</c:v>
                  </c:pt>
                  <c:pt idx="625">
                    <c:v>1,22</c:v>
                  </c:pt>
                  <c:pt idx="626">
                    <c:v>1,22</c:v>
                  </c:pt>
                  <c:pt idx="627">
                    <c:v>1,22</c:v>
                  </c:pt>
                  <c:pt idx="628">
                    <c:v>1,22</c:v>
                  </c:pt>
                  <c:pt idx="629">
                    <c:v>1,22</c:v>
                  </c:pt>
                  <c:pt idx="630">
                    <c:v>1,22</c:v>
                  </c:pt>
                  <c:pt idx="631">
                    <c:v>1,22</c:v>
                  </c:pt>
                  <c:pt idx="632">
                    <c:v>1,22</c:v>
                  </c:pt>
                  <c:pt idx="633">
                    <c:v>1,22</c:v>
                  </c:pt>
                  <c:pt idx="634">
                    <c:v>1,22</c:v>
                  </c:pt>
                  <c:pt idx="635">
                    <c:v>1,22</c:v>
                  </c:pt>
                  <c:pt idx="636">
                    <c:v>1,22</c:v>
                  </c:pt>
                  <c:pt idx="637">
                    <c:v>1,22</c:v>
                  </c:pt>
                  <c:pt idx="638">
                    <c:v>1,22</c:v>
                  </c:pt>
                  <c:pt idx="639">
                    <c:v>1,22</c:v>
                  </c:pt>
                  <c:pt idx="640">
                    <c:v>1,22</c:v>
                  </c:pt>
                  <c:pt idx="641">
                    <c:v>1</c:v>
                  </c:pt>
                  <c:pt idx="642">
                    <c:v>1,22</c:v>
                  </c:pt>
                  <c:pt idx="643">
                    <c:v>1,22</c:v>
                  </c:pt>
                  <c:pt idx="644">
                    <c:v>1,22</c:v>
                  </c:pt>
                  <c:pt idx="645">
                    <c:v>1,22</c:v>
                  </c:pt>
                  <c:pt idx="646">
                    <c:v>1,22</c:v>
                  </c:pt>
                  <c:pt idx="647">
                    <c:v>1,22</c:v>
                  </c:pt>
                  <c:pt idx="648">
                    <c:v>1,22</c:v>
                  </c:pt>
                  <c:pt idx="649">
                    <c:v>1,22</c:v>
                  </c:pt>
                  <c:pt idx="650">
                    <c:v>1,22</c:v>
                  </c:pt>
                  <c:pt idx="651">
                    <c:v>1,22</c:v>
                  </c:pt>
                  <c:pt idx="652">
                    <c:v>1,22</c:v>
                  </c:pt>
                  <c:pt idx="653">
                    <c:v>1,22</c:v>
                  </c:pt>
                  <c:pt idx="654">
                    <c:v>1,22</c:v>
                  </c:pt>
                  <c:pt idx="655">
                    <c:v>1,22</c:v>
                  </c:pt>
                  <c:pt idx="656">
                    <c:v>1,22</c:v>
                  </c:pt>
                  <c:pt idx="657">
                    <c:v>1,22</c:v>
                  </c:pt>
                  <c:pt idx="658">
                    <c:v>1,22</c:v>
                  </c:pt>
                  <c:pt idx="659">
                    <c:v>1,22</c:v>
                  </c:pt>
                  <c:pt idx="660">
                    <c:v>1,22</c:v>
                  </c:pt>
                  <c:pt idx="661">
                    <c:v>1,22</c:v>
                  </c:pt>
                  <c:pt idx="662">
                    <c:v>1,22</c:v>
                  </c:pt>
                  <c:pt idx="663">
                    <c:v>1,22</c:v>
                  </c:pt>
                  <c:pt idx="664">
                    <c:v>1,22</c:v>
                  </c:pt>
                  <c:pt idx="665">
                    <c:v>1,22</c:v>
                  </c:pt>
                  <c:pt idx="666">
                    <c:v>1,22</c:v>
                  </c:pt>
                  <c:pt idx="667">
                    <c:v>1,22</c:v>
                  </c:pt>
                  <c:pt idx="668">
                    <c:v>1,22</c:v>
                  </c:pt>
                  <c:pt idx="670">
                    <c:v>1,22</c:v>
                  </c:pt>
                  <c:pt idx="671">
                    <c:v>1,22</c:v>
                  </c:pt>
                  <c:pt idx="672">
                    <c:v>1,22</c:v>
                  </c:pt>
                  <c:pt idx="673">
                    <c:v>1,22</c:v>
                  </c:pt>
                  <c:pt idx="674">
                    <c:v>1,22</c:v>
                  </c:pt>
                  <c:pt idx="675">
                    <c:v>1</c:v>
                  </c:pt>
                  <c:pt idx="676">
                    <c:v>1</c:v>
                  </c:pt>
                  <c:pt idx="677">
                    <c:v>1,22</c:v>
                  </c:pt>
                  <c:pt idx="678">
                    <c:v>1,22</c:v>
                  </c:pt>
                  <c:pt idx="679">
                    <c:v>1,22</c:v>
                  </c:pt>
                  <c:pt idx="680">
                    <c:v>1</c:v>
                  </c:pt>
                  <c:pt idx="681">
                    <c:v>1,22</c:v>
                  </c:pt>
                  <c:pt idx="682">
                    <c:v>1,22</c:v>
                  </c:pt>
                  <c:pt idx="683">
                    <c:v>1,22</c:v>
                  </c:pt>
                  <c:pt idx="684">
                    <c:v>1,22</c:v>
                  </c:pt>
                  <c:pt idx="685">
                    <c:v>1,22</c:v>
                  </c:pt>
                  <c:pt idx="687">
                    <c:v>1</c:v>
                  </c:pt>
                  <c:pt idx="688">
                    <c:v>1,22</c:v>
                  </c:pt>
                  <c:pt idx="689">
                    <c:v>1,22</c:v>
                  </c:pt>
                  <c:pt idx="690">
                    <c:v>1,22</c:v>
                  </c:pt>
                  <c:pt idx="691">
                    <c:v>1,22</c:v>
                  </c:pt>
                  <c:pt idx="692">
                    <c:v>1,22</c:v>
                  </c:pt>
                  <c:pt idx="693">
                    <c:v>1,22</c:v>
                  </c:pt>
                  <c:pt idx="694">
                    <c:v>1,22</c:v>
                  </c:pt>
                  <c:pt idx="695">
                    <c:v>1,22</c:v>
                  </c:pt>
                  <c:pt idx="696">
                    <c:v>1,22</c:v>
                  </c:pt>
                  <c:pt idx="697">
                    <c:v>1,22</c:v>
                  </c:pt>
                  <c:pt idx="698">
                    <c:v>1,22</c:v>
                  </c:pt>
                  <c:pt idx="699">
                    <c:v>1,22</c:v>
                  </c:pt>
                  <c:pt idx="700">
                    <c:v>1,22</c:v>
                  </c:pt>
                  <c:pt idx="701">
                    <c:v>1,22</c:v>
                  </c:pt>
                  <c:pt idx="702">
                    <c:v>1,22</c:v>
                  </c:pt>
                  <c:pt idx="703">
                    <c:v>1,22</c:v>
                  </c:pt>
                  <c:pt idx="704">
                    <c:v>1,22</c:v>
                  </c:pt>
                  <c:pt idx="705">
                    <c:v>1,22</c:v>
                  </c:pt>
                  <c:pt idx="706">
                    <c:v>1,22</c:v>
                  </c:pt>
                  <c:pt idx="707">
                    <c:v>1,22</c:v>
                  </c:pt>
                  <c:pt idx="708">
                    <c:v>1,22</c:v>
                  </c:pt>
                  <c:pt idx="709">
                    <c:v>1,22</c:v>
                  </c:pt>
                  <c:pt idx="710">
                    <c:v>1,22</c:v>
                  </c:pt>
                  <c:pt idx="711">
                    <c:v>1,22</c:v>
                  </c:pt>
                  <c:pt idx="712">
                    <c:v>1,22</c:v>
                  </c:pt>
                  <c:pt idx="713">
                    <c:v>1</c:v>
                  </c:pt>
                  <c:pt idx="714">
                    <c:v>1</c:v>
                  </c:pt>
                  <c:pt idx="715">
                    <c:v>1,22</c:v>
                  </c:pt>
                  <c:pt idx="716">
                    <c:v>1,22</c:v>
                  </c:pt>
                  <c:pt idx="717">
                    <c:v>1,22</c:v>
                  </c:pt>
                  <c:pt idx="718">
                    <c:v>1,22</c:v>
                  </c:pt>
                  <c:pt idx="719">
                    <c:v>1,22</c:v>
                  </c:pt>
                  <c:pt idx="720">
                    <c:v>1,22</c:v>
                  </c:pt>
                  <c:pt idx="721">
                    <c:v>1,22</c:v>
                  </c:pt>
                  <c:pt idx="722">
                    <c:v>1</c:v>
                  </c:pt>
                  <c:pt idx="723">
                    <c:v>1,22</c:v>
                  </c:pt>
                  <c:pt idx="724">
                    <c:v>1</c:v>
                  </c:pt>
                  <c:pt idx="725">
                    <c:v>1</c:v>
                  </c:pt>
                  <c:pt idx="726">
                    <c:v>1</c:v>
                  </c:pt>
                  <c:pt idx="727">
                    <c:v>1</c:v>
                  </c:pt>
                  <c:pt idx="728">
                    <c:v>1</c:v>
                  </c:pt>
                  <c:pt idx="729">
                    <c:v>1</c:v>
                  </c:pt>
                  <c:pt idx="730">
                    <c:v>1</c:v>
                  </c:pt>
                  <c:pt idx="731">
                    <c:v>1</c:v>
                  </c:pt>
                  <c:pt idx="732">
                    <c:v>1</c:v>
                  </c:pt>
                  <c:pt idx="733">
                    <c:v>1,22</c:v>
                  </c:pt>
                  <c:pt idx="734">
                    <c:v>1,22</c:v>
                  </c:pt>
                  <c:pt idx="735">
                    <c:v>1,22</c:v>
                  </c:pt>
                  <c:pt idx="736">
                    <c:v>1,22</c:v>
                  </c:pt>
                  <c:pt idx="737">
                    <c:v>1,22</c:v>
                  </c:pt>
                  <c:pt idx="738">
                    <c:v>1,22</c:v>
                  </c:pt>
                  <c:pt idx="739">
                    <c:v>1,22</c:v>
                  </c:pt>
                  <c:pt idx="740">
                    <c:v>1,22</c:v>
                  </c:pt>
                  <c:pt idx="741">
                    <c:v>1,22</c:v>
                  </c:pt>
                  <c:pt idx="742">
                    <c:v>1,22</c:v>
                  </c:pt>
                  <c:pt idx="743">
                    <c:v>1,22</c:v>
                  </c:pt>
                  <c:pt idx="744">
                    <c:v>1,22</c:v>
                  </c:pt>
                  <c:pt idx="747">
                    <c:v>1,22</c:v>
                  </c:pt>
                  <c:pt idx="748">
                    <c:v>1,22</c:v>
                  </c:pt>
                  <c:pt idx="749">
                    <c:v>1,22</c:v>
                  </c:pt>
                  <c:pt idx="750">
                    <c:v>1,22</c:v>
                  </c:pt>
                  <c:pt idx="751">
                    <c:v>1</c:v>
                  </c:pt>
                  <c:pt idx="752">
                    <c:v>1</c:v>
                  </c:pt>
                  <c:pt idx="753">
                    <c:v>1</c:v>
                  </c:pt>
                  <c:pt idx="754">
                    <c:v>1</c:v>
                  </c:pt>
                  <c:pt idx="755">
                    <c:v>1</c:v>
                  </c:pt>
                  <c:pt idx="756">
                    <c:v>1</c:v>
                  </c:pt>
                  <c:pt idx="757">
                    <c:v>1</c:v>
                  </c:pt>
                  <c:pt idx="758">
                    <c:v>1,22</c:v>
                  </c:pt>
                  <c:pt idx="759">
                    <c:v>1,22</c:v>
                  </c:pt>
                  <c:pt idx="760">
                    <c:v>1,22</c:v>
                  </c:pt>
                  <c:pt idx="761">
                    <c:v>1,22</c:v>
                  </c:pt>
                  <c:pt idx="762">
                    <c:v>1,22</c:v>
                  </c:pt>
                  <c:pt idx="763">
                    <c:v>1,22</c:v>
                  </c:pt>
                  <c:pt idx="764">
                    <c:v>1,22</c:v>
                  </c:pt>
                  <c:pt idx="765">
                    <c:v>1</c:v>
                  </c:pt>
                  <c:pt idx="766">
                    <c:v>1</c:v>
                  </c:pt>
                  <c:pt idx="768">
                    <c:v>1</c:v>
                  </c:pt>
                  <c:pt idx="769">
                    <c:v>1</c:v>
                  </c:pt>
                  <c:pt idx="770">
                    <c:v>1</c:v>
                  </c:pt>
                  <c:pt idx="771">
                    <c:v>1,22</c:v>
                  </c:pt>
                  <c:pt idx="772">
                    <c:v>1</c:v>
                  </c:pt>
                  <c:pt idx="773">
                    <c:v>1</c:v>
                  </c:pt>
                  <c:pt idx="774">
                    <c:v>1,22</c:v>
                  </c:pt>
                  <c:pt idx="775">
                    <c:v>1,22</c:v>
                  </c:pt>
                  <c:pt idx="776">
                    <c:v>1,22</c:v>
                  </c:pt>
                  <c:pt idx="777">
                    <c:v>1,22</c:v>
                  </c:pt>
                  <c:pt idx="778">
                    <c:v>1,22</c:v>
                  </c:pt>
                  <c:pt idx="779">
                    <c:v>1,22</c:v>
                  </c:pt>
                  <c:pt idx="780">
                    <c:v>1</c:v>
                  </c:pt>
                  <c:pt idx="781">
                    <c:v>1,22</c:v>
                  </c:pt>
                  <c:pt idx="782">
                    <c:v>1</c:v>
                  </c:pt>
                  <c:pt idx="783">
                    <c:v>1,22</c:v>
                  </c:pt>
                  <c:pt idx="784">
                    <c:v>1,22</c:v>
                  </c:pt>
                  <c:pt idx="785">
                    <c:v>1,22</c:v>
                  </c:pt>
                  <c:pt idx="786">
                    <c:v>1</c:v>
                  </c:pt>
                  <c:pt idx="787">
                    <c:v>1,22</c:v>
                  </c:pt>
                  <c:pt idx="788">
                    <c:v>1,22</c:v>
                  </c:pt>
                  <c:pt idx="789">
                    <c:v>1,22</c:v>
                  </c:pt>
                  <c:pt idx="790">
                    <c:v>1,22</c:v>
                  </c:pt>
                  <c:pt idx="791">
                    <c:v>1,22</c:v>
                  </c:pt>
                  <c:pt idx="792">
                    <c:v>1,22</c:v>
                  </c:pt>
                  <c:pt idx="793">
                    <c:v>1,22</c:v>
                  </c:pt>
                  <c:pt idx="794">
                    <c:v>1,22</c:v>
                  </c:pt>
                  <c:pt idx="796">
                    <c:v>1,22</c:v>
                  </c:pt>
                  <c:pt idx="797">
                    <c:v>1,22</c:v>
                  </c:pt>
                  <c:pt idx="798">
                    <c:v>1,22</c:v>
                  </c:pt>
                  <c:pt idx="799">
                    <c:v>1,22</c:v>
                  </c:pt>
                  <c:pt idx="800">
                    <c:v>1,22</c:v>
                  </c:pt>
                  <c:pt idx="801">
                    <c:v>1</c:v>
                  </c:pt>
                  <c:pt idx="802">
                    <c:v>1</c:v>
                  </c:pt>
                  <c:pt idx="803">
                    <c:v>1</c:v>
                  </c:pt>
                  <c:pt idx="804">
                    <c:v>1</c:v>
                  </c:pt>
                  <c:pt idx="805">
                    <c:v>1,22</c:v>
                  </c:pt>
                  <c:pt idx="806">
                    <c:v>1,22</c:v>
                  </c:pt>
                  <c:pt idx="807">
                    <c:v>1,22</c:v>
                  </c:pt>
                  <c:pt idx="808">
                    <c:v>1,22</c:v>
                  </c:pt>
                  <c:pt idx="809">
                    <c:v>1,22</c:v>
                  </c:pt>
                  <c:pt idx="810">
                    <c:v>1,22</c:v>
                  </c:pt>
                  <c:pt idx="811">
                    <c:v>1,22</c:v>
                  </c:pt>
                  <c:pt idx="812">
                    <c:v>1,22</c:v>
                  </c:pt>
                  <c:pt idx="813">
                    <c:v>1,22</c:v>
                  </c:pt>
                  <c:pt idx="814">
                    <c:v>1,22</c:v>
                  </c:pt>
                  <c:pt idx="815">
                    <c:v>1,22</c:v>
                  </c:pt>
                  <c:pt idx="816">
                    <c:v>1,22</c:v>
                  </c:pt>
                  <c:pt idx="817">
                    <c:v>1,22</c:v>
                  </c:pt>
                  <c:pt idx="818">
                    <c:v>1,22</c:v>
                  </c:pt>
                  <c:pt idx="819">
                    <c:v>1,22</c:v>
                  </c:pt>
                  <c:pt idx="820">
                    <c:v>1,22</c:v>
                  </c:pt>
                  <c:pt idx="821">
                    <c:v>1,22</c:v>
                  </c:pt>
                  <c:pt idx="822">
                    <c:v>1,22</c:v>
                  </c:pt>
                  <c:pt idx="823">
                    <c:v>1,22</c:v>
                  </c:pt>
                  <c:pt idx="824">
                    <c:v>1,22</c:v>
                  </c:pt>
                  <c:pt idx="825">
                    <c:v>1,22</c:v>
                  </c:pt>
                  <c:pt idx="826">
                    <c:v>1,22</c:v>
                  </c:pt>
                  <c:pt idx="827">
                    <c:v>1,22</c:v>
                  </c:pt>
                  <c:pt idx="828">
                    <c:v>1,22</c:v>
                  </c:pt>
                  <c:pt idx="829">
                    <c:v>1,22</c:v>
                  </c:pt>
                  <c:pt idx="830">
                    <c:v>1,22</c:v>
                  </c:pt>
                  <c:pt idx="831">
                    <c:v>1,22</c:v>
                  </c:pt>
                  <c:pt idx="832">
                    <c:v>1,22</c:v>
                  </c:pt>
                  <c:pt idx="833">
                    <c:v>1,22</c:v>
                  </c:pt>
                  <c:pt idx="834">
                    <c:v>1,22</c:v>
                  </c:pt>
                  <c:pt idx="835">
                    <c:v>1,22</c:v>
                  </c:pt>
                  <c:pt idx="836">
                    <c:v>1,22</c:v>
                  </c:pt>
                  <c:pt idx="837">
                    <c:v>1,22</c:v>
                  </c:pt>
                  <c:pt idx="838">
                    <c:v>1,22</c:v>
                  </c:pt>
                  <c:pt idx="839">
                    <c:v>1,22</c:v>
                  </c:pt>
                  <c:pt idx="840">
                    <c:v>1,22</c:v>
                  </c:pt>
                  <c:pt idx="841">
                    <c:v>1,22</c:v>
                  </c:pt>
                  <c:pt idx="842">
                    <c:v>1,22</c:v>
                  </c:pt>
                  <c:pt idx="843">
                    <c:v>1,22</c:v>
                  </c:pt>
                  <c:pt idx="844">
                    <c:v>1,22</c:v>
                  </c:pt>
                  <c:pt idx="845">
                    <c:v>1,22</c:v>
                  </c:pt>
                  <c:pt idx="846">
                    <c:v>1,22</c:v>
                  </c:pt>
                  <c:pt idx="847">
                    <c:v>1,22</c:v>
                  </c:pt>
                  <c:pt idx="848">
                    <c:v>1,22</c:v>
                  </c:pt>
                  <c:pt idx="849">
                    <c:v>1,22</c:v>
                  </c:pt>
                  <c:pt idx="850">
                    <c:v>1,22</c:v>
                  </c:pt>
                  <c:pt idx="851">
                    <c:v>1,22</c:v>
                  </c:pt>
                  <c:pt idx="852">
                    <c:v>1,22</c:v>
                  </c:pt>
                  <c:pt idx="853">
                    <c:v>1,22</c:v>
                  </c:pt>
                  <c:pt idx="854">
                    <c:v>1,22</c:v>
                  </c:pt>
                  <c:pt idx="855">
                    <c:v>1,22</c:v>
                  </c:pt>
                  <c:pt idx="856">
                    <c:v>1,22</c:v>
                  </c:pt>
                  <c:pt idx="857">
                    <c:v>1,22</c:v>
                  </c:pt>
                  <c:pt idx="858">
                    <c:v>1,22</c:v>
                  </c:pt>
                  <c:pt idx="859">
                    <c:v>1,22</c:v>
                  </c:pt>
                  <c:pt idx="860">
                    <c:v>1,22</c:v>
                  </c:pt>
                  <c:pt idx="861">
                    <c:v>1,22</c:v>
                  </c:pt>
                  <c:pt idx="862">
                    <c:v>1,22</c:v>
                  </c:pt>
                  <c:pt idx="863">
                    <c:v>1,22</c:v>
                  </c:pt>
                  <c:pt idx="864">
                    <c:v>1,22</c:v>
                  </c:pt>
                  <c:pt idx="865">
                    <c:v>1,22</c:v>
                  </c:pt>
                  <c:pt idx="866">
                    <c:v>1</c:v>
                  </c:pt>
                  <c:pt idx="867">
                    <c:v>1,22</c:v>
                  </c:pt>
                  <c:pt idx="868">
                    <c:v>1,22</c:v>
                  </c:pt>
                  <c:pt idx="869">
                    <c:v>1,22</c:v>
                  </c:pt>
                  <c:pt idx="870">
                    <c:v>1,22</c:v>
                  </c:pt>
                  <c:pt idx="871">
                    <c:v>1,22</c:v>
                  </c:pt>
                  <c:pt idx="872">
                    <c:v>1,22</c:v>
                  </c:pt>
                  <c:pt idx="873">
                    <c:v>1,22</c:v>
                  </c:pt>
                  <c:pt idx="874">
                    <c:v>1,22</c:v>
                  </c:pt>
                  <c:pt idx="875">
                    <c:v>1,22</c:v>
                  </c:pt>
                  <c:pt idx="876">
                    <c:v>1,22</c:v>
                  </c:pt>
                  <c:pt idx="877">
                    <c:v>1,22</c:v>
                  </c:pt>
                  <c:pt idx="878">
                    <c:v>1,22</c:v>
                  </c:pt>
                  <c:pt idx="879">
                    <c:v>1,22</c:v>
                  </c:pt>
                  <c:pt idx="880">
                    <c:v>1,22</c:v>
                  </c:pt>
                  <c:pt idx="881">
                    <c:v>1,22</c:v>
                  </c:pt>
                  <c:pt idx="882">
                    <c:v>1,22</c:v>
                  </c:pt>
                  <c:pt idx="883">
                    <c:v>1,22</c:v>
                  </c:pt>
                  <c:pt idx="884">
                    <c:v>1,22</c:v>
                  </c:pt>
                  <c:pt idx="885">
                    <c:v>1,22</c:v>
                  </c:pt>
                  <c:pt idx="886">
                    <c:v>1,22</c:v>
                  </c:pt>
                  <c:pt idx="887">
                    <c:v>1,22</c:v>
                  </c:pt>
                  <c:pt idx="888">
                    <c:v>1,22</c:v>
                  </c:pt>
                  <c:pt idx="889">
                    <c:v>1,22</c:v>
                  </c:pt>
                  <c:pt idx="890">
                    <c:v>1,22</c:v>
                  </c:pt>
                  <c:pt idx="891">
                    <c:v>1,22</c:v>
                  </c:pt>
                  <c:pt idx="892">
                    <c:v>1,22</c:v>
                  </c:pt>
                  <c:pt idx="893">
                    <c:v>1,22</c:v>
                  </c:pt>
                  <c:pt idx="894">
                    <c:v>1,22</c:v>
                  </c:pt>
                  <c:pt idx="895">
                    <c:v>1,22</c:v>
                  </c:pt>
                  <c:pt idx="896">
                    <c:v>1,22</c:v>
                  </c:pt>
                  <c:pt idx="897">
                    <c:v>1,22</c:v>
                  </c:pt>
                  <c:pt idx="898">
                    <c:v>1,22</c:v>
                  </c:pt>
                  <c:pt idx="899">
                    <c:v>1,22</c:v>
                  </c:pt>
                  <c:pt idx="900">
                    <c:v>1,22</c:v>
                  </c:pt>
                  <c:pt idx="901">
                    <c:v>1,22</c:v>
                  </c:pt>
                  <c:pt idx="902">
                    <c:v>1,22</c:v>
                  </c:pt>
                  <c:pt idx="903">
                    <c:v>1,22</c:v>
                  </c:pt>
                  <c:pt idx="904">
                    <c:v>1,22</c:v>
                  </c:pt>
                  <c:pt idx="905">
                    <c:v>1,22</c:v>
                  </c:pt>
                  <c:pt idx="906">
                    <c:v>1,22</c:v>
                  </c:pt>
                  <c:pt idx="907">
                    <c:v>1,22</c:v>
                  </c:pt>
                  <c:pt idx="908">
                    <c:v>1,22</c:v>
                  </c:pt>
                  <c:pt idx="909">
                    <c:v>1,22</c:v>
                  </c:pt>
                  <c:pt idx="910">
                    <c:v>1,22</c:v>
                  </c:pt>
                  <c:pt idx="911">
                    <c:v>1,22</c:v>
                  </c:pt>
                  <c:pt idx="912">
                    <c:v>1,22</c:v>
                  </c:pt>
                  <c:pt idx="913">
                    <c:v>1,22</c:v>
                  </c:pt>
                  <c:pt idx="914">
                    <c:v>1,22</c:v>
                  </c:pt>
                  <c:pt idx="915">
                    <c:v>1,22</c:v>
                  </c:pt>
                  <c:pt idx="916">
                    <c:v>1,22</c:v>
                  </c:pt>
                  <c:pt idx="917">
                    <c:v>1,22</c:v>
                  </c:pt>
                  <c:pt idx="918">
                    <c:v>1,22</c:v>
                  </c:pt>
                  <c:pt idx="919">
                    <c:v>1,22</c:v>
                  </c:pt>
                  <c:pt idx="920">
                    <c:v>1,22</c:v>
                  </c:pt>
                  <c:pt idx="921">
                    <c:v>1,22</c:v>
                  </c:pt>
                  <c:pt idx="922">
                    <c:v>1,22</c:v>
                  </c:pt>
                  <c:pt idx="924">
                    <c:v>1,22</c:v>
                  </c:pt>
                  <c:pt idx="925">
                    <c:v>1,22</c:v>
                  </c:pt>
                  <c:pt idx="926">
                    <c:v>1,22</c:v>
                  </c:pt>
                  <c:pt idx="927">
                    <c:v>1,22</c:v>
                  </c:pt>
                  <c:pt idx="928">
                    <c:v>1,22</c:v>
                  </c:pt>
                  <c:pt idx="929">
                    <c:v>1,22</c:v>
                  </c:pt>
                  <c:pt idx="930">
                    <c:v>1,22</c:v>
                  </c:pt>
                  <c:pt idx="931">
                    <c:v>1,22</c:v>
                  </c:pt>
                  <c:pt idx="932">
                    <c:v>1,22</c:v>
                  </c:pt>
                  <c:pt idx="933">
                    <c:v>1,22</c:v>
                  </c:pt>
                  <c:pt idx="934">
                    <c:v>1,22</c:v>
                  </c:pt>
                  <c:pt idx="935">
                    <c:v>1,22</c:v>
                  </c:pt>
                  <c:pt idx="936">
                    <c:v>1,22</c:v>
                  </c:pt>
                  <c:pt idx="937">
                    <c:v>1,22</c:v>
                  </c:pt>
                  <c:pt idx="938">
                    <c:v>1,22</c:v>
                  </c:pt>
                  <c:pt idx="939">
                    <c:v>1,22</c:v>
                  </c:pt>
                  <c:pt idx="940">
                    <c:v>1,22</c:v>
                  </c:pt>
                  <c:pt idx="941">
                    <c:v>1,22</c:v>
                  </c:pt>
                  <c:pt idx="942">
                    <c:v>1,22</c:v>
                  </c:pt>
                  <c:pt idx="943">
                    <c:v>1,22</c:v>
                  </c:pt>
                  <c:pt idx="944">
                    <c:v>1,22</c:v>
                  </c:pt>
                  <c:pt idx="945">
                    <c:v>1,22</c:v>
                  </c:pt>
                  <c:pt idx="946">
                    <c:v>1,22</c:v>
                  </c:pt>
                  <c:pt idx="947">
                    <c:v>1,22</c:v>
                  </c:pt>
                  <c:pt idx="948">
                    <c:v>1,22</c:v>
                  </c:pt>
                  <c:pt idx="949">
                    <c:v>1,22</c:v>
                  </c:pt>
                  <c:pt idx="950">
                    <c:v>1,22</c:v>
                  </c:pt>
                  <c:pt idx="951">
                    <c:v>1,22</c:v>
                  </c:pt>
                  <c:pt idx="952">
                    <c:v>1,22</c:v>
                  </c:pt>
                  <c:pt idx="953">
                    <c:v>1,22</c:v>
                  </c:pt>
                  <c:pt idx="954">
                    <c:v>1,22</c:v>
                  </c:pt>
                  <c:pt idx="955">
                    <c:v>1,22</c:v>
                  </c:pt>
                  <c:pt idx="956">
                    <c:v>1,22</c:v>
                  </c:pt>
                  <c:pt idx="957">
                    <c:v>1,22</c:v>
                  </c:pt>
                  <c:pt idx="958">
                    <c:v>1,22</c:v>
                  </c:pt>
                  <c:pt idx="959">
                    <c:v>1,22</c:v>
                  </c:pt>
                  <c:pt idx="960">
                    <c:v>1,22</c:v>
                  </c:pt>
                  <c:pt idx="961">
                    <c:v>1,22</c:v>
                  </c:pt>
                  <c:pt idx="962">
                    <c:v>1,22</c:v>
                  </c:pt>
                  <c:pt idx="963">
                    <c:v>1,22</c:v>
                  </c:pt>
                  <c:pt idx="964">
                    <c:v>1,22</c:v>
                  </c:pt>
                  <c:pt idx="965">
                    <c:v>1,22</c:v>
                  </c:pt>
                  <c:pt idx="966">
                    <c:v>1,22</c:v>
                  </c:pt>
                  <c:pt idx="967">
                    <c:v>1,22</c:v>
                  </c:pt>
                  <c:pt idx="968">
                    <c:v>1,22</c:v>
                  </c:pt>
                  <c:pt idx="969">
                    <c:v>1,22</c:v>
                  </c:pt>
                  <c:pt idx="970">
                    <c:v>1,22</c:v>
                  </c:pt>
                  <c:pt idx="971">
                    <c:v>1,22</c:v>
                  </c:pt>
                  <c:pt idx="972">
                    <c:v>1,22</c:v>
                  </c:pt>
                  <c:pt idx="973">
                    <c:v>1,22</c:v>
                  </c:pt>
                  <c:pt idx="974">
                    <c:v>1,22</c:v>
                  </c:pt>
                  <c:pt idx="975">
                    <c:v>1,22</c:v>
                  </c:pt>
                  <c:pt idx="976">
                    <c:v>1,22</c:v>
                  </c:pt>
                  <c:pt idx="977">
                    <c:v>1,22</c:v>
                  </c:pt>
                  <c:pt idx="978">
                    <c:v>1,22</c:v>
                  </c:pt>
                  <c:pt idx="979">
                    <c:v>1,22</c:v>
                  </c:pt>
                  <c:pt idx="980">
                    <c:v>1,22</c:v>
                  </c:pt>
                  <c:pt idx="981">
                    <c:v>1,22</c:v>
                  </c:pt>
                  <c:pt idx="982">
                    <c:v>1,22</c:v>
                  </c:pt>
                  <c:pt idx="983">
                    <c:v>1,22</c:v>
                  </c:pt>
                  <c:pt idx="984">
                    <c:v>1</c:v>
                  </c:pt>
                  <c:pt idx="985">
                    <c:v>1</c:v>
                  </c:pt>
                  <c:pt idx="986">
                    <c:v>1</c:v>
                  </c:pt>
                  <c:pt idx="987">
                    <c:v>1</c:v>
                  </c:pt>
                  <c:pt idx="988">
                    <c:v>1</c:v>
                  </c:pt>
                  <c:pt idx="989">
                    <c:v>1</c:v>
                  </c:pt>
                  <c:pt idx="990">
                    <c:v>1</c:v>
                  </c:pt>
                  <c:pt idx="991">
                    <c:v>1</c:v>
                  </c:pt>
                  <c:pt idx="992">
                    <c:v>1,22</c:v>
                  </c:pt>
                  <c:pt idx="993">
                    <c:v>1,22</c:v>
                  </c:pt>
                  <c:pt idx="994">
                    <c:v>1,22</c:v>
                  </c:pt>
                  <c:pt idx="995">
                    <c:v>1,22</c:v>
                  </c:pt>
                  <c:pt idx="996">
                    <c:v>1,22</c:v>
                  </c:pt>
                  <c:pt idx="997">
                    <c:v>1,22</c:v>
                  </c:pt>
                  <c:pt idx="998">
                    <c:v>1,22</c:v>
                  </c:pt>
                  <c:pt idx="999">
                    <c:v>1,22</c:v>
                  </c:pt>
                  <c:pt idx="1000">
                    <c:v>1,22</c:v>
                  </c:pt>
                  <c:pt idx="1001">
                    <c:v>1,22</c:v>
                  </c:pt>
                  <c:pt idx="1002">
                    <c:v>1,22</c:v>
                  </c:pt>
                  <c:pt idx="1003">
                    <c:v>1,22</c:v>
                  </c:pt>
                  <c:pt idx="1004">
                    <c:v>1,22</c:v>
                  </c:pt>
                  <c:pt idx="1005">
                    <c:v>1,22</c:v>
                  </c:pt>
                  <c:pt idx="1006">
                    <c:v>1,22</c:v>
                  </c:pt>
                  <c:pt idx="1007">
                    <c:v>1,22</c:v>
                  </c:pt>
                  <c:pt idx="1008">
                    <c:v>1,22</c:v>
                  </c:pt>
                  <c:pt idx="1009">
                    <c:v>1,22</c:v>
                  </c:pt>
                  <c:pt idx="1010">
                    <c:v>1,22</c:v>
                  </c:pt>
                  <c:pt idx="1011">
                    <c:v>1,22</c:v>
                  </c:pt>
                  <c:pt idx="1012">
                    <c:v>1,22</c:v>
                  </c:pt>
                  <c:pt idx="1013">
                    <c:v>1</c:v>
                  </c:pt>
                  <c:pt idx="1014">
                    <c:v>1</c:v>
                  </c:pt>
                  <c:pt idx="1015">
                    <c:v>1</c:v>
                  </c:pt>
                  <c:pt idx="1016">
                    <c:v>1</c:v>
                  </c:pt>
                  <c:pt idx="1017">
                    <c:v>1</c:v>
                  </c:pt>
                  <c:pt idx="1018">
                    <c:v>1,22</c:v>
                  </c:pt>
                  <c:pt idx="1019">
                    <c:v>1,22</c:v>
                  </c:pt>
                  <c:pt idx="1020">
                    <c:v>1,22</c:v>
                  </c:pt>
                  <c:pt idx="1021">
                    <c:v>1,22</c:v>
                  </c:pt>
                  <c:pt idx="1022">
                    <c:v>1,22</c:v>
                  </c:pt>
                  <c:pt idx="1023">
                    <c:v>1,22</c:v>
                  </c:pt>
                  <c:pt idx="1024">
                    <c:v>1,22</c:v>
                  </c:pt>
                  <c:pt idx="1025">
                    <c:v>1,22</c:v>
                  </c:pt>
                  <c:pt idx="1026">
                    <c:v>1,22</c:v>
                  </c:pt>
                  <c:pt idx="1027">
                    <c:v>1,22</c:v>
                  </c:pt>
                  <c:pt idx="1028">
                    <c:v>1,22</c:v>
                  </c:pt>
                  <c:pt idx="1029">
                    <c:v>1,22</c:v>
                  </c:pt>
                  <c:pt idx="1030">
                    <c:v>1,22</c:v>
                  </c:pt>
                  <c:pt idx="1031">
                    <c:v>1,22</c:v>
                  </c:pt>
                  <c:pt idx="1032">
                    <c:v>1,22</c:v>
                  </c:pt>
                  <c:pt idx="1033">
                    <c:v>1,22</c:v>
                  </c:pt>
                  <c:pt idx="1034">
                    <c:v>1,22</c:v>
                  </c:pt>
                  <c:pt idx="1035">
                    <c:v>1,22</c:v>
                  </c:pt>
                  <c:pt idx="1036">
                    <c:v>1,22</c:v>
                  </c:pt>
                  <c:pt idx="1037">
                    <c:v>1,22</c:v>
                  </c:pt>
                  <c:pt idx="1038">
                    <c:v>1,22</c:v>
                  </c:pt>
                  <c:pt idx="1039">
                    <c:v>1,22</c:v>
                  </c:pt>
                  <c:pt idx="1040">
                    <c:v>1,22</c:v>
                  </c:pt>
                  <c:pt idx="1041">
                    <c:v>1,22</c:v>
                  </c:pt>
                  <c:pt idx="1042">
                    <c:v>1,22</c:v>
                  </c:pt>
                  <c:pt idx="1043">
                    <c:v>1,22</c:v>
                  </c:pt>
                  <c:pt idx="1044">
                    <c:v>1,22</c:v>
                  </c:pt>
                  <c:pt idx="1045">
                    <c:v>1,22</c:v>
                  </c:pt>
                  <c:pt idx="1046">
                    <c:v>1,22</c:v>
                  </c:pt>
                  <c:pt idx="1047">
                    <c:v>1,22</c:v>
                  </c:pt>
                  <c:pt idx="1048">
                    <c:v>1,22</c:v>
                  </c:pt>
                  <c:pt idx="1049">
                    <c:v>1,22</c:v>
                  </c:pt>
                  <c:pt idx="1050">
                    <c:v>1,22</c:v>
                  </c:pt>
                  <c:pt idx="1051">
                    <c:v>1,22</c:v>
                  </c:pt>
                  <c:pt idx="1052">
                    <c:v>1,22</c:v>
                  </c:pt>
                  <c:pt idx="1053">
                    <c:v>1,22</c:v>
                  </c:pt>
                  <c:pt idx="1054">
                    <c:v>1,22</c:v>
                  </c:pt>
                  <c:pt idx="1055">
                    <c:v>1,22</c:v>
                  </c:pt>
                  <c:pt idx="1056">
                    <c:v>1,22</c:v>
                  </c:pt>
                  <c:pt idx="1057">
                    <c:v>1,22</c:v>
                  </c:pt>
                  <c:pt idx="1058">
                    <c:v>1,22</c:v>
                  </c:pt>
                  <c:pt idx="1059">
                    <c:v>1,22</c:v>
                  </c:pt>
                  <c:pt idx="1060">
                    <c:v>1,22</c:v>
                  </c:pt>
                  <c:pt idx="1061">
                    <c:v>1,22</c:v>
                  </c:pt>
                  <c:pt idx="1062">
                    <c:v>1,22</c:v>
                  </c:pt>
                  <c:pt idx="1063">
                    <c:v>1,22</c:v>
                  </c:pt>
                  <c:pt idx="1064">
                    <c:v>1,22</c:v>
                  </c:pt>
                  <c:pt idx="1065">
                    <c:v>1,22</c:v>
                  </c:pt>
                  <c:pt idx="1066">
                    <c:v>1,22</c:v>
                  </c:pt>
                  <c:pt idx="1067">
                    <c:v>1,22</c:v>
                  </c:pt>
                  <c:pt idx="1068">
                    <c:v>1,22</c:v>
                  </c:pt>
                  <c:pt idx="1069">
                    <c:v>1,22</c:v>
                  </c:pt>
                  <c:pt idx="1070">
                    <c:v>1,22</c:v>
                  </c:pt>
                  <c:pt idx="1071">
                    <c:v>1,22</c:v>
                  </c:pt>
                  <c:pt idx="1072">
                    <c:v>1,22</c:v>
                  </c:pt>
                  <c:pt idx="1073">
                    <c:v>1,22</c:v>
                  </c:pt>
                  <c:pt idx="1074">
                    <c:v>1,22</c:v>
                  </c:pt>
                  <c:pt idx="1075">
                    <c:v>1,22</c:v>
                  </c:pt>
                  <c:pt idx="1076">
                    <c:v>1,22</c:v>
                  </c:pt>
                  <c:pt idx="1078">
                    <c:v>1,22</c:v>
                  </c:pt>
                  <c:pt idx="1079">
                    <c:v>1,22</c:v>
                  </c:pt>
                  <c:pt idx="1080">
                    <c:v>1,22</c:v>
                  </c:pt>
                  <c:pt idx="1081">
                    <c:v>1,22</c:v>
                  </c:pt>
                  <c:pt idx="1082">
                    <c:v>1,22</c:v>
                  </c:pt>
                  <c:pt idx="1083">
                    <c:v>1,22</c:v>
                  </c:pt>
                  <c:pt idx="1084">
                    <c:v>1,22</c:v>
                  </c:pt>
                  <c:pt idx="1085">
                    <c:v>1,22</c:v>
                  </c:pt>
                  <c:pt idx="1086">
                    <c:v>1,22</c:v>
                  </c:pt>
                  <c:pt idx="1087">
                    <c:v>1,22</c:v>
                  </c:pt>
                  <c:pt idx="1088">
                    <c:v>1,22</c:v>
                  </c:pt>
                  <c:pt idx="1089">
                    <c:v>1,22</c:v>
                  </c:pt>
                  <c:pt idx="1090">
                    <c:v>1,22</c:v>
                  </c:pt>
                  <c:pt idx="1091">
                    <c:v>1,22</c:v>
                  </c:pt>
                  <c:pt idx="1092">
                    <c:v>1,22</c:v>
                  </c:pt>
                  <c:pt idx="1093">
                    <c:v>1,22</c:v>
                  </c:pt>
                  <c:pt idx="1094">
                    <c:v>1,22</c:v>
                  </c:pt>
                  <c:pt idx="1095">
                    <c:v>1,22</c:v>
                  </c:pt>
                  <c:pt idx="1096">
                    <c:v>1,22</c:v>
                  </c:pt>
                  <c:pt idx="1097">
                    <c:v>1,22</c:v>
                  </c:pt>
                  <c:pt idx="1098">
                    <c:v>1,22</c:v>
                  </c:pt>
                  <c:pt idx="1099">
                    <c:v>1,22</c:v>
                  </c:pt>
                  <c:pt idx="1100">
                    <c:v>1,22</c:v>
                  </c:pt>
                  <c:pt idx="1101">
                    <c:v>1,22</c:v>
                  </c:pt>
                  <c:pt idx="1102">
                    <c:v>1,22</c:v>
                  </c:pt>
                  <c:pt idx="1103">
                    <c:v>1,22</c:v>
                  </c:pt>
                  <c:pt idx="1104">
                    <c:v>1,22</c:v>
                  </c:pt>
                  <c:pt idx="1105">
                    <c:v>1,22</c:v>
                  </c:pt>
                  <c:pt idx="1106">
                    <c:v>1,22</c:v>
                  </c:pt>
                  <c:pt idx="1107">
                    <c:v>1,22</c:v>
                  </c:pt>
                  <c:pt idx="1108">
                    <c:v>1,22</c:v>
                  </c:pt>
                  <c:pt idx="1109">
                    <c:v>1,22</c:v>
                  </c:pt>
                  <c:pt idx="1110">
                    <c:v>1,22</c:v>
                  </c:pt>
                  <c:pt idx="1111">
                    <c:v>1,22</c:v>
                  </c:pt>
                  <c:pt idx="1112">
                    <c:v>1,22</c:v>
                  </c:pt>
                  <c:pt idx="1113">
                    <c:v>1,22</c:v>
                  </c:pt>
                  <c:pt idx="1114">
                    <c:v>1,22</c:v>
                  </c:pt>
                  <c:pt idx="1115">
                    <c:v>1,22</c:v>
                  </c:pt>
                  <c:pt idx="1116">
                    <c:v>1</c:v>
                  </c:pt>
                  <c:pt idx="1117">
                    <c:v>1</c:v>
                  </c:pt>
                  <c:pt idx="1118">
                    <c:v>1,22</c:v>
                  </c:pt>
                  <c:pt idx="1119">
                    <c:v>1</c:v>
                  </c:pt>
                  <c:pt idx="1120">
                    <c:v>1</c:v>
                  </c:pt>
                  <c:pt idx="1121">
                    <c:v>1,22</c:v>
                  </c:pt>
                  <c:pt idx="1122">
                    <c:v>1,22</c:v>
                  </c:pt>
                  <c:pt idx="1123">
                    <c:v>1,22</c:v>
                  </c:pt>
                  <c:pt idx="1124">
                    <c:v>1,22</c:v>
                  </c:pt>
                  <c:pt idx="1125">
                    <c:v>1,22</c:v>
                  </c:pt>
                  <c:pt idx="1126">
                    <c:v>1,22</c:v>
                  </c:pt>
                  <c:pt idx="1127">
                    <c:v>1,22</c:v>
                  </c:pt>
                  <c:pt idx="1128">
                    <c:v>1,22</c:v>
                  </c:pt>
                  <c:pt idx="1129">
                    <c:v>1,22</c:v>
                  </c:pt>
                  <c:pt idx="1130">
                    <c:v>1,22</c:v>
                  </c:pt>
                  <c:pt idx="1131">
                    <c:v>1,22</c:v>
                  </c:pt>
                  <c:pt idx="1132">
                    <c:v>1,22</c:v>
                  </c:pt>
                  <c:pt idx="1133">
                    <c:v>1,22</c:v>
                  </c:pt>
                  <c:pt idx="1134">
                    <c:v>1,22</c:v>
                  </c:pt>
                  <c:pt idx="1135">
                    <c:v>1,22</c:v>
                  </c:pt>
                  <c:pt idx="1136">
                    <c:v>1,22</c:v>
                  </c:pt>
                  <c:pt idx="1137">
                    <c:v>1,22</c:v>
                  </c:pt>
                  <c:pt idx="1138">
                    <c:v>1,22</c:v>
                  </c:pt>
                  <c:pt idx="1139">
                    <c:v>1,22</c:v>
                  </c:pt>
                  <c:pt idx="1140">
                    <c:v>1,22</c:v>
                  </c:pt>
                  <c:pt idx="1141">
                    <c:v>1,22</c:v>
                  </c:pt>
                  <c:pt idx="1142">
                    <c:v>1,22</c:v>
                  </c:pt>
                  <c:pt idx="1143">
                    <c:v>1,22</c:v>
                  </c:pt>
                  <c:pt idx="1144">
                    <c:v>1,22</c:v>
                  </c:pt>
                  <c:pt idx="1145">
                    <c:v>1,22</c:v>
                  </c:pt>
                  <c:pt idx="1146">
                    <c:v>1,22</c:v>
                  </c:pt>
                  <c:pt idx="1147">
                    <c:v>1,22</c:v>
                  </c:pt>
                  <c:pt idx="1148">
                    <c:v>1,22</c:v>
                  </c:pt>
                  <c:pt idx="1149">
                    <c:v>1,22</c:v>
                  </c:pt>
                  <c:pt idx="1150">
                    <c:v>1,22</c:v>
                  </c:pt>
                  <c:pt idx="1151">
                    <c:v>1,22</c:v>
                  </c:pt>
                  <c:pt idx="1152">
                    <c:v>1,22</c:v>
                  </c:pt>
                  <c:pt idx="1153">
                    <c:v>1,22</c:v>
                  </c:pt>
                  <c:pt idx="1154">
                    <c:v>1,22</c:v>
                  </c:pt>
                  <c:pt idx="1155">
                    <c:v>1,22</c:v>
                  </c:pt>
                  <c:pt idx="1156">
                    <c:v>1,22</c:v>
                  </c:pt>
                  <c:pt idx="1157">
                    <c:v>1,22</c:v>
                  </c:pt>
                  <c:pt idx="1158">
                    <c:v>1,22</c:v>
                  </c:pt>
                  <c:pt idx="1159">
                    <c:v>1,22</c:v>
                  </c:pt>
                  <c:pt idx="1160">
                    <c:v>1,22</c:v>
                  </c:pt>
                  <c:pt idx="1161">
                    <c:v>1,22</c:v>
                  </c:pt>
                  <c:pt idx="1162">
                    <c:v>1,22</c:v>
                  </c:pt>
                  <c:pt idx="1163">
                    <c:v>1,22</c:v>
                  </c:pt>
                  <c:pt idx="1164">
                    <c:v>1,22</c:v>
                  </c:pt>
                  <c:pt idx="1165">
                    <c:v>1,22</c:v>
                  </c:pt>
                  <c:pt idx="1166">
                    <c:v>1,22</c:v>
                  </c:pt>
                  <c:pt idx="1167">
                    <c:v>1,22</c:v>
                  </c:pt>
                  <c:pt idx="1168">
                    <c:v>1,22</c:v>
                  </c:pt>
                  <c:pt idx="1169">
                    <c:v>1,22</c:v>
                  </c:pt>
                  <c:pt idx="1170">
                    <c:v>1,22</c:v>
                  </c:pt>
                  <c:pt idx="1171">
                    <c:v>1,22</c:v>
                  </c:pt>
                  <c:pt idx="1172">
                    <c:v>1,22</c:v>
                  </c:pt>
                  <c:pt idx="1173">
                    <c:v>1,22</c:v>
                  </c:pt>
                  <c:pt idx="1174">
                    <c:v>1,22</c:v>
                  </c:pt>
                  <c:pt idx="1175">
                    <c:v>1,22</c:v>
                  </c:pt>
                  <c:pt idx="1176">
                    <c:v>1,22</c:v>
                  </c:pt>
                  <c:pt idx="1177">
                    <c:v>1,22</c:v>
                  </c:pt>
                  <c:pt idx="1178">
                    <c:v>1,22</c:v>
                  </c:pt>
                  <c:pt idx="1179">
                    <c:v>1,22</c:v>
                  </c:pt>
                  <c:pt idx="1180">
                    <c:v>1,22</c:v>
                  </c:pt>
                  <c:pt idx="1181">
                    <c:v>1,22</c:v>
                  </c:pt>
                  <c:pt idx="1182">
                    <c:v>1</c:v>
                  </c:pt>
                  <c:pt idx="1183">
                    <c:v>1</c:v>
                  </c:pt>
                  <c:pt idx="1184">
                    <c:v>1,22</c:v>
                  </c:pt>
                  <c:pt idx="1185">
                    <c:v>1,22</c:v>
                  </c:pt>
                  <c:pt idx="1186">
                    <c:v>1,22</c:v>
                  </c:pt>
                  <c:pt idx="1187">
                    <c:v>1,22</c:v>
                  </c:pt>
                  <c:pt idx="1188">
                    <c:v>1,22</c:v>
                  </c:pt>
                  <c:pt idx="1189">
                    <c:v>1,22</c:v>
                  </c:pt>
                  <c:pt idx="1190">
                    <c:v>1,22</c:v>
                  </c:pt>
                  <c:pt idx="1191">
                    <c:v>1,22</c:v>
                  </c:pt>
                  <c:pt idx="1192">
                    <c:v>1,22</c:v>
                  </c:pt>
                  <c:pt idx="1193">
                    <c:v>1,22</c:v>
                  </c:pt>
                  <c:pt idx="1194">
                    <c:v>1,22</c:v>
                  </c:pt>
                  <c:pt idx="1195">
                    <c:v>1,22</c:v>
                  </c:pt>
                  <c:pt idx="1196">
                    <c:v>1,22</c:v>
                  </c:pt>
                  <c:pt idx="1197">
                    <c:v>1</c:v>
                  </c:pt>
                  <c:pt idx="1198">
                    <c:v>1,22</c:v>
                  </c:pt>
                  <c:pt idx="1199">
                    <c:v>1,22</c:v>
                  </c:pt>
                  <c:pt idx="1200">
                    <c:v>1,22</c:v>
                  </c:pt>
                  <c:pt idx="1201">
                    <c:v>1,22</c:v>
                  </c:pt>
                  <c:pt idx="1202">
                    <c:v>1</c:v>
                  </c:pt>
                  <c:pt idx="1203">
                    <c:v>1,22</c:v>
                  </c:pt>
                  <c:pt idx="1204">
                    <c:v>1,22</c:v>
                  </c:pt>
                  <c:pt idx="1205">
                    <c:v>1,22</c:v>
                  </c:pt>
                  <c:pt idx="1206">
                    <c:v>1,22</c:v>
                  </c:pt>
                  <c:pt idx="1207">
                    <c:v>1,22</c:v>
                  </c:pt>
                  <c:pt idx="1208">
                    <c:v>1,22</c:v>
                  </c:pt>
                  <c:pt idx="1209">
                    <c:v>1,22</c:v>
                  </c:pt>
                  <c:pt idx="1210">
                    <c:v>1,22</c:v>
                  </c:pt>
                  <c:pt idx="1211">
                    <c:v>1,22</c:v>
                  </c:pt>
                  <c:pt idx="1212">
                    <c:v>1,22</c:v>
                  </c:pt>
                  <c:pt idx="1213">
                    <c:v>1,21</c:v>
                  </c:pt>
                  <c:pt idx="1214">
                    <c:v>1,22</c:v>
                  </c:pt>
                  <c:pt idx="1215">
                    <c:v>1,22</c:v>
                  </c:pt>
                  <c:pt idx="1216">
                    <c:v>1,22</c:v>
                  </c:pt>
                  <c:pt idx="1217">
                    <c:v>1,22</c:v>
                  </c:pt>
                  <c:pt idx="1218">
                    <c:v>1,22</c:v>
                  </c:pt>
                  <c:pt idx="1219">
                    <c:v>1,22</c:v>
                  </c:pt>
                  <c:pt idx="1220">
                    <c:v>1,22</c:v>
                  </c:pt>
                  <c:pt idx="1221">
                    <c:v>1,22</c:v>
                  </c:pt>
                  <c:pt idx="1222">
                    <c:v>1,22</c:v>
                  </c:pt>
                  <c:pt idx="1223">
                    <c:v>1,22</c:v>
                  </c:pt>
                  <c:pt idx="1224">
                    <c:v>1,22</c:v>
                  </c:pt>
                  <c:pt idx="1225">
                    <c:v>1,22</c:v>
                  </c:pt>
                  <c:pt idx="1226">
                    <c:v>1,22</c:v>
                  </c:pt>
                  <c:pt idx="1227">
                    <c:v>1,22</c:v>
                  </c:pt>
                  <c:pt idx="1228">
                    <c:v>1,22</c:v>
                  </c:pt>
                  <c:pt idx="1229">
                    <c:v>1,22</c:v>
                  </c:pt>
                  <c:pt idx="1230">
                    <c:v>1,22</c:v>
                  </c:pt>
                  <c:pt idx="1231">
                    <c:v>1,22</c:v>
                  </c:pt>
                  <c:pt idx="1232">
                    <c:v>1,22</c:v>
                  </c:pt>
                  <c:pt idx="1233">
                    <c:v>1,22</c:v>
                  </c:pt>
                  <c:pt idx="1234">
                    <c:v>1,22</c:v>
                  </c:pt>
                  <c:pt idx="1235">
                    <c:v>1,22</c:v>
                  </c:pt>
                  <c:pt idx="1236">
                    <c:v>1,22</c:v>
                  </c:pt>
                  <c:pt idx="1237">
                    <c:v>1,22</c:v>
                  </c:pt>
                  <c:pt idx="1238">
                    <c:v>1,22</c:v>
                  </c:pt>
                  <c:pt idx="1239">
                    <c:v>1,22</c:v>
                  </c:pt>
                  <c:pt idx="1240">
                    <c:v>1,22</c:v>
                  </c:pt>
                  <c:pt idx="1241">
                    <c:v>1,22</c:v>
                  </c:pt>
                  <c:pt idx="1242">
                    <c:v>1,22</c:v>
                  </c:pt>
                  <c:pt idx="1243">
                    <c:v>1,22</c:v>
                  </c:pt>
                  <c:pt idx="1244">
                    <c:v>1,22</c:v>
                  </c:pt>
                  <c:pt idx="1245">
                    <c:v>1,22</c:v>
                  </c:pt>
                  <c:pt idx="1246">
                    <c:v>1,22</c:v>
                  </c:pt>
                  <c:pt idx="1247">
                    <c:v>1,22</c:v>
                  </c:pt>
                  <c:pt idx="1248">
                    <c:v>1,22</c:v>
                  </c:pt>
                  <c:pt idx="1249">
                    <c:v>1,22</c:v>
                  </c:pt>
                  <c:pt idx="1250">
                    <c:v>1,22</c:v>
                  </c:pt>
                  <c:pt idx="1251">
                    <c:v>1,22</c:v>
                  </c:pt>
                  <c:pt idx="1252">
                    <c:v>1,22</c:v>
                  </c:pt>
                  <c:pt idx="1253">
                    <c:v>1,22</c:v>
                  </c:pt>
                  <c:pt idx="1254">
                    <c:v>1,22</c:v>
                  </c:pt>
                  <c:pt idx="1255">
                    <c:v>1,22</c:v>
                  </c:pt>
                  <c:pt idx="1256">
                    <c:v>1,22</c:v>
                  </c:pt>
                  <c:pt idx="1257">
                    <c:v>1,22</c:v>
                  </c:pt>
                  <c:pt idx="1258">
                    <c:v>1,22</c:v>
                  </c:pt>
                  <c:pt idx="1259">
                    <c:v>1,22</c:v>
                  </c:pt>
                  <c:pt idx="1260">
                    <c:v>1,22</c:v>
                  </c:pt>
                  <c:pt idx="1261">
                    <c:v>1,22</c:v>
                  </c:pt>
                  <c:pt idx="1262">
                    <c:v>1,22</c:v>
                  </c:pt>
                  <c:pt idx="1263">
                    <c:v>1,22</c:v>
                  </c:pt>
                  <c:pt idx="1264">
                    <c:v>1,22</c:v>
                  </c:pt>
                  <c:pt idx="1265">
                    <c:v>1,22</c:v>
                  </c:pt>
                  <c:pt idx="1266">
                    <c:v>1,22</c:v>
                  </c:pt>
                  <c:pt idx="1267">
                    <c:v>1,22</c:v>
                  </c:pt>
                  <c:pt idx="1268">
                    <c:v>1,22</c:v>
                  </c:pt>
                  <c:pt idx="1269">
                    <c:v>1,22</c:v>
                  </c:pt>
                  <c:pt idx="1270">
                    <c:v>1,22</c:v>
                  </c:pt>
                  <c:pt idx="1271">
                    <c:v>1,22</c:v>
                  </c:pt>
                  <c:pt idx="1272">
                    <c:v>1,22</c:v>
                  </c:pt>
                  <c:pt idx="1273">
                    <c:v>1,22</c:v>
                  </c:pt>
                  <c:pt idx="1274">
                    <c:v>1,22</c:v>
                  </c:pt>
                  <c:pt idx="1275">
                    <c:v>1,22</c:v>
                  </c:pt>
                  <c:pt idx="1276">
                    <c:v>1,22</c:v>
                  </c:pt>
                  <c:pt idx="1277">
                    <c:v>1,22</c:v>
                  </c:pt>
                  <c:pt idx="1278">
                    <c:v>1,22</c:v>
                  </c:pt>
                  <c:pt idx="1279">
                    <c:v>1,22</c:v>
                  </c:pt>
                  <c:pt idx="1280">
                    <c:v>1,22</c:v>
                  </c:pt>
                  <c:pt idx="1281">
                    <c:v>1,22</c:v>
                  </c:pt>
                  <c:pt idx="1282">
                    <c:v>1,22</c:v>
                  </c:pt>
                  <c:pt idx="1283">
                    <c:v>1,22</c:v>
                  </c:pt>
                  <c:pt idx="1284">
                    <c:v>1,22</c:v>
                  </c:pt>
                  <c:pt idx="1285">
                    <c:v>1,22</c:v>
                  </c:pt>
                  <c:pt idx="1286">
                    <c:v>1,22</c:v>
                  </c:pt>
                  <c:pt idx="1287">
                    <c:v>1,22</c:v>
                  </c:pt>
                  <c:pt idx="1288">
                    <c:v>1,22</c:v>
                  </c:pt>
                  <c:pt idx="1289">
                    <c:v>1,22</c:v>
                  </c:pt>
                  <c:pt idx="1290">
                    <c:v>1,22</c:v>
                  </c:pt>
                  <c:pt idx="1291">
                    <c:v>1,22</c:v>
                  </c:pt>
                  <c:pt idx="1292">
                    <c:v>1,22</c:v>
                  </c:pt>
                  <c:pt idx="1293">
                    <c:v>1,22</c:v>
                  </c:pt>
                  <c:pt idx="1294">
                    <c:v>1,22</c:v>
                  </c:pt>
                  <c:pt idx="1295">
                    <c:v>1,22</c:v>
                  </c:pt>
                  <c:pt idx="1296">
                    <c:v>1,22</c:v>
                  </c:pt>
                  <c:pt idx="1297">
                    <c:v>1,22</c:v>
                  </c:pt>
                  <c:pt idx="1298">
                    <c:v>1,22</c:v>
                  </c:pt>
                  <c:pt idx="1299">
                    <c:v>1,22</c:v>
                  </c:pt>
                  <c:pt idx="1300">
                    <c:v>1,22</c:v>
                  </c:pt>
                  <c:pt idx="1301">
                    <c:v>1,22</c:v>
                  </c:pt>
                  <c:pt idx="1302">
                    <c:v>1,22</c:v>
                  </c:pt>
                  <c:pt idx="1303">
                    <c:v>1,22</c:v>
                  </c:pt>
                  <c:pt idx="1304">
                    <c:v>1,22</c:v>
                  </c:pt>
                  <c:pt idx="1305">
                    <c:v>1,22</c:v>
                  </c:pt>
                  <c:pt idx="1306">
                    <c:v>1,22</c:v>
                  </c:pt>
                  <c:pt idx="1307">
                    <c:v>1,22</c:v>
                  </c:pt>
                  <c:pt idx="1308">
                    <c:v>1,22</c:v>
                  </c:pt>
                  <c:pt idx="1309">
                    <c:v>1,22</c:v>
                  </c:pt>
                  <c:pt idx="1310">
                    <c:v>1,22</c:v>
                  </c:pt>
                  <c:pt idx="1311">
                    <c:v>1,22</c:v>
                  </c:pt>
                  <c:pt idx="1312">
                    <c:v>1,22</c:v>
                  </c:pt>
                  <c:pt idx="1313">
                    <c:v>1,22</c:v>
                  </c:pt>
                  <c:pt idx="1314">
                    <c:v>1,22</c:v>
                  </c:pt>
                  <c:pt idx="1315">
                    <c:v>1,22</c:v>
                  </c:pt>
                  <c:pt idx="1316">
                    <c:v>1,22</c:v>
                  </c:pt>
                  <c:pt idx="1317">
                    <c:v>1,22</c:v>
                  </c:pt>
                  <c:pt idx="1318">
                    <c:v>1,22</c:v>
                  </c:pt>
                  <c:pt idx="1319">
                    <c:v>1,22</c:v>
                  </c:pt>
                  <c:pt idx="1320">
                    <c:v>1,22</c:v>
                  </c:pt>
                  <c:pt idx="1321">
                    <c:v>1,22</c:v>
                  </c:pt>
                  <c:pt idx="1322">
                    <c:v>1,22</c:v>
                  </c:pt>
                  <c:pt idx="1323">
                    <c:v>1,22</c:v>
                  </c:pt>
                  <c:pt idx="1324">
                    <c:v>1,22</c:v>
                  </c:pt>
                  <c:pt idx="1325">
                    <c:v>1,22</c:v>
                  </c:pt>
                  <c:pt idx="1326">
                    <c:v>1,22</c:v>
                  </c:pt>
                  <c:pt idx="1327">
                    <c:v>1,22</c:v>
                  </c:pt>
                  <c:pt idx="1328">
                    <c:v>1,22</c:v>
                  </c:pt>
                  <c:pt idx="1329">
                    <c:v>1,22</c:v>
                  </c:pt>
                  <c:pt idx="1330">
                    <c:v>1,22</c:v>
                  </c:pt>
                  <c:pt idx="1331">
                    <c:v>1,22</c:v>
                  </c:pt>
                  <c:pt idx="1332">
                    <c:v>1,22</c:v>
                  </c:pt>
                  <c:pt idx="1333">
                    <c:v>1,22</c:v>
                  </c:pt>
                  <c:pt idx="1334">
                    <c:v>1,22</c:v>
                  </c:pt>
                  <c:pt idx="1335">
                    <c:v>1,22</c:v>
                  </c:pt>
                  <c:pt idx="1336">
                    <c:v>1,22</c:v>
                  </c:pt>
                  <c:pt idx="1337">
                    <c:v>1,22</c:v>
                  </c:pt>
                  <c:pt idx="1338">
                    <c:v>1,22</c:v>
                  </c:pt>
                  <c:pt idx="1339">
                    <c:v>1,22</c:v>
                  </c:pt>
                  <c:pt idx="1340">
                    <c:v>1,22</c:v>
                  </c:pt>
                  <c:pt idx="1341">
                    <c:v>1,22</c:v>
                  </c:pt>
                  <c:pt idx="1342">
                    <c:v>1,22</c:v>
                  </c:pt>
                  <c:pt idx="1343">
                    <c:v>1,22</c:v>
                  </c:pt>
                  <c:pt idx="1344">
                    <c:v>1,22</c:v>
                  </c:pt>
                  <c:pt idx="1345">
                    <c:v>1,22</c:v>
                  </c:pt>
                  <c:pt idx="1346">
                    <c:v>1,22</c:v>
                  </c:pt>
                  <c:pt idx="1347">
                    <c:v>1,22</c:v>
                  </c:pt>
                  <c:pt idx="1348">
                    <c:v>1,22</c:v>
                  </c:pt>
                  <c:pt idx="1349">
                    <c:v>1,22</c:v>
                  </c:pt>
                  <c:pt idx="1350">
                    <c:v>1,22</c:v>
                  </c:pt>
                  <c:pt idx="1351">
                    <c:v>1,22</c:v>
                  </c:pt>
                  <c:pt idx="1352">
                    <c:v>1,22</c:v>
                  </c:pt>
                  <c:pt idx="1353">
                    <c:v>1,22</c:v>
                  </c:pt>
                  <c:pt idx="1354">
                    <c:v>1,22</c:v>
                  </c:pt>
                  <c:pt idx="1355">
                    <c:v>1,22</c:v>
                  </c:pt>
                  <c:pt idx="1356">
                    <c:v>1,22</c:v>
                  </c:pt>
                  <c:pt idx="1357">
                    <c:v>1,22</c:v>
                  </c:pt>
                  <c:pt idx="1358">
                    <c:v>1,22</c:v>
                  </c:pt>
                  <c:pt idx="1359">
                    <c:v>1,22</c:v>
                  </c:pt>
                  <c:pt idx="1360">
                    <c:v>1,22</c:v>
                  </c:pt>
                  <c:pt idx="1361">
                    <c:v>1,22</c:v>
                  </c:pt>
                  <c:pt idx="1362">
                    <c:v>1,22</c:v>
                  </c:pt>
                  <c:pt idx="1363">
                    <c:v>1,22</c:v>
                  </c:pt>
                  <c:pt idx="1364">
                    <c:v>1,22</c:v>
                  </c:pt>
                  <c:pt idx="1365">
                    <c:v>1,22</c:v>
                  </c:pt>
                  <c:pt idx="1366">
                    <c:v>1,22</c:v>
                  </c:pt>
                  <c:pt idx="1367">
                    <c:v>1,22</c:v>
                  </c:pt>
                  <c:pt idx="1368">
                    <c:v>1,22</c:v>
                  </c:pt>
                  <c:pt idx="1369">
                    <c:v>1,22</c:v>
                  </c:pt>
                  <c:pt idx="1370">
                    <c:v>1,22</c:v>
                  </c:pt>
                  <c:pt idx="1371">
                    <c:v>1,22</c:v>
                  </c:pt>
                  <c:pt idx="1372">
                    <c:v>1,22</c:v>
                  </c:pt>
                  <c:pt idx="1373">
                    <c:v>1,22</c:v>
                  </c:pt>
                  <c:pt idx="1374">
                    <c:v>1,22</c:v>
                  </c:pt>
                  <c:pt idx="1375">
                    <c:v>1,22</c:v>
                  </c:pt>
                  <c:pt idx="1376">
                    <c:v>1,22</c:v>
                  </c:pt>
                  <c:pt idx="1377">
                    <c:v>1,22</c:v>
                  </c:pt>
                  <c:pt idx="1378">
                    <c:v>1,22</c:v>
                  </c:pt>
                  <c:pt idx="1379">
                    <c:v>1,22</c:v>
                  </c:pt>
                  <c:pt idx="1380">
                    <c:v>1,22</c:v>
                  </c:pt>
                  <c:pt idx="1381">
                    <c:v>1,22</c:v>
                  </c:pt>
                  <c:pt idx="1382">
                    <c:v>1,22</c:v>
                  </c:pt>
                  <c:pt idx="1383">
                    <c:v>1,22</c:v>
                  </c:pt>
                  <c:pt idx="1384">
                    <c:v>1,22</c:v>
                  </c:pt>
                  <c:pt idx="1385">
                    <c:v>1,22</c:v>
                  </c:pt>
                  <c:pt idx="1386">
                    <c:v>1,22</c:v>
                  </c:pt>
                  <c:pt idx="1388">
                    <c:v>1,22</c:v>
                  </c:pt>
                  <c:pt idx="1389">
                    <c:v>1,22</c:v>
                  </c:pt>
                  <c:pt idx="1390">
                    <c:v>1,22</c:v>
                  </c:pt>
                  <c:pt idx="1391">
                    <c:v>1,22</c:v>
                  </c:pt>
                  <c:pt idx="1392">
                    <c:v>1,22</c:v>
                  </c:pt>
                  <c:pt idx="1393">
                    <c:v>1,22</c:v>
                  </c:pt>
                  <c:pt idx="1394">
                    <c:v>1</c:v>
                  </c:pt>
                  <c:pt idx="1395">
                    <c:v>1</c:v>
                  </c:pt>
                  <c:pt idx="1396">
                    <c:v>1</c:v>
                  </c:pt>
                  <c:pt idx="1397">
                    <c:v>1</c:v>
                  </c:pt>
                  <c:pt idx="1398">
                    <c:v>1,22</c:v>
                  </c:pt>
                  <c:pt idx="1399">
                    <c:v>1,22</c:v>
                  </c:pt>
                  <c:pt idx="1400">
                    <c:v>1,22</c:v>
                  </c:pt>
                  <c:pt idx="1401">
                    <c:v>1</c:v>
                  </c:pt>
                  <c:pt idx="1402">
                    <c:v>1,22</c:v>
                  </c:pt>
                  <c:pt idx="1403">
                    <c:v>1,22</c:v>
                  </c:pt>
                  <c:pt idx="1404">
                    <c:v>1,22</c:v>
                  </c:pt>
                  <c:pt idx="1405">
                    <c:v>1,22</c:v>
                  </c:pt>
                  <c:pt idx="1406">
                    <c:v>1,22</c:v>
                  </c:pt>
                  <c:pt idx="1407">
                    <c:v>1,22</c:v>
                  </c:pt>
                  <c:pt idx="1408">
                    <c:v>1,22</c:v>
                  </c:pt>
                  <c:pt idx="1409">
                    <c:v>1,22</c:v>
                  </c:pt>
                  <c:pt idx="1410">
                    <c:v>1,22</c:v>
                  </c:pt>
                  <c:pt idx="1411">
                    <c:v>1,22</c:v>
                  </c:pt>
                  <c:pt idx="1412">
                    <c:v>1,22</c:v>
                  </c:pt>
                  <c:pt idx="1413">
                    <c:v>1,22</c:v>
                  </c:pt>
                  <c:pt idx="1414">
                    <c:v>1,22</c:v>
                  </c:pt>
                  <c:pt idx="1415">
                    <c:v>1,22</c:v>
                  </c:pt>
                  <c:pt idx="1416">
                    <c:v>1,22</c:v>
                  </c:pt>
                  <c:pt idx="1417">
                    <c:v>1,22</c:v>
                  </c:pt>
                  <c:pt idx="1418">
                    <c:v>1,22</c:v>
                  </c:pt>
                  <c:pt idx="1419">
                    <c:v>1,22</c:v>
                  </c:pt>
                  <c:pt idx="1420">
                    <c:v>1,22</c:v>
                  </c:pt>
                  <c:pt idx="1421">
                    <c:v>1,22</c:v>
                  </c:pt>
                  <c:pt idx="1422">
                    <c:v>1,22</c:v>
                  </c:pt>
                  <c:pt idx="1423">
                    <c:v>1,22</c:v>
                  </c:pt>
                  <c:pt idx="1424">
                    <c:v>1,22</c:v>
                  </c:pt>
                  <c:pt idx="1425">
                    <c:v>1,22</c:v>
                  </c:pt>
                  <c:pt idx="1426">
                    <c:v>1,22</c:v>
                  </c:pt>
                  <c:pt idx="1427">
                    <c:v>1,22</c:v>
                  </c:pt>
                  <c:pt idx="1428">
                    <c:v>1,22</c:v>
                  </c:pt>
                  <c:pt idx="1429">
                    <c:v>1,22</c:v>
                  </c:pt>
                  <c:pt idx="1430">
                    <c:v>1,22</c:v>
                  </c:pt>
                  <c:pt idx="1431">
                    <c:v>1,22</c:v>
                  </c:pt>
                  <c:pt idx="1432">
                    <c:v>1,22</c:v>
                  </c:pt>
                  <c:pt idx="1433">
                    <c:v>1,22</c:v>
                  </c:pt>
                  <c:pt idx="1434">
                    <c:v>1,22</c:v>
                  </c:pt>
                  <c:pt idx="1435">
                    <c:v>1,22</c:v>
                  </c:pt>
                  <c:pt idx="1436">
                    <c:v>1</c:v>
                  </c:pt>
                  <c:pt idx="1437">
                    <c:v>1</c:v>
                  </c:pt>
                  <c:pt idx="1438">
                    <c:v>1</c:v>
                  </c:pt>
                  <c:pt idx="1439">
                    <c:v>1</c:v>
                  </c:pt>
                  <c:pt idx="1440">
                    <c:v>1,22</c:v>
                  </c:pt>
                  <c:pt idx="1441">
                    <c:v>1,22</c:v>
                  </c:pt>
                  <c:pt idx="1442">
                    <c:v>1,22</c:v>
                  </c:pt>
                  <c:pt idx="1443">
                    <c:v>1</c:v>
                  </c:pt>
                  <c:pt idx="1444">
                    <c:v>1,22</c:v>
                  </c:pt>
                  <c:pt idx="1446">
                    <c:v>1,22</c:v>
                  </c:pt>
                  <c:pt idx="1447">
                    <c:v>1,22</c:v>
                  </c:pt>
                  <c:pt idx="1448">
                    <c:v>1,22</c:v>
                  </c:pt>
                  <c:pt idx="1449">
                    <c:v>1</c:v>
                  </c:pt>
                  <c:pt idx="1450">
                    <c:v>1,22</c:v>
                  </c:pt>
                  <c:pt idx="1451">
                    <c:v>1,22</c:v>
                  </c:pt>
                  <c:pt idx="1452">
                    <c:v>1,22</c:v>
                  </c:pt>
                  <c:pt idx="1453">
                    <c:v>1,22</c:v>
                  </c:pt>
                  <c:pt idx="1454">
                    <c:v>1,22</c:v>
                  </c:pt>
                  <c:pt idx="1455">
                    <c:v>1,22</c:v>
                  </c:pt>
                  <c:pt idx="1456">
                    <c:v>1,22</c:v>
                  </c:pt>
                  <c:pt idx="1458">
                    <c:v>1,22</c:v>
                  </c:pt>
                  <c:pt idx="1459">
                    <c:v>1,22</c:v>
                  </c:pt>
                  <c:pt idx="1460">
                    <c:v>1,22</c:v>
                  </c:pt>
                  <c:pt idx="1461">
                    <c:v>1,22</c:v>
                  </c:pt>
                  <c:pt idx="1462">
                    <c:v>1,22</c:v>
                  </c:pt>
                  <c:pt idx="1463">
                    <c:v>1,22</c:v>
                  </c:pt>
                  <c:pt idx="1464">
                    <c:v>1,22</c:v>
                  </c:pt>
                  <c:pt idx="1465">
                    <c:v>1,22</c:v>
                  </c:pt>
                  <c:pt idx="1466">
                    <c:v>1,22</c:v>
                  </c:pt>
                  <c:pt idx="1467">
                    <c:v>1,22</c:v>
                  </c:pt>
                  <c:pt idx="1468">
                    <c:v>1,22</c:v>
                  </c:pt>
                  <c:pt idx="1469">
                    <c:v>1,22</c:v>
                  </c:pt>
                  <c:pt idx="1470">
                    <c:v>1,22</c:v>
                  </c:pt>
                  <c:pt idx="1471">
                    <c:v>1,22</c:v>
                  </c:pt>
                  <c:pt idx="1472">
                    <c:v>1,22</c:v>
                  </c:pt>
                  <c:pt idx="1473">
                    <c:v>1,22</c:v>
                  </c:pt>
                  <c:pt idx="1474">
                    <c:v>1,22</c:v>
                  </c:pt>
                  <c:pt idx="1475">
                    <c:v>1,22</c:v>
                  </c:pt>
                  <c:pt idx="1476">
                    <c:v>1,22</c:v>
                  </c:pt>
                  <c:pt idx="1477">
                    <c:v>1</c:v>
                  </c:pt>
                  <c:pt idx="1478">
                    <c:v>1,22</c:v>
                  </c:pt>
                  <c:pt idx="1479">
                    <c:v>1,22</c:v>
                  </c:pt>
                  <c:pt idx="1480">
                    <c:v>1</c:v>
                  </c:pt>
                  <c:pt idx="1481">
                    <c:v>1</c:v>
                  </c:pt>
                  <c:pt idx="1482">
                    <c:v>1,22</c:v>
                  </c:pt>
                  <c:pt idx="1483">
                    <c:v>1,22</c:v>
                  </c:pt>
                  <c:pt idx="1484">
                    <c:v>1,22</c:v>
                  </c:pt>
                  <c:pt idx="1485">
                    <c:v>1</c:v>
                  </c:pt>
                  <c:pt idx="1486">
                    <c:v>1</c:v>
                  </c:pt>
                  <c:pt idx="1487">
                    <c:v>1</c:v>
                  </c:pt>
                  <c:pt idx="1488">
                    <c:v>1,22</c:v>
                  </c:pt>
                  <c:pt idx="1489">
                    <c:v>1</c:v>
                  </c:pt>
                  <c:pt idx="1490">
                    <c:v>1,22</c:v>
                  </c:pt>
                  <c:pt idx="1491">
                    <c:v>1,22</c:v>
                  </c:pt>
                  <c:pt idx="1492">
                    <c:v>1,22</c:v>
                  </c:pt>
                  <c:pt idx="1493">
                    <c:v>1,22</c:v>
                  </c:pt>
                  <c:pt idx="1494">
                    <c:v>1,22</c:v>
                  </c:pt>
                  <c:pt idx="1495">
                    <c:v>1,22</c:v>
                  </c:pt>
                  <c:pt idx="1496">
                    <c:v>1,22</c:v>
                  </c:pt>
                  <c:pt idx="1497">
                    <c:v>1,22</c:v>
                  </c:pt>
                  <c:pt idx="1498">
                    <c:v>1,22</c:v>
                  </c:pt>
                  <c:pt idx="1499">
                    <c:v>1,22</c:v>
                  </c:pt>
                  <c:pt idx="1500">
                    <c:v>1,22</c:v>
                  </c:pt>
                  <c:pt idx="1501">
                    <c:v>1,22</c:v>
                  </c:pt>
                  <c:pt idx="1502">
                    <c:v>1,22</c:v>
                  </c:pt>
                  <c:pt idx="1503">
                    <c:v>1,22</c:v>
                  </c:pt>
                  <c:pt idx="1504">
                    <c:v>1,22</c:v>
                  </c:pt>
                  <c:pt idx="1505">
                    <c:v>1,22</c:v>
                  </c:pt>
                  <c:pt idx="1506">
                    <c:v>1,22</c:v>
                  </c:pt>
                  <c:pt idx="1507">
                    <c:v>1,22</c:v>
                  </c:pt>
                  <c:pt idx="1508">
                    <c:v>1,22</c:v>
                  </c:pt>
                  <c:pt idx="1509">
                    <c:v>1,22</c:v>
                  </c:pt>
                  <c:pt idx="1510">
                    <c:v>1,22</c:v>
                  </c:pt>
                  <c:pt idx="1511">
                    <c:v>1,22</c:v>
                  </c:pt>
                  <c:pt idx="1512">
                    <c:v>1,22</c:v>
                  </c:pt>
                  <c:pt idx="1513">
                    <c:v>1,22</c:v>
                  </c:pt>
                  <c:pt idx="1514">
                    <c:v>1,22</c:v>
                  </c:pt>
                  <c:pt idx="1515">
                    <c:v>1,22</c:v>
                  </c:pt>
                  <c:pt idx="1516">
                    <c:v>1,22</c:v>
                  </c:pt>
                  <c:pt idx="1517">
                    <c:v>1,22</c:v>
                  </c:pt>
                  <c:pt idx="1518">
                    <c:v>1,22</c:v>
                  </c:pt>
                  <c:pt idx="1519">
                    <c:v>1</c:v>
                  </c:pt>
                  <c:pt idx="1520">
                    <c:v>1</c:v>
                  </c:pt>
                  <c:pt idx="1521">
                    <c:v>1</c:v>
                  </c:pt>
                  <c:pt idx="1522">
                    <c:v>1,22</c:v>
                  </c:pt>
                  <c:pt idx="1523">
                    <c:v>1,22</c:v>
                  </c:pt>
                  <c:pt idx="1524">
                    <c:v>1,22</c:v>
                  </c:pt>
                  <c:pt idx="1525">
                    <c:v>1,22</c:v>
                  </c:pt>
                  <c:pt idx="1526">
                    <c:v>1,22</c:v>
                  </c:pt>
                  <c:pt idx="1527">
                    <c:v>1,22</c:v>
                  </c:pt>
                  <c:pt idx="1528">
                    <c:v>1,22</c:v>
                  </c:pt>
                  <c:pt idx="1529">
                    <c:v>1,22</c:v>
                  </c:pt>
                  <c:pt idx="1530">
                    <c:v>1</c:v>
                  </c:pt>
                  <c:pt idx="1531">
                    <c:v>1</c:v>
                  </c:pt>
                  <c:pt idx="1532">
                    <c:v>1,22</c:v>
                  </c:pt>
                  <c:pt idx="1533">
                    <c:v>1,22</c:v>
                  </c:pt>
                  <c:pt idx="1534">
                    <c:v>1,22</c:v>
                  </c:pt>
                  <c:pt idx="1535">
                    <c:v>1,22</c:v>
                  </c:pt>
                  <c:pt idx="1536">
                    <c:v>1,22</c:v>
                  </c:pt>
                  <c:pt idx="1537">
                    <c:v>1,22</c:v>
                  </c:pt>
                  <c:pt idx="1538">
                    <c:v>1,22</c:v>
                  </c:pt>
                  <c:pt idx="1539">
                    <c:v>1,22</c:v>
                  </c:pt>
                  <c:pt idx="1540">
                    <c:v>1,22</c:v>
                  </c:pt>
                  <c:pt idx="1541">
                    <c:v>1,22</c:v>
                  </c:pt>
                  <c:pt idx="1542">
                    <c:v>1,22</c:v>
                  </c:pt>
                  <c:pt idx="1543">
                    <c:v>1,22</c:v>
                  </c:pt>
                  <c:pt idx="1544">
                    <c:v>1,22</c:v>
                  </c:pt>
                  <c:pt idx="1545">
                    <c:v>1,22</c:v>
                  </c:pt>
                  <c:pt idx="1546">
                    <c:v>1,22</c:v>
                  </c:pt>
                  <c:pt idx="1547">
                    <c:v>1,22</c:v>
                  </c:pt>
                  <c:pt idx="1548">
                    <c:v>1,22</c:v>
                  </c:pt>
                  <c:pt idx="1549">
                    <c:v>1,22</c:v>
                  </c:pt>
                  <c:pt idx="1550">
                    <c:v>1,22</c:v>
                  </c:pt>
                  <c:pt idx="1551">
                    <c:v>1,22</c:v>
                  </c:pt>
                  <c:pt idx="1552">
                    <c:v>1</c:v>
                  </c:pt>
                  <c:pt idx="1553">
                    <c:v>1,22</c:v>
                  </c:pt>
                  <c:pt idx="1554">
                    <c:v>1,22</c:v>
                  </c:pt>
                  <c:pt idx="1555">
                    <c:v>1</c:v>
                  </c:pt>
                  <c:pt idx="1556">
                    <c:v>1,22</c:v>
                  </c:pt>
                  <c:pt idx="1557">
                    <c:v>1,22</c:v>
                  </c:pt>
                  <c:pt idx="1558">
                    <c:v>1,22</c:v>
                  </c:pt>
                  <c:pt idx="1559">
                    <c:v>1,22</c:v>
                  </c:pt>
                  <c:pt idx="1560">
                    <c:v>1,22</c:v>
                  </c:pt>
                  <c:pt idx="1561">
                    <c:v>1,22</c:v>
                  </c:pt>
                  <c:pt idx="1562">
                    <c:v>1,22</c:v>
                  </c:pt>
                  <c:pt idx="1563">
                    <c:v>1,22</c:v>
                  </c:pt>
                  <c:pt idx="1564">
                    <c:v>1,22</c:v>
                  </c:pt>
                  <c:pt idx="1565">
                    <c:v>1,22</c:v>
                  </c:pt>
                  <c:pt idx="1566">
                    <c:v>1,22</c:v>
                  </c:pt>
                  <c:pt idx="1567">
                    <c:v>1,22</c:v>
                  </c:pt>
                  <c:pt idx="1568">
                    <c:v>1,22</c:v>
                  </c:pt>
                  <c:pt idx="1569">
                    <c:v>1,22</c:v>
                  </c:pt>
                  <c:pt idx="1570">
                    <c:v>1,22</c:v>
                  </c:pt>
                  <c:pt idx="1571">
                    <c:v>1,22</c:v>
                  </c:pt>
                  <c:pt idx="1572">
                    <c:v>1,22</c:v>
                  </c:pt>
                  <c:pt idx="1573">
                    <c:v>1</c:v>
                  </c:pt>
                  <c:pt idx="1574">
                    <c:v>1,22</c:v>
                  </c:pt>
                  <c:pt idx="1575">
                    <c:v>1,22</c:v>
                  </c:pt>
                  <c:pt idx="1576">
                    <c:v>1,22</c:v>
                  </c:pt>
                  <c:pt idx="1577">
                    <c:v>1,22</c:v>
                  </c:pt>
                  <c:pt idx="1578">
                    <c:v>1,22</c:v>
                  </c:pt>
                  <c:pt idx="1579">
                    <c:v>1,22</c:v>
                  </c:pt>
                  <c:pt idx="1580">
                    <c:v>1,22</c:v>
                  </c:pt>
                  <c:pt idx="1581">
                    <c:v>1,22</c:v>
                  </c:pt>
                  <c:pt idx="1582">
                    <c:v>1,22</c:v>
                  </c:pt>
                  <c:pt idx="1583">
                    <c:v>1,22</c:v>
                  </c:pt>
                  <c:pt idx="1584">
                    <c:v>1,22</c:v>
                  </c:pt>
                  <c:pt idx="1585">
                    <c:v>1,22</c:v>
                  </c:pt>
                  <c:pt idx="1586">
                    <c:v>1,22</c:v>
                  </c:pt>
                  <c:pt idx="1587">
                    <c:v>1</c:v>
                  </c:pt>
                  <c:pt idx="1588">
                    <c:v>1</c:v>
                  </c:pt>
                  <c:pt idx="1589">
                    <c:v>1</c:v>
                  </c:pt>
                  <c:pt idx="1590">
                    <c:v>1,22</c:v>
                  </c:pt>
                  <c:pt idx="1591">
                    <c:v>1,22</c:v>
                  </c:pt>
                  <c:pt idx="1592">
                    <c:v>1,22</c:v>
                  </c:pt>
                  <c:pt idx="1593">
                    <c:v>1,22</c:v>
                  </c:pt>
                  <c:pt idx="1594">
                    <c:v>1,22</c:v>
                  </c:pt>
                  <c:pt idx="1595">
                    <c:v>1,22</c:v>
                  </c:pt>
                  <c:pt idx="1596">
                    <c:v>1,22</c:v>
                  </c:pt>
                  <c:pt idx="1597">
                    <c:v>1,22</c:v>
                  </c:pt>
                  <c:pt idx="1598">
                    <c:v>1</c:v>
                  </c:pt>
                  <c:pt idx="1599">
                    <c:v>1,22</c:v>
                  </c:pt>
                  <c:pt idx="1600">
                    <c:v>1,22</c:v>
                  </c:pt>
                  <c:pt idx="1601">
                    <c:v>1,22</c:v>
                  </c:pt>
                  <c:pt idx="1602">
                    <c:v>1,22</c:v>
                  </c:pt>
                  <c:pt idx="1603">
                    <c:v>1,22</c:v>
                  </c:pt>
                  <c:pt idx="1604">
                    <c:v>1,22</c:v>
                  </c:pt>
                  <c:pt idx="1605">
                    <c:v>1,22</c:v>
                  </c:pt>
                  <c:pt idx="1606">
                    <c:v>1,22</c:v>
                  </c:pt>
                  <c:pt idx="1607">
                    <c:v>1,22</c:v>
                  </c:pt>
                  <c:pt idx="1608">
                    <c:v>1,22</c:v>
                  </c:pt>
                  <c:pt idx="1609">
                    <c:v>1,22</c:v>
                  </c:pt>
                  <c:pt idx="1610">
                    <c:v>1,22</c:v>
                  </c:pt>
                  <c:pt idx="1611">
                    <c:v>1,22</c:v>
                  </c:pt>
                  <c:pt idx="1612">
                    <c:v>1,22</c:v>
                  </c:pt>
                  <c:pt idx="1613">
                    <c:v>1,22</c:v>
                  </c:pt>
                  <c:pt idx="1614">
                    <c:v>1,22</c:v>
                  </c:pt>
                  <c:pt idx="1615">
                    <c:v>1,22</c:v>
                  </c:pt>
                  <c:pt idx="1616">
                    <c:v>1,22</c:v>
                  </c:pt>
                  <c:pt idx="1617">
                    <c:v>1,22</c:v>
                  </c:pt>
                  <c:pt idx="1618">
                    <c:v>1</c:v>
                  </c:pt>
                  <c:pt idx="1619">
                    <c:v>1</c:v>
                  </c:pt>
                  <c:pt idx="1620">
                    <c:v>1,22</c:v>
                  </c:pt>
                  <c:pt idx="1621">
                    <c:v>1,22</c:v>
                  </c:pt>
                  <c:pt idx="1622">
                    <c:v>1,22</c:v>
                  </c:pt>
                  <c:pt idx="1623">
                    <c:v>1,22</c:v>
                  </c:pt>
                  <c:pt idx="1624">
                    <c:v>1,22</c:v>
                  </c:pt>
                  <c:pt idx="1625">
                    <c:v>1</c:v>
                  </c:pt>
                  <c:pt idx="1626">
                    <c:v>1</c:v>
                  </c:pt>
                  <c:pt idx="1627">
                    <c:v>1,22</c:v>
                  </c:pt>
                  <c:pt idx="1628">
                    <c:v>1,22</c:v>
                  </c:pt>
                  <c:pt idx="1629">
                    <c:v>1,22</c:v>
                  </c:pt>
                  <c:pt idx="1630">
                    <c:v>1,22</c:v>
                  </c:pt>
                  <c:pt idx="1631">
                    <c:v>1,22</c:v>
                  </c:pt>
                  <c:pt idx="1632">
                    <c:v>1,22</c:v>
                  </c:pt>
                  <c:pt idx="1633">
                    <c:v>1,22</c:v>
                  </c:pt>
                  <c:pt idx="1634">
                    <c:v>1,22</c:v>
                  </c:pt>
                  <c:pt idx="1635">
                    <c:v>1</c:v>
                  </c:pt>
                  <c:pt idx="1636">
                    <c:v>1</c:v>
                  </c:pt>
                  <c:pt idx="1637">
                    <c:v>1</c:v>
                  </c:pt>
                  <c:pt idx="1638">
                    <c:v>1</c:v>
                  </c:pt>
                  <c:pt idx="1639">
                    <c:v>1</c:v>
                  </c:pt>
                  <c:pt idx="1640">
                    <c:v>1,22</c:v>
                  </c:pt>
                  <c:pt idx="1641">
                    <c:v>1,22</c:v>
                  </c:pt>
                  <c:pt idx="1642">
                    <c:v>1</c:v>
                  </c:pt>
                  <c:pt idx="1643">
                    <c:v>1</c:v>
                  </c:pt>
                  <c:pt idx="1644">
                    <c:v>1</c:v>
                  </c:pt>
                  <c:pt idx="1645">
                    <c:v>1</c:v>
                  </c:pt>
                  <c:pt idx="1646">
                    <c:v>1,22</c:v>
                  </c:pt>
                  <c:pt idx="1647">
                    <c:v>1,22</c:v>
                  </c:pt>
                  <c:pt idx="1648">
                    <c:v>1,22</c:v>
                  </c:pt>
                  <c:pt idx="1649">
                    <c:v>1,22</c:v>
                  </c:pt>
                  <c:pt idx="1650">
                    <c:v>1,22</c:v>
                  </c:pt>
                  <c:pt idx="1651">
                    <c:v>1,22</c:v>
                  </c:pt>
                  <c:pt idx="1652">
                    <c:v>1,22</c:v>
                  </c:pt>
                  <c:pt idx="1653">
                    <c:v>1,2</c:v>
                  </c:pt>
                  <c:pt idx="1654">
                    <c:v>1,22</c:v>
                  </c:pt>
                  <c:pt idx="1655">
                    <c:v>1,22</c:v>
                  </c:pt>
                  <c:pt idx="1656">
                    <c:v>1,22</c:v>
                  </c:pt>
                  <c:pt idx="1657">
                    <c:v>1,22</c:v>
                  </c:pt>
                  <c:pt idx="1658">
                    <c:v>1,22</c:v>
                  </c:pt>
                  <c:pt idx="1659">
                    <c:v>1,22</c:v>
                  </c:pt>
                  <c:pt idx="1660">
                    <c:v>1,22</c:v>
                  </c:pt>
                  <c:pt idx="1661">
                    <c:v>1,22</c:v>
                  </c:pt>
                  <c:pt idx="1662">
                    <c:v>1,22</c:v>
                  </c:pt>
                  <c:pt idx="1663">
                    <c:v>1,22</c:v>
                  </c:pt>
                  <c:pt idx="1664">
                    <c:v>1,22</c:v>
                  </c:pt>
                  <c:pt idx="1665">
                    <c:v>1,22</c:v>
                  </c:pt>
                  <c:pt idx="1666">
                    <c:v>1,22</c:v>
                  </c:pt>
                  <c:pt idx="1667">
                    <c:v>1,22</c:v>
                  </c:pt>
                  <c:pt idx="1668">
                    <c:v>1,22</c:v>
                  </c:pt>
                  <c:pt idx="1669">
                    <c:v>1,22</c:v>
                  </c:pt>
                  <c:pt idx="1670">
                    <c:v>1,22</c:v>
                  </c:pt>
                  <c:pt idx="1671">
                    <c:v>1,22</c:v>
                  </c:pt>
                  <c:pt idx="1672">
                    <c:v>1</c:v>
                  </c:pt>
                  <c:pt idx="1673">
                    <c:v>1</c:v>
                  </c:pt>
                  <c:pt idx="1674">
                    <c:v>1,22</c:v>
                  </c:pt>
                  <c:pt idx="1675">
                    <c:v>1,22</c:v>
                  </c:pt>
                  <c:pt idx="1676">
                    <c:v>1,22</c:v>
                  </c:pt>
                  <c:pt idx="1677">
                    <c:v>1,22</c:v>
                  </c:pt>
                  <c:pt idx="1678">
                    <c:v>1,22</c:v>
                  </c:pt>
                  <c:pt idx="1679">
                    <c:v>1,22</c:v>
                  </c:pt>
                  <c:pt idx="1680">
                    <c:v>1,55</c:v>
                  </c:pt>
                  <c:pt idx="1681">
                    <c:v>1,22</c:v>
                  </c:pt>
                  <c:pt idx="1682">
                    <c:v>1,22</c:v>
                  </c:pt>
                  <c:pt idx="1683">
                    <c:v>1,22</c:v>
                  </c:pt>
                  <c:pt idx="1684">
                    <c:v>1,22</c:v>
                  </c:pt>
                  <c:pt idx="1685">
                    <c:v>1,22</c:v>
                  </c:pt>
                  <c:pt idx="1686">
                    <c:v>1,22</c:v>
                  </c:pt>
                  <c:pt idx="1687">
                    <c:v>1</c:v>
                  </c:pt>
                  <c:pt idx="1688">
                    <c:v>1</c:v>
                  </c:pt>
                  <c:pt idx="1689">
                    <c:v>1,22</c:v>
                  </c:pt>
                  <c:pt idx="1690">
                    <c:v>1,22</c:v>
                  </c:pt>
                  <c:pt idx="1691">
                    <c:v>1,22</c:v>
                  </c:pt>
                  <c:pt idx="1692">
                    <c:v>1,22</c:v>
                  </c:pt>
                  <c:pt idx="1693">
                    <c:v>1,22</c:v>
                  </c:pt>
                  <c:pt idx="1694">
                    <c:v>1,22</c:v>
                  </c:pt>
                  <c:pt idx="1695">
                    <c:v>1,22</c:v>
                  </c:pt>
                  <c:pt idx="1696">
                    <c:v>1,22</c:v>
                  </c:pt>
                  <c:pt idx="1697">
                    <c:v>1,22</c:v>
                  </c:pt>
                  <c:pt idx="1698">
                    <c:v>1,22</c:v>
                  </c:pt>
                  <c:pt idx="1699">
                    <c:v>1,22</c:v>
                  </c:pt>
                  <c:pt idx="1700">
                    <c:v>1,22</c:v>
                  </c:pt>
                  <c:pt idx="1701">
                    <c:v>1,22</c:v>
                  </c:pt>
                  <c:pt idx="1702">
                    <c:v>1,22</c:v>
                  </c:pt>
                  <c:pt idx="1703">
                    <c:v>1,22</c:v>
                  </c:pt>
                  <c:pt idx="1704">
                    <c:v>1,22</c:v>
                  </c:pt>
                  <c:pt idx="1705">
                    <c:v>1,22</c:v>
                  </c:pt>
                  <c:pt idx="1706">
                    <c:v>1,22</c:v>
                  </c:pt>
                  <c:pt idx="1707">
                    <c:v>1,22</c:v>
                  </c:pt>
                  <c:pt idx="1708">
                    <c:v>1</c:v>
                  </c:pt>
                  <c:pt idx="1709">
                    <c:v>1,22</c:v>
                  </c:pt>
                  <c:pt idx="1710">
                    <c:v>1,22</c:v>
                  </c:pt>
                  <c:pt idx="1711">
                    <c:v>1,22</c:v>
                  </c:pt>
                  <c:pt idx="1712">
                    <c:v>1,22</c:v>
                  </c:pt>
                  <c:pt idx="1713">
                    <c:v>1,22</c:v>
                  </c:pt>
                  <c:pt idx="1714">
                    <c:v>1,22</c:v>
                  </c:pt>
                  <c:pt idx="1715">
                    <c:v>1</c:v>
                  </c:pt>
                  <c:pt idx="1716">
                    <c:v>1</c:v>
                  </c:pt>
                  <c:pt idx="1717">
                    <c:v>1,22</c:v>
                  </c:pt>
                  <c:pt idx="1718">
                    <c:v>1,22</c:v>
                  </c:pt>
                  <c:pt idx="1719">
                    <c:v>1,22</c:v>
                  </c:pt>
                  <c:pt idx="1720">
                    <c:v>1,22</c:v>
                  </c:pt>
                  <c:pt idx="1721">
                    <c:v>1,22</c:v>
                  </c:pt>
                  <c:pt idx="1722">
                    <c:v>1,22</c:v>
                  </c:pt>
                  <c:pt idx="1723">
                    <c:v>1,22</c:v>
                  </c:pt>
                  <c:pt idx="1724">
                    <c:v>1,22</c:v>
                  </c:pt>
                </c:lvl>
                <c:lvl>
                  <c:pt idx="0">
                    <c:v>corona</c:v>
                  </c:pt>
                  <c:pt idx="1">
                    <c:v>agraciada</c:v>
                  </c:pt>
                  <c:pt idx="2">
                    <c:v>magric</c:v>
                  </c:pt>
                  <c:pt idx="3">
                    <c:v>merlin</c:v>
                  </c:pt>
                  <c:pt idx="4">
                    <c:v>merlin</c:v>
                  </c:pt>
                  <c:pt idx="5">
                    <c:v>copagran</c:v>
                  </c:pt>
                  <c:pt idx="6">
                    <c:v>copagran</c:v>
                  </c:pt>
                  <c:pt idx="7">
                    <c:v>copagran</c:v>
                  </c:pt>
                  <c:pt idx="8">
                    <c:v>merlin</c:v>
                  </c:pt>
                  <c:pt idx="9">
                    <c:v>magric</c:v>
                  </c:pt>
                  <c:pt idx="10">
                    <c:v>grispix</c:v>
                  </c:pt>
                  <c:pt idx="11">
                    <c:v>grispix</c:v>
                  </c:pt>
                  <c:pt idx="12">
                    <c:v>GRISPIX</c:v>
                  </c:pt>
                  <c:pt idx="13">
                    <c:v>bioterra</c:v>
                  </c:pt>
                  <c:pt idx="14">
                    <c:v>denucio</c:v>
                  </c:pt>
                  <c:pt idx="15">
                    <c:v>diego</c:v>
                  </c:pt>
                  <c:pt idx="16">
                    <c:v>diego</c:v>
                  </c:pt>
                  <c:pt idx="17">
                    <c:v>diego</c:v>
                  </c:pt>
                  <c:pt idx="18">
                    <c:v>diego</c:v>
                  </c:pt>
                  <c:pt idx="19">
                    <c:v>diego</c:v>
                  </c:pt>
                  <c:pt idx="20">
                    <c:v>diego</c:v>
                  </c:pt>
                  <c:pt idx="21">
                    <c:v>diego</c:v>
                  </c:pt>
                  <c:pt idx="22">
                    <c:v>diego</c:v>
                  </c:pt>
                  <c:pt idx="24">
                    <c:v>cousa</c:v>
                  </c:pt>
                  <c:pt idx="25">
                    <c:v>cousa</c:v>
                  </c:pt>
                  <c:pt idx="26">
                    <c:v>deribal</c:v>
                  </c:pt>
                  <c:pt idx="27">
                    <c:v>valagu</c:v>
                  </c:pt>
                  <c:pt idx="28">
                    <c:v>valagu</c:v>
                  </c:pt>
                  <c:pt idx="29">
                    <c:v>valagu</c:v>
                  </c:pt>
                  <c:pt idx="30">
                    <c:v>valagu</c:v>
                  </c:pt>
                  <c:pt idx="31">
                    <c:v>valagu</c:v>
                  </c:pt>
                  <c:pt idx="32">
                    <c:v>valagu</c:v>
                  </c:pt>
                  <c:pt idx="33">
                    <c:v>valagu</c:v>
                  </c:pt>
                  <c:pt idx="34">
                    <c:v>agraciada</c:v>
                  </c:pt>
                  <c:pt idx="35">
                    <c:v>grispix</c:v>
                  </c:pt>
                  <c:pt idx="36">
                    <c:v>denucio</c:v>
                  </c:pt>
                  <c:pt idx="37">
                    <c:v>valagu</c:v>
                  </c:pt>
                  <c:pt idx="38">
                    <c:v>valagu</c:v>
                  </c:pt>
                  <c:pt idx="39">
                    <c:v>valagu</c:v>
                  </c:pt>
                  <c:pt idx="40">
                    <c:v>valagu</c:v>
                  </c:pt>
                  <c:pt idx="41">
                    <c:v>valagu</c:v>
                  </c:pt>
                  <c:pt idx="42">
                    <c:v>valagu</c:v>
                  </c:pt>
                  <c:pt idx="43">
                    <c:v>valagu</c:v>
                  </c:pt>
                  <c:pt idx="44">
                    <c:v>valagu</c:v>
                  </c:pt>
                  <c:pt idx="45">
                    <c:v>valagu</c:v>
                  </c:pt>
                  <c:pt idx="46">
                    <c:v>valagu</c:v>
                  </c:pt>
                  <c:pt idx="47">
                    <c:v>valagu</c:v>
                  </c:pt>
                  <c:pt idx="48">
                    <c:v>valagu</c:v>
                  </c:pt>
                  <c:pt idx="49">
                    <c:v>valagu </c:v>
                  </c:pt>
                  <c:pt idx="50">
                    <c:v>valagu</c:v>
                  </c:pt>
                  <c:pt idx="51">
                    <c:v>valagu</c:v>
                  </c:pt>
                  <c:pt idx="52">
                    <c:v>valagu</c:v>
                  </c:pt>
                  <c:pt idx="53">
                    <c:v>valagu</c:v>
                  </c:pt>
                  <c:pt idx="54">
                    <c:v>valagu</c:v>
                  </c:pt>
                  <c:pt idx="55">
                    <c:v>valagu</c:v>
                  </c:pt>
                  <c:pt idx="56">
                    <c:v>valagu</c:v>
                  </c:pt>
                  <c:pt idx="57">
                    <c:v>valagu</c:v>
                  </c:pt>
                  <c:pt idx="58">
                    <c:v>valagu</c:v>
                  </c:pt>
                  <c:pt idx="59">
                    <c:v>denucio</c:v>
                  </c:pt>
                  <c:pt idx="60">
                    <c:v>beltrame</c:v>
                  </c:pt>
                  <c:pt idx="61">
                    <c:v>alvarez</c:v>
                  </c:pt>
                  <c:pt idx="62">
                    <c:v>alvarez</c:v>
                  </c:pt>
                  <c:pt idx="63">
                    <c:v>agraciada</c:v>
                  </c:pt>
                  <c:pt idx="64">
                    <c:v>damian macetas</c:v>
                  </c:pt>
                  <c:pt idx="65">
                    <c:v>damian macetas</c:v>
                  </c:pt>
                  <c:pt idx="66">
                    <c:v>diego</c:v>
                  </c:pt>
                  <c:pt idx="67">
                    <c:v>diego</c:v>
                  </c:pt>
                  <c:pt idx="68">
                    <c:v>diego</c:v>
                  </c:pt>
                  <c:pt idx="69">
                    <c:v>diego</c:v>
                  </c:pt>
                  <c:pt idx="70">
                    <c:v>diego</c:v>
                  </c:pt>
                  <c:pt idx="71">
                    <c:v>maestro</c:v>
                  </c:pt>
                  <c:pt idx="72">
                    <c:v>rimart</c:v>
                  </c:pt>
                  <c:pt idx="73">
                    <c:v>rimart</c:v>
                  </c:pt>
                  <c:pt idx="74">
                    <c:v>lima</c:v>
                  </c:pt>
                  <c:pt idx="75">
                    <c:v>lima</c:v>
                  </c:pt>
                  <c:pt idx="76">
                    <c:v>maestro</c:v>
                  </c:pt>
                  <c:pt idx="77">
                    <c:v>maestro</c:v>
                  </c:pt>
                  <c:pt idx="78">
                    <c:v>diego</c:v>
                  </c:pt>
                  <c:pt idx="79">
                    <c:v>diego</c:v>
                  </c:pt>
                  <c:pt idx="80">
                    <c:v>fermara</c:v>
                  </c:pt>
                  <c:pt idx="81">
                    <c:v>fermara</c:v>
                  </c:pt>
                  <c:pt idx="82">
                    <c:v>fermara</c:v>
                  </c:pt>
                  <c:pt idx="83">
                    <c:v>casa cristina</c:v>
                  </c:pt>
                  <c:pt idx="84">
                    <c:v>casa cristina</c:v>
                  </c:pt>
                  <c:pt idx="85">
                    <c:v>aros y coronas</c:v>
                  </c:pt>
                  <c:pt idx="86">
                    <c:v>aros y coronas</c:v>
                  </c:pt>
                  <c:pt idx="87">
                    <c:v>aros y coronas</c:v>
                  </c:pt>
                  <c:pt idx="88">
                    <c:v>rimart</c:v>
                  </c:pt>
                  <c:pt idx="89">
                    <c:v>rimart</c:v>
                  </c:pt>
                  <c:pt idx="90">
                    <c:v>diego</c:v>
                  </c:pt>
                  <c:pt idx="91">
                    <c:v>DIEGO</c:v>
                  </c:pt>
                  <c:pt idx="93">
                    <c:v>casa cristina</c:v>
                  </c:pt>
                  <c:pt idx="96">
                    <c:v>yaques</c:v>
                  </c:pt>
                  <c:pt idx="97">
                    <c:v>bioterra</c:v>
                  </c:pt>
                  <c:pt idx="98">
                    <c:v>droqueria paysandu</c:v>
                  </c:pt>
                  <c:pt idx="99">
                    <c:v>droqueria paysandu</c:v>
                  </c:pt>
                  <c:pt idx="100">
                    <c:v>drogueria paysandu</c:v>
                  </c:pt>
                  <c:pt idx="101">
                    <c:v>agropecuaria agraciada</c:v>
                  </c:pt>
                  <c:pt idx="102">
                    <c:v>drogueria paysandu</c:v>
                  </c:pt>
                  <c:pt idx="103">
                    <c:v>beltrame</c:v>
                  </c:pt>
                  <c:pt idx="104">
                    <c:v>beltrame</c:v>
                  </c:pt>
                  <c:pt idx="105">
                    <c:v>parque trebol</c:v>
                  </c:pt>
                  <c:pt idx="106">
                    <c:v>parque trebol</c:v>
                  </c:pt>
                  <c:pt idx="107">
                    <c:v>parque trebol</c:v>
                  </c:pt>
                  <c:pt idx="108">
                    <c:v>parque trebol</c:v>
                  </c:pt>
                  <c:pt idx="110">
                    <c:v>empack</c:v>
                  </c:pt>
                  <c:pt idx="111">
                    <c:v>valagu</c:v>
                  </c:pt>
                  <c:pt idx="112">
                    <c:v>MAYORPET</c:v>
                  </c:pt>
                  <c:pt idx="113">
                    <c:v>MAYORPET</c:v>
                  </c:pt>
                  <c:pt idx="114">
                    <c:v>valagu</c:v>
                  </c:pt>
                  <c:pt idx="115">
                    <c:v>valagu</c:v>
                  </c:pt>
                  <c:pt idx="116">
                    <c:v>valagu</c:v>
                  </c:pt>
                  <c:pt idx="117">
                    <c:v>MAYORPET</c:v>
                  </c:pt>
                  <c:pt idx="118">
                    <c:v>MAYORPET</c:v>
                  </c:pt>
                  <c:pt idx="119">
                    <c:v>valagu</c:v>
                  </c:pt>
                  <c:pt idx="120">
                    <c:v>valagu</c:v>
                  </c:pt>
                  <c:pt idx="121">
                    <c:v>beltrame</c:v>
                  </c:pt>
                  <c:pt idx="122">
                    <c:v>volpe</c:v>
                  </c:pt>
                  <c:pt idx="123">
                    <c:v>volpe</c:v>
                  </c:pt>
                  <c:pt idx="124">
                    <c:v>parque trebol</c:v>
                  </c:pt>
                  <c:pt idx="125">
                    <c:v>agroinsumos</c:v>
                  </c:pt>
                  <c:pt idx="126">
                    <c:v>agroinsumos</c:v>
                  </c:pt>
                  <c:pt idx="127">
                    <c:v>agroinsumos</c:v>
                  </c:pt>
                  <c:pt idx="128">
                    <c:v>agroinsumos</c:v>
                  </c:pt>
                  <c:pt idx="129">
                    <c:v>valagu</c:v>
                  </c:pt>
                  <c:pt idx="130">
                    <c:v>beltrame</c:v>
                  </c:pt>
                  <c:pt idx="131">
                    <c:v>beltrame</c:v>
                  </c:pt>
                  <c:pt idx="132">
                    <c:v>beltrame</c:v>
                  </c:pt>
                  <c:pt idx="133">
                    <c:v>beltrame</c:v>
                  </c:pt>
                  <c:pt idx="134">
                    <c:v>MAYORPET</c:v>
                  </c:pt>
                  <c:pt idx="135">
                    <c:v>MAYORPET</c:v>
                  </c:pt>
                  <c:pt idx="136">
                    <c:v>valagu</c:v>
                  </c:pt>
                  <c:pt idx="137">
                    <c:v>beltrame</c:v>
                  </c:pt>
                  <c:pt idx="138">
                    <c:v>MAYORPET</c:v>
                  </c:pt>
                  <c:pt idx="139">
                    <c:v>MAYORPET</c:v>
                  </c:pt>
                  <c:pt idx="140">
                    <c:v>MAYORPET</c:v>
                  </c:pt>
                  <c:pt idx="141">
                    <c:v>MAYORPET</c:v>
                  </c:pt>
                  <c:pt idx="142">
                    <c:v>MAYORPET</c:v>
                  </c:pt>
                  <c:pt idx="143">
                    <c:v>MAYORPET</c:v>
                  </c:pt>
                  <c:pt idx="144">
                    <c:v>valagu</c:v>
                  </c:pt>
                  <c:pt idx="145">
                    <c:v>valagu</c:v>
                  </c:pt>
                  <c:pt idx="146">
                    <c:v>valagu</c:v>
                  </c:pt>
                  <c:pt idx="147">
                    <c:v>damian macetas</c:v>
                  </c:pt>
                  <c:pt idx="148">
                    <c:v>valagu</c:v>
                  </c:pt>
                  <c:pt idx="149">
                    <c:v>valagu</c:v>
                  </c:pt>
                  <c:pt idx="150">
                    <c:v>valagu</c:v>
                  </c:pt>
                  <c:pt idx="151">
                    <c:v>MAYORPET</c:v>
                  </c:pt>
                  <c:pt idx="152">
                    <c:v>damian macetas</c:v>
                  </c:pt>
                  <c:pt idx="153">
                    <c:v>valagu</c:v>
                  </c:pt>
                  <c:pt idx="154">
                    <c:v>valagu</c:v>
                  </c:pt>
                  <c:pt idx="155">
                    <c:v>valagu</c:v>
                  </c:pt>
                  <c:pt idx="156">
                    <c:v>valagu</c:v>
                  </c:pt>
                  <c:pt idx="157">
                    <c:v>valagu</c:v>
                  </c:pt>
                  <c:pt idx="158">
                    <c:v>valagu</c:v>
                  </c:pt>
                  <c:pt idx="159">
                    <c:v>es</c:v>
                  </c:pt>
                  <c:pt idx="160">
                    <c:v>valagu</c:v>
                  </c:pt>
                  <c:pt idx="161">
                    <c:v>drogueria paysandu</c:v>
                  </c:pt>
                  <c:pt idx="165">
                    <c:v>yaques</c:v>
                  </c:pt>
                  <c:pt idx="166">
                    <c:v>agroinsumos</c:v>
                  </c:pt>
                  <c:pt idx="167">
                    <c:v>bioterra</c:v>
                  </c:pt>
                  <c:pt idx="168">
                    <c:v>bioterra</c:v>
                  </c:pt>
                  <c:pt idx="169">
                    <c:v>bioterra</c:v>
                  </c:pt>
                  <c:pt idx="170">
                    <c:v>bioterra</c:v>
                  </c:pt>
                  <c:pt idx="171">
                    <c:v>bioterra</c:v>
                  </c:pt>
                  <c:pt idx="172">
                    <c:v>bioterra</c:v>
                  </c:pt>
                  <c:pt idx="173">
                    <c:v>bioterra</c:v>
                  </c:pt>
                  <c:pt idx="174">
                    <c:v>bioterra</c:v>
                  </c:pt>
                  <c:pt idx="175">
                    <c:v>bioterra</c:v>
                  </c:pt>
                  <c:pt idx="176">
                    <c:v>bioterra</c:v>
                  </c:pt>
                  <c:pt idx="177">
                    <c:v>belsir</c:v>
                  </c:pt>
                  <c:pt idx="178">
                    <c:v>belsir</c:v>
                  </c:pt>
                  <c:pt idx="179">
                    <c:v>GRISPIX</c:v>
                  </c:pt>
                  <c:pt idx="180">
                    <c:v>GRISPIX</c:v>
                  </c:pt>
                  <c:pt idx="181">
                    <c:v>damian macetas</c:v>
                  </c:pt>
                  <c:pt idx="182">
                    <c:v>damian macetas</c:v>
                  </c:pt>
                  <c:pt idx="183">
                    <c:v>damian macetas</c:v>
                  </c:pt>
                  <c:pt idx="184">
                    <c:v>damian macetas</c:v>
                  </c:pt>
                  <c:pt idx="185">
                    <c:v>damian macetas</c:v>
                  </c:pt>
                  <c:pt idx="186">
                    <c:v>damian macetas</c:v>
                  </c:pt>
                  <c:pt idx="187">
                    <c:v>damian macetas</c:v>
                  </c:pt>
                  <c:pt idx="188">
                    <c:v>damian macetas</c:v>
                  </c:pt>
                  <c:pt idx="189">
                    <c:v>damian macetas</c:v>
                  </c:pt>
                  <c:pt idx="190">
                    <c:v>damian macetas</c:v>
                  </c:pt>
                  <c:pt idx="191">
                    <c:v>damian macetas</c:v>
                  </c:pt>
                  <c:pt idx="192">
                    <c:v>damian macetas</c:v>
                  </c:pt>
                  <c:pt idx="193">
                    <c:v>damian macetas</c:v>
                  </c:pt>
                  <c:pt idx="194">
                    <c:v>damian macetas</c:v>
                  </c:pt>
                  <c:pt idx="195">
                    <c:v>damian macetas</c:v>
                  </c:pt>
                  <c:pt idx="196">
                    <c:v>damian macetas</c:v>
                  </c:pt>
                  <c:pt idx="197">
                    <c:v>damian macetas</c:v>
                  </c:pt>
                  <c:pt idx="198">
                    <c:v>damian macetas</c:v>
                  </c:pt>
                  <c:pt idx="199">
                    <c:v>damian macetas</c:v>
                  </c:pt>
                  <c:pt idx="200">
                    <c:v>damian macetas</c:v>
                  </c:pt>
                  <c:pt idx="201">
                    <c:v>damian macetas</c:v>
                  </c:pt>
                  <c:pt idx="202">
                    <c:v>damian macetas</c:v>
                  </c:pt>
                  <c:pt idx="203">
                    <c:v>empack</c:v>
                  </c:pt>
                  <c:pt idx="204">
                    <c:v>empack</c:v>
                  </c:pt>
                  <c:pt idx="205">
                    <c:v>empack</c:v>
                  </c:pt>
                  <c:pt idx="206">
                    <c:v>empack</c:v>
                  </c:pt>
                  <c:pt idx="207">
                    <c:v>empack</c:v>
                  </c:pt>
                  <c:pt idx="208">
                    <c:v>empack</c:v>
                  </c:pt>
                  <c:pt idx="209">
                    <c:v>empack</c:v>
                  </c:pt>
                  <c:pt idx="210">
                    <c:v>diego</c:v>
                  </c:pt>
                  <c:pt idx="211">
                    <c:v>empack</c:v>
                  </c:pt>
                  <c:pt idx="212">
                    <c:v>empack</c:v>
                  </c:pt>
                  <c:pt idx="213">
                    <c:v>baldivia</c:v>
                  </c:pt>
                  <c:pt idx="214">
                    <c:v>baldivia</c:v>
                  </c:pt>
                  <c:pt idx="215">
                    <c:v>baldivia</c:v>
                  </c:pt>
                  <c:pt idx="216">
                    <c:v>baldivia</c:v>
                  </c:pt>
                  <c:pt idx="217">
                    <c:v>baldivia</c:v>
                  </c:pt>
                  <c:pt idx="218">
                    <c:v>maestro</c:v>
                  </c:pt>
                  <c:pt idx="219">
                    <c:v>mazzoni</c:v>
                  </c:pt>
                  <c:pt idx="220">
                    <c:v>mazzoni</c:v>
                  </c:pt>
                  <c:pt idx="221">
                    <c:v>valagu</c:v>
                  </c:pt>
                  <c:pt idx="222">
                    <c:v>valagu</c:v>
                  </c:pt>
                  <c:pt idx="223">
                    <c:v>valagu</c:v>
                  </c:pt>
                  <c:pt idx="224">
                    <c:v>valagu</c:v>
                  </c:pt>
                  <c:pt idx="225">
                    <c:v>valagu</c:v>
                  </c:pt>
                  <c:pt idx="226">
                    <c:v>valagu</c:v>
                  </c:pt>
                  <c:pt idx="227">
                    <c:v>diego</c:v>
                  </c:pt>
                  <c:pt idx="229">
                    <c:v>MAYORPET</c:v>
                  </c:pt>
                  <c:pt idx="230">
                    <c:v>MAYORPET</c:v>
                  </c:pt>
                  <c:pt idx="231">
                    <c:v>MAYORPET</c:v>
                  </c:pt>
                  <c:pt idx="232">
                    <c:v>MAYORPET</c:v>
                  </c:pt>
                  <c:pt idx="233">
                    <c:v>MAYORPET</c:v>
                  </c:pt>
                  <c:pt idx="234">
                    <c:v>denucio</c:v>
                  </c:pt>
                  <c:pt idx="235">
                    <c:v>aros y coronas</c:v>
                  </c:pt>
                  <c:pt idx="236">
                    <c:v>agroinsumos</c:v>
                  </c:pt>
                  <c:pt idx="237">
                    <c:v>grispix</c:v>
                  </c:pt>
                  <c:pt idx="238">
                    <c:v>denucio</c:v>
                  </c:pt>
                  <c:pt idx="239">
                    <c:v>bioterra</c:v>
                  </c:pt>
                  <c:pt idx="240">
                    <c:v>MAYORPET</c:v>
                  </c:pt>
                  <c:pt idx="241">
                    <c:v>MAYORPET</c:v>
                  </c:pt>
                  <c:pt idx="242">
                    <c:v>MAYORPET</c:v>
                  </c:pt>
                  <c:pt idx="243">
                    <c:v>MAYORPET</c:v>
                  </c:pt>
                  <c:pt idx="244">
                    <c:v>MAYORPET</c:v>
                  </c:pt>
                  <c:pt idx="245">
                    <c:v>MAYORPET</c:v>
                  </c:pt>
                  <c:pt idx="246">
                    <c:v>MAYORPET</c:v>
                  </c:pt>
                  <c:pt idx="248">
                    <c:v>ATMA</c:v>
                  </c:pt>
                  <c:pt idx="249">
                    <c:v>valagu</c:v>
                  </c:pt>
                  <c:pt idx="250">
                    <c:v>valagu</c:v>
                  </c:pt>
                  <c:pt idx="251">
                    <c:v>beltrame</c:v>
                  </c:pt>
                  <c:pt idx="252">
                    <c:v>valagu</c:v>
                  </c:pt>
                  <c:pt idx="253">
                    <c:v>valagu</c:v>
                  </c:pt>
                  <c:pt idx="254">
                    <c:v>MAYORPET</c:v>
                  </c:pt>
                  <c:pt idx="255">
                    <c:v>valagu</c:v>
                  </c:pt>
                  <c:pt idx="256">
                    <c:v>valagu</c:v>
                  </c:pt>
                  <c:pt idx="257">
                    <c:v>valagu</c:v>
                  </c:pt>
                  <c:pt idx="258">
                    <c:v>ATMA</c:v>
                  </c:pt>
                  <c:pt idx="259">
                    <c:v>damian macetas</c:v>
                  </c:pt>
                  <c:pt idx="260">
                    <c:v>valagu</c:v>
                  </c:pt>
                  <c:pt idx="261">
                    <c:v>uruquim</c:v>
                  </c:pt>
                  <c:pt idx="262">
                    <c:v>uruquim</c:v>
                  </c:pt>
                  <c:pt idx="263">
                    <c:v>agropecuaria agraciada</c:v>
                  </c:pt>
                  <c:pt idx="264">
                    <c:v>beltrame</c:v>
                  </c:pt>
                  <c:pt idx="265">
                    <c:v>magric</c:v>
                  </c:pt>
                  <c:pt idx="266">
                    <c:v>agritec</c:v>
                  </c:pt>
                  <c:pt idx="267">
                    <c:v>agritec</c:v>
                  </c:pt>
                  <c:pt idx="269">
                    <c:v>BOTICA</c:v>
                  </c:pt>
                  <c:pt idx="270">
                    <c:v>valagu</c:v>
                  </c:pt>
                  <c:pt idx="271">
                    <c:v>valagu</c:v>
                  </c:pt>
                  <c:pt idx="272">
                    <c:v>MAYORPET</c:v>
                  </c:pt>
                  <c:pt idx="273">
                    <c:v>damian macetas</c:v>
                  </c:pt>
                  <c:pt idx="274">
                    <c:v>damian macetas</c:v>
                  </c:pt>
                  <c:pt idx="275">
                    <c:v>lima</c:v>
                  </c:pt>
                  <c:pt idx="276">
                    <c:v>valagu</c:v>
                  </c:pt>
                  <c:pt idx="277">
                    <c:v>valagu</c:v>
                  </c:pt>
                  <c:pt idx="278">
                    <c:v>diego</c:v>
                  </c:pt>
                  <c:pt idx="279">
                    <c:v>damian macetas</c:v>
                  </c:pt>
                  <c:pt idx="280">
                    <c:v>damian macetas</c:v>
                  </c:pt>
                  <c:pt idx="281">
                    <c:v>damian macetas</c:v>
                  </c:pt>
                  <c:pt idx="283">
                    <c:v>grispix</c:v>
                  </c:pt>
                  <c:pt idx="284">
                    <c:v>grispix</c:v>
                  </c:pt>
                  <c:pt idx="285">
                    <c:v>denucio</c:v>
                  </c:pt>
                  <c:pt idx="286">
                    <c:v>denucio</c:v>
                  </c:pt>
                  <c:pt idx="287">
                    <c:v>denucio</c:v>
                  </c:pt>
                  <c:pt idx="288">
                    <c:v>denucio</c:v>
                  </c:pt>
                  <c:pt idx="289">
                    <c:v>denucio</c:v>
                  </c:pt>
                  <c:pt idx="290">
                    <c:v>denucio</c:v>
                  </c:pt>
                  <c:pt idx="291">
                    <c:v>denucio</c:v>
                  </c:pt>
                  <c:pt idx="292">
                    <c:v>denucio</c:v>
                  </c:pt>
                  <c:pt idx="293">
                    <c:v>denucio</c:v>
                  </c:pt>
                  <c:pt idx="294">
                    <c:v>denucio</c:v>
                  </c:pt>
                  <c:pt idx="295">
                    <c:v>denucio</c:v>
                  </c:pt>
                  <c:pt idx="296">
                    <c:v>denucio</c:v>
                  </c:pt>
                  <c:pt idx="297">
                    <c:v>denucio</c:v>
                  </c:pt>
                  <c:pt idx="298">
                    <c:v>denucio</c:v>
                  </c:pt>
                  <c:pt idx="299">
                    <c:v>beltrame</c:v>
                  </c:pt>
                  <c:pt idx="300">
                    <c:v>beltrame</c:v>
                  </c:pt>
                  <c:pt idx="301">
                    <c:v>agropecuaria santa rosa</c:v>
                  </c:pt>
                  <c:pt idx="302">
                    <c:v>agropecuaria santa rosa</c:v>
                  </c:pt>
                  <c:pt idx="303">
                    <c:v>beltrame</c:v>
                  </c:pt>
                  <c:pt idx="304">
                    <c:v>beltrame</c:v>
                  </c:pt>
                  <c:pt idx="305">
                    <c:v>beltrame</c:v>
                  </c:pt>
                  <c:pt idx="306">
                    <c:v>beltrame</c:v>
                  </c:pt>
                  <c:pt idx="307">
                    <c:v>beltrame</c:v>
                  </c:pt>
                  <c:pt idx="308">
                    <c:v>baldivia</c:v>
                  </c:pt>
                  <c:pt idx="309">
                    <c:v>damian macetas</c:v>
                  </c:pt>
                  <c:pt idx="310">
                    <c:v>damian macetas</c:v>
                  </c:pt>
                  <c:pt idx="311">
                    <c:v>maestro</c:v>
                  </c:pt>
                  <c:pt idx="312">
                    <c:v>grispix</c:v>
                  </c:pt>
                  <c:pt idx="313">
                    <c:v>alvarez</c:v>
                  </c:pt>
                  <c:pt idx="314">
                    <c:v>parque trebol</c:v>
                  </c:pt>
                  <c:pt idx="315">
                    <c:v>diego</c:v>
                  </c:pt>
                  <c:pt idx="316">
                    <c:v>magric</c:v>
                  </c:pt>
                  <c:pt idx="317">
                    <c:v>magric</c:v>
                  </c:pt>
                  <c:pt idx="318">
                    <c:v>volpe</c:v>
                  </c:pt>
                  <c:pt idx="319">
                    <c:v>volpe</c:v>
                  </c:pt>
                  <c:pt idx="320">
                    <c:v>denucio</c:v>
                  </c:pt>
                  <c:pt idx="321">
                    <c:v>yaques</c:v>
                  </c:pt>
                  <c:pt idx="322">
                    <c:v>valagu</c:v>
                  </c:pt>
                  <c:pt idx="323">
                    <c:v>damian macetas</c:v>
                  </c:pt>
                  <c:pt idx="324">
                    <c:v>damian macetas</c:v>
                  </c:pt>
                  <c:pt idx="325">
                    <c:v>damian macetas</c:v>
                  </c:pt>
                  <c:pt idx="326">
                    <c:v>damian macetas</c:v>
                  </c:pt>
                  <c:pt idx="327">
                    <c:v>alvarez</c:v>
                  </c:pt>
                  <c:pt idx="328">
                    <c:v>insumos cultivador</c:v>
                  </c:pt>
                  <c:pt idx="329">
                    <c:v>insumos cultivador</c:v>
                  </c:pt>
                  <c:pt idx="330">
                    <c:v>insumos cultivador</c:v>
                  </c:pt>
                  <c:pt idx="331">
                    <c:v>MAYORPET</c:v>
                  </c:pt>
                  <c:pt idx="332">
                    <c:v>damian macetas</c:v>
                  </c:pt>
                  <c:pt idx="333">
                    <c:v>damian macetas</c:v>
                  </c:pt>
                  <c:pt idx="334">
                    <c:v>damian macetas</c:v>
                  </c:pt>
                  <c:pt idx="335">
                    <c:v>MAYORPET</c:v>
                  </c:pt>
                  <c:pt idx="336">
                    <c:v>MAYORPET</c:v>
                  </c:pt>
                  <c:pt idx="337">
                    <c:v>MAYORPET</c:v>
                  </c:pt>
                  <c:pt idx="338">
                    <c:v>MAYORPET</c:v>
                  </c:pt>
                  <c:pt idx="339">
                    <c:v>MAYORPET</c:v>
                  </c:pt>
                  <c:pt idx="340">
                    <c:v>MAYORPET</c:v>
                  </c:pt>
                  <c:pt idx="341">
                    <c:v>MAYORPET</c:v>
                  </c:pt>
                  <c:pt idx="342">
                    <c:v>MAYORPET</c:v>
                  </c:pt>
                  <c:pt idx="343">
                    <c:v>MAYORPET</c:v>
                  </c:pt>
                  <c:pt idx="344">
                    <c:v>MAYORPET</c:v>
                  </c:pt>
                  <c:pt idx="345">
                    <c:v>MAYORPET</c:v>
                  </c:pt>
                  <c:pt idx="346">
                    <c:v>MAYORPET</c:v>
                  </c:pt>
                  <c:pt idx="347">
                    <c:v>MAYORPET</c:v>
                  </c:pt>
                  <c:pt idx="348">
                    <c:v>MAYORPET</c:v>
                  </c:pt>
                  <c:pt idx="349">
                    <c:v>MAYORPET</c:v>
                  </c:pt>
                  <c:pt idx="350">
                    <c:v>MAYORPET</c:v>
                  </c:pt>
                  <c:pt idx="351">
                    <c:v>MAYORPET</c:v>
                  </c:pt>
                  <c:pt idx="352">
                    <c:v>MAYORPET</c:v>
                  </c:pt>
                  <c:pt idx="353">
                    <c:v>MAYORPET</c:v>
                  </c:pt>
                  <c:pt idx="354">
                    <c:v>grispix</c:v>
                  </c:pt>
                  <c:pt idx="355">
                    <c:v>grispix</c:v>
                  </c:pt>
                  <c:pt idx="356">
                    <c:v>grispix</c:v>
                  </c:pt>
                  <c:pt idx="357">
                    <c:v>MAYORPET</c:v>
                  </c:pt>
                  <c:pt idx="358">
                    <c:v>MAYORPET</c:v>
                  </c:pt>
                  <c:pt idx="359">
                    <c:v>MAYORPET</c:v>
                  </c:pt>
                  <c:pt idx="360">
                    <c:v>MAYORPET</c:v>
                  </c:pt>
                  <c:pt idx="361">
                    <c:v>deribal</c:v>
                  </c:pt>
                  <c:pt idx="362">
                    <c:v>deribal</c:v>
                  </c:pt>
                  <c:pt idx="363">
                    <c:v>fermara</c:v>
                  </c:pt>
                  <c:pt idx="364">
                    <c:v>deribal</c:v>
                  </c:pt>
                  <c:pt idx="365">
                    <c:v>volpe</c:v>
                  </c:pt>
                  <c:pt idx="366">
                    <c:v>deribal</c:v>
                  </c:pt>
                  <c:pt idx="367">
                    <c:v>deribal</c:v>
                  </c:pt>
                  <c:pt idx="368">
                    <c:v>volpe</c:v>
                  </c:pt>
                  <c:pt idx="369">
                    <c:v>MAYORPET</c:v>
                  </c:pt>
                  <c:pt idx="370">
                    <c:v>MAYORPET</c:v>
                  </c:pt>
                  <c:pt idx="371">
                    <c:v>grispix</c:v>
                  </c:pt>
                  <c:pt idx="372">
                    <c:v>grispix</c:v>
                  </c:pt>
                  <c:pt idx="373">
                    <c:v>MAYORPET</c:v>
                  </c:pt>
                  <c:pt idx="374">
                    <c:v>MAYORPET</c:v>
                  </c:pt>
                  <c:pt idx="375">
                    <c:v>MAYORPET</c:v>
                  </c:pt>
                  <c:pt idx="376">
                    <c:v>grispix</c:v>
                  </c:pt>
                  <c:pt idx="377">
                    <c:v>MAYORPET</c:v>
                  </c:pt>
                  <c:pt idx="378">
                    <c:v>MAYORPET</c:v>
                  </c:pt>
                  <c:pt idx="379">
                    <c:v>MAYORPET</c:v>
                  </c:pt>
                  <c:pt idx="380">
                    <c:v>MAYORPET</c:v>
                  </c:pt>
                  <c:pt idx="381">
                    <c:v>MAYORPET</c:v>
                  </c:pt>
                  <c:pt idx="382">
                    <c:v>MAYORPET</c:v>
                  </c:pt>
                  <c:pt idx="383">
                    <c:v>rimart</c:v>
                  </c:pt>
                  <c:pt idx="384">
                    <c:v>rimart</c:v>
                  </c:pt>
                  <c:pt idx="385">
                    <c:v>MAYORPET</c:v>
                  </c:pt>
                  <c:pt idx="386">
                    <c:v>damian macetas</c:v>
                  </c:pt>
                  <c:pt idx="387">
                    <c:v>MAYORPET</c:v>
                  </c:pt>
                  <c:pt idx="388">
                    <c:v>MAYORPET</c:v>
                  </c:pt>
                  <c:pt idx="389">
                    <c:v>MAYORPET</c:v>
                  </c:pt>
                  <c:pt idx="390">
                    <c:v>valagu</c:v>
                  </c:pt>
                  <c:pt idx="391">
                    <c:v>MAYORPET</c:v>
                  </c:pt>
                  <c:pt idx="392">
                    <c:v>MAYORPET</c:v>
                  </c:pt>
                  <c:pt idx="393">
                    <c:v>MAYORPET</c:v>
                  </c:pt>
                  <c:pt idx="394">
                    <c:v>MAYORPET</c:v>
                  </c:pt>
                  <c:pt idx="395">
                    <c:v>MAYORPET</c:v>
                  </c:pt>
                  <c:pt idx="396">
                    <c:v>MAYORPET</c:v>
                  </c:pt>
                  <c:pt idx="397">
                    <c:v>MAYORPET</c:v>
                  </c:pt>
                  <c:pt idx="398">
                    <c:v>MAYORPET</c:v>
                  </c:pt>
                  <c:pt idx="399">
                    <c:v>MAYORPET</c:v>
                  </c:pt>
                  <c:pt idx="400">
                    <c:v>MAYORPET</c:v>
                  </c:pt>
                  <c:pt idx="401">
                    <c:v>MAYORPET</c:v>
                  </c:pt>
                  <c:pt idx="402">
                    <c:v>MAYORPET</c:v>
                  </c:pt>
                  <c:pt idx="403">
                    <c:v>MAYORPET</c:v>
                  </c:pt>
                  <c:pt idx="404">
                    <c:v>MAYORPET</c:v>
                  </c:pt>
                  <c:pt idx="405">
                    <c:v>valagu</c:v>
                  </c:pt>
                  <c:pt idx="406">
                    <c:v>valagu</c:v>
                  </c:pt>
                  <c:pt idx="407">
                    <c:v>damian macetas</c:v>
                  </c:pt>
                  <c:pt idx="408">
                    <c:v>valagu</c:v>
                  </c:pt>
                  <c:pt idx="409">
                    <c:v>beltrame</c:v>
                  </c:pt>
                  <c:pt idx="410">
                    <c:v>valagu</c:v>
                  </c:pt>
                  <c:pt idx="411">
                    <c:v>valagu</c:v>
                  </c:pt>
                  <c:pt idx="412">
                    <c:v>damian macetas</c:v>
                  </c:pt>
                  <c:pt idx="413">
                    <c:v>MAYORPET</c:v>
                  </c:pt>
                  <c:pt idx="414">
                    <c:v>damian macetas</c:v>
                  </c:pt>
                  <c:pt idx="415">
                    <c:v>MAYORPET</c:v>
                  </c:pt>
                  <c:pt idx="416">
                    <c:v>bioterra</c:v>
                  </c:pt>
                  <c:pt idx="417">
                    <c:v>bioterra</c:v>
                  </c:pt>
                  <c:pt idx="418">
                    <c:v>diego</c:v>
                  </c:pt>
                  <c:pt idx="419">
                    <c:v>damian macetas</c:v>
                  </c:pt>
                  <c:pt idx="420">
                    <c:v>damian macetas</c:v>
                  </c:pt>
                  <c:pt idx="422">
                    <c:v>valagu</c:v>
                  </c:pt>
                  <c:pt idx="423">
                    <c:v>yaques</c:v>
                  </c:pt>
                  <c:pt idx="424">
                    <c:v>corona</c:v>
                  </c:pt>
                  <c:pt idx="425">
                    <c:v>corona</c:v>
                  </c:pt>
                  <c:pt idx="426">
                    <c:v>corona</c:v>
                  </c:pt>
                  <c:pt idx="427">
                    <c:v>corona</c:v>
                  </c:pt>
                  <c:pt idx="428">
                    <c:v>MAYORPET</c:v>
                  </c:pt>
                  <c:pt idx="429">
                    <c:v>MAYORPET</c:v>
                  </c:pt>
                  <c:pt idx="430">
                    <c:v>MAYORPET</c:v>
                  </c:pt>
                  <c:pt idx="431">
                    <c:v>MAYORPET</c:v>
                  </c:pt>
                  <c:pt idx="432">
                    <c:v>grispix</c:v>
                  </c:pt>
                  <c:pt idx="433">
                    <c:v>MAYORPET</c:v>
                  </c:pt>
                  <c:pt idx="434">
                    <c:v>mayorpet</c:v>
                  </c:pt>
                  <c:pt idx="435">
                    <c:v>MAYORPET</c:v>
                  </c:pt>
                  <c:pt idx="436">
                    <c:v>MAYORPET</c:v>
                  </c:pt>
                  <c:pt idx="437">
                    <c:v>alvarez</c:v>
                  </c:pt>
                  <c:pt idx="438">
                    <c:v>denucio</c:v>
                  </c:pt>
                  <c:pt idx="439">
                    <c:v>denucio</c:v>
                  </c:pt>
                  <c:pt idx="440">
                    <c:v>denucio</c:v>
                  </c:pt>
                  <c:pt idx="441">
                    <c:v>denucio</c:v>
                  </c:pt>
                  <c:pt idx="442">
                    <c:v>denucio</c:v>
                  </c:pt>
                  <c:pt idx="443">
                    <c:v>denucio</c:v>
                  </c:pt>
                  <c:pt idx="444">
                    <c:v>denucio</c:v>
                  </c:pt>
                  <c:pt idx="445">
                    <c:v>denucio</c:v>
                  </c:pt>
                  <c:pt idx="446">
                    <c:v>denucio</c:v>
                  </c:pt>
                  <c:pt idx="447">
                    <c:v>denucio</c:v>
                  </c:pt>
                  <c:pt idx="448">
                    <c:v>denucio</c:v>
                  </c:pt>
                  <c:pt idx="449">
                    <c:v>denucio</c:v>
                  </c:pt>
                  <c:pt idx="450">
                    <c:v>denucio</c:v>
                  </c:pt>
                  <c:pt idx="451">
                    <c:v>deribal</c:v>
                  </c:pt>
                  <c:pt idx="452">
                    <c:v>lima</c:v>
                  </c:pt>
                  <c:pt idx="453">
                    <c:v>vet volpe</c:v>
                  </c:pt>
                  <c:pt idx="454">
                    <c:v>vet volpe</c:v>
                  </c:pt>
                  <c:pt idx="455">
                    <c:v>parque trebol</c:v>
                  </c:pt>
                  <c:pt idx="456">
                    <c:v>parque trebol</c:v>
                  </c:pt>
                  <c:pt idx="457">
                    <c:v>parque trebol</c:v>
                  </c:pt>
                  <c:pt idx="458">
                    <c:v>lima</c:v>
                  </c:pt>
                  <c:pt idx="459">
                    <c:v>yaques</c:v>
                  </c:pt>
                  <c:pt idx="460">
                    <c:v>uruquim</c:v>
                  </c:pt>
                  <c:pt idx="461">
                    <c:v>uruquim</c:v>
                  </c:pt>
                  <c:pt idx="462">
                    <c:v>deribal</c:v>
                  </c:pt>
                  <c:pt idx="463">
                    <c:v>uruquim</c:v>
                  </c:pt>
                  <c:pt idx="464">
                    <c:v>damian macetas</c:v>
                  </c:pt>
                  <c:pt idx="465">
                    <c:v>damian macetas</c:v>
                  </c:pt>
                  <c:pt idx="466">
                    <c:v>damian macetas</c:v>
                  </c:pt>
                  <c:pt idx="467">
                    <c:v>damian macetas</c:v>
                  </c:pt>
                  <c:pt idx="468">
                    <c:v>damian macetas</c:v>
                  </c:pt>
                  <c:pt idx="469">
                    <c:v>damian macetas</c:v>
                  </c:pt>
                  <c:pt idx="470">
                    <c:v>damian macetas</c:v>
                  </c:pt>
                  <c:pt idx="471">
                    <c:v>damian macetas</c:v>
                  </c:pt>
                  <c:pt idx="472">
                    <c:v>MAYORPET</c:v>
                  </c:pt>
                  <c:pt idx="473">
                    <c:v>MAYORPET</c:v>
                  </c:pt>
                  <c:pt idx="474">
                    <c:v>volpe</c:v>
                  </c:pt>
                  <c:pt idx="475">
                    <c:v>deribal</c:v>
                  </c:pt>
                  <c:pt idx="476">
                    <c:v>damian macetas</c:v>
                  </c:pt>
                  <c:pt idx="477">
                    <c:v>damian macetas</c:v>
                  </c:pt>
                  <c:pt idx="478">
                    <c:v>belsir</c:v>
                  </c:pt>
                  <c:pt idx="479">
                    <c:v>ds</c:v>
                  </c:pt>
                  <c:pt idx="480">
                    <c:v>ds</c:v>
                  </c:pt>
                  <c:pt idx="481">
                    <c:v>ds</c:v>
                  </c:pt>
                  <c:pt idx="482">
                    <c:v>ds</c:v>
                  </c:pt>
                  <c:pt idx="483">
                    <c:v>dsd</c:v>
                  </c:pt>
                  <c:pt idx="484">
                    <c:v>ds</c:v>
                  </c:pt>
                  <c:pt idx="485">
                    <c:v>DS</c:v>
                  </c:pt>
                  <c:pt idx="486">
                    <c:v>DS</c:v>
                  </c:pt>
                  <c:pt idx="487">
                    <c:v>DS</c:v>
                  </c:pt>
                  <c:pt idx="488">
                    <c:v>ds</c:v>
                  </c:pt>
                  <c:pt idx="489">
                    <c:v>ds</c:v>
                  </c:pt>
                  <c:pt idx="490">
                    <c:v>ds</c:v>
                  </c:pt>
                  <c:pt idx="491">
                    <c:v>ds</c:v>
                  </c:pt>
                  <c:pt idx="492">
                    <c:v>ds</c:v>
                  </c:pt>
                  <c:pt idx="493">
                    <c:v>ds</c:v>
                  </c:pt>
                  <c:pt idx="494">
                    <c:v>ds</c:v>
                  </c:pt>
                  <c:pt idx="495">
                    <c:v>ds</c:v>
                  </c:pt>
                  <c:pt idx="496">
                    <c:v>ds</c:v>
                  </c:pt>
                  <c:pt idx="497">
                    <c:v>ds</c:v>
                  </c:pt>
                  <c:pt idx="498">
                    <c:v>ds</c:v>
                  </c:pt>
                  <c:pt idx="499">
                    <c:v>ds</c:v>
                  </c:pt>
                  <c:pt idx="500">
                    <c:v>ds</c:v>
                  </c:pt>
                  <c:pt idx="501">
                    <c:v>ds</c:v>
                  </c:pt>
                  <c:pt idx="502">
                    <c:v>ds</c:v>
                  </c:pt>
                  <c:pt idx="503">
                    <c:v>ds</c:v>
                  </c:pt>
                  <c:pt idx="504">
                    <c:v>ds</c:v>
                  </c:pt>
                  <c:pt idx="505">
                    <c:v>ds</c:v>
                  </c:pt>
                  <c:pt idx="506">
                    <c:v>ds</c:v>
                  </c:pt>
                  <c:pt idx="507">
                    <c:v>ds</c:v>
                  </c:pt>
                  <c:pt idx="508">
                    <c:v>ds</c:v>
                  </c:pt>
                  <c:pt idx="509">
                    <c:v>ds</c:v>
                  </c:pt>
                  <c:pt idx="510">
                    <c:v>ds</c:v>
                  </c:pt>
                  <c:pt idx="511">
                    <c:v>ds</c:v>
                  </c:pt>
                  <c:pt idx="512">
                    <c:v>ds</c:v>
                  </c:pt>
                  <c:pt idx="513">
                    <c:v>ds</c:v>
                  </c:pt>
                  <c:pt idx="514">
                    <c:v>ds</c:v>
                  </c:pt>
                  <c:pt idx="515">
                    <c:v>ds</c:v>
                  </c:pt>
                  <c:pt idx="516">
                    <c:v>ds</c:v>
                  </c:pt>
                  <c:pt idx="517">
                    <c:v>ds</c:v>
                  </c:pt>
                  <c:pt idx="518">
                    <c:v>ds</c:v>
                  </c:pt>
                  <c:pt idx="519">
                    <c:v>ds</c:v>
                  </c:pt>
                  <c:pt idx="520">
                    <c:v>ds</c:v>
                  </c:pt>
                  <c:pt idx="521">
                    <c:v>ds</c:v>
                  </c:pt>
                  <c:pt idx="522">
                    <c:v>damian macetas</c:v>
                  </c:pt>
                  <c:pt idx="536">
                    <c:v>ds</c:v>
                  </c:pt>
                  <c:pt idx="537">
                    <c:v>ds</c:v>
                  </c:pt>
                  <c:pt idx="538">
                    <c:v>ds</c:v>
                  </c:pt>
                  <c:pt idx="542">
                    <c:v>ds</c:v>
                  </c:pt>
                  <c:pt idx="543">
                    <c:v>ds</c:v>
                  </c:pt>
                  <c:pt idx="544">
                    <c:v>ds</c:v>
                  </c:pt>
                  <c:pt idx="545">
                    <c:v>ds</c:v>
                  </c:pt>
                  <c:pt idx="546">
                    <c:v>ds</c:v>
                  </c:pt>
                  <c:pt idx="547">
                    <c:v>ds</c:v>
                  </c:pt>
                  <c:pt idx="548">
                    <c:v>ds</c:v>
                  </c:pt>
                  <c:pt idx="549">
                    <c:v>ds</c:v>
                  </c:pt>
                  <c:pt idx="552">
                    <c:v>damian macetas</c:v>
                  </c:pt>
                  <c:pt idx="553">
                    <c:v>damian macetas</c:v>
                  </c:pt>
                  <c:pt idx="554">
                    <c:v>beltrame</c:v>
                  </c:pt>
                  <c:pt idx="555">
                    <c:v>volpe</c:v>
                  </c:pt>
                  <c:pt idx="556">
                    <c:v>volpe</c:v>
                  </c:pt>
                  <c:pt idx="557">
                    <c:v>damian macetas</c:v>
                  </c:pt>
                  <c:pt idx="558">
                    <c:v>beltrame</c:v>
                  </c:pt>
                  <c:pt idx="559">
                    <c:v>parque trebol</c:v>
                  </c:pt>
                  <c:pt idx="560">
                    <c:v>denucio</c:v>
                  </c:pt>
                  <c:pt idx="561">
                    <c:v>damian macetas</c:v>
                  </c:pt>
                  <c:pt idx="562">
                    <c:v>damian macetas</c:v>
                  </c:pt>
                  <c:pt idx="563">
                    <c:v>beltrame</c:v>
                  </c:pt>
                  <c:pt idx="564">
                    <c:v>denucio</c:v>
                  </c:pt>
                  <c:pt idx="565">
                    <c:v>denucio</c:v>
                  </c:pt>
                  <c:pt idx="567">
                    <c:v>damian macetas</c:v>
                  </c:pt>
                  <c:pt idx="568">
                    <c:v>grispix</c:v>
                  </c:pt>
                  <c:pt idx="569">
                    <c:v>damian macetas</c:v>
                  </c:pt>
                  <c:pt idx="570">
                    <c:v>damian macetas</c:v>
                  </c:pt>
                  <c:pt idx="571">
                    <c:v>damian macetas</c:v>
                  </c:pt>
                  <c:pt idx="572">
                    <c:v>beltrame</c:v>
                  </c:pt>
                  <c:pt idx="573">
                    <c:v>de navarra</c:v>
                  </c:pt>
                  <c:pt idx="577">
                    <c:v>damian macetas</c:v>
                  </c:pt>
                  <c:pt idx="578">
                    <c:v>damian macetas</c:v>
                  </c:pt>
                  <c:pt idx="579">
                    <c:v>valagu</c:v>
                  </c:pt>
                  <c:pt idx="580">
                    <c:v>valagu</c:v>
                  </c:pt>
                  <c:pt idx="582">
                    <c:v>distribuciones KRM</c:v>
                  </c:pt>
                  <c:pt idx="583">
                    <c:v>damian macetas</c:v>
                  </c:pt>
                  <c:pt idx="585">
                    <c:v>valagu</c:v>
                  </c:pt>
                  <c:pt idx="586">
                    <c:v>deribal</c:v>
                  </c:pt>
                  <c:pt idx="587">
                    <c:v>deribal</c:v>
                  </c:pt>
                  <c:pt idx="588">
                    <c:v>deribal</c:v>
                  </c:pt>
                  <c:pt idx="589">
                    <c:v>damian macetas</c:v>
                  </c:pt>
                  <c:pt idx="590">
                    <c:v>magric</c:v>
                  </c:pt>
                  <c:pt idx="591">
                    <c:v>magric</c:v>
                  </c:pt>
                  <c:pt idx="592">
                    <c:v>MAGRIC</c:v>
                  </c:pt>
                  <c:pt idx="593">
                    <c:v>beltrame</c:v>
                  </c:pt>
                  <c:pt idx="594">
                    <c:v>magric</c:v>
                  </c:pt>
                  <c:pt idx="595">
                    <c:v>magric</c:v>
                  </c:pt>
                  <c:pt idx="596">
                    <c:v>magric</c:v>
                  </c:pt>
                  <c:pt idx="598">
                    <c:v>magric</c:v>
                  </c:pt>
                  <c:pt idx="599">
                    <c:v>magric</c:v>
                  </c:pt>
                  <c:pt idx="605">
                    <c:v>alvarez</c:v>
                  </c:pt>
                  <c:pt idx="606">
                    <c:v>alvarez</c:v>
                  </c:pt>
                  <c:pt idx="607">
                    <c:v>alvarez</c:v>
                  </c:pt>
                  <c:pt idx="609">
                    <c:v>alvarez</c:v>
                  </c:pt>
                  <c:pt idx="610">
                    <c:v>alvarez</c:v>
                  </c:pt>
                  <c:pt idx="611">
                    <c:v>alvarez</c:v>
                  </c:pt>
                  <c:pt idx="613">
                    <c:v>alvarez</c:v>
                  </c:pt>
                  <c:pt idx="614">
                    <c:v>bioterra</c:v>
                  </c:pt>
                  <c:pt idx="617">
                    <c:v>alvarez</c:v>
                  </c:pt>
                  <c:pt idx="618">
                    <c:v>alvarez</c:v>
                  </c:pt>
                  <c:pt idx="619">
                    <c:v>valagu</c:v>
                  </c:pt>
                  <c:pt idx="620">
                    <c:v>valagu</c:v>
                  </c:pt>
                  <c:pt idx="621">
                    <c:v>valagu</c:v>
                  </c:pt>
                  <c:pt idx="622">
                    <c:v>valagu</c:v>
                  </c:pt>
                  <c:pt idx="623">
                    <c:v>valagu</c:v>
                  </c:pt>
                  <c:pt idx="624">
                    <c:v>valagu</c:v>
                  </c:pt>
                  <c:pt idx="625">
                    <c:v>valagu</c:v>
                  </c:pt>
                  <c:pt idx="626">
                    <c:v>valagu</c:v>
                  </c:pt>
                  <c:pt idx="627">
                    <c:v>valagu</c:v>
                  </c:pt>
                  <c:pt idx="628">
                    <c:v>valagu</c:v>
                  </c:pt>
                  <c:pt idx="629">
                    <c:v>valagu</c:v>
                  </c:pt>
                  <c:pt idx="630">
                    <c:v>valagu</c:v>
                  </c:pt>
                  <c:pt idx="631">
                    <c:v>damian macetas</c:v>
                  </c:pt>
                  <c:pt idx="632">
                    <c:v>valagu</c:v>
                  </c:pt>
                  <c:pt idx="633">
                    <c:v>parque trebol</c:v>
                  </c:pt>
                  <c:pt idx="634">
                    <c:v>parque trebol</c:v>
                  </c:pt>
                  <c:pt idx="635">
                    <c:v>parque trebol</c:v>
                  </c:pt>
                  <c:pt idx="636">
                    <c:v>parque trebol</c:v>
                  </c:pt>
                  <c:pt idx="637">
                    <c:v>parque trebol</c:v>
                  </c:pt>
                  <c:pt idx="638">
                    <c:v>diego</c:v>
                  </c:pt>
                  <c:pt idx="640">
                    <c:v>damian macetas</c:v>
                  </c:pt>
                  <c:pt idx="641">
                    <c:v>damian macetas</c:v>
                  </c:pt>
                  <c:pt idx="642">
                    <c:v>damian macetas</c:v>
                  </c:pt>
                  <c:pt idx="643">
                    <c:v>damian macetas</c:v>
                  </c:pt>
                  <c:pt idx="644">
                    <c:v>damian macetas</c:v>
                  </c:pt>
                  <c:pt idx="645">
                    <c:v>damian macetas</c:v>
                  </c:pt>
                  <c:pt idx="647">
                    <c:v>diego</c:v>
                  </c:pt>
                  <c:pt idx="651">
                    <c:v>damian macetas</c:v>
                  </c:pt>
                  <c:pt idx="652">
                    <c:v>damian macetas</c:v>
                  </c:pt>
                  <c:pt idx="653">
                    <c:v>damian macetas</c:v>
                  </c:pt>
                  <c:pt idx="654">
                    <c:v>damian macetas</c:v>
                  </c:pt>
                  <c:pt idx="655">
                    <c:v>damian macetas</c:v>
                  </c:pt>
                  <c:pt idx="656">
                    <c:v>grispix</c:v>
                  </c:pt>
                  <c:pt idx="657">
                    <c:v>yaques</c:v>
                  </c:pt>
                  <c:pt idx="658">
                    <c:v>damian macetas</c:v>
                  </c:pt>
                  <c:pt idx="659">
                    <c:v>yaques</c:v>
                  </c:pt>
                  <c:pt idx="660">
                    <c:v>casa cristina</c:v>
                  </c:pt>
                  <c:pt idx="661">
                    <c:v>casa cristina</c:v>
                  </c:pt>
                  <c:pt idx="662">
                    <c:v>casa cristina</c:v>
                  </c:pt>
                  <c:pt idx="663">
                    <c:v>casa cristina</c:v>
                  </c:pt>
                  <c:pt idx="664">
                    <c:v>casa cristina</c:v>
                  </c:pt>
                  <c:pt idx="665">
                    <c:v>casa cristina</c:v>
                  </c:pt>
                  <c:pt idx="666">
                    <c:v>diego</c:v>
                  </c:pt>
                  <c:pt idx="667">
                    <c:v>empack</c:v>
                  </c:pt>
                  <c:pt idx="668">
                    <c:v>empack</c:v>
                  </c:pt>
                  <c:pt idx="670">
                    <c:v>attack</c:v>
                  </c:pt>
                  <c:pt idx="671">
                    <c:v>atack</c:v>
                  </c:pt>
                  <c:pt idx="674">
                    <c:v>parque trebol</c:v>
                  </c:pt>
                  <c:pt idx="675">
                    <c:v>volpe</c:v>
                  </c:pt>
                  <c:pt idx="676">
                    <c:v>volpe</c:v>
                  </c:pt>
                  <c:pt idx="677">
                    <c:v>grispix</c:v>
                  </c:pt>
                  <c:pt idx="678">
                    <c:v>damian macetas</c:v>
                  </c:pt>
                  <c:pt idx="679">
                    <c:v>belsir</c:v>
                  </c:pt>
                  <c:pt idx="680">
                    <c:v>negley</c:v>
                  </c:pt>
                  <c:pt idx="681">
                    <c:v>fermara</c:v>
                  </c:pt>
                  <c:pt idx="682">
                    <c:v>fermara</c:v>
                  </c:pt>
                  <c:pt idx="683">
                    <c:v>damian macetas</c:v>
                  </c:pt>
                  <c:pt idx="684">
                    <c:v>damian macetas</c:v>
                  </c:pt>
                  <c:pt idx="685">
                    <c:v>carrau</c:v>
                  </c:pt>
                  <c:pt idx="686">
                    <c:v>carrau</c:v>
                  </c:pt>
                  <c:pt idx="687">
                    <c:v>negley</c:v>
                  </c:pt>
                  <c:pt idx="688">
                    <c:v>deribal</c:v>
                  </c:pt>
                  <c:pt idx="689">
                    <c:v>belsir</c:v>
                  </c:pt>
                  <c:pt idx="690">
                    <c:v>belsir</c:v>
                  </c:pt>
                  <c:pt idx="691">
                    <c:v>belsir</c:v>
                  </c:pt>
                  <c:pt idx="692">
                    <c:v>belsir</c:v>
                  </c:pt>
                  <c:pt idx="693">
                    <c:v>belsir</c:v>
                  </c:pt>
                  <c:pt idx="694">
                    <c:v>deribal</c:v>
                  </c:pt>
                  <c:pt idx="695">
                    <c:v>REMIPLAT</c:v>
                  </c:pt>
                  <c:pt idx="696">
                    <c:v>REMIPLAT</c:v>
                  </c:pt>
                  <c:pt idx="697">
                    <c:v>REMIPLAT</c:v>
                  </c:pt>
                  <c:pt idx="698">
                    <c:v>REMIPLAT</c:v>
                  </c:pt>
                  <c:pt idx="699">
                    <c:v>fermara</c:v>
                  </c:pt>
                  <c:pt idx="700">
                    <c:v>fermara</c:v>
                  </c:pt>
                  <c:pt idx="703">
                    <c:v>REMIPLAT</c:v>
                  </c:pt>
                  <c:pt idx="704">
                    <c:v>heroica</c:v>
                  </c:pt>
                  <c:pt idx="705">
                    <c:v>heroica</c:v>
                  </c:pt>
                  <c:pt idx="706">
                    <c:v>distribuidora del sol</c:v>
                  </c:pt>
                  <c:pt idx="707">
                    <c:v>distribuidora del sol</c:v>
                  </c:pt>
                  <c:pt idx="708">
                    <c:v>distribuidora del sol</c:v>
                  </c:pt>
                  <c:pt idx="709">
                    <c:v>distribuidora del sol</c:v>
                  </c:pt>
                  <c:pt idx="710">
                    <c:v>distribuidora del sol</c:v>
                  </c:pt>
                  <c:pt idx="711">
                    <c:v>distribuidora del sol</c:v>
                  </c:pt>
                  <c:pt idx="712">
                    <c:v>distribuidora del sol</c:v>
                  </c:pt>
                  <c:pt idx="713">
                    <c:v>negley</c:v>
                  </c:pt>
                  <c:pt idx="714">
                    <c:v>negley</c:v>
                  </c:pt>
                  <c:pt idx="715">
                    <c:v>belsir</c:v>
                  </c:pt>
                  <c:pt idx="716">
                    <c:v>belsir</c:v>
                  </c:pt>
                  <c:pt idx="717">
                    <c:v>belsir</c:v>
                  </c:pt>
                  <c:pt idx="718">
                    <c:v>belsir</c:v>
                  </c:pt>
                  <c:pt idx="719">
                    <c:v>belsir</c:v>
                  </c:pt>
                  <c:pt idx="720">
                    <c:v>belsir</c:v>
                  </c:pt>
                  <c:pt idx="721">
                    <c:v>belsir</c:v>
                  </c:pt>
                  <c:pt idx="722">
                    <c:v>negley</c:v>
                  </c:pt>
                  <c:pt idx="723">
                    <c:v>DERIBAL</c:v>
                  </c:pt>
                  <c:pt idx="726">
                    <c:v>rimart</c:v>
                  </c:pt>
                  <c:pt idx="727">
                    <c:v>rimart</c:v>
                  </c:pt>
                  <c:pt idx="730">
                    <c:v>magric</c:v>
                  </c:pt>
                  <c:pt idx="731">
                    <c:v>magric</c:v>
                  </c:pt>
                  <c:pt idx="732">
                    <c:v>manfredi</c:v>
                  </c:pt>
                  <c:pt idx="733">
                    <c:v>denucio</c:v>
                  </c:pt>
                  <c:pt idx="734">
                    <c:v>denucio</c:v>
                  </c:pt>
                  <c:pt idx="736">
                    <c:v>bioterra</c:v>
                  </c:pt>
                  <c:pt idx="739">
                    <c:v>damian macetas</c:v>
                  </c:pt>
                  <c:pt idx="740">
                    <c:v>grispix</c:v>
                  </c:pt>
                  <c:pt idx="741">
                    <c:v>damian macetas</c:v>
                  </c:pt>
                  <c:pt idx="742">
                    <c:v>grispix</c:v>
                  </c:pt>
                  <c:pt idx="743">
                    <c:v>yaques</c:v>
                  </c:pt>
                  <c:pt idx="744">
                    <c:v>diego</c:v>
                  </c:pt>
                  <c:pt idx="745">
                    <c:v>yaques</c:v>
                  </c:pt>
                  <c:pt idx="746">
                    <c:v>yaques</c:v>
                  </c:pt>
                  <c:pt idx="749">
                    <c:v>alvarez</c:v>
                  </c:pt>
                  <c:pt idx="750">
                    <c:v>damian macetas</c:v>
                  </c:pt>
                  <c:pt idx="751">
                    <c:v>copagran</c:v>
                  </c:pt>
                  <c:pt idx="752">
                    <c:v>copagran</c:v>
                  </c:pt>
                  <c:pt idx="753">
                    <c:v>copagran</c:v>
                  </c:pt>
                  <c:pt idx="754">
                    <c:v>agritec</c:v>
                  </c:pt>
                  <c:pt idx="755">
                    <c:v>magric</c:v>
                  </c:pt>
                  <c:pt idx="756">
                    <c:v>magric</c:v>
                  </c:pt>
                  <c:pt idx="757">
                    <c:v>copagran</c:v>
                  </c:pt>
                  <c:pt idx="758">
                    <c:v>diego</c:v>
                  </c:pt>
                  <c:pt idx="759">
                    <c:v>diego</c:v>
                  </c:pt>
                  <c:pt idx="760">
                    <c:v>damian macetas</c:v>
                  </c:pt>
                  <c:pt idx="761">
                    <c:v>damian macetas</c:v>
                  </c:pt>
                  <c:pt idx="762">
                    <c:v>damian macetas</c:v>
                  </c:pt>
                  <c:pt idx="763">
                    <c:v>yaques</c:v>
                  </c:pt>
                  <c:pt idx="764">
                    <c:v>parque trebol</c:v>
                  </c:pt>
                  <c:pt idx="765">
                    <c:v>beltrame</c:v>
                  </c:pt>
                  <c:pt idx="766">
                    <c:v>magric</c:v>
                  </c:pt>
                  <c:pt idx="767">
                    <c:v>beltrame</c:v>
                  </c:pt>
                  <c:pt idx="768">
                    <c:v>beltrame</c:v>
                  </c:pt>
                  <c:pt idx="769">
                    <c:v>beltrame</c:v>
                  </c:pt>
                  <c:pt idx="770">
                    <c:v>copagran</c:v>
                  </c:pt>
                  <c:pt idx="771">
                    <c:v>parque trebol</c:v>
                  </c:pt>
                  <c:pt idx="772">
                    <c:v>copagran</c:v>
                  </c:pt>
                  <c:pt idx="773">
                    <c:v>beltrame</c:v>
                  </c:pt>
                  <c:pt idx="774">
                    <c:v>uruquim</c:v>
                  </c:pt>
                  <c:pt idx="776">
                    <c:v>damian macetas</c:v>
                  </c:pt>
                  <c:pt idx="777">
                    <c:v>damian macetas</c:v>
                  </c:pt>
                  <c:pt idx="778">
                    <c:v>MAYORPET</c:v>
                  </c:pt>
                  <c:pt idx="779">
                    <c:v>MAYORPET</c:v>
                  </c:pt>
                  <c:pt idx="780">
                    <c:v>MAYORPET</c:v>
                  </c:pt>
                  <c:pt idx="781">
                    <c:v>damian macetas</c:v>
                  </c:pt>
                  <c:pt idx="782">
                    <c:v>damian macetas</c:v>
                  </c:pt>
                  <c:pt idx="783">
                    <c:v>alvarez</c:v>
                  </c:pt>
                  <c:pt idx="787">
                    <c:v>damian macetas</c:v>
                  </c:pt>
                  <c:pt idx="788">
                    <c:v>damian macetas</c:v>
                  </c:pt>
                  <c:pt idx="789">
                    <c:v>MAYORPET</c:v>
                  </c:pt>
                  <c:pt idx="790">
                    <c:v>MAYORPET</c:v>
                  </c:pt>
                  <c:pt idx="791">
                    <c:v>MAYORPET</c:v>
                  </c:pt>
                  <c:pt idx="792">
                    <c:v>parque trebol</c:v>
                  </c:pt>
                  <c:pt idx="796">
                    <c:v>parque trebol</c:v>
                  </c:pt>
                  <c:pt idx="797">
                    <c:v>parque trebol</c:v>
                  </c:pt>
                  <c:pt idx="798">
                    <c:v>distribuidora del sol</c:v>
                  </c:pt>
                  <c:pt idx="799">
                    <c:v>distribuidora del sol</c:v>
                  </c:pt>
                  <c:pt idx="800">
                    <c:v>distribuidora del sol</c:v>
                  </c:pt>
                  <c:pt idx="801">
                    <c:v>meril</c:v>
                  </c:pt>
                  <c:pt idx="802">
                    <c:v>meril</c:v>
                  </c:pt>
                  <c:pt idx="803">
                    <c:v>meril</c:v>
                  </c:pt>
                  <c:pt idx="804">
                    <c:v>meril</c:v>
                  </c:pt>
                  <c:pt idx="805">
                    <c:v>damian macetas</c:v>
                  </c:pt>
                  <c:pt idx="806">
                    <c:v>damian macetas</c:v>
                  </c:pt>
                  <c:pt idx="807">
                    <c:v>damian macetas</c:v>
                  </c:pt>
                  <c:pt idx="808">
                    <c:v>damian macetas</c:v>
                  </c:pt>
                  <c:pt idx="809">
                    <c:v>damian macetas</c:v>
                  </c:pt>
                  <c:pt idx="810">
                    <c:v>damian macetas</c:v>
                  </c:pt>
                  <c:pt idx="811">
                    <c:v>damian macetas</c:v>
                  </c:pt>
                  <c:pt idx="812">
                    <c:v>damian macetas</c:v>
                  </c:pt>
                  <c:pt idx="813">
                    <c:v>damian macetas</c:v>
                  </c:pt>
                  <c:pt idx="814">
                    <c:v>damian macetas</c:v>
                  </c:pt>
                  <c:pt idx="815">
                    <c:v>damian macetas</c:v>
                  </c:pt>
                  <c:pt idx="816">
                    <c:v>damian macetas</c:v>
                  </c:pt>
                  <c:pt idx="817">
                    <c:v>damian macetas</c:v>
                  </c:pt>
                  <c:pt idx="818">
                    <c:v>damian macetas</c:v>
                  </c:pt>
                  <c:pt idx="819">
                    <c:v>alvarez</c:v>
                  </c:pt>
                  <c:pt idx="820">
                    <c:v>alvarez</c:v>
                  </c:pt>
                  <c:pt idx="821">
                    <c:v>damian macetas</c:v>
                  </c:pt>
                  <c:pt idx="822">
                    <c:v>damian macetas</c:v>
                  </c:pt>
                  <c:pt idx="823">
                    <c:v>damian macetas</c:v>
                  </c:pt>
                  <c:pt idx="824">
                    <c:v>damian macetas</c:v>
                  </c:pt>
                  <c:pt idx="825">
                    <c:v>damian macetas</c:v>
                  </c:pt>
                  <c:pt idx="826">
                    <c:v>damian macetas</c:v>
                  </c:pt>
                  <c:pt idx="827">
                    <c:v>damian macetas</c:v>
                  </c:pt>
                  <c:pt idx="828">
                    <c:v>damian macetas</c:v>
                  </c:pt>
                  <c:pt idx="829">
                    <c:v>grispix</c:v>
                  </c:pt>
                  <c:pt idx="830">
                    <c:v>damian macetas</c:v>
                  </c:pt>
                  <c:pt idx="831">
                    <c:v>damian macetas</c:v>
                  </c:pt>
                  <c:pt idx="832">
                    <c:v>damian macetas</c:v>
                  </c:pt>
                  <c:pt idx="833">
                    <c:v>damian macetas</c:v>
                  </c:pt>
                  <c:pt idx="834">
                    <c:v>damian macetas</c:v>
                  </c:pt>
                  <c:pt idx="835">
                    <c:v>damian macetas</c:v>
                  </c:pt>
                  <c:pt idx="836">
                    <c:v>damian macetas</c:v>
                  </c:pt>
                  <c:pt idx="837">
                    <c:v>damian macetas</c:v>
                  </c:pt>
                  <c:pt idx="838">
                    <c:v>damian macetas</c:v>
                  </c:pt>
                  <c:pt idx="839">
                    <c:v>damian macetas</c:v>
                  </c:pt>
                  <c:pt idx="840">
                    <c:v>damian macetas</c:v>
                  </c:pt>
                  <c:pt idx="841">
                    <c:v>damian macetas</c:v>
                  </c:pt>
                  <c:pt idx="842">
                    <c:v>valagu</c:v>
                  </c:pt>
                  <c:pt idx="843">
                    <c:v>valagu</c:v>
                  </c:pt>
                  <c:pt idx="844">
                    <c:v>valagu</c:v>
                  </c:pt>
                  <c:pt idx="845">
                    <c:v>valagu</c:v>
                  </c:pt>
                  <c:pt idx="846">
                    <c:v>valagu</c:v>
                  </c:pt>
                  <c:pt idx="847">
                    <c:v>valagu</c:v>
                  </c:pt>
                  <c:pt idx="848">
                    <c:v>valagu</c:v>
                  </c:pt>
                  <c:pt idx="849">
                    <c:v>valagu</c:v>
                  </c:pt>
                  <c:pt idx="850">
                    <c:v>casciato</c:v>
                  </c:pt>
                  <c:pt idx="853">
                    <c:v>valagu</c:v>
                  </c:pt>
                  <c:pt idx="854">
                    <c:v>valagu</c:v>
                  </c:pt>
                  <c:pt idx="855">
                    <c:v>valagu</c:v>
                  </c:pt>
                  <c:pt idx="856">
                    <c:v>valagu</c:v>
                  </c:pt>
                  <c:pt idx="857">
                    <c:v>valagu</c:v>
                  </c:pt>
                  <c:pt idx="858">
                    <c:v>valagu</c:v>
                  </c:pt>
                  <c:pt idx="859">
                    <c:v>valagu</c:v>
                  </c:pt>
                  <c:pt idx="860">
                    <c:v>valagu</c:v>
                  </c:pt>
                  <c:pt idx="861">
                    <c:v>valagu</c:v>
                  </c:pt>
                  <c:pt idx="864">
                    <c:v>uruquim</c:v>
                  </c:pt>
                  <c:pt idx="865">
                    <c:v>parque trebol</c:v>
                  </c:pt>
                  <c:pt idx="867">
                    <c:v>parque trebol</c:v>
                  </c:pt>
                  <c:pt idx="868">
                    <c:v>parque trebol</c:v>
                  </c:pt>
                  <c:pt idx="869">
                    <c:v>valagu</c:v>
                  </c:pt>
                  <c:pt idx="870">
                    <c:v>delta</c:v>
                  </c:pt>
                  <c:pt idx="871">
                    <c:v>distribuciones KRM</c:v>
                  </c:pt>
                  <c:pt idx="872">
                    <c:v>distribuciones KRM</c:v>
                  </c:pt>
                  <c:pt idx="873">
                    <c:v>damian macetas</c:v>
                  </c:pt>
                  <c:pt idx="874">
                    <c:v>damian macetas</c:v>
                  </c:pt>
                  <c:pt idx="875">
                    <c:v>damian macetas</c:v>
                  </c:pt>
                  <c:pt idx="876">
                    <c:v>MAYORPET</c:v>
                  </c:pt>
                  <c:pt idx="877">
                    <c:v>MAYORPET</c:v>
                  </c:pt>
                  <c:pt idx="878">
                    <c:v>MAYORPET</c:v>
                  </c:pt>
                  <c:pt idx="879">
                    <c:v>MAYORPET</c:v>
                  </c:pt>
                  <c:pt idx="880">
                    <c:v>diego</c:v>
                  </c:pt>
                  <c:pt idx="881">
                    <c:v>MAYORPET</c:v>
                  </c:pt>
                  <c:pt idx="882">
                    <c:v>MAYORPET</c:v>
                  </c:pt>
                  <c:pt idx="883">
                    <c:v>beltrame</c:v>
                  </c:pt>
                  <c:pt idx="884">
                    <c:v>MAYORPET</c:v>
                  </c:pt>
                  <c:pt idx="885">
                    <c:v>MAYORPET</c:v>
                  </c:pt>
                  <c:pt idx="886">
                    <c:v>MAYORPET</c:v>
                  </c:pt>
                  <c:pt idx="887">
                    <c:v>MAYORPET</c:v>
                  </c:pt>
                  <c:pt idx="888">
                    <c:v>MAYORPET</c:v>
                  </c:pt>
                  <c:pt idx="889">
                    <c:v>MAYORPET</c:v>
                  </c:pt>
                  <c:pt idx="890">
                    <c:v>grispix</c:v>
                  </c:pt>
                  <c:pt idx="891">
                    <c:v>MAYORPET</c:v>
                  </c:pt>
                  <c:pt idx="892">
                    <c:v>MAYORPET</c:v>
                  </c:pt>
                  <c:pt idx="893">
                    <c:v>MAYORPET</c:v>
                  </c:pt>
                  <c:pt idx="894">
                    <c:v>DIEGO</c:v>
                  </c:pt>
                  <c:pt idx="895">
                    <c:v>grispix</c:v>
                  </c:pt>
                  <c:pt idx="896">
                    <c:v>grispix</c:v>
                  </c:pt>
                  <c:pt idx="897">
                    <c:v>MAYORPET</c:v>
                  </c:pt>
                  <c:pt idx="898">
                    <c:v>MAYORPET</c:v>
                  </c:pt>
                  <c:pt idx="899">
                    <c:v>MAYORPET</c:v>
                  </c:pt>
                  <c:pt idx="900">
                    <c:v>MAYORPET</c:v>
                  </c:pt>
                  <c:pt idx="901">
                    <c:v>MAYORPET</c:v>
                  </c:pt>
                  <c:pt idx="902">
                    <c:v>MAYORPET</c:v>
                  </c:pt>
                  <c:pt idx="903">
                    <c:v>MAYORPET</c:v>
                  </c:pt>
                  <c:pt idx="904">
                    <c:v>MAYORPET</c:v>
                  </c:pt>
                  <c:pt idx="905">
                    <c:v>lima</c:v>
                  </c:pt>
                  <c:pt idx="906">
                    <c:v>MAYORPET</c:v>
                  </c:pt>
                  <c:pt idx="907">
                    <c:v>damian macetas</c:v>
                  </c:pt>
                  <c:pt idx="908">
                    <c:v>valagu</c:v>
                  </c:pt>
                  <c:pt idx="909">
                    <c:v>valagu</c:v>
                  </c:pt>
                  <c:pt idx="910">
                    <c:v>valagu</c:v>
                  </c:pt>
                  <c:pt idx="911">
                    <c:v>valagu</c:v>
                  </c:pt>
                  <c:pt idx="912">
                    <c:v>valagu</c:v>
                  </c:pt>
                  <c:pt idx="913">
                    <c:v>valagu</c:v>
                  </c:pt>
                  <c:pt idx="914">
                    <c:v>valagu</c:v>
                  </c:pt>
                  <c:pt idx="915">
                    <c:v>valagu</c:v>
                  </c:pt>
                  <c:pt idx="916">
                    <c:v>valagu</c:v>
                  </c:pt>
                  <c:pt idx="917">
                    <c:v>valagu</c:v>
                  </c:pt>
                  <c:pt idx="918">
                    <c:v>damian macetas</c:v>
                  </c:pt>
                  <c:pt idx="919">
                    <c:v>damian macetas</c:v>
                  </c:pt>
                  <c:pt idx="920">
                    <c:v>damian macetas</c:v>
                  </c:pt>
                  <c:pt idx="921">
                    <c:v>damian macetas</c:v>
                  </c:pt>
                  <c:pt idx="922">
                    <c:v>diego</c:v>
                  </c:pt>
                  <c:pt idx="923">
                    <c:v>damian macetas</c:v>
                  </c:pt>
                  <c:pt idx="924">
                    <c:v>damian macetas</c:v>
                  </c:pt>
                  <c:pt idx="925">
                    <c:v>diego</c:v>
                  </c:pt>
                  <c:pt idx="926">
                    <c:v>damian macetas</c:v>
                  </c:pt>
                  <c:pt idx="927">
                    <c:v>alvarez</c:v>
                  </c:pt>
                  <c:pt idx="928">
                    <c:v>alvarez</c:v>
                  </c:pt>
                  <c:pt idx="929">
                    <c:v>alvarez</c:v>
                  </c:pt>
                  <c:pt idx="930">
                    <c:v>alvarez</c:v>
                  </c:pt>
                  <c:pt idx="931">
                    <c:v>damian macetas</c:v>
                  </c:pt>
                  <c:pt idx="932">
                    <c:v>damian macetas</c:v>
                  </c:pt>
                  <c:pt idx="933">
                    <c:v>damian macetas</c:v>
                  </c:pt>
                  <c:pt idx="934">
                    <c:v>damian macetas</c:v>
                  </c:pt>
                  <c:pt idx="935">
                    <c:v>damian macetas</c:v>
                  </c:pt>
                  <c:pt idx="936">
                    <c:v>damian macetas</c:v>
                  </c:pt>
                  <c:pt idx="937">
                    <c:v>damian macetas</c:v>
                  </c:pt>
                  <c:pt idx="938">
                    <c:v>damian macetas</c:v>
                  </c:pt>
                  <c:pt idx="939">
                    <c:v>grispix</c:v>
                  </c:pt>
                  <c:pt idx="940">
                    <c:v>grispix</c:v>
                  </c:pt>
                  <c:pt idx="941">
                    <c:v>damian macetas</c:v>
                  </c:pt>
                  <c:pt idx="942">
                    <c:v>damian macetas</c:v>
                  </c:pt>
                  <c:pt idx="943">
                    <c:v>damian macetas</c:v>
                  </c:pt>
                  <c:pt idx="944">
                    <c:v>damian macetas</c:v>
                  </c:pt>
                  <c:pt idx="945">
                    <c:v>damian macetas</c:v>
                  </c:pt>
                  <c:pt idx="946">
                    <c:v>damian macetas</c:v>
                  </c:pt>
                  <c:pt idx="947">
                    <c:v>damian macetas</c:v>
                  </c:pt>
                  <c:pt idx="948">
                    <c:v>damian macetas</c:v>
                  </c:pt>
                  <c:pt idx="949">
                    <c:v>damian macetas</c:v>
                  </c:pt>
                  <c:pt idx="950">
                    <c:v>damian macetas</c:v>
                  </c:pt>
                  <c:pt idx="951">
                    <c:v>damian macetas</c:v>
                  </c:pt>
                  <c:pt idx="952">
                    <c:v>damian macetas</c:v>
                  </c:pt>
                  <c:pt idx="953">
                    <c:v>damian macetas</c:v>
                  </c:pt>
                  <c:pt idx="954">
                    <c:v>damian macetas</c:v>
                  </c:pt>
                  <c:pt idx="955">
                    <c:v>damian macetas</c:v>
                  </c:pt>
                  <c:pt idx="956">
                    <c:v>damian macetas</c:v>
                  </c:pt>
                  <c:pt idx="957">
                    <c:v>damian macetas</c:v>
                  </c:pt>
                  <c:pt idx="958">
                    <c:v>damian macetas</c:v>
                  </c:pt>
                  <c:pt idx="959">
                    <c:v>alvarez</c:v>
                  </c:pt>
                  <c:pt idx="960">
                    <c:v>damian macetas</c:v>
                  </c:pt>
                  <c:pt idx="961">
                    <c:v>alvarez</c:v>
                  </c:pt>
                  <c:pt idx="962">
                    <c:v>damian macetas</c:v>
                  </c:pt>
                  <c:pt idx="963">
                    <c:v>damian macetas</c:v>
                  </c:pt>
                  <c:pt idx="964">
                    <c:v>damian macetas</c:v>
                  </c:pt>
                  <c:pt idx="965">
                    <c:v>damian macetas</c:v>
                  </c:pt>
                  <c:pt idx="966">
                    <c:v>damian macetas</c:v>
                  </c:pt>
                  <c:pt idx="967">
                    <c:v>damian macetas</c:v>
                  </c:pt>
                  <c:pt idx="968">
                    <c:v>damian macetas</c:v>
                  </c:pt>
                  <c:pt idx="969">
                    <c:v>damian macetas</c:v>
                  </c:pt>
                  <c:pt idx="970">
                    <c:v>damian macetas</c:v>
                  </c:pt>
                  <c:pt idx="971">
                    <c:v>damian macetas</c:v>
                  </c:pt>
                  <c:pt idx="972">
                    <c:v>damian macetas</c:v>
                  </c:pt>
                  <c:pt idx="973">
                    <c:v>damian macetas</c:v>
                  </c:pt>
                  <c:pt idx="974">
                    <c:v>damian macetas</c:v>
                  </c:pt>
                  <c:pt idx="975">
                    <c:v>damian macetas</c:v>
                  </c:pt>
                  <c:pt idx="976">
                    <c:v>damian macetas</c:v>
                  </c:pt>
                  <c:pt idx="977">
                    <c:v>damian macetas</c:v>
                  </c:pt>
                  <c:pt idx="978">
                    <c:v>damian macetas</c:v>
                  </c:pt>
                  <c:pt idx="979">
                    <c:v>damian macetas</c:v>
                  </c:pt>
                  <c:pt idx="980">
                    <c:v>damian macetas</c:v>
                  </c:pt>
                  <c:pt idx="981">
                    <c:v>damian macetas</c:v>
                  </c:pt>
                  <c:pt idx="982">
                    <c:v>alvarez</c:v>
                  </c:pt>
                  <c:pt idx="983">
                    <c:v>damian macetas</c:v>
                  </c:pt>
                  <c:pt idx="984">
                    <c:v>maple vila</c:v>
                  </c:pt>
                  <c:pt idx="985">
                    <c:v>maple vila</c:v>
                  </c:pt>
                  <c:pt idx="986">
                    <c:v>maple vila</c:v>
                  </c:pt>
                  <c:pt idx="987">
                    <c:v>maple vila</c:v>
                  </c:pt>
                  <c:pt idx="988">
                    <c:v>maple vila</c:v>
                  </c:pt>
                  <c:pt idx="989">
                    <c:v>maple vila</c:v>
                  </c:pt>
                  <c:pt idx="990">
                    <c:v>maple vila</c:v>
                  </c:pt>
                  <c:pt idx="991">
                    <c:v>maple vila</c:v>
                  </c:pt>
                  <c:pt idx="992">
                    <c:v>maestro</c:v>
                  </c:pt>
                  <c:pt idx="993">
                    <c:v>damian macetas</c:v>
                  </c:pt>
                  <c:pt idx="994">
                    <c:v>maestro</c:v>
                  </c:pt>
                  <c:pt idx="995">
                    <c:v>maestro</c:v>
                  </c:pt>
                  <c:pt idx="996">
                    <c:v>damian macetas</c:v>
                  </c:pt>
                  <c:pt idx="997">
                    <c:v>damian macetas</c:v>
                  </c:pt>
                  <c:pt idx="998">
                    <c:v>damian macetas</c:v>
                  </c:pt>
                  <c:pt idx="999">
                    <c:v>damian macetas</c:v>
                  </c:pt>
                  <c:pt idx="1000">
                    <c:v>damian macetas</c:v>
                  </c:pt>
                  <c:pt idx="1001">
                    <c:v>damian macetas</c:v>
                  </c:pt>
                  <c:pt idx="1002">
                    <c:v>damian macetas</c:v>
                  </c:pt>
                  <c:pt idx="1003">
                    <c:v>damian macetas</c:v>
                  </c:pt>
                  <c:pt idx="1004">
                    <c:v>damian macetas</c:v>
                  </c:pt>
                  <c:pt idx="1005">
                    <c:v>damian macetas</c:v>
                  </c:pt>
                  <c:pt idx="1006">
                    <c:v>damian macetas</c:v>
                  </c:pt>
                  <c:pt idx="1007">
                    <c:v>damian macetas</c:v>
                  </c:pt>
                  <c:pt idx="1008">
                    <c:v>damian macetas</c:v>
                  </c:pt>
                  <c:pt idx="1009">
                    <c:v>damian macetas</c:v>
                  </c:pt>
                  <c:pt idx="1010">
                    <c:v>damian macetas</c:v>
                  </c:pt>
                  <c:pt idx="1011">
                    <c:v>damian macetas</c:v>
                  </c:pt>
                  <c:pt idx="1012">
                    <c:v>maestro</c:v>
                  </c:pt>
                  <c:pt idx="1013">
                    <c:v>damian macetas</c:v>
                  </c:pt>
                  <c:pt idx="1014">
                    <c:v>damian macetas</c:v>
                  </c:pt>
                  <c:pt idx="1015">
                    <c:v>damian macetas</c:v>
                  </c:pt>
                  <c:pt idx="1016">
                    <c:v>damian macetas</c:v>
                  </c:pt>
                  <c:pt idx="1017">
                    <c:v>damian macetas</c:v>
                  </c:pt>
                  <c:pt idx="1018">
                    <c:v>damian macetas</c:v>
                  </c:pt>
                  <c:pt idx="1019">
                    <c:v>damian macetas</c:v>
                  </c:pt>
                  <c:pt idx="1020">
                    <c:v>damian macetas</c:v>
                  </c:pt>
                  <c:pt idx="1021">
                    <c:v>damian macetas</c:v>
                  </c:pt>
                  <c:pt idx="1022">
                    <c:v>damian macetas</c:v>
                  </c:pt>
                  <c:pt idx="1023">
                    <c:v>damian macetas</c:v>
                  </c:pt>
                  <c:pt idx="1024">
                    <c:v>damian macetas</c:v>
                  </c:pt>
                  <c:pt idx="1025">
                    <c:v>ds</c:v>
                  </c:pt>
                  <c:pt idx="1026">
                    <c:v>damian macetas</c:v>
                  </c:pt>
                  <c:pt idx="1027">
                    <c:v>damian macetas</c:v>
                  </c:pt>
                  <c:pt idx="1028">
                    <c:v>damian macetas</c:v>
                  </c:pt>
                  <c:pt idx="1029">
                    <c:v>damian macetas</c:v>
                  </c:pt>
                  <c:pt idx="1030">
                    <c:v>damian macetas</c:v>
                  </c:pt>
                  <c:pt idx="1031">
                    <c:v>damian macetas</c:v>
                  </c:pt>
                  <c:pt idx="1032">
                    <c:v>damian macetas</c:v>
                  </c:pt>
                  <c:pt idx="1033">
                    <c:v>alvarez</c:v>
                  </c:pt>
                  <c:pt idx="1034">
                    <c:v>alvarez</c:v>
                  </c:pt>
                  <c:pt idx="1035">
                    <c:v>alvarez</c:v>
                  </c:pt>
                  <c:pt idx="1036">
                    <c:v>damian macetas</c:v>
                  </c:pt>
                  <c:pt idx="1037">
                    <c:v>damian macetas</c:v>
                  </c:pt>
                  <c:pt idx="1038">
                    <c:v>damian macetas</c:v>
                  </c:pt>
                  <c:pt idx="1039">
                    <c:v>damian macetas</c:v>
                  </c:pt>
                  <c:pt idx="1040">
                    <c:v>damian macetas</c:v>
                  </c:pt>
                  <c:pt idx="1041">
                    <c:v>damian macetas</c:v>
                  </c:pt>
                  <c:pt idx="1042">
                    <c:v>damian macetas</c:v>
                  </c:pt>
                  <c:pt idx="1043">
                    <c:v>damian macetas</c:v>
                  </c:pt>
                  <c:pt idx="1044">
                    <c:v>damian macetas</c:v>
                  </c:pt>
                  <c:pt idx="1045">
                    <c:v>damian macetas</c:v>
                  </c:pt>
                  <c:pt idx="1046">
                    <c:v>damian macetas</c:v>
                  </c:pt>
                  <c:pt idx="1047">
                    <c:v>damian macetas</c:v>
                  </c:pt>
                  <c:pt idx="1048">
                    <c:v>damian macetas</c:v>
                  </c:pt>
                  <c:pt idx="1049">
                    <c:v>damian macetas</c:v>
                  </c:pt>
                  <c:pt idx="1050">
                    <c:v>alvarez</c:v>
                  </c:pt>
                  <c:pt idx="1051">
                    <c:v>alvarez</c:v>
                  </c:pt>
                  <c:pt idx="1052">
                    <c:v>damian macetas</c:v>
                  </c:pt>
                  <c:pt idx="1053">
                    <c:v>casino</c:v>
                  </c:pt>
                  <c:pt idx="1054">
                    <c:v>alvarez</c:v>
                  </c:pt>
                  <c:pt idx="1055">
                    <c:v>alvarez</c:v>
                  </c:pt>
                  <c:pt idx="1056">
                    <c:v>alvarez</c:v>
                  </c:pt>
                  <c:pt idx="1057">
                    <c:v>grispix</c:v>
                  </c:pt>
                  <c:pt idx="1058">
                    <c:v>grispix</c:v>
                  </c:pt>
                  <c:pt idx="1059">
                    <c:v>grispix</c:v>
                  </c:pt>
                  <c:pt idx="1060">
                    <c:v>grispix</c:v>
                  </c:pt>
                  <c:pt idx="1061">
                    <c:v>grispix</c:v>
                  </c:pt>
                  <c:pt idx="1062">
                    <c:v>grispix</c:v>
                  </c:pt>
                  <c:pt idx="1063">
                    <c:v>damian macetas</c:v>
                  </c:pt>
                  <c:pt idx="1064">
                    <c:v>damian macetas</c:v>
                  </c:pt>
                  <c:pt idx="1065">
                    <c:v>grispix</c:v>
                  </c:pt>
                  <c:pt idx="1066">
                    <c:v>grispix</c:v>
                  </c:pt>
                  <c:pt idx="1067">
                    <c:v>diego</c:v>
                  </c:pt>
                  <c:pt idx="1068">
                    <c:v>damian macetas</c:v>
                  </c:pt>
                  <c:pt idx="1069">
                    <c:v>plastolit</c:v>
                  </c:pt>
                  <c:pt idx="1070">
                    <c:v>plastolit</c:v>
                  </c:pt>
                  <c:pt idx="1071">
                    <c:v>grispix</c:v>
                  </c:pt>
                  <c:pt idx="1072">
                    <c:v>damian macetas</c:v>
                  </c:pt>
                  <c:pt idx="1073">
                    <c:v>damian macetas</c:v>
                  </c:pt>
                  <c:pt idx="1074">
                    <c:v>damian macetas</c:v>
                  </c:pt>
                  <c:pt idx="1075">
                    <c:v>damian macetas</c:v>
                  </c:pt>
                  <c:pt idx="1076">
                    <c:v>damian macetas</c:v>
                  </c:pt>
                  <c:pt idx="1077">
                    <c:v>damian macetas</c:v>
                  </c:pt>
                  <c:pt idx="1078">
                    <c:v>grispix</c:v>
                  </c:pt>
                  <c:pt idx="1079">
                    <c:v>grispix</c:v>
                  </c:pt>
                  <c:pt idx="1080">
                    <c:v>damian macetas</c:v>
                  </c:pt>
                  <c:pt idx="1081">
                    <c:v>damian macetas</c:v>
                  </c:pt>
                  <c:pt idx="1082">
                    <c:v>damian macetas</c:v>
                  </c:pt>
                  <c:pt idx="1083">
                    <c:v>damian macetas</c:v>
                  </c:pt>
                  <c:pt idx="1084">
                    <c:v>damian macetas</c:v>
                  </c:pt>
                  <c:pt idx="1085">
                    <c:v>alvarez</c:v>
                  </c:pt>
                  <c:pt idx="1086">
                    <c:v>alvarez</c:v>
                  </c:pt>
                  <c:pt idx="1087">
                    <c:v>damian macetas</c:v>
                  </c:pt>
                  <c:pt idx="1088">
                    <c:v>damian macetas</c:v>
                  </c:pt>
                  <c:pt idx="1089">
                    <c:v>damian macetas</c:v>
                  </c:pt>
                  <c:pt idx="1090">
                    <c:v>damian macetas</c:v>
                  </c:pt>
                  <c:pt idx="1091">
                    <c:v>damian macetas</c:v>
                  </c:pt>
                  <c:pt idx="1092">
                    <c:v>damian macetas</c:v>
                  </c:pt>
                  <c:pt idx="1093">
                    <c:v>damian macetas</c:v>
                  </c:pt>
                  <c:pt idx="1094">
                    <c:v>damian macetas</c:v>
                  </c:pt>
                  <c:pt idx="1095">
                    <c:v>alvarez</c:v>
                  </c:pt>
                  <c:pt idx="1096">
                    <c:v>damian macetas</c:v>
                  </c:pt>
                  <c:pt idx="1097">
                    <c:v>damian macetas</c:v>
                  </c:pt>
                  <c:pt idx="1098">
                    <c:v>damian macetas</c:v>
                  </c:pt>
                  <c:pt idx="1099">
                    <c:v>damian macetas</c:v>
                  </c:pt>
                  <c:pt idx="1100">
                    <c:v>grspix</c:v>
                  </c:pt>
                  <c:pt idx="1101">
                    <c:v>grispix</c:v>
                  </c:pt>
                  <c:pt idx="1102">
                    <c:v>grispix</c:v>
                  </c:pt>
                  <c:pt idx="1103">
                    <c:v>grispix</c:v>
                  </c:pt>
                  <c:pt idx="1104">
                    <c:v>damian macetas</c:v>
                  </c:pt>
                  <c:pt idx="1105">
                    <c:v>damian macetas</c:v>
                  </c:pt>
                  <c:pt idx="1106">
                    <c:v>damian macetas</c:v>
                  </c:pt>
                  <c:pt idx="1107">
                    <c:v>damian macetas</c:v>
                  </c:pt>
                  <c:pt idx="1108">
                    <c:v>diego</c:v>
                  </c:pt>
                  <c:pt idx="1109">
                    <c:v>damian macetas</c:v>
                  </c:pt>
                  <c:pt idx="1110">
                    <c:v>damian macetas</c:v>
                  </c:pt>
                  <c:pt idx="1111">
                    <c:v>damian macetas</c:v>
                  </c:pt>
                  <c:pt idx="1112">
                    <c:v>damian macetas</c:v>
                  </c:pt>
                  <c:pt idx="1113">
                    <c:v>damian macetas</c:v>
                  </c:pt>
                  <c:pt idx="1114">
                    <c:v>damian macetas</c:v>
                  </c:pt>
                  <c:pt idx="1115">
                    <c:v>beltrame</c:v>
                  </c:pt>
                  <c:pt idx="1116">
                    <c:v>damian macetas</c:v>
                  </c:pt>
                  <c:pt idx="1117">
                    <c:v>damian macetas</c:v>
                  </c:pt>
                  <c:pt idx="1118">
                    <c:v>damian macetas</c:v>
                  </c:pt>
                  <c:pt idx="1119">
                    <c:v>damian macetas</c:v>
                  </c:pt>
                  <c:pt idx="1120">
                    <c:v>damian macetas</c:v>
                  </c:pt>
                  <c:pt idx="1121">
                    <c:v>damian macetas</c:v>
                  </c:pt>
                  <c:pt idx="1122">
                    <c:v>damian macetas</c:v>
                  </c:pt>
                  <c:pt idx="1123">
                    <c:v>damian macetas</c:v>
                  </c:pt>
                  <c:pt idx="1124">
                    <c:v>damian macetas</c:v>
                  </c:pt>
                  <c:pt idx="1125">
                    <c:v>damian macetas</c:v>
                  </c:pt>
                  <c:pt idx="1126">
                    <c:v>damian macetas</c:v>
                  </c:pt>
                  <c:pt idx="1127">
                    <c:v>damian macetas</c:v>
                  </c:pt>
                  <c:pt idx="1128">
                    <c:v>damian macetas</c:v>
                  </c:pt>
                  <c:pt idx="1129">
                    <c:v>damian macetas</c:v>
                  </c:pt>
                  <c:pt idx="1130">
                    <c:v>damian macetas</c:v>
                  </c:pt>
                  <c:pt idx="1131">
                    <c:v>damian macetas</c:v>
                  </c:pt>
                  <c:pt idx="1132">
                    <c:v>damian macetas</c:v>
                  </c:pt>
                  <c:pt idx="1133">
                    <c:v>damian macetas</c:v>
                  </c:pt>
                  <c:pt idx="1134">
                    <c:v>damian macetas</c:v>
                  </c:pt>
                  <c:pt idx="1135">
                    <c:v>damian macetas</c:v>
                  </c:pt>
                  <c:pt idx="1136">
                    <c:v>damian macetas</c:v>
                  </c:pt>
                  <c:pt idx="1137">
                    <c:v>damian macetas</c:v>
                  </c:pt>
                  <c:pt idx="1138">
                    <c:v>damian macetas</c:v>
                  </c:pt>
                  <c:pt idx="1139">
                    <c:v>damian macetas</c:v>
                  </c:pt>
                  <c:pt idx="1140">
                    <c:v>damian macetas</c:v>
                  </c:pt>
                  <c:pt idx="1141">
                    <c:v>damian macetas</c:v>
                  </c:pt>
                  <c:pt idx="1142">
                    <c:v>damian macetas</c:v>
                  </c:pt>
                  <c:pt idx="1143">
                    <c:v>damian macetas</c:v>
                  </c:pt>
                  <c:pt idx="1144">
                    <c:v>alvarez</c:v>
                  </c:pt>
                  <c:pt idx="1145">
                    <c:v>damian macetas</c:v>
                  </c:pt>
                  <c:pt idx="1146">
                    <c:v>alvarez</c:v>
                  </c:pt>
                  <c:pt idx="1147">
                    <c:v>damian macetas</c:v>
                  </c:pt>
                  <c:pt idx="1148">
                    <c:v>grispix</c:v>
                  </c:pt>
                  <c:pt idx="1149">
                    <c:v>grispix</c:v>
                  </c:pt>
                  <c:pt idx="1150">
                    <c:v>damian macetas</c:v>
                  </c:pt>
                  <c:pt idx="1151">
                    <c:v>damian macetas</c:v>
                  </c:pt>
                  <c:pt idx="1152">
                    <c:v>grispix</c:v>
                  </c:pt>
                  <c:pt idx="1153">
                    <c:v>grispix</c:v>
                  </c:pt>
                  <c:pt idx="1154">
                    <c:v>grispix</c:v>
                  </c:pt>
                  <c:pt idx="1155">
                    <c:v>damian macetas</c:v>
                  </c:pt>
                  <c:pt idx="1156">
                    <c:v>damian macetas</c:v>
                  </c:pt>
                  <c:pt idx="1157">
                    <c:v>damian macetas</c:v>
                  </c:pt>
                  <c:pt idx="1158">
                    <c:v>damian macetas</c:v>
                  </c:pt>
                  <c:pt idx="1159">
                    <c:v>damian macetas</c:v>
                  </c:pt>
                  <c:pt idx="1160">
                    <c:v>grispix</c:v>
                  </c:pt>
                  <c:pt idx="1161">
                    <c:v>grispix</c:v>
                  </c:pt>
                  <c:pt idx="1162">
                    <c:v>damian macetas</c:v>
                  </c:pt>
                  <c:pt idx="1163">
                    <c:v>grispix</c:v>
                  </c:pt>
                  <c:pt idx="1164">
                    <c:v>damian macetas</c:v>
                  </c:pt>
                  <c:pt idx="1165">
                    <c:v>damian macetas</c:v>
                  </c:pt>
                  <c:pt idx="1166">
                    <c:v>damian macetas</c:v>
                  </c:pt>
                  <c:pt idx="1167">
                    <c:v>damian macetas</c:v>
                  </c:pt>
                  <c:pt idx="1168">
                    <c:v>damian macetas</c:v>
                  </c:pt>
                  <c:pt idx="1169">
                    <c:v>damian macetas</c:v>
                  </c:pt>
                  <c:pt idx="1170">
                    <c:v>damian macetas</c:v>
                  </c:pt>
                  <c:pt idx="1171">
                    <c:v>damian macetas</c:v>
                  </c:pt>
                  <c:pt idx="1172">
                    <c:v>damian macetas</c:v>
                  </c:pt>
                  <c:pt idx="1173">
                    <c:v>damian macetas</c:v>
                  </c:pt>
                  <c:pt idx="1174">
                    <c:v>damian macetas</c:v>
                  </c:pt>
                  <c:pt idx="1175">
                    <c:v>damian macetas</c:v>
                  </c:pt>
                  <c:pt idx="1176">
                    <c:v>damian macetas</c:v>
                  </c:pt>
                  <c:pt idx="1177">
                    <c:v>damian macetas</c:v>
                  </c:pt>
                  <c:pt idx="1178">
                    <c:v>damian macetas</c:v>
                  </c:pt>
                  <c:pt idx="1179">
                    <c:v>damian macetas</c:v>
                  </c:pt>
                  <c:pt idx="1180">
                    <c:v>damian macetas</c:v>
                  </c:pt>
                  <c:pt idx="1181">
                    <c:v>damian macetas</c:v>
                  </c:pt>
                  <c:pt idx="1182">
                    <c:v>damian macetas</c:v>
                  </c:pt>
                  <c:pt idx="1183">
                    <c:v>damian macetas</c:v>
                  </c:pt>
                  <c:pt idx="1184">
                    <c:v>damian macetas</c:v>
                  </c:pt>
                  <c:pt idx="1185">
                    <c:v>damian macetas</c:v>
                  </c:pt>
                  <c:pt idx="1186">
                    <c:v>damian macetas</c:v>
                  </c:pt>
                  <c:pt idx="1187">
                    <c:v>grispix</c:v>
                  </c:pt>
                  <c:pt idx="1188">
                    <c:v>grispix</c:v>
                  </c:pt>
                  <c:pt idx="1189">
                    <c:v>grispix</c:v>
                  </c:pt>
                  <c:pt idx="1190">
                    <c:v>grispix</c:v>
                  </c:pt>
                  <c:pt idx="1191">
                    <c:v>grispix</c:v>
                  </c:pt>
                  <c:pt idx="1192">
                    <c:v>grispix</c:v>
                  </c:pt>
                  <c:pt idx="1193">
                    <c:v>grispix</c:v>
                  </c:pt>
                  <c:pt idx="1194">
                    <c:v>grispix</c:v>
                  </c:pt>
                  <c:pt idx="1195">
                    <c:v>grispix</c:v>
                  </c:pt>
                  <c:pt idx="1196">
                    <c:v>grispix</c:v>
                  </c:pt>
                  <c:pt idx="1197">
                    <c:v>damian macetas</c:v>
                  </c:pt>
                  <c:pt idx="1198">
                    <c:v>alvarez</c:v>
                  </c:pt>
                  <c:pt idx="1199">
                    <c:v>damian macetas</c:v>
                  </c:pt>
                  <c:pt idx="1200">
                    <c:v>damian macetas</c:v>
                  </c:pt>
                  <c:pt idx="1201">
                    <c:v>damian macetas</c:v>
                  </c:pt>
                  <c:pt idx="1202">
                    <c:v>damian macetas</c:v>
                  </c:pt>
                  <c:pt idx="1203">
                    <c:v>damian macetas</c:v>
                  </c:pt>
                  <c:pt idx="1204">
                    <c:v>damian macetas</c:v>
                  </c:pt>
                  <c:pt idx="1205">
                    <c:v>damian macetas</c:v>
                  </c:pt>
                  <c:pt idx="1206">
                    <c:v>damian macetas</c:v>
                  </c:pt>
                  <c:pt idx="1207">
                    <c:v>damian macetas</c:v>
                  </c:pt>
                  <c:pt idx="1208">
                    <c:v>damian macetas</c:v>
                  </c:pt>
                  <c:pt idx="1209">
                    <c:v>grispix</c:v>
                  </c:pt>
                  <c:pt idx="1210">
                    <c:v>damian macetas</c:v>
                  </c:pt>
                  <c:pt idx="1211">
                    <c:v>damian macetas</c:v>
                  </c:pt>
                  <c:pt idx="1212">
                    <c:v>damian macetas</c:v>
                  </c:pt>
                  <c:pt idx="1213">
                    <c:v>grispix</c:v>
                  </c:pt>
                  <c:pt idx="1214">
                    <c:v>grispix</c:v>
                  </c:pt>
                  <c:pt idx="1215">
                    <c:v>damian macetas</c:v>
                  </c:pt>
                  <c:pt idx="1216">
                    <c:v>damian macetas</c:v>
                  </c:pt>
                  <c:pt idx="1217">
                    <c:v>damian macetas</c:v>
                  </c:pt>
                  <c:pt idx="1218">
                    <c:v>beltrame</c:v>
                  </c:pt>
                  <c:pt idx="1219">
                    <c:v>beltrame</c:v>
                  </c:pt>
                  <c:pt idx="1220">
                    <c:v>beltrame</c:v>
                  </c:pt>
                  <c:pt idx="1221">
                    <c:v>beltrame</c:v>
                  </c:pt>
                  <c:pt idx="1222">
                    <c:v>beltrame</c:v>
                  </c:pt>
                  <c:pt idx="1223">
                    <c:v>grispix</c:v>
                  </c:pt>
                  <c:pt idx="1224">
                    <c:v>grispix</c:v>
                  </c:pt>
                  <c:pt idx="1225">
                    <c:v>grispix</c:v>
                  </c:pt>
                  <c:pt idx="1226">
                    <c:v>grispix</c:v>
                  </c:pt>
                  <c:pt idx="1227">
                    <c:v>grispix</c:v>
                  </c:pt>
                  <c:pt idx="1228">
                    <c:v>grispix</c:v>
                  </c:pt>
                  <c:pt idx="1229">
                    <c:v>grispix</c:v>
                  </c:pt>
                  <c:pt idx="1230">
                    <c:v>grispix</c:v>
                  </c:pt>
                  <c:pt idx="1231">
                    <c:v>grispix</c:v>
                  </c:pt>
                  <c:pt idx="1232">
                    <c:v>grispix</c:v>
                  </c:pt>
                  <c:pt idx="1233">
                    <c:v>grispix</c:v>
                  </c:pt>
                  <c:pt idx="1234">
                    <c:v>damian macetas</c:v>
                  </c:pt>
                  <c:pt idx="1235">
                    <c:v>damian macetas</c:v>
                  </c:pt>
                  <c:pt idx="1236">
                    <c:v>damian macetas</c:v>
                  </c:pt>
                  <c:pt idx="1237">
                    <c:v>damian macetas</c:v>
                  </c:pt>
                  <c:pt idx="1238">
                    <c:v>damian macetas</c:v>
                  </c:pt>
                  <c:pt idx="1239">
                    <c:v>damian macetas</c:v>
                  </c:pt>
                  <c:pt idx="1240">
                    <c:v>damian macetas</c:v>
                  </c:pt>
                  <c:pt idx="1241">
                    <c:v>damian macetas</c:v>
                  </c:pt>
                  <c:pt idx="1242">
                    <c:v>damian macetas</c:v>
                  </c:pt>
                  <c:pt idx="1243">
                    <c:v>damian macetas</c:v>
                  </c:pt>
                  <c:pt idx="1244">
                    <c:v>damian macetas</c:v>
                  </c:pt>
                  <c:pt idx="1245">
                    <c:v>diego</c:v>
                  </c:pt>
                  <c:pt idx="1246">
                    <c:v>damian macetas</c:v>
                  </c:pt>
                  <c:pt idx="1247">
                    <c:v>damian macetas</c:v>
                  </c:pt>
                  <c:pt idx="1249">
                    <c:v>maestro</c:v>
                  </c:pt>
                  <c:pt idx="1250">
                    <c:v>maestro</c:v>
                  </c:pt>
                  <c:pt idx="1251">
                    <c:v>casino</c:v>
                  </c:pt>
                  <c:pt idx="1252">
                    <c:v>maestro</c:v>
                  </c:pt>
                  <c:pt idx="1253">
                    <c:v>grispix</c:v>
                  </c:pt>
                  <c:pt idx="1254">
                    <c:v>diego</c:v>
                  </c:pt>
                  <c:pt idx="1255">
                    <c:v>insumos cultivador</c:v>
                  </c:pt>
                  <c:pt idx="1256">
                    <c:v>insumos cultivador</c:v>
                  </c:pt>
                  <c:pt idx="1257">
                    <c:v>insumos cultivador</c:v>
                  </c:pt>
                  <c:pt idx="1258">
                    <c:v>insumos cultivador</c:v>
                  </c:pt>
                  <c:pt idx="1259">
                    <c:v>insumos cultivador</c:v>
                  </c:pt>
                  <c:pt idx="1260">
                    <c:v>insumos cultivador</c:v>
                  </c:pt>
                  <c:pt idx="1261">
                    <c:v>grispix</c:v>
                  </c:pt>
                  <c:pt idx="1262">
                    <c:v>grispix</c:v>
                  </c:pt>
                  <c:pt idx="1263">
                    <c:v>grispix</c:v>
                  </c:pt>
                  <c:pt idx="1264">
                    <c:v>damian macetas</c:v>
                  </c:pt>
                  <c:pt idx="1265">
                    <c:v>damian macetas</c:v>
                  </c:pt>
                  <c:pt idx="1266">
                    <c:v>damian macetas</c:v>
                  </c:pt>
                  <c:pt idx="1267">
                    <c:v>damian macetas</c:v>
                  </c:pt>
                  <c:pt idx="1268">
                    <c:v>damian macetas</c:v>
                  </c:pt>
                  <c:pt idx="1269">
                    <c:v>damian macetas</c:v>
                  </c:pt>
                  <c:pt idx="1270">
                    <c:v>damian macetas</c:v>
                  </c:pt>
                  <c:pt idx="1271">
                    <c:v>damian macetas</c:v>
                  </c:pt>
                  <c:pt idx="1272">
                    <c:v>damian macetas</c:v>
                  </c:pt>
                  <c:pt idx="1273">
                    <c:v>damian macetas</c:v>
                  </c:pt>
                  <c:pt idx="1274">
                    <c:v>damian macetas</c:v>
                  </c:pt>
                  <c:pt idx="1275">
                    <c:v>damian macetas</c:v>
                  </c:pt>
                  <c:pt idx="1276">
                    <c:v>                                      ,              </c:v>
                  </c:pt>
                  <c:pt idx="1277">
                    <c:v>damian macetas</c:v>
                  </c:pt>
                  <c:pt idx="1278">
                    <c:v>grispix</c:v>
                  </c:pt>
                  <c:pt idx="1279">
                    <c:v>grispix</c:v>
                  </c:pt>
                  <c:pt idx="1280">
                    <c:v>grispix</c:v>
                  </c:pt>
                  <c:pt idx="1281">
                    <c:v>grispix</c:v>
                  </c:pt>
                  <c:pt idx="1282">
                    <c:v>grispix</c:v>
                  </c:pt>
                  <c:pt idx="1283">
                    <c:v>grispix</c:v>
                  </c:pt>
                  <c:pt idx="1284">
                    <c:v>plastolit</c:v>
                  </c:pt>
                  <c:pt idx="1285">
                    <c:v>plastolit</c:v>
                  </c:pt>
                  <c:pt idx="1286">
                    <c:v>plastolit</c:v>
                  </c:pt>
                  <c:pt idx="1287">
                    <c:v>plastolit</c:v>
                  </c:pt>
                  <c:pt idx="1288">
                    <c:v>damian macetas</c:v>
                  </c:pt>
                  <c:pt idx="1289">
                    <c:v>damian macetas</c:v>
                  </c:pt>
                  <c:pt idx="1290">
                    <c:v>mercoplant</c:v>
                  </c:pt>
                  <c:pt idx="1291">
                    <c:v>mercoplant</c:v>
                  </c:pt>
                  <c:pt idx="1292">
                    <c:v>damian macetas</c:v>
                  </c:pt>
                  <c:pt idx="1293">
                    <c:v>damian macetas1,22</c:v>
                  </c:pt>
                  <c:pt idx="1294">
                    <c:v>damian macetas</c:v>
                  </c:pt>
                  <c:pt idx="1295">
                    <c:v>damian macetas</c:v>
                  </c:pt>
                  <c:pt idx="1296">
                    <c:v>damian macetas</c:v>
                  </c:pt>
                  <c:pt idx="1297">
                    <c:v>damian macetas</c:v>
                  </c:pt>
                  <c:pt idx="1298">
                    <c:v>damian macetas</c:v>
                  </c:pt>
                  <c:pt idx="1299">
                    <c:v>damian macetas</c:v>
                  </c:pt>
                  <c:pt idx="1300">
                    <c:v>damian macetas</c:v>
                  </c:pt>
                  <c:pt idx="1301">
                    <c:v>damian macetas</c:v>
                  </c:pt>
                  <c:pt idx="1302">
                    <c:v>rial</c:v>
                  </c:pt>
                  <c:pt idx="1303">
                    <c:v>rial</c:v>
                  </c:pt>
                  <c:pt idx="1304">
                    <c:v>rial</c:v>
                  </c:pt>
                  <c:pt idx="1305">
                    <c:v>rial</c:v>
                  </c:pt>
                  <c:pt idx="1306">
                    <c:v>rial</c:v>
                  </c:pt>
                  <c:pt idx="1307">
                    <c:v>rial</c:v>
                  </c:pt>
                  <c:pt idx="1308">
                    <c:v>rial</c:v>
                  </c:pt>
                  <c:pt idx="1309">
                    <c:v>rial</c:v>
                  </c:pt>
                  <c:pt idx="1310">
                    <c:v>rial</c:v>
                  </c:pt>
                  <c:pt idx="1311">
                    <c:v>rial</c:v>
                  </c:pt>
                  <c:pt idx="1312">
                    <c:v>rial</c:v>
                  </c:pt>
                  <c:pt idx="1313">
                    <c:v>rial</c:v>
                  </c:pt>
                  <c:pt idx="1314">
                    <c:v>rial</c:v>
                  </c:pt>
                  <c:pt idx="1315">
                    <c:v>damian macetas</c:v>
                  </c:pt>
                  <c:pt idx="1316">
                    <c:v>damian macetas</c:v>
                  </c:pt>
                  <c:pt idx="1317">
                    <c:v>damian macetas</c:v>
                  </c:pt>
                  <c:pt idx="1318">
                    <c:v>damian macetas</c:v>
                  </c:pt>
                  <c:pt idx="1319">
                    <c:v>damian macetas</c:v>
                  </c:pt>
                  <c:pt idx="1320">
                    <c:v>damian macetas</c:v>
                  </c:pt>
                  <c:pt idx="1321">
                    <c:v>damian macetas</c:v>
                  </c:pt>
                  <c:pt idx="1322">
                    <c:v>damian macetas</c:v>
                  </c:pt>
                  <c:pt idx="1323">
                    <c:v>damian macetas</c:v>
                  </c:pt>
                  <c:pt idx="1324">
                    <c:v>damian macetas</c:v>
                  </c:pt>
                  <c:pt idx="1325">
                    <c:v>damian macetas</c:v>
                  </c:pt>
                  <c:pt idx="1326">
                    <c:v>damian macetas</c:v>
                  </c:pt>
                  <c:pt idx="1327">
                    <c:v>damian macetas</c:v>
                  </c:pt>
                  <c:pt idx="1328">
                    <c:v>damian macetas</c:v>
                  </c:pt>
                  <c:pt idx="1329">
                    <c:v>damian macetas</c:v>
                  </c:pt>
                  <c:pt idx="1330">
                    <c:v>damian macetas</c:v>
                  </c:pt>
                  <c:pt idx="1331">
                    <c:v>damian macetas</c:v>
                  </c:pt>
                  <c:pt idx="1332">
                    <c:v>damian macetas</c:v>
                  </c:pt>
                  <c:pt idx="1333">
                    <c:v>damian macetas</c:v>
                  </c:pt>
                  <c:pt idx="1334">
                    <c:v>damian macetas</c:v>
                  </c:pt>
                  <c:pt idx="1335">
                    <c:v>damian macetas</c:v>
                  </c:pt>
                  <c:pt idx="1336">
                    <c:v>damian macetas</c:v>
                  </c:pt>
                  <c:pt idx="1337">
                    <c:v>damian macetas</c:v>
                  </c:pt>
                  <c:pt idx="1338">
                    <c:v>damian macetas</c:v>
                  </c:pt>
                  <c:pt idx="1339">
                    <c:v>damian macetas</c:v>
                  </c:pt>
                  <c:pt idx="1340">
                    <c:v>damian macetas</c:v>
                  </c:pt>
                  <c:pt idx="1341">
                    <c:v>damian macetas</c:v>
                  </c:pt>
                  <c:pt idx="1342">
                    <c:v>casa cristina</c:v>
                  </c:pt>
                  <c:pt idx="1343">
                    <c:v>damian macetas</c:v>
                  </c:pt>
                  <c:pt idx="1344">
                    <c:v>damian macetas</c:v>
                  </c:pt>
                  <c:pt idx="1345">
                    <c:v>damian macetas</c:v>
                  </c:pt>
                  <c:pt idx="1346">
                    <c:v>damian macetas</c:v>
                  </c:pt>
                  <c:pt idx="1347">
                    <c:v>damian macetas</c:v>
                  </c:pt>
                  <c:pt idx="1348">
                    <c:v>damian macetas</c:v>
                  </c:pt>
                  <c:pt idx="1349">
                    <c:v>damian macetas</c:v>
                  </c:pt>
                  <c:pt idx="1350">
                    <c:v>damian macetas</c:v>
                  </c:pt>
                  <c:pt idx="1351">
                    <c:v>damian macetas</c:v>
                  </c:pt>
                  <c:pt idx="1352">
                    <c:v>damian macetas</c:v>
                  </c:pt>
                  <c:pt idx="1353">
                    <c:v>damian macetas</c:v>
                  </c:pt>
                  <c:pt idx="1354">
                    <c:v>damian macetas</c:v>
                  </c:pt>
                  <c:pt idx="1355">
                    <c:v>damian macetas</c:v>
                  </c:pt>
                  <c:pt idx="1356">
                    <c:v>damian macetas</c:v>
                  </c:pt>
                  <c:pt idx="1357">
                    <c:v>damian macetas</c:v>
                  </c:pt>
                  <c:pt idx="1358">
                    <c:v>damian macetas</c:v>
                  </c:pt>
                  <c:pt idx="1359">
                    <c:v>alvarez</c:v>
                  </c:pt>
                  <c:pt idx="1360">
                    <c:v>damian macetas</c:v>
                  </c:pt>
                  <c:pt idx="1361">
                    <c:v>damian macetas</c:v>
                  </c:pt>
                  <c:pt idx="1362">
                    <c:v>damian macetas</c:v>
                  </c:pt>
                  <c:pt idx="1363">
                    <c:v>damian macetas</c:v>
                  </c:pt>
                  <c:pt idx="1364">
                    <c:v>damian macetas</c:v>
                  </c:pt>
                  <c:pt idx="1365">
                    <c:v>damian macetas</c:v>
                  </c:pt>
                  <c:pt idx="1366">
                    <c:v>damian macetas</c:v>
                  </c:pt>
                  <c:pt idx="1367">
                    <c:v>damian macetas</c:v>
                  </c:pt>
                  <c:pt idx="1368">
                    <c:v>damian macetas</c:v>
                  </c:pt>
                  <c:pt idx="1369">
                    <c:v>damian macetas</c:v>
                  </c:pt>
                  <c:pt idx="1370">
                    <c:v>damian macetas</c:v>
                  </c:pt>
                  <c:pt idx="1371">
                    <c:v>damian macetas</c:v>
                  </c:pt>
                  <c:pt idx="1372">
                    <c:v>damian macetas</c:v>
                  </c:pt>
                  <c:pt idx="1373">
                    <c:v>damian macetas</c:v>
                  </c:pt>
                  <c:pt idx="1374">
                    <c:v>mercoplant</c:v>
                  </c:pt>
                  <c:pt idx="1375">
                    <c:v>grispix</c:v>
                  </c:pt>
                  <c:pt idx="1376">
                    <c:v>alvarez</c:v>
                  </c:pt>
                  <c:pt idx="1377">
                    <c:v>alvarez</c:v>
                  </c:pt>
                  <c:pt idx="1378">
                    <c:v>alvarez</c:v>
                  </c:pt>
                  <c:pt idx="1379">
                    <c:v>grispix</c:v>
                  </c:pt>
                  <c:pt idx="1380">
                    <c:v>damian macetas</c:v>
                  </c:pt>
                  <c:pt idx="1381">
                    <c:v>damian macetas</c:v>
                  </c:pt>
                  <c:pt idx="1382">
                    <c:v>damian macetas</c:v>
                  </c:pt>
                  <c:pt idx="1383">
                    <c:v>damian macetas</c:v>
                  </c:pt>
                  <c:pt idx="1384">
                    <c:v>damian macetas</c:v>
                  </c:pt>
                  <c:pt idx="1385">
                    <c:v>damian macetas</c:v>
                  </c:pt>
                  <c:pt idx="1386">
                    <c:v>alvarez</c:v>
                  </c:pt>
                  <c:pt idx="1388">
                    <c:v>damian macetas</c:v>
                  </c:pt>
                  <c:pt idx="1389">
                    <c:v>damian macetas</c:v>
                  </c:pt>
                  <c:pt idx="1390">
                    <c:v>damian macetas</c:v>
                  </c:pt>
                  <c:pt idx="1391">
                    <c:v>damian macetas</c:v>
                  </c:pt>
                  <c:pt idx="1392">
                    <c:v>damian macetas</c:v>
                  </c:pt>
                  <c:pt idx="1393">
                    <c:v>damian macetas</c:v>
                  </c:pt>
                  <c:pt idx="1394">
                    <c:v>alvarez</c:v>
                  </c:pt>
                  <c:pt idx="1395">
                    <c:v>alvarez</c:v>
                  </c:pt>
                  <c:pt idx="1396">
                    <c:v>alvarez</c:v>
                  </c:pt>
                  <c:pt idx="1397">
                    <c:v>alvarez</c:v>
                  </c:pt>
                  <c:pt idx="1398">
                    <c:v>alvarez</c:v>
                  </c:pt>
                  <c:pt idx="1399">
                    <c:v>damian macetas</c:v>
                  </c:pt>
                  <c:pt idx="1400">
                    <c:v>damian macetas</c:v>
                  </c:pt>
                  <c:pt idx="1401">
                    <c:v>damian macetas</c:v>
                  </c:pt>
                  <c:pt idx="1402">
                    <c:v>alvarez</c:v>
                  </c:pt>
                  <c:pt idx="1403">
                    <c:v>grispix</c:v>
                  </c:pt>
                  <c:pt idx="1404">
                    <c:v>grispix</c:v>
                  </c:pt>
                  <c:pt idx="1405">
                    <c:v>damian macetas</c:v>
                  </c:pt>
                  <c:pt idx="1406">
                    <c:v>damian macetas</c:v>
                  </c:pt>
                  <c:pt idx="1407">
                    <c:v>damian macetas</c:v>
                  </c:pt>
                  <c:pt idx="1408">
                    <c:v>damian macetas</c:v>
                  </c:pt>
                  <c:pt idx="1409">
                    <c:v>damian macetas</c:v>
                  </c:pt>
                  <c:pt idx="1410">
                    <c:v>damian macetas</c:v>
                  </c:pt>
                  <c:pt idx="1411">
                    <c:v>damian macetas</c:v>
                  </c:pt>
                  <c:pt idx="1412">
                    <c:v>damian macetas</c:v>
                  </c:pt>
                  <c:pt idx="1413">
                    <c:v>damian macetas</c:v>
                  </c:pt>
                  <c:pt idx="1414">
                    <c:v>damian macetas</c:v>
                  </c:pt>
                  <c:pt idx="1415">
                    <c:v>damian macetas</c:v>
                  </c:pt>
                  <c:pt idx="1416">
                    <c:v>damian macetas</c:v>
                  </c:pt>
                  <c:pt idx="1417">
                    <c:v>damian macetas</c:v>
                  </c:pt>
                  <c:pt idx="1418">
                    <c:v>damian macetas</c:v>
                  </c:pt>
                  <c:pt idx="1419">
                    <c:v>alvarez</c:v>
                  </c:pt>
                  <c:pt idx="1420">
                    <c:v>alvarez</c:v>
                  </c:pt>
                  <c:pt idx="1421">
                    <c:v>alvarez</c:v>
                  </c:pt>
                  <c:pt idx="1422">
                    <c:v>alvarez</c:v>
                  </c:pt>
                  <c:pt idx="1423">
                    <c:v>alvarez</c:v>
                  </c:pt>
                  <c:pt idx="1424">
                    <c:v>alvarez</c:v>
                  </c:pt>
                  <c:pt idx="1425">
                    <c:v>alvarez</c:v>
                  </c:pt>
                  <c:pt idx="1426">
                    <c:v>alvarez</c:v>
                  </c:pt>
                  <c:pt idx="1427">
                    <c:v>alvarez</c:v>
                  </c:pt>
                  <c:pt idx="1428">
                    <c:v>alvarez</c:v>
                  </c:pt>
                  <c:pt idx="1429">
                    <c:v>alvarez</c:v>
                  </c:pt>
                  <c:pt idx="1430">
                    <c:v>damian macetas</c:v>
                  </c:pt>
                  <c:pt idx="1431">
                    <c:v>damian macetas</c:v>
                  </c:pt>
                  <c:pt idx="1432">
                    <c:v>damian macetas</c:v>
                  </c:pt>
                  <c:pt idx="1433">
                    <c:v>grispix</c:v>
                  </c:pt>
                  <c:pt idx="1434">
                    <c:v>grispix</c:v>
                  </c:pt>
                  <c:pt idx="1436">
                    <c:v>cousa</c:v>
                  </c:pt>
                  <c:pt idx="1437">
                    <c:v>cousa</c:v>
                  </c:pt>
                  <c:pt idx="1438">
                    <c:v>cousa</c:v>
                  </c:pt>
                  <c:pt idx="1439">
                    <c:v>cousa</c:v>
                  </c:pt>
                  <c:pt idx="1441">
                    <c:v>baldivia</c:v>
                  </c:pt>
                  <c:pt idx="1442">
                    <c:v>baldivia</c:v>
                  </c:pt>
                  <c:pt idx="1443">
                    <c:v>magric</c:v>
                  </c:pt>
                  <c:pt idx="1444">
                    <c:v>baldivia</c:v>
                  </c:pt>
                  <c:pt idx="1445">
                    <c:v>baldivia</c:v>
                  </c:pt>
                  <c:pt idx="1446">
                    <c:v>baldivia</c:v>
                  </c:pt>
                  <c:pt idx="1447">
                    <c:v>baldivia</c:v>
                  </c:pt>
                  <c:pt idx="1448">
                    <c:v>baldivia</c:v>
                  </c:pt>
                  <c:pt idx="1449">
                    <c:v>agraciada</c:v>
                  </c:pt>
                  <c:pt idx="1450">
                    <c:v>agropecuaria agraciada</c:v>
                  </c:pt>
                  <c:pt idx="1452">
                    <c:v>diego</c:v>
                  </c:pt>
                  <c:pt idx="1453">
                    <c:v>diego</c:v>
                  </c:pt>
                  <c:pt idx="1454">
                    <c:v>diego</c:v>
                  </c:pt>
                  <c:pt idx="1456">
                    <c:v>damian macetas</c:v>
                  </c:pt>
                  <c:pt idx="1458">
                    <c:v>diego</c:v>
                  </c:pt>
                  <c:pt idx="1459">
                    <c:v>damian macetas</c:v>
                  </c:pt>
                  <c:pt idx="1460">
                    <c:v>damian macetas</c:v>
                  </c:pt>
                  <c:pt idx="1463">
                    <c:v>maple vila</c:v>
                  </c:pt>
                  <c:pt idx="1464">
                    <c:v>maple vila</c:v>
                  </c:pt>
                  <c:pt idx="1465">
                    <c:v>diego</c:v>
                  </c:pt>
                  <c:pt idx="1466">
                    <c:v>damian macetas</c:v>
                  </c:pt>
                  <c:pt idx="1468">
                    <c:v>distribuidora del sol</c:v>
                  </c:pt>
                  <c:pt idx="1469">
                    <c:v>ATMA</c:v>
                  </c:pt>
                  <c:pt idx="1470">
                    <c:v>casino</c:v>
                  </c:pt>
                  <c:pt idx="1474">
                    <c:v>agroinsumos</c:v>
                  </c:pt>
                  <c:pt idx="1475">
                    <c:v>agroinsumos</c:v>
                  </c:pt>
                  <c:pt idx="1476">
                    <c:v>beltrame</c:v>
                  </c:pt>
                  <c:pt idx="1477">
                    <c:v>beltrame</c:v>
                  </c:pt>
                  <c:pt idx="1478">
                    <c:v>valagu</c:v>
                  </c:pt>
                  <c:pt idx="1479">
                    <c:v>agroinsumos</c:v>
                  </c:pt>
                  <c:pt idx="1481">
                    <c:v>damian macetas</c:v>
                  </c:pt>
                  <c:pt idx="1483">
                    <c:v>damian macetas</c:v>
                  </c:pt>
                  <c:pt idx="1484">
                    <c:v>diego</c:v>
                  </c:pt>
                  <c:pt idx="1485">
                    <c:v>rimart</c:v>
                  </c:pt>
                  <c:pt idx="1486">
                    <c:v>mayans</c:v>
                  </c:pt>
                  <c:pt idx="1487">
                    <c:v>mayans</c:v>
                  </c:pt>
                  <c:pt idx="1488">
                    <c:v>casa cristina</c:v>
                  </c:pt>
                  <c:pt idx="1490">
                    <c:v>casa cristina</c:v>
                  </c:pt>
                  <c:pt idx="1491">
                    <c:v>diego</c:v>
                  </c:pt>
                  <c:pt idx="1492">
                    <c:v>diego</c:v>
                  </c:pt>
                  <c:pt idx="1493">
                    <c:v>diego</c:v>
                  </c:pt>
                  <c:pt idx="1494">
                    <c:v>diego</c:v>
                  </c:pt>
                  <c:pt idx="1495">
                    <c:v>diego</c:v>
                  </c:pt>
                  <c:pt idx="1496">
                    <c:v>damian macetas</c:v>
                  </c:pt>
                  <c:pt idx="1499">
                    <c:v>MAYORPET</c:v>
                  </c:pt>
                  <c:pt idx="1500">
                    <c:v>MAYORPET</c:v>
                  </c:pt>
                  <c:pt idx="1501">
                    <c:v>MAYORPET</c:v>
                  </c:pt>
                  <c:pt idx="1502">
                    <c:v>MAYORPET</c:v>
                  </c:pt>
                  <c:pt idx="1503">
                    <c:v>bioterra</c:v>
                  </c:pt>
                  <c:pt idx="1505">
                    <c:v>yaques</c:v>
                  </c:pt>
                  <c:pt idx="1506">
                    <c:v>musaco</c:v>
                  </c:pt>
                  <c:pt idx="1507">
                    <c:v>merlin</c:v>
                  </c:pt>
                  <c:pt idx="1508">
                    <c:v>beltrame</c:v>
                  </c:pt>
                  <c:pt idx="1509">
                    <c:v>beltrame</c:v>
                  </c:pt>
                  <c:pt idx="1510">
                    <c:v>MAYORPET</c:v>
                  </c:pt>
                  <c:pt idx="1511">
                    <c:v>valagu</c:v>
                  </c:pt>
                  <c:pt idx="1512">
                    <c:v>MAYORPET</c:v>
                  </c:pt>
                  <c:pt idx="1513">
                    <c:v>valagu</c:v>
                  </c:pt>
                  <c:pt idx="1514">
                    <c:v>valagu</c:v>
                  </c:pt>
                  <c:pt idx="1515">
                    <c:v>MAYORPET</c:v>
                  </c:pt>
                  <c:pt idx="1516">
                    <c:v>MAYORPET</c:v>
                  </c:pt>
                  <c:pt idx="1517">
                    <c:v>MAYORPET</c:v>
                  </c:pt>
                  <c:pt idx="1518">
                    <c:v>MAYORPET</c:v>
                  </c:pt>
                  <c:pt idx="1519">
                    <c:v>volpe</c:v>
                  </c:pt>
                  <c:pt idx="1520">
                    <c:v>volpe</c:v>
                  </c:pt>
                  <c:pt idx="1522">
                    <c:v>valagu</c:v>
                  </c:pt>
                  <c:pt idx="1523">
                    <c:v>valagu</c:v>
                  </c:pt>
                  <c:pt idx="1524">
                    <c:v>valagu</c:v>
                  </c:pt>
                  <c:pt idx="1525">
                    <c:v>valagu</c:v>
                  </c:pt>
                  <c:pt idx="1526">
                    <c:v>damian macetas</c:v>
                  </c:pt>
                  <c:pt idx="1527">
                    <c:v>musaco</c:v>
                  </c:pt>
                  <c:pt idx="1528">
                    <c:v>BELSIR</c:v>
                  </c:pt>
                  <c:pt idx="1529">
                    <c:v>exportagro</c:v>
                  </c:pt>
                  <c:pt idx="1530">
                    <c:v>magric</c:v>
                  </c:pt>
                  <c:pt idx="1531">
                    <c:v>magric</c:v>
                  </c:pt>
                  <c:pt idx="1532">
                    <c:v>alvarez</c:v>
                  </c:pt>
                  <c:pt idx="1533">
                    <c:v>damian macetas</c:v>
                  </c:pt>
                  <c:pt idx="1534">
                    <c:v>damian macetas</c:v>
                  </c:pt>
                  <c:pt idx="1535">
                    <c:v>damian macetas</c:v>
                  </c:pt>
                  <c:pt idx="1536">
                    <c:v>grispix</c:v>
                  </c:pt>
                  <c:pt idx="1537">
                    <c:v>damian macetas</c:v>
                  </c:pt>
                  <c:pt idx="1538">
                    <c:v>deribal</c:v>
                  </c:pt>
                  <c:pt idx="1539">
                    <c:v>damian macetas</c:v>
                  </c:pt>
                  <c:pt idx="1540">
                    <c:v>damian macetas</c:v>
                  </c:pt>
                  <c:pt idx="1541">
                    <c:v>MAYORPET</c:v>
                  </c:pt>
                  <c:pt idx="1542">
                    <c:v>damian macetas</c:v>
                  </c:pt>
                  <c:pt idx="1544">
                    <c:v>yaques</c:v>
                  </c:pt>
                  <c:pt idx="1545">
                    <c:v>yaques</c:v>
                  </c:pt>
                  <c:pt idx="1546">
                    <c:v>diego</c:v>
                  </c:pt>
                  <c:pt idx="1547">
                    <c:v>diego</c:v>
                  </c:pt>
                  <c:pt idx="1548">
                    <c:v>empack</c:v>
                  </c:pt>
                  <c:pt idx="1549">
                    <c:v>valagu</c:v>
                  </c:pt>
                  <c:pt idx="1550">
                    <c:v>valagu</c:v>
                  </c:pt>
                  <c:pt idx="1551">
                    <c:v>valagu</c:v>
                  </c:pt>
                  <c:pt idx="1552">
                    <c:v>beltrame</c:v>
                  </c:pt>
                  <c:pt idx="1553">
                    <c:v>uruquim</c:v>
                  </c:pt>
                  <c:pt idx="1554">
                    <c:v>uruquim</c:v>
                  </c:pt>
                  <c:pt idx="1555">
                    <c:v>lezama</c:v>
                  </c:pt>
                  <c:pt idx="1556">
                    <c:v>fermara</c:v>
                  </c:pt>
                  <c:pt idx="1557">
                    <c:v>FERMARA</c:v>
                  </c:pt>
                  <c:pt idx="1558">
                    <c:v>fermara</c:v>
                  </c:pt>
                  <c:pt idx="1559">
                    <c:v>fermara</c:v>
                  </c:pt>
                  <c:pt idx="1560">
                    <c:v>damian macetas</c:v>
                  </c:pt>
                  <c:pt idx="1567">
                    <c:v>valagu</c:v>
                  </c:pt>
                  <c:pt idx="1568">
                    <c:v>valagu</c:v>
                  </c:pt>
                  <c:pt idx="1570">
                    <c:v>belsir</c:v>
                  </c:pt>
                  <c:pt idx="1571">
                    <c:v>belsir</c:v>
                  </c:pt>
                  <c:pt idx="1572">
                    <c:v>valagu</c:v>
                  </c:pt>
                  <c:pt idx="1574">
                    <c:v>MAYORPET</c:v>
                  </c:pt>
                  <c:pt idx="1575">
                    <c:v>MAYORPET</c:v>
                  </c:pt>
                  <c:pt idx="1577">
                    <c:v>grispix</c:v>
                  </c:pt>
                  <c:pt idx="1579">
                    <c:v>damian macetas</c:v>
                  </c:pt>
                  <c:pt idx="1580">
                    <c:v>damian macetas</c:v>
                  </c:pt>
                  <c:pt idx="1581">
                    <c:v>damian macetas</c:v>
                  </c:pt>
                  <c:pt idx="1582">
                    <c:v>damian macetas</c:v>
                  </c:pt>
                  <c:pt idx="1583">
                    <c:v>alvarez</c:v>
                  </c:pt>
                  <c:pt idx="1587">
                    <c:v>bioterra</c:v>
                  </c:pt>
                  <c:pt idx="1588">
                    <c:v>negley</c:v>
                  </c:pt>
                  <c:pt idx="1589">
                    <c:v>negley</c:v>
                  </c:pt>
                  <c:pt idx="1590">
                    <c:v>negley</c:v>
                  </c:pt>
                  <c:pt idx="1591">
                    <c:v>distribuidora del sol</c:v>
                  </c:pt>
                  <c:pt idx="1592">
                    <c:v>distribuidora del sol</c:v>
                  </c:pt>
                  <c:pt idx="1594">
                    <c:v>fermara</c:v>
                  </c:pt>
                  <c:pt idx="1596">
                    <c:v>REMIPLAT</c:v>
                  </c:pt>
                  <c:pt idx="1597">
                    <c:v>REMIPLAT</c:v>
                  </c:pt>
                  <c:pt idx="1599">
                    <c:v>intor</c:v>
                  </c:pt>
                  <c:pt idx="1600">
                    <c:v>intor</c:v>
                  </c:pt>
                  <c:pt idx="1601">
                    <c:v>intor</c:v>
                  </c:pt>
                  <c:pt idx="1602">
                    <c:v>intor</c:v>
                  </c:pt>
                  <c:pt idx="1603">
                    <c:v>intor</c:v>
                  </c:pt>
                  <c:pt idx="1604">
                    <c:v>intor</c:v>
                  </c:pt>
                  <c:pt idx="1607">
                    <c:v>REMIPLAT</c:v>
                  </c:pt>
                  <c:pt idx="1609">
                    <c:v>REMIPLAT</c:v>
                  </c:pt>
                  <c:pt idx="1613">
                    <c:v>damian macetas</c:v>
                  </c:pt>
                  <c:pt idx="1615">
                    <c:v>fermara</c:v>
                  </c:pt>
                  <c:pt idx="1616">
                    <c:v>fermara</c:v>
                  </c:pt>
                  <c:pt idx="1618">
                    <c:v>negley</c:v>
                  </c:pt>
                  <c:pt idx="1619">
                    <c:v>negley</c:v>
                  </c:pt>
                  <c:pt idx="1620">
                    <c:v>intor</c:v>
                  </c:pt>
                  <c:pt idx="1621">
                    <c:v>damian macetas</c:v>
                  </c:pt>
                  <c:pt idx="1624">
                    <c:v>damian macetas</c:v>
                  </c:pt>
                  <c:pt idx="1625">
                    <c:v>negley</c:v>
                  </c:pt>
                  <c:pt idx="1626">
                    <c:v>negley</c:v>
                  </c:pt>
                  <c:pt idx="1627">
                    <c:v>belsir</c:v>
                  </c:pt>
                  <c:pt idx="1629">
                    <c:v>belsir</c:v>
                  </c:pt>
                  <c:pt idx="1630">
                    <c:v>belsir</c:v>
                  </c:pt>
                  <c:pt idx="1631">
                    <c:v>belsir</c:v>
                  </c:pt>
                  <c:pt idx="1632">
                    <c:v>belsir</c:v>
                  </c:pt>
                  <c:pt idx="1633">
                    <c:v>belsir</c:v>
                  </c:pt>
                  <c:pt idx="1634">
                    <c:v>distribuidora del sol</c:v>
                  </c:pt>
                  <c:pt idx="1635">
                    <c:v>distribuidora del sol</c:v>
                  </c:pt>
                  <c:pt idx="1636">
                    <c:v>distribuidora del sol</c:v>
                  </c:pt>
                  <c:pt idx="1637">
                    <c:v>distribuidora del sol</c:v>
                  </c:pt>
                  <c:pt idx="1638">
                    <c:v>distribuidora del sol</c:v>
                  </c:pt>
                  <c:pt idx="1639">
                    <c:v>distribuidora del sol</c:v>
                  </c:pt>
                  <c:pt idx="1640">
                    <c:v>distribuidora del sol</c:v>
                  </c:pt>
                  <c:pt idx="1641">
                    <c:v>negley</c:v>
                  </c:pt>
                  <c:pt idx="1642">
                    <c:v>negley</c:v>
                  </c:pt>
                  <c:pt idx="1643">
                    <c:v>negley</c:v>
                  </c:pt>
                  <c:pt idx="1644">
                    <c:v>negley</c:v>
                  </c:pt>
                  <c:pt idx="1645">
                    <c:v>negley</c:v>
                  </c:pt>
                  <c:pt idx="1646">
                    <c:v>negley</c:v>
                  </c:pt>
                  <c:pt idx="1647">
                    <c:v>negley</c:v>
                  </c:pt>
                  <c:pt idx="1649">
                    <c:v>valagu</c:v>
                  </c:pt>
                  <c:pt idx="1650">
                    <c:v>valagu</c:v>
                  </c:pt>
                  <c:pt idx="1651">
                    <c:v>beltrame</c:v>
                  </c:pt>
                  <c:pt idx="1652">
                    <c:v>valagu</c:v>
                  </c:pt>
                  <c:pt idx="1653">
                    <c:v>corona</c:v>
                  </c:pt>
                  <c:pt idx="1654">
                    <c:v>valagu</c:v>
                  </c:pt>
                  <c:pt idx="1655">
                    <c:v>valagu</c:v>
                  </c:pt>
                  <c:pt idx="1656">
                    <c:v>mayorpet</c:v>
                  </c:pt>
                  <c:pt idx="1657">
                    <c:v>valagu</c:v>
                  </c:pt>
                  <c:pt idx="1658">
                    <c:v>valagu</c:v>
                  </c:pt>
                  <c:pt idx="1659">
                    <c:v>valagu</c:v>
                  </c:pt>
                  <c:pt idx="1660">
                    <c:v>valagu</c:v>
                  </c:pt>
                  <c:pt idx="1661">
                    <c:v>valagu</c:v>
                  </c:pt>
                  <c:pt idx="1662">
                    <c:v>deribal</c:v>
                  </c:pt>
                  <c:pt idx="1663">
                    <c:v>deribal</c:v>
                  </c:pt>
                  <c:pt idx="1664">
                    <c:v>animalitos</c:v>
                  </c:pt>
                  <c:pt idx="1666">
                    <c:v>alvarez</c:v>
                  </c:pt>
                  <c:pt idx="1667">
                    <c:v>alvarez</c:v>
                  </c:pt>
                  <c:pt idx="1668">
                    <c:v>damian macetas</c:v>
                  </c:pt>
                  <c:pt idx="1669">
                    <c:v>MAYORPET</c:v>
                  </c:pt>
                  <c:pt idx="1670">
                    <c:v>ds</c:v>
                  </c:pt>
                  <c:pt idx="1671">
                    <c:v>damian macetas</c:v>
                  </c:pt>
                  <c:pt idx="1672">
                    <c:v>damian macetas</c:v>
                  </c:pt>
                  <c:pt idx="1674">
                    <c:v>fermara</c:v>
                  </c:pt>
                  <c:pt idx="1675">
                    <c:v>fermara</c:v>
                  </c:pt>
                  <c:pt idx="1676">
                    <c:v>fermara</c:v>
                  </c:pt>
                  <c:pt idx="1677">
                    <c:v>fermara</c:v>
                  </c:pt>
                  <c:pt idx="1678">
                    <c:v>DERIBAL</c:v>
                  </c:pt>
                  <c:pt idx="1679">
                    <c:v>DERIBAL</c:v>
                  </c:pt>
                  <c:pt idx="1680">
                    <c:v>DERIBAL</c:v>
                  </c:pt>
                  <c:pt idx="1681">
                    <c:v>fermara</c:v>
                  </c:pt>
                  <c:pt idx="1682">
                    <c:v>deribal</c:v>
                  </c:pt>
                  <c:pt idx="1683">
                    <c:v>deribal</c:v>
                  </c:pt>
                  <c:pt idx="1684">
                    <c:v>DERIBAL</c:v>
                  </c:pt>
                  <c:pt idx="1685">
                    <c:v>deribal</c:v>
                  </c:pt>
                  <c:pt idx="1686">
                    <c:v>deribal</c:v>
                  </c:pt>
                  <c:pt idx="1687">
                    <c:v>fermara</c:v>
                  </c:pt>
                  <c:pt idx="1688">
                    <c:v>fermara</c:v>
                  </c:pt>
                  <c:pt idx="1689">
                    <c:v>fermara</c:v>
                  </c:pt>
                  <c:pt idx="1690">
                    <c:v>damian macetas</c:v>
                  </c:pt>
                  <c:pt idx="1691">
                    <c:v>valagu</c:v>
                  </c:pt>
                  <c:pt idx="1693">
                    <c:v>valagu</c:v>
                  </c:pt>
                  <c:pt idx="1694">
                    <c:v>valagu</c:v>
                  </c:pt>
                  <c:pt idx="1695">
                    <c:v>valagu</c:v>
                  </c:pt>
                  <c:pt idx="1696">
                    <c:v>valagu</c:v>
                  </c:pt>
                  <c:pt idx="1697">
                    <c:v>valagu</c:v>
                  </c:pt>
                  <c:pt idx="1698">
                    <c:v>valagu</c:v>
                  </c:pt>
                  <c:pt idx="1699">
                    <c:v>diego</c:v>
                  </c:pt>
                  <c:pt idx="1700">
                    <c:v>valagu</c:v>
                  </c:pt>
                  <c:pt idx="1701">
                    <c:v>valagu</c:v>
                  </c:pt>
                  <c:pt idx="1702">
                    <c:v>valagu</c:v>
                  </c:pt>
                  <c:pt idx="1703">
                    <c:v>valagu</c:v>
                  </c:pt>
                  <c:pt idx="1704">
                    <c:v>diego</c:v>
                  </c:pt>
                  <c:pt idx="1705">
                    <c:v>diego</c:v>
                  </c:pt>
                  <c:pt idx="1706">
                    <c:v>damian macetas</c:v>
                  </c:pt>
                  <c:pt idx="1707">
                    <c:v>casa cristina</c:v>
                  </c:pt>
                  <c:pt idx="1709">
                    <c:v>valagu</c:v>
                  </c:pt>
                  <c:pt idx="1710">
                    <c:v>valagu</c:v>
                  </c:pt>
                  <c:pt idx="1711">
                    <c:v>valagu</c:v>
                  </c:pt>
                  <c:pt idx="1712">
                    <c:v>valagu</c:v>
                  </c:pt>
                  <c:pt idx="1713">
                    <c:v>valagu</c:v>
                  </c:pt>
                  <c:pt idx="1714">
                    <c:v>agropecuaria agraciada</c:v>
                  </c:pt>
                  <c:pt idx="1715">
                    <c:v>agraciada</c:v>
                  </c:pt>
                  <c:pt idx="1716">
                    <c:v>parque trebol</c:v>
                  </c:pt>
                  <c:pt idx="1717">
                    <c:v>damian macetas</c:v>
                  </c:pt>
                  <c:pt idx="1718">
                    <c:v>damian macetas</c:v>
                  </c:pt>
                  <c:pt idx="1719">
                    <c:v>damian macetas</c:v>
                  </c:pt>
                  <c:pt idx="1720">
                    <c:v>damian macetas</c:v>
                  </c:pt>
                  <c:pt idx="1721">
                    <c:v>damian macetas</c:v>
                  </c:pt>
                  <c:pt idx="1722">
                    <c:v>damian macetas</c:v>
                  </c:pt>
                  <c:pt idx="1723">
                    <c:v>damian macetas</c:v>
                  </c:pt>
                  <c:pt idx="1724">
                    <c:v>damian macetas</c:v>
                  </c:pt>
                </c:lvl>
                <c:lvl>
                  <c:pt idx="0">
                    <c:v>1 doc clavel 2 ilusion 2 rosas</c:v>
                  </c:pt>
                  <c:pt idx="1">
                    <c:v>100 c,c</c:v>
                  </c:pt>
                  <c:pt idx="2">
                    <c:v>100 cc</c:v>
                  </c:pt>
                  <c:pt idx="3">
                    <c:v>10litr</c:v>
                  </c:pt>
                  <c:pt idx="4">
                    <c:v>250 gr</c:v>
                  </c:pt>
                  <c:pt idx="5">
                    <c:v>1lt</c:v>
                  </c:pt>
                  <c:pt idx="6">
                    <c:v>100 cc</c:v>
                  </c:pt>
                  <c:pt idx="7">
                    <c:v>20lt</c:v>
                  </c:pt>
                  <c:pt idx="8">
                    <c:v>1 lt</c:v>
                  </c:pt>
                  <c:pt idx="9">
                    <c:v>1 LT</c:v>
                  </c:pt>
                  <c:pt idx="12">
                    <c:v>4pcs</c:v>
                  </c:pt>
                  <c:pt idx="13">
                    <c:v>600 cc</c:v>
                  </c:pt>
                  <c:pt idx="14">
                    <c:v>1,200 ltr</c:v>
                  </c:pt>
                  <c:pt idx="15">
                    <c:v>c/u</c:v>
                  </c:pt>
                  <c:pt idx="23">
                    <c:v>30 cm</c:v>
                  </c:pt>
                  <c:pt idx="24">
                    <c:v>1 kg</c:v>
                  </c:pt>
                  <c:pt idx="25">
                    <c:v>25 kg</c:v>
                  </c:pt>
                  <c:pt idx="26">
                    <c:v>350 ml</c:v>
                  </c:pt>
                  <c:pt idx="27">
                    <c:v>2,5L/mmrs-RS510</c:v>
                  </c:pt>
                  <c:pt idx="28">
                    <c:v>RS 290</c:v>
                  </c:pt>
                  <c:pt idx="29">
                    <c:v>rs-160</c:v>
                  </c:pt>
                  <c:pt idx="30">
                    <c:v>rs610</c:v>
                  </c:pt>
                  <c:pt idx="31">
                    <c:v>4w 4lt/min</c:v>
                  </c:pt>
                  <c:pt idx="32">
                    <c:v>5w4,5 1/min sile</c:v>
                  </c:pt>
                  <c:pt idx="33">
                    <c:v> 2,5lm  sl-2800</c:v>
                  </c:pt>
                  <c:pt idx="34">
                    <c:v>30 CC</c:v>
                  </c:pt>
                  <c:pt idx="35">
                    <c:v>11,5cm</c:v>
                  </c:pt>
                  <c:pt idx="36">
                    <c:v>60 cc</c:v>
                  </c:pt>
                  <c:pt idx="37">
                    <c:v>400 grs caja</c:v>
                  </c:pt>
                  <c:pt idx="38">
                    <c:v>10gr</c:v>
                  </c:pt>
                  <c:pt idx="39">
                    <c:v>250 gr</c:v>
                  </c:pt>
                  <c:pt idx="40">
                    <c:v>10 gr</c:v>
                  </c:pt>
                  <c:pt idx="41">
                    <c:v>100 gr</c:v>
                  </c:pt>
                  <c:pt idx="42">
                    <c:v>500gr</c:v>
                  </c:pt>
                  <c:pt idx="43">
                    <c:v>120 grs</c:v>
                  </c:pt>
                  <c:pt idx="44">
                    <c:v>100 gr</c:v>
                  </c:pt>
                  <c:pt idx="45">
                    <c:v>15 gr</c:v>
                  </c:pt>
                  <c:pt idx="46">
                    <c:v>500 gr</c:v>
                  </c:pt>
                  <c:pt idx="47">
                    <c:v>500 grs</c:v>
                  </c:pt>
                  <c:pt idx="48">
                    <c:v>270 grs</c:v>
                  </c:pt>
                  <c:pt idx="49">
                    <c:v>kg</c:v>
                  </c:pt>
                  <c:pt idx="50">
                    <c:v>500  GR</c:v>
                  </c:pt>
                  <c:pt idx="51">
                    <c:v>100 GR</c:v>
                  </c:pt>
                  <c:pt idx="52">
                    <c:v>50 gr</c:v>
                  </c:pt>
                  <c:pt idx="53">
                    <c:v>10 GR</c:v>
                  </c:pt>
                  <c:pt idx="54">
                    <c:v>1,1 kg</c:v>
                  </c:pt>
                  <c:pt idx="55">
                    <c:v>75 gr</c:v>
                  </c:pt>
                  <c:pt idx="56">
                    <c:v>1kg</c:v>
                  </c:pt>
                  <c:pt idx="57">
                    <c:v>100 gr</c:v>
                  </c:pt>
                  <c:pt idx="58">
                    <c:v>10 gr</c:v>
                  </c:pt>
                  <c:pt idx="59">
                    <c:v>400 CC</c:v>
                  </c:pt>
                  <c:pt idx="60">
                    <c:v>128 cv,</c:v>
                  </c:pt>
                  <c:pt idx="61">
                    <c:v>32 cav</c:v>
                  </c:pt>
                  <c:pt idx="62">
                    <c:v>50 cavidades</c:v>
                  </c:pt>
                  <c:pt idx="63">
                    <c:v> 105 CAVIDADES</c:v>
                  </c:pt>
                  <c:pt idx="64">
                    <c:v>288 cavidades</c:v>
                  </c:pt>
                  <c:pt idx="65">
                    <c:v>50 cavidades</c:v>
                  </c:pt>
                  <c:pt idx="66">
                    <c:v>98 cavidades</c:v>
                  </c:pt>
                  <c:pt idx="72">
                    <c:v>25 kg</c:v>
                  </c:pt>
                  <c:pt idx="73">
                    <c:v>1 kg</c:v>
                  </c:pt>
                  <c:pt idx="74">
                    <c:v>25 kg</c:v>
                  </c:pt>
                  <c:pt idx="75">
                    <c:v>1 kg</c:v>
                  </c:pt>
                  <c:pt idx="78">
                    <c:v>0</c:v>
                  </c:pt>
                  <c:pt idx="80">
                    <c:v>c/u</c:v>
                  </c:pt>
                  <c:pt idx="81">
                    <c:v>blister de 10 comp</c:v>
                  </c:pt>
                  <c:pt idx="82">
                    <c:v>caja 240 comp</c:v>
                  </c:pt>
                  <c:pt idx="83">
                    <c:v>20 CM</c:v>
                  </c:pt>
                  <c:pt idx="84">
                    <c:v>24 CM</c:v>
                  </c:pt>
                  <c:pt idx="85">
                    <c:v>30 cm</c:v>
                  </c:pt>
                  <c:pt idx="86">
                    <c:v>40 cm</c:v>
                  </c:pt>
                  <c:pt idx="87">
                    <c:v>70 cm</c:v>
                  </c:pt>
                  <c:pt idx="88">
                    <c:v>25 kg</c:v>
                  </c:pt>
                  <c:pt idx="89">
                    <c:v>kg</c:v>
                  </c:pt>
                  <c:pt idx="90">
                    <c:v>0</c:v>
                  </c:pt>
                  <c:pt idx="97">
                    <c:v>500 grs</c:v>
                  </c:pt>
                  <c:pt idx="98">
                    <c:v>kg</c:v>
                  </c:pt>
                  <c:pt idx="99">
                    <c:v>100 gr</c:v>
                  </c:pt>
                  <c:pt idx="100">
                    <c:v>C/U</c:v>
                  </c:pt>
                  <c:pt idx="102">
                    <c:v>kg</c:v>
                  </c:pt>
                  <c:pt idx="103">
                    <c:v>125 grs</c:v>
                  </c:pt>
                  <c:pt idx="104">
                    <c:v>50 gr</c:v>
                  </c:pt>
                  <c:pt idx="105">
                    <c:v>50gr</c:v>
                  </c:pt>
                  <c:pt idx="106">
                    <c:v>500 GRS</c:v>
                  </c:pt>
                  <c:pt idx="107">
                    <c:v>500 grs</c:v>
                  </c:pt>
                  <c:pt idx="108">
                    <c:v>50gr</c:v>
                  </c:pt>
                  <c:pt idx="109">
                    <c:v>21 LTS</c:v>
                  </c:pt>
                  <c:pt idx="110">
                    <c:v>141 cristal</c:v>
                  </c:pt>
                  <c:pt idx="111">
                    <c:v>46x32x10</c:v>
                  </c:pt>
                  <c:pt idx="112">
                    <c:v>40x27x7</c:v>
                  </c:pt>
                  <c:pt idx="113">
                    <c:v>0</c:v>
                  </c:pt>
                  <c:pt idx="115">
                    <c:v>c/u</c:v>
                  </c:pt>
                  <c:pt idx="116">
                    <c:v>gigante</c:v>
                  </c:pt>
                  <c:pt idx="117">
                    <c:v>350 ml</c:v>
                  </c:pt>
                  <c:pt idx="118">
                    <c:v>260ml</c:v>
                  </c:pt>
                  <c:pt idx="121">
                    <c:v>mts</c:v>
                  </c:pt>
                  <c:pt idx="122">
                    <c:v>20 c,c</c:v>
                  </c:pt>
                  <c:pt idx="123">
                    <c:v>20 c,c</c:v>
                  </c:pt>
                  <c:pt idx="124">
                    <c:v>30 c,c,</c:v>
                  </c:pt>
                  <c:pt idx="125">
                    <c:v>500 gr</c:v>
                  </c:pt>
                  <c:pt idx="126">
                    <c:v>100gr</c:v>
                  </c:pt>
                  <c:pt idx="127">
                    <c:v>1 ltr</c:v>
                  </c:pt>
                  <c:pt idx="128">
                    <c:v>1,8 ltr</c:v>
                  </c:pt>
                  <c:pt idx="129">
                    <c:v>3,5 LTR</c:v>
                  </c:pt>
                  <c:pt idx="130">
                    <c:v>6 lt</c:v>
                  </c:pt>
                  <c:pt idx="131">
                    <c:v>1,5 lts</c:v>
                  </c:pt>
                  <c:pt idx="132">
                    <c:v>1,5 lts</c:v>
                  </c:pt>
                  <c:pt idx="133">
                    <c:v>6 lt</c:v>
                  </c:pt>
                  <c:pt idx="134">
                    <c:v>125 ML</c:v>
                  </c:pt>
                  <c:pt idx="135">
                    <c:v>80ml</c:v>
                  </c:pt>
                  <c:pt idx="137">
                    <c:v>5 lt </c:v>
                  </c:pt>
                  <c:pt idx="138">
                    <c:v>7x16</c:v>
                  </c:pt>
                  <c:pt idx="139">
                    <c:v>300ml</c:v>
                  </c:pt>
                  <c:pt idx="140">
                    <c:v>50 ml</c:v>
                  </c:pt>
                  <c:pt idx="141">
                    <c:v>150 ml</c:v>
                  </c:pt>
                  <c:pt idx="142">
                    <c:v>c/u</c:v>
                  </c:pt>
                  <c:pt idx="143">
                    <c:v>0</c:v>
                  </c:pt>
                  <c:pt idx="145">
                    <c:v>c/u</c:v>
                  </c:pt>
                  <c:pt idx="146">
                    <c:v>c/u</c:v>
                  </c:pt>
                  <c:pt idx="148">
                    <c:v>0</c:v>
                  </c:pt>
                  <c:pt idx="149">
                    <c:v>c/u</c:v>
                  </c:pt>
                  <c:pt idx="151">
                    <c:v>17,8x10,5x10,5 cm</c:v>
                  </c:pt>
                  <c:pt idx="152">
                    <c:v>0</c:v>
                  </c:pt>
                  <c:pt idx="153">
                    <c:v>n 1</c:v>
                  </c:pt>
                  <c:pt idx="154">
                    <c:v>n 2</c:v>
                  </c:pt>
                  <c:pt idx="155">
                    <c:v>n 3</c:v>
                  </c:pt>
                  <c:pt idx="156">
                    <c:v>80 ml</c:v>
                  </c:pt>
                  <c:pt idx="157">
                    <c:v>500 ml</c:v>
                  </c:pt>
                  <c:pt idx="158">
                    <c:v>250 cc</c:v>
                  </c:pt>
                  <c:pt idx="159">
                    <c:v>1000 ml</c:v>
                  </c:pt>
                  <c:pt idx="160">
                    <c:v>1000 cc</c:v>
                  </c:pt>
                  <c:pt idx="161">
                    <c:v>kg</c:v>
                  </c:pt>
                  <c:pt idx="166">
                    <c:v>250 CC</c:v>
                  </c:pt>
                  <c:pt idx="167">
                    <c:v>600 cc</c:v>
                  </c:pt>
                  <c:pt idx="168">
                    <c:v>1 lt</c:v>
                  </c:pt>
                  <c:pt idx="169">
                    <c:v>10 ltr</c:v>
                  </c:pt>
                  <c:pt idx="170">
                    <c:v>1 litro suelto</c:v>
                  </c:pt>
                  <c:pt idx="171">
                    <c:v>1 ltr</c:v>
                  </c:pt>
                  <c:pt idx="172">
                    <c:v>20 ltr</c:v>
                  </c:pt>
                  <c:pt idx="173">
                    <c:v>5 lt</c:v>
                  </c:pt>
                  <c:pt idx="174">
                    <c:v>600 ml,</c:v>
                  </c:pt>
                  <c:pt idx="175">
                    <c:v>7lt</c:v>
                  </c:pt>
                  <c:pt idx="176">
                    <c:v>20 ltr</c:v>
                  </c:pt>
                  <c:pt idx="177">
                    <c:v>100 gr</c:v>
                  </c:pt>
                  <c:pt idx="178">
                    <c:v>500 gr</c:v>
                  </c:pt>
                  <c:pt idx="179">
                    <c:v>12 unidades</c:v>
                  </c:pt>
                  <c:pt idx="180">
                    <c:v>X 12 UNID.</c:v>
                  </c:pt>
                  <c:pt idx="181">
                    <c:v>15</c:v>
                  </c:pt>
                  <c:pt idx="182">
                    <c:v>20</c:v>
                  </c:pt>
                  <c:pt idx="183">
                    <c:v>25</c:v>
                  </c:pt>
                  <c:pt idx="184">
                    <c:v>30 cm</c:v>
                  </c:pt>
                  <c:pt idx="185">
                    <c:v>35</c:v>
                  </c:pt>
                  <c:pt idx="186">
                    <c:v>24</c:v>
                  </c:pt>
                  <c:pt idx="187">
                    <c:v>27</c:v>
                  </c:pt>
                  <c:pt idx="188">
                    <c:v>N20</c:v>
                  </c:pt>
                  <c:pt idx="189">
                    <c:v>N24</c:v>
                  </c:pt>
                  <c:pt idx="190">
                    <c:v>28</c:v>
                  </c:pt>
                  <c:pt idx="191">
                    <c:v>34</c:v>
                  </c:pt>
                  <c:pt idx="192">
                    <c:v>22</c:v>
                  </c:pt>
                  <c:pt idx="193">
                    <c:v>chico</c:v>
                  </c:pt>
                  <c:pt idx="194">
                    <c:v>gde</c:v>
                  </c:pt>
                  <c:pt idx="196">
                    <c:v>16cm</c:v>
                  </c:pt>
                  <c:pt idx="197">
                    <c:v>18cm</c:v>
                  </c:pt>
                  <c:pt idx="198">
                    <c:v>20cm</c:v>
                  </c:pt>
                  <c:pt idx="199">
                    <c:v>22 cm</c:v>
                  </c:pt>
                  <c:pt idx="200">
                    <c:v>25cm</c:v>
                  </c:pt>
                  <c:pt idx="201">
                    <c:v>20</c:v>
                  </c:pt>
                  <c:pt idx="202">
                    <c:v>25</c:v>
                  </c:pt>
                  <c:pt idx="203">
                    <c:v>1 kg</c:v>
                  </c:pt>
                  <c:pt idx="204">
                    <c:v>3 kg</c:v>
                  </c:pt>
                  <c:pt idx="205">
                    <c:v>5 kg</c:v>
                  </c:pt>
                  <c:pt idx="206">
                    <c:v>codigo 22</c:v>
                  </c:pt>
                  <c:pt idx="207">
                    <c:v>0</c:v>
                  </c:pt>
                  <c:pt idx="208">
                    <c:v>45x50</c:v>
                  </c:pt>
                  <c:pt idx="209">
                    <c:v>45x60</c:v>
                  </c:pt>
                  <c:pt idx="210">
                    <c:v>c/u</c:v>
                  </c:pt>
                  <c:pt idx="211">
                    <c:v>8x15</c:v>
                  </c:pt>
                  <c:pt idx="212">
                    <c:v>n 3</c:v>
                  </c:pt>
                  <c:pt idx="213">
                    <c:v>24X35 5 LTS</c:v>
                  </c:pt>
                  <c:pt idx="214">
                    <c:v>38X41 10 LTS</c:v>
                  </c:pt>
                  <c:pt idx="215">
                    <c:v>45X49 15 LTS</c:v>
                  </c:pt>
                  <c:pt idx="216">
                    <c:v>14x23 1 lt</c:v>
                  </c:pt>
                  <c:pt idx="217">
                    <c:v>20x24 2 lt</c:v>
                  </c:pt>
                  <c:pt idx="218">
                    <c:v>58x58c14,5</c:v>
                  </c:pt>
                  <c:pt idx="219">
                    <c:v>c/u</c:v>
                  </c:pt>
                  <c:pt idx="220">
                    <c:v>c/u</c:v>
                  </c:pt>
                  <c:pt idx="221">
                    <c:v>3w230lt/hr</c:v>
                  </c:pt>
                  <c:pt idx="222">
                    <c:v>rs-003 15w 1hr/1mts</c:v>
                  </c:pt>
                  <c:pt idx="223">
                    <c:v>RS-3400,12W,8801/H,1,2 MTR</c:v>
                  </c:pt>
                  <c:pt idx="224">
                    <c:v>RS-4100-A</c:v>
                  </c:pt>
                  <c:pt idx="225">
                    <c:v>rs-901</c:v>
                  </c:pt>
                  <c:pt idx="226">
                    <c:v>RS730</c:v>
                  </c:pt>
                  <c:pt idx="227">
                    <c:v>0</c:v>
                  </c:pt>
                  <c:pt idx="229">
                    <c:v>xl</c:v>
                  </c:pt>
                  <c:pt idx="230">
                    <c:v>4</c:v>
                  </c:pt>
                  <c:pt idx="231">
                    <c:v>5</c:v>
                  </c:pt>
                  <c:pt idx="232">
                    <c:v>6</c:v>
                  </c:pt>
                  <c:pt idx="233">
                    <c:v>8</c:v>
                  </c:pt>
                  <c:pt idx="234">
                    <c:v>230 c.c</c:v>
                  </c:pt>
                  <c:pt idx="235">
                    <c:v>40 cm</c:v>
                  </c:pt>
                  <c:pt idx="238">
                    <c:v>sachet</c:v>
                  </c:pt>
                  <c:pt idx="239">
                    <c:v>7 lt</c:v>
                  </c:pt>
                  <c:pt idx="240">
                    <c:v>2mm 120cm</c:v>
                  </c:pt>
                  <c:pt idx="241">
                    <c:v>180*3,5</c:v>
                  </c:pt>
                  <c:pt idx="242">
                    <c:v>3,5x1,5 mtr,</c:v>
                  </c:pt>
                  <c:pt idx="243">
                    <c:v>1,8*4</c:v>
                  </c:pt>
                  <c:pt idx="244">
                    <c:v>180x3,5</c:v>
                  </c:pt>
                  <c:pt idx="245">
                    <c:v>180x3,5</c:v>
                  </c:pt>
                  <c:pt idx="246">
                    <c:v>180x2,5</c:v>
                  </c:pt>
                  <c:pt idx="249">
                    <c:v>15 gr</c:v>
                  </c:pt>
                  <c:pt idx="250">
                    <c:v>30 grs</c:v>
                  </c:pt>
                  <c:pt idx="251">
                    <c:v>100 grs</c:v>
                  </c:pt>
                  <c:pt idx="252">
                    <c:v>30 w</c:v>
                  </c:pt>
                  <c:pt idx="253">
                    <c:v>100 w rs-688</c:v>
                  </c:pt>
                  <c:pt idx="254">
                    <c:v>300 w</c:v>
                  </c:pt>
                  <c:pt idx="256">
                    <c:v>29x29x33</c:v>
                  </c:pt>
                  <c:pt idx="257">
                    <c:v>34x34x36</c:v>
                  </c:pt>
                  <c:pt idx="260">
                    <c:v>mtr</c:v>
                  </c:pt>
                  <c:pt idx="261">
                    <c:v>100 grs,</c:v>
                  </c:pt>
                  <c:pt idx="262">
                    <c:v>100 gr</c:v>
                  </c:pt>
                  <c:pt idx="263">
                    <c:v>100grs</c:v>
                  </c:pt>
                  <c:pt idx="264">
                    <c:v>200 grs</c:v>
                  </c:pt>
                  <c:pt idx="265">
                    <c:v>1 kg</c:v>
                  </c:pt>
                  <c:pt idx="266">
                    <c:v>500 gr</c:v>
                  </c:pt>
                  <c:pt idx="267">
                    <c:v>150 grs</c:v>
                  </c:pt>
                  <c:pt idx="268">
                    <c:v>90 grs,</c:v>
                  </c:pt>
                  <c:pt idx="269">
                    <c:v>90 GR</c:v>
                  </c:pt>
                  <c:pt idx="270">
                    <c:v>500 gr</c:v>
                  </c:pt>
                  <c:pt idx="271">
                    <c:v>100 gr</c:v>
                  </c:pt>
                  <c:pt idx="272">
                    <c:v>14x8,5</c:v>
                  </c:pt>
                  <c:pt idx="273">
                    <c:v>45*35*55</c:v>
                  </c:pt>
                  <c:pt idx="274">
                    <c:v>400 grs caja</c:v>
                  </c:pt>
                  <c:pt idx="275">
                    <c:v>6</c:v>
                  </c:pt>
                  <c:pt idx="283">
                    <c:v>58X32</c:v>
                  </c:pt>
                  <c:pt idx="284">
                    <c:v>50x21</c:v>
                  </c:pt>
                  <c:pt idx="285">
                    <c:v>650 c,c,</c:v>
                  </c:pt>
                  <c:pt idx="286">
                    <c:v>180 cc</c:v>
                  </c:pt>
                  <c:pt idx="287">
                    <c:v>50 cm</c:v>
                  </c:pt>
                  <c:pt idx="288">
                    <c:v>300 CC</c:v>
                  </c:pt>
                  <c:pt idx="289">
                    <c:v>cebo 50 gr</c:v>
                  </c:pt>
                  <c:pt idx="290">
                    <c:v>650 c,c</c:v>
                  </c:pt>
                  <c:pt idx="291">
                    <c:v>100 gr</c:v>
                  </c:pt>
                  <c:pt idx="292">
                    <c:v>300 cc</c:v>
                  </c:pt>
                  <c:pt idx="293">
                    <c:v>650 cc</c:v>
                  </c:pt>
                  <c:pt idx="294">
                    <c:v>225</c:v>
                  </c:pt>
                  <c:pt idx="295">
                    <c:v>225 cc</c:v>
                  </c:pt>
                  <c:pt idx="296">
                    <c:v>650 cc</c:v>
                  </c:pt>
                  <c:pt idx="297">
                    <c:v>300 CC</c:v>
                  </c:pt>
                  <c:pt idx="298">
                    <c:v>300 c,c,</c:v>
                  </c:pt>
                  <c:pt idx="299">
                    <c:v>500 grs</c:v>
                  </c:pt>
                  <c:pt idx="300">
                    <c:v>100 grs</c:v>
                  </c:pt>
                  <c:pt idx="301">
                    <c:v>10 mts 2</c:v>
                  </c:pt>
                  <c:pt idx="302">
                    <c:v>25 mts 2</c:v>
                  </c:pt>
                  <c:pt idx="303">
                    <c:v>4kg</c:v>
                  </c:pt>
                  <c:pt idx="304">
                    <c:v>500 gr</c:v>
                  </c:pt>
                  <c:pt idx="305">
                    <c:v>250 gr</c:v>
                  </c:pt>
                  <c:pt idx="307">
                    <c:v>5 kg</c:v>
                  </c:pt>
                  <c:pt idx="308">
                    <c:v>2 MTS ANCHO</c:v>
                  </c:pt>
                  <c:pt idx="310">
                    <c:v>bolsa 4,250kg</c:v>
                  </c:pt>
                  <c:pt idx="316">
                    <c:v>100c,c,</c:v>
                  </c:pt>
                  <c:pt idx="317">
                    <c:v>1 ltr</c:v>
                  </c:pt>
                  <c:pt idx="318">
                    <c:v>1 lts</c:v>
                  </c:pt>
                  <c:pt idx="319">
                    <c:v>5 ltr</c:v>
                  </c:pt>
                  <c:pt idx="320">
                    <c:v>650 c,c</c:v>
                  </c:pt>
                  <c:pt idx="322">
                    <c:v>30 ml</c:v>
                  </c:pt>
                  <c:pt idx="323">
                    <c:v>15</c:v>
                  </c:pt>
                  <c:pt idx="324">
                    <c:v>25</c:v>
                  </c:pt>
                  <c:pt idx="325">
                    <c:v>35</c:v>
                  </c:pt>
                  <c:pt idx="326">
                    <c:v>40</c:v>
                  </c:pt>
                  <c:pt idx="327">
                    <c:v>10 lt</c:v>
                  </c:pt>
                  <c:pt idx="328">
                    <c:v>7,6</c:v>
                  </c:pt>
                  <c:pt idx="329">
                    <c:v>11,4 lt</c:v>
                  </c:pt>
                  <c:pt idx="330">
                    <c:v>220 lt</c:v>
                  </c:pt>
                  <c:pt idx="331">
                    <c:v>2 kg</c:v>
                  </c:pt>
                  <c:pt idx="335">
                    <c:v>54X2,5</c:v>
                  </c:pt>
                  <c:pt idx="336">
                    <c:v>31 cmx10mm con piedritas</c:v>
                  </c:pt>
                  <c:pt idx="337">
                    <c:v>3,mm 55cm</c:v>
                  </c:pt>
                  <c:pt idx="338">
                    <c:v>2 mm 40 cm</c:v>
                  </c:pt>
                  <c:pt idx="339">
                    <c:v>4mm 65cm</c:v>
                  </c:pt>
                  <c:pt idx="340">
                    <c:v>2,5x50cm</c:v>
                  </c:pt>
                  <c:pt idx="341">
                    <c:v>2,5x55 cm</c:v>
                  </c:pt>
                  <c:pt idx="342">
                    <c:v>2 cmx45cm</c:v>
                  </c:pt>
                  <c:pt idx="343">
                    <c:v>3,5 cmx65 cm</c:v>
                  </c:pt>
                  <c:pt idx="344">
                    <c:v>3,5 cmx75 cm</c:v>
                  </c:pt>
                  <c:pt idx="345">
                    <c:v>1,2 cm-30 cm</c:v>
                  </c:pt>
                  <c:pt idx="346">
                    <c:v>3 cm-60 cm</c:v>
                  </c:pt>
                  <c:pt idx="347">
                    <c:v>3cm *60cm doble cinta</c:v>
                  </c:pt>
                  <c:pt idx="348">
                    <c:v>1,2x25 cm</c:v>
                  </c:pt>
                  <c:pt idx="349">
                    <c:v>35 cm x 1 cm</c:v>
                  </c:pt>
                  <c:pt idx="350">
                    <c:v>40 cm</c:v>
                  </c:pt>
                  <c:pt idx="351">
                    <c:v>3,5x70</c:v>
                  </c:pt>
                  <c:pt idx="352">
                    <c:v>N6 </c:v>
                  </c:pt>
                  <c:pt idx="354">
                    <c:v>72 cm</c:v>
                  </c:pt>
                  <c:pt idx="355">
                    <c:v>63 cm</c:v>
                  </c:pt>
                  <c:pt idx="356">
                    <c:v>40cm</c:v>
                  </c:pt>
                  <c:pt idx="357">
                    <c:v>55x30</c:v>
                  </c:pt>
                  <c:pt idx="358">
                    <c:v>72 cm</c:v>
                  </c:pt>
                  <c:pt idx="359">
                    <c:v>65x4</c:v>
                  </c:pt>
                  <c:pt idx="360">
                    <c:v>80x5</c:v>
                  </c:pt>
                  <c:pt idx="363">
                    <c:v>0</c:v>
                  </c:pt>
                  <c:pt idx="364">
                    <c:v>13 gr</c:v>
                  </c:pt>
                  <c:pt idx="369">
                    <c:v>1 cm</c:v>
                  </c:pt>
                  <c:pt idx="370">
                    <c:v>40x1,5</c:v>
                  </c:pt>
                  <c:pt idx="371">
                    <c:v>36x1,5</c:v>
                  </c:pt>
                  <c:pt idx="372">
                    <c:v>39</c:v>
                  </c:pt>
                  <c:pt idx="373">
                    <c:v>0</c:v>
                  </c:pt>
                  <c:pt idx="374">
                    <c:v>63 cn</c:v>
                  </c:pt>
                  <c:pt idx="375">
                    <c:v>30x14</c:v>
                  </c:pt>
                  <c:pt idx="376">
                    <c:v>55 cm</c:v>
                  </c:pt>
                  <c:pt idx="377">
                    <c:v>72 cm</c:v>
                  </c:pt>
                  <c:pt idx="378">
                    <c:v>2,5mm45cm</c:v>
                  </c:pt>
                  <c:pt idx="379">
                    <c:v>4 mm60cm</c:v>
                  </c:pt>
                  <c:pt idx="380">
                    <c:v>1 CM</c:v>
                  </c:pt>
                  <c:pt idx="382">
                    <c:v>c/u</c:v>
                  </c:pt>
                  <c:pt idx="383">
                    <c:v>1kg</c:v>
                  </c:pt>
                  <c:pt idx="384">
                    <c:v>25 kg</c:v>
                  </c:pt>
                  <c:pt idx="385">
                    <c:v>22 cm</c:v>
                  </c:pt>
                  <c:pt idx="386">
                    <c:v>0</c:v>
                  </c:pt>
                  <c:pt idx="387">
                    <c:v>1100 ml</c:v>
                  </c:pt>
                  <c:pt idx="388">
                    <c:v>15cm</c:v>
                  </c:pt>
                  <c:pt idx="392">
                    <c:v>6,5X5</c:v>
                  </c:pt>
                  <c:pt idx="393">
                    <c:v>10X5</c:v>
                  </c:pt>
                  <c:pt idx="394">
                    <c:v>c/u</c:v>
                  </c:pt>
                  <c:pt idx="395">
                    <c:v>600 ml</c:v>
                  </c:pt>
                  <c:pt idx="396">
                    <c:v>300 ml </c:v>
                  </c:pt>
                  <c:pt idx="397">
                    <c:v>27x14,5</c:v>
                  </c:pt>
                  <c:pt idx="398">
                    <c:v>22 cm</c:v>
                  </c:pt>
                  <c:pt idx="399">
                    <c:v>30*16*5,5</c:v>
                  </c:pt>
                  <c:pt idx="400">
                    <c:v>23x12x3</c:v>
                  </c:pt>
                  <c:pt idx="401">
                    <c:v>22x6</c:v>
                  </c:pt>
                  <c:pt idx="402">
                    <c:v>14,8*3,8</c:v>
                  </c:pt>
                  <c:pt idx="403">
                    <c:v>c/u</c:v>
                  </c:pt>
                  <c:pt idx="405">
                    <c:v>c/u</c:v>
                  </c:pt>
                  <c:pt idx="406">
                    <c:v>0</c:v>
                  </c:pt>
                  <c:pt idx="407">
                    <c:v>grde</c:v>
                  </c:pt>
                  <c:pt idx="408">
                    <c:v>10 cm</c:v>
                  </c:pt>
                  <c:pt idx="409">
                    <c:v>50 cm</c:v>
                  </c:pt>
                  <c:pt idx="410">
                    <c:v>50 cm</c:v>
                  </c:pt>
                  <c:pt idx="411">
                    <c:v>12x8x3,5 cm</c:v>
                  </c:pt>
                  <c:pt idx="413">
                    <c:v>45cm lata</c:v>
                  </c:pt>
                  <c:pt idx="414">
                    <c:v>c/u</c:v>
                  </c:pt>
                  <c:pt idx="415">
                    <c:v>17,5x5</c:v>
                  </c:pt>
                  <c:pt idx="416">
                    <c:v>20 lt,</c:v>
                  </c:pt>
                  <c:pt idx="417">
                    <c:v>7</c:v>
                  </c:pt>
                  <c:pt idx="423">
                    <c:v>6 unidades</c:v>
                  </c:pt>
                  <c:pt idx="424">
                    <c:v>2 doc claveles</c:v>
                  </c:pt>
                  <c:pt idx="426">
                    <c:v>4 doc claveles</c:v>
                  </c:pt>
                  <c:pt idx="427">
                    <c:v>2,5 doc claveles ilusion flpilla</c:v>
                  </c:pt>
                  <c:pt idx="428">
                    <c:v>1,2*120</c:v>
                  </c:pt>
                  <c:pt idx="429">
                    <c:v>1,5x120</c:v>
                  </c:pt>
                  <c:pt idx="430">
                    <c:v>2x116</c:v>
                  </c:pt>
                  <c:pt idx="431">
                    <c:v>2,5x116</c:v>
                  </c:pt>
                  <c:pt idx="434">
                    <c:v>3,5 cm-110cm</c:v>
                  </c:pt>
                  <c:pt idx="435">
                    <c:v>3x110</c:v>
                  </c:pt>
                  <c:pt idx="436">
                    <c:v>resiste 15kg aprox,</c:v>
                  </c:pt>
                  <c:pt idx="437">
                    <c:v>bolsa</c:v>
                  </c:pt>
                  <c:pt idx="438">
                    <c:v>345 c,c</c:v>
                  </c:pt>
                  <c:pt idx="439">
                    <c:v>60 c,c</c:v>
                  </c:pt>
                  <c:pt idx="440">
                    <c:v>345 cc</c:v>
                  </c:pt>
                  <c:pt idx="441">
                    <c:v>345</c:v>
                  </c:pt>
                  <c:pt idx="442">
                    <c:v>600 grs</c:v>
                  </c:pt>
                  <c:pt idx="443">
                    <c:v>60 c,,c</c:v>
                  </c:pt>
                  <c:pt idx="444">
                    <c:v>600 grs</c:v>
                  </c:pt>
                  <c:pt idx="445">
                    <c:v>1,2lt</c:v>
                  </c:pt>
                  <c:pt idx="446">
                    <c:v>345 c,c,</c:v>
                  </c:pt>
                  <c:pt idx="447">
                    <c:v>600 grs</c:v>
                  </c:pt>
                  <c:pt idx="448">
                    <c:v>650 cc</c:v>
                  </c:pt>
                  <c:pt idx="449">
                    <c:v>345 c,c,</c:v>
                  </c:pt>
                  <c:pt idx="450">
                    <c:v>sachet 60 grs</c:v>
                  </c:pt>
                  <c:pt idx="451">
                    <c:v>ltr</c:v>
                  </c:pt>
                  <c:pt idx="452">
                    <c:v>1 ltr</c:v>
                  </c:pt>
                  <c:pt idx="453">
                    <c:v>1/2 ltr</c:v>
                  </c:pt>
                  <c:pt idx="454">
                    <c:v>1 ltr</c:v>
                  </c:pt>
                  <c:pt idx="455">
                    <c:v>1 ltr</c:v>
                  </c:pt>
                  <c:pt idx="456">
                    <c:v>500 c,c,</c:v>
                  </c:pt>
                  <c:pt idx="457">
                    <c:v>250 c.c.</c:v>
                  </c:pt>
                  <c:pt idx="458">
                    <c:v>1/2 ltr</c:v>
                  </c:pt>
                  <c:pt idx="460">
                    <c:v>100 gr</c:v>
                  </c:pt>
                  <c:pt idx="461">
                    <c:v>200 grs</c:v>
                  </c:pt>
                  <c:pt idx="462">
                    <c:v>0</c:v>
                  </c:pt>
                  <c:pt idx="463">
                    <c:v>100 grs</c:v>
                  </c:pt>
                  <c:pt idx="464">
                    <c:v>26 cm 2 nudos 2 pelotas</c:v>
                  </c:pt>
                  <c:pt idx="466">
                    <c:v>0</c:v>
                  </c:pt>
                  <c:pt idx="468">
                    <c:v>grande</c:v>
                  </c:pt>
                  <c:pt idx="469">
                    <c:v>mediana</c:v>
                  </c:pt>
                  <c:pt idx="470">
                    <c:v>chica</c:v>
                  </c:pt>
                  <c:pt idx="471">
                    <c:v>50v29x15</c:v>
                  </c:pt>
                  <c:pt idx="472">
                    <c:v>50*29*15</c:v>
                  </c:pt>
                  <c:pt idx="473">
                    <c:v>56*33*15</c:v>
                  </c:pt>
                  <c:pt idx="474">
                    <c:v>451 c,c</c:v>
                  </c:pt>
                  <c:pt idx="475">
                    <c:v>440 ml</c:v>
                  </c:pt>
                  <c:pt idx="477">
                    <c:v>1 ltr</c:v>
                  </c:pt>
                  <c:pt idx="478">
                    <c:v>47,5 gr</c:v>
                  </c:pt>
                  <c:pt idx="479">
                    <c:v>C/U</c:v>
                  </c:pt>
                  <c:pt idx="480">
                    <c:v>40 CC</c:v>
                  </c:pt>
                  <c:pt idx="481">
                    <c:v>100 CC</c:v>
                  </c:pt>
                  <c:pt idx="482">
                    <c:v>100gr</c:v>
                  </c:pt>
                  <c:pt idx="483">
                    <c:v>360 cc</c:v>
                  </c:pt>
                  <c:pt idx="484">
                    <c:v>50 lts</c:v>
                  </c:pt>
                  <c:pt idx="489">
                    <c:v>24</c:v>
                  </c:pt>
                  <c:pt idx="492">
                    <c:v>c/u</c:v>
                  </c:pt>
                  <c:pt idx="493">
                    <c:v>c/u</c:v>
                  </c:pt>
                  <c:pt idx="495">
                    <c:v>c/u</c:v>
                  </c:pt>
                  <c:pt idx="496">
                    <c:v>2 ltr</c:v>
                  </c:pt>
                  <c:pt idx="497">
                    <c:v>tejido en hilo</c:v>
                  </c:pt>
                  <c:pt idx="498">
                    <c:v>c/u</c:v>
                  </c:pt>
                  <c:pt idx="499">
                    <c:v>MEDIANIO</c:v>
                  </c:pt>
                  <c:pt idx="500">
                    <c:v>madera</c:v>
                  </c:pt>
                  <c:pt idx="502">
                    <c:v>900 gr</c:v>
                  </c:pt>
                  <c:pt idx="503">
                    <c:v>C/U</c:v>
                  </c:pt>
                  <c:pt idx="504">
                    <c:v>2</c:v>
                  </c:pt>
                  <c:pt idx="505">
                    <c:v>N28</c:v>
                  </c:pt>
                  <c:pt idx="507">
                    <c:v>2 lt</c:v>
                  </c:pt>
                  <c:pt idx="509">
                    <c:v>37X30</c:v>
                  </c:pt>
                  <c:pt idx="511">
                    <c:v>18 cm</c:v>
                  </c:pt>
                  <c:pt idx="512">
                    <c:v>12cm</c:v>
                  </c:pt>
                  <c:pt idx="513">
                    <c:v>C/U</c:v>
                  </c:pt>
                  <c:pt idx="516">
                    <c:v>200 grs</c:v>
                  </c:pt>
                  <c:pt idx="517">
                    <c:v>100 grs</c:v>
                  </c:pt>
                  <c:pt idx="519">
                    <c:v>100 gr</c:v>
                  </c:pt>
                  <c:pt idx="520">
                    <c:v>3</c:v>
                  </c:pt>
                  <c:pt idx="521">
                    <c:v>20 lt</c:v>
                  </c:pt>
                  <c:pt idx="522">
                    <c:v>12 PASTILLAS</c:v>
                  </c:pt>
                  <c:pt idx="526">
                    <c:v>5 a 10 kg</c:v>
                  </c:pt>
                  <c:pt idx="527">
                    <c:v>10 a 20 kg</c:v>
                  </c:pt>
                  <c:pt idx="528">
                    <c:v>20 a 40 kg</c:v>
                  </c:pt>
                  <c:pt idx="529">
                    <c:v>40 a 60 kg</c:v>
                  </c:pt>
                  <c:pt idx="530">
                    <c:v>0</c:v>
                  </c:pt>
                  <c:pt idx="532">
                    <c:v>2 kg</c:v>
                  </c:pt>
                  <c:pt idx="534">
                    <c:v>6 grs</c:v>
                  </c:pt>
                  <c:pt idx="535">
                    <c:v>15 kg</c:v>
                  </c:pt>
                  <c:pt idx="536">
                    <c:v>500 c,c,</c:v>
                  </c:pt>
                  <c:pt idx="537">
                    <c:v>100 grs</c:v>
                  </c:pt>
                  <c:pt idx="539">
                    <c:v>7,5 kg</c:v>
                  </c:pt>
                  <c:pt idx="540">
                    <c:v>5 lt c/roseta</c:v>
                  </c:pt>
                  <c:pt idx="541">
                    <c:v>1kg</c:v>
                  </c:pt>
                  <c:pt idx="544">
                    <c:v>23x23x72</c:v>
                  </c:pt>
                  <c:pt idx="545">
                    <c:v>paquete</c:v>
                  </c:pt>
                  <c:pt idx="546">
                    <c:v>c/u</c:v>
                  </c:pt>
                  <c:pt idx="547">
                    <c:v>pte 10</c:v>
                  </c:pt>
                  <c:pt idx="548">
                    <c:v>paq.</c:v>
                  </c:pt>
                  <c:pt idx="550">
                    <c:v>250cc</c:v>
                  </c:pt>
                  <c:pt idx="551">
                    <c:v>1/2lt</c:v>
                  </c:pt>
                  <c:pt idx="552">
                    <c:v>9 cm</c:v>
                  </c:pt>
                  <c:pt idx="553">
                    <c:v>5 cm</c:v>
                  </c:pt>
                  <c:pt idx="555">
                    <c:v>caja</c:v>
                  </c:pt>
                  <c:pt idx="556">
                    <c:v>c/u</c:v>
                  </c:pt>
                  <c:pt idx="558">
                    <c:v>20 ml</c:v>
                  </c:pt>
                  <c:pt idx="559">
                    <c:v>600 cc</c:v>
                  </c:pt>
                  <c:pt idx="560">
                    <c:v>700 cc</c:v>
                  </c:pt>
                  <c:pt idx="562">
                    <c:v>10 cm</c:v>
                  </c:pt>
                  <c:pt idx="563">
                    <c:v>50 grs</c:v>
                  </c:pt>
                  <c:pt idx="564">
                    <c:v>345 c,c,</c:v>
                  </c:pt>
                  <c:pt idx="565">
                    <c:v>4 l</c:v>
                  </c:pt>
                  <c:pt idx="566">
                    <c:v>32,5 gr</c:v>
                  </c:pt>
                  <c:pt idx="568">
                    <c:v>39 cm</c:v>
                  </c:pt>
                  <c:pt idx="569">
                    <c:v>c/u</c:v>
                  </c:pt>
                  <c:pt idx="571">
                    <c:v>40x45</c:v>
                  </c:pt>
                  <c:pt idx="572">
                    <c:v>24 dientes</c:v>
                  </c:pt>
                  <c:pt idx="579">
                    <c:v>20cm</c:v>
                  </c:pt>
                  <c:pt idx="582">
                    <c:v>cajax10</c:v>
                  </c:pt>
                  <c:pt idx="584">
                    <c:v>1x2 mt</c:v>
                  </c:pt>
                  <c:pt idx="586">
                    <c:v>c/u</c:v>
                  </c:pt>
                  <c:pt idx="587">
                    <c:v>blister</c:v>
                  </c:pt>
                  <c:pt idx="588">
                    <c:v>c/u</c:v>
                  </c:pt>
                  <c:pt idx="589">
                    <c:v>450 GR</c:v>
                  </c:pt>
                  <c:pt idx="590">
                    <c:v>25kg</c:v>
                  </c:pt>
                  <c:pt idx="591">
                    <c:v>1 kg</c:v>
                  </c:pt>
                  <c:pt idx="592">
                    <c:v>25 kg</c:v>
                  </c:pt>
                  <c:pt idx="593">
                    <c:v>1 kg</c:v>
                  </c:pt>
                  <c:pt idx="594">
                    <c:v>1 kg</c:v>
                  </c:pt>
                  <c:pt idx="595">
                    <c:v>1 kg</c:v>
                  </c:pt>
                  <c:pt idx="596">
                    <c:v>25 kg</c:v>
                  </c:pt>
                  <c:pt idx="597">
                    <c:v>100 gr</c:v>
                  </c:pt>
                  <c:pt idx="598">
                    <c:v>25kg</c:v>
                  </c:pt>
                  <c:pt idx="599">
                    <c:v>1 kg</c:v>
                  </c:pt>
                  <c:pt idx="600">
                    <c:v>25 kg</c:v>
                  </c:pt>
                  <c:pt idx="601">
                    <c:v>1 kg</c:v>
                  </c:pt>
                  <c:pt idx="602">
                    <c:v>25 kg</c:v>
                  </c:pt>
                  <c:pt idx="603">
                    <c:v>1 kg</c:v>
                  </c:pt>
                  <c:pt idx="604">
                    <c:v>100 gr</c:v>
                  </c:pt>
                  <c:pt idx="606">
                    <c:v>150 gr</c:v>
                  </c:pt>
                  <c:pt idx="607">
                    <c:v>1 kg</c:v>
                  </c:pt>
                  <c:pt idx="608">
                    <c:v>150 grs</c:v>
                  </c:pt>
                  <c:pt idx="609">
                    <c:v>150 gr</c:v>
                  </c:pt>
                  <c:pt idx="611">
                    <c:v>150 gr</c:v>
                  </c:pt>
                  <c:pt idx="612">
                    <c:v>150 gr</c:v>
                  </c:pt>
                  <c:pt idx="613">
                    <c:v>150 gr</c:v>
                  </c:pt>
                  <c:pt idx="614">
                    <c:v>50 ltr</c:v>
                  </c:pt>
                  <c:pt idx="615">
                    <c:v>200 grs</c:v>
                  </c:pt>
                  <c:pt idx="616">
                    <c:v>1 kg</c:v>
                  </c:pt>
                  <c:pt idx="617">
                    <c:v>200 gr</c:v>
                  </c:pt>
                  <c:pt idx="618">
                    <c:v>10 lt</c:v>
                  </c:pt>
                  <c:pt idx="619">
                    <c:v>1 carbon-2esponja</c:v>
                  </c:pt>
                  <c:pt idx="620">
                    <c:v>430 k</c:v>
                  </c:pt>
                  <c:pt idx="621">
                    <c:v>rs-230</c:v>
                  </c:pt>
                  <c:pt idx="622">
                    <c:v>rs-130 k</c:v>
                  </c:pt>
                  <c:pt idx="623">
                    <c:v>rs-280</c:v>
                  </c:pt>
                  <c:pt idx="624">
                    <c:v>RS-1000 600 LT/HR</c:v>
                  </c:pt>
                  <c:pt idx="625">
                    <c:v>RS188 12w 800lt hr</c:v>
                  </c:pt>
                  <c:pt idx="626">
                    <c:v>350 lt / hr</c:v>
                  </c:pt>
                  <c:pt idx="627">
                    <c:v>450 lt / hr</c:v>
                  </c:pt>
                  <c:pt idx="628">
                    <c:v>1000 lt/hr</c:v>
                  </c:pt>
                  <c:pt idx="629">
                    <c:v>600 lt/hr</c:v>
                  </c:pt>
                  <c:pt idx="630">
                    <c:v>300 lt/hr</c:v>
                  </c:pt>
                  <c:pt idx="631">
                    <c:v>c/u</c:v>
                  </c:pt>
                  <c:pt idx="632">
                    <c:v>rs-4500</c:v>
                  </c:pt>
                  <c:pt idx="633">
                    <c:v>250,c,c</c:v>
                  </c:pt>
                  <c:pt idx="634">
                    <c:v>5 ltr</c:v>
                  </c:pt>
                  <c:pt idx="635">
                    <c:v>250 c,c</c:v>
                  </c:pt>
                  <c:pt idx="636">
                    <c:v>250 cc</c:v>
                  </c:pt>
                  <c:pt idx="638">
                    <c:v>c/u</c:v>
                  </c:pt>
                  <c:pt idx="639">
                    <c:v>c/u</c:v>
                  </c:pt>
                  <c:pt idx="645">
                    <c:v>c/u</c:v>
                  </c:pt>
                  <c:pt idx="652">
                    <c:v>9,5X19</c:v>
                  </c:pt>
                  <c:pt idx="653">
                    <c:v>13X23,5</c:v>
                  </c:pt>
                  <c:pt idx="654">
                    <c:v>6X18,5</c:v>
                  </c:pt>
                  <c:pt idx="655">
                    <c:v>839X19</c:v>
                  </c:pt>
                  <c:pt idx="658">
                    <c:v>15 varas</c:v>
                  </c:pt>
                  <c:pt idx="659">
                    <c:v>1v</c:v>
                  </c:pt>
                  <c:pt idx="666">
                    <c:v>0</c:v>
                  </c:pt>
                  <c:pt idx="667">
                    <c:v>30 c,c</c:v>
                  </c:pt>
                  <c:pt idx="668">
                    <c:v>100 c,c</c:v>
                  </c:pt>
                  <c:pt idx="670">
                    <c:v>4 lts</c:v>
                  </c:pt>
                  <c:pt idx="671">
                    <c:v>1,9 lt</c:v>
                  </c:pt>
                  <c:pt idx="672">
                    <c:v>410 ml</c:v>
                  </c:pt>
                  <c:pt idx="673">
                    <c:v>1 LT</c:v>
                  </c:pt>
                  <c:pt idx="674">
                    <c:v>50 cc</c:v>
                  </c:pt>
                  <c:pt idx="675">
                    <c:v>1 ltr</c:v>
                  </c:pt>
                  <c:pt idx="676">
                    <c:v>100 c,c</c:v>
                  </c:pt>
                  <c:pt idx="679">
                    <c:v>10 kg</c:v>
                  </c:pt>
                  <c:pt idx="680">
                    <c:v>5 kg</c:v>
                  </c:pt>
                  <c:pt idx="681">
                    <c:v>7,5 kg</c:v>
                  </c:pt>
                  <c:pt idx="682">
                    <c:v>1/2 kg</c:v>
                  </c:pt>
                  <c:pt idx="683">
                    <c:v>25 kg</c:v>
                  </c:pt>
                  <c:pt idx="684">
                    <c:v>1/2 kg</c:v>
                  </c:pt>
                  <c:pt idx="685">
                    <c:v>7 kg</c:v>
                  </c:pt>
                  <c:pt idx="686">
                    <c:v>1/2 kg</c:v>
                  </c:pt>
                  <c:pt idx="687">
                    <c:v>1/2 kg</c:v>
                  </c:pt>
                  <c:pt idx="688">
                    <c:v>500 gr</c:v>
                  </c:pt>
                  <c:pt idx="689">
                    <c:v>1/2 kg</c:v>
                  </c:pt>
                  <c:pt idx="690">
                    <c:v>1/2 kg</c:v>
                  </c:pt>
                  <c:pt idx="691">
                    <c:v>15 kg</c:v>
                  </c:pt>
                  <c:pt idx="692">
                    <c:v>15 kg</c:v>
                  </c:pt>
                  <c:pt idx="693">
                    <c:v>1/2 kg</c:v>
                  </c:pt>
                  <c:pt idx="694">
                    <c:v>kg</c:v>
                  </c:pt>
                  <c:pt idx="695">
                    <c:v>1 KG</c:v>
                  </c:pt>
                  <c:pt idx="696">
                    <c:v>8 KG</c:v>
                  </c:pt>
                  <c:pt idx="697">
                    <c:v>7 KG</c:v>
                  </c:pt>
                  <c:pt idx="698">
                    <c:v>1 KG</c:v>
                  </c:pt>
                  <c:pt idx="699">
                    <c:v>1/2 kg</c:v>
                  </c:pt>
                  <c:pt idx="700">
                    <c:v>7,5 kg</c:v>
                  </c:pt>
                  <c:pt idx="701">
                    <c:v>15 kg</c:v>
                  </c:pt>
                  <c:pt idx="702">
                    <c:v>1/2 kg</c:v>
                  </c:pt>
                  <c:pt idx="703">
                    <c:v>0,5</c:v>
                  </c:pt>
                  <c:pt idx="704">
                    <c:v>7 kg</c:v>
                  </c:pt>
                  <c:pt idx="705">
                    <c:v>500 gr</c:v>
                  </c:pt>
                  <c:pt idx="706">
                    <c:v>10 kg</c:v>
                  </c:pt>
                  <c:pt idx="707">
                    <c:v>22</c:v>
                  </c:pt>
                  <c:pt idx="708">
                    <c:v>1/2 kg</c:v>
                  </c:pt>
                  <c:pt idx="709">
                    <c:v>15 kg</c:v>
                  </c:pt>
                  <c:pt idx="710">
                    <c:v>1/2 kg</c:v>
                  </c:pt>
                  <c:pt idx="711">
                    <c:v>10 kg</c:v>
                  </c:pt>
                  <c:pt idx="712">
                    <c:v>1/2 kg</c:v>
                  </c:pt>
                  <c:pt idx="713">
                    <c:v>8 kgr</c:v>
                  </c:pt>
                  <c:pt idx="714">
                    <c:v>20kg</c:v>
                  </c:pt>
                  <c:pt idx="715">
                    <c:v>60x35</c:v>
                  </c:pt>
                  <c:pt idx="716">
                    <c:v>1 kg</c:v>
                  </c:pt>
                  <c:pt idx="717">
                    <c:v>85grs</c:v>
                  </c:pt>
                  <c:pt idx="718">
                    <c:v>1/2 kg</c:v>
                  </c:pt>
                  <c:pt idx="719">
                    <c:v>1/2 kg</c:v>
                  </c:pt>
                  <c:pt idx="720">
                    <c:v>10kg</c:v>
                  </c:pt>
                  <c:pt idx="721">
                    <c:v>10kg</c:v>
                  </c:pt>
                  <c:pt idx="722">
                    <c:v>7kg</c:v>
                  </c:pt>
                  <c:pt idx="724">
                    <c:v>25 kg</c:v>
                  </c:pt>
                  <c:pt idx="725">
                    <c:v>kg</c:v>
                  </c:pt>
                  <c:pt idx="726">
                    <c:v>20 kg</c:v>
                  </c:pt>
                  <c:pt idx="727">
                    <c:v>kg</c:v>
                  </c:pt>
                  <c:pt idx="728">
                    <c:v>1 kg</c:v>
                  </c:pt>
                  <c:pt idx="729">
                    <c:v>200 gr</c:v>
                  </c:pt>
                  <c:pt idx="730">
                    <c:v>20 ltr</c:v>
                  </c:pt>
                  <c:pt idx="731">
                    <c:v>1 ltr</c:v>
                  </c:pt>
                  <c:pt idx="732">
                    <c:v>5 kg</c:v>
                  </c:pt>
                  <c:pt idx="733">
                    <c:v>500 c.c.</c:v>
                  </c:pt>
                  <c:pt idx="734">
                    <c:v>500 cc</c:v>
                  </c:pt>
                  <c:pt idx="735">
                    <c:v>250 ml</c:v>
                  </c:pt>
                  <c:pt idx="736">
                    <c:v>500 grs</c:v>
                  </c:pt>
                  <c:pt idx="740">
                    <c:v>j&amp;G</c:v>
                  </c:pt>
                  <c:pt idx="741">
                    <c:v>0</c:v>
                  </c:pt>
                  <c:pt idx="742">
                    <c:v>0</c:v>
                  </c:pt>
                  <c:pt idx="744">
                    <c:v>0</c:v>
                  </c:pt>
                  <c:pt idx="750">
                    <c:v>1 kg</c:v>
                  </c:pt>
                  <c:pt idx="751">
                    <c:v>100 c,c</c:v>
                  </c:pt>
                  <c:pt idx="752">
                    <c:v>1/4 lt</c:v>
                  </c:pt>
                  <c:pt idx="753">
                    <c:v>1/2 lt</c:v>
                  </c:pt>
                  <c:pt idx="754">
                    <c:v>100 cc</c:v>
                  </c:pt>
                  <c:pt idx="755">
                    <c:v>1 ltr</c:v>
                  </c:pt>
                  <c:pt idx="756">
                    <c:v>1 lt</c:v>
                  </c:pt>
                  <c:pt idx="757">
                    <c:v>20 lt</c:v>
                  </c:pt>
                  <c:pt idx="758">
                    <c:v>c/u</c:v>
                  </c:pt>
                  <c:pt idx="759">
                    <c:v>0</c:v>
                  </c:pt>
                  <c:pt idx="760">
                    <c:v>5 grs</c:v>
                  </c:pt>
                  <c:pt idx="761">
                    <c:v>10 ltr</c:v>
                  </c:pt>
                  <c:pt idx="762">
                    <c:v>c/u</c:v>
                  </c:pt>
                  <c:pt idx="764">
                    <c:v>100 gr</c:v>
                  </c:pt>
                  <c:pt idx="765">
                    <c:v>250 grs</c:v>
                  </c:pt>
                  <c:pt idx="766">
                    <c:v>500 grs</c:v>
                  </c:pt>
                  <c:pt idx="767">
                    <c:v>500 gr</c:v>
                  </c:pt>
                  <c:pt idx="768">
                    <c:v>250</c:v>
                  </c:pt>
                  <c:pt idx="769">
                    <c:v>100 gr</c:v>
                  </c:pt>
                  <c:pt idx="770">
                    <c:v>1 kg</c:v>
                  </c:pt>
                  <c:pt idx="771">
                    <c:v>1 kg</c:v>
                  </c:pt>
                  <c:pt idx="772">
                    <c:v>1 kg</c:v>
                  </c:pt>
                  <c:pt idx="773">
                    <c:v>100 gr</c:v>
                  </c:pt>
                  <c:pt idx="774">
                    <c:v>100 gr</c:v>
                  </c:pt>
                  <c:pt idx="777">
                    <c:v>c/u</c:v>
                  </c:pt>
                  <c:pt idx="778">
                    <c:v>c/u</c:v>
                  </c:pt>
                  <c:pt idx="779">
                    <c:v>24 unidades</c:v>
                  </c:pt>
                  <c:pt idx="780">
                    <c:v>1 unidad</c:v>
                  </c:pt>
                  <c:pt idx="781">
                    <c:v>pte. 5 huevos</c:v>
                  </c:pt>
                  <c:pt idx="782">
                    <c:v>2 lt </c:v>
                  </c:pt>
                  <c:pt idx="783">
                    <c:v>6 lt</c:v>
                  </c:pt>
                  <c:pt idx="784">
                    <c:v>4 lts</c:v>
                  </c:pt>
                  <c:pt idx="785">
                    <c:v>10 lts</c:v>
                  </c:pt>
                  <c:pt idx="786">
                    <c:v>360 cc</c:v>
                  </c:pt>
                  <c:pt idx="788">
                    <c:v>c/u</c:v>
                  </c:pt>
                  <c:pt idx="789">
                    <c:v>36*31*31</c:v>
                  </c:pt>
                  <c:pt idx="790">
                    <c:v>45*40*36</c:v>
                  </c:pt>
                  <c:pt idx="791">
                    <c:v>35*35</c:v>
                  </c:pt>
                  <c:pt idx="792">
                    <c:v>50 C.C</c:v>
                  </c:pt>
                  <c:pt idx="793">
                    <c:v>100 c,c</c:v>
                  </c:pt>
                  <c:pt idx="796">
                    <c:v>1 ltr</c:v>
                  </c:pt>
                  <c:pt idx="797">
                    <c:v>50 ml</c:v>
                  </c:pt>
                  <c:pt idx="799">
                    <c:v>1Lt</c:v>
                  </c:pt>
                  <c:pt idx="800">
                    <c:v>360 cc</c:v>
                  </c:pt>
                  <c:pt idx="801">
                    <c:v>100 cc</c:v>
                  </c:pt>
                  <c:pt idx="802">
                    <c:v>500</c:v>
                  </c:pt>
                  <c:pt idx="803">
                    <c:v>1 lt</c:v>
                  </c:pt>
                  <c:pt idx="804">
                    <c:v>5 lts</c:v>
                  </c:pt>
                  <c:pt idx="805">
                    <c:v>50 cm</c:v>
                  </c:pt>
                  <c:pt idx="806">
                    <c:v>31X16X12</c:v>
                  </c:pt>
                  <c:pt idx="807">
                    <c:v>35X14</c:v>
                  </c:pt>
                  <c:pt idx="808">
                    <c:v>44,5X14</c:v>
                  </c:pt>
                  <c:pt idx="809">
                    <c:v>57X22</c:v>
                  </c:pt>
                  <c:pt idx="810">
                    <c:v>DOBLE balcon</c:v>
                  </c:pt>
                  <c:pt idx="811">
                    <c:v>35 cm </c:v>
                  </c:pt>
                  <c:pt idx="812">
                    <c:v>80 cm </c:v>
                  </c:pt>
                  <c:pt idx="814">
                    <c:v>20 cm</c:v>
                  </c:pt>
                  <c:pt idx="815">
                    <c:v>30 cm</c:v>
                  </c:pt>
                  <c:pt idx="816">
                    <c:v>40 cm</c:v>
                  </c:pt>
                  <c:pt idx="817">
                    <c:v>50 cm</c:v>
                  </c:pt>
                  <c:pt idx="818">
                    <c:v>60 cm</c:v>
                  </c:pt>
                  <c:pt idx="819">
                    <c:v>jd45</c:v>
                  </c:pt>
                  <c:pt idx="820">
                    <c:v>jd33</c:v>
                  </c:pt>
                  <c:pt idx="821">
                    <c:v>20</c:v>
                  </c:pt>
                  <c:pt idx="822">
                    <c:v>36</c:v>
                  </c:pt>
                  <c:pt idx="823">
                    <c:v>30 cm</c:v>
                  </c:pt>
                  <c:pt idx="824">
                    <c:v>40 cm</c:v>
                  </c:pt>
                  <c:pt idx="825">
                    <c:v>50 cm</c:v>
                  </c:pt>
                  <c:pt idx="826">
                    <c:v>60 cm</c:v>
                  </c:pt>
                  <c:pt idx="827">
                    <c:v>50 cm</c:v>
                  </c:pt>
                  <c:pt idx="828">
                    <c:v>67 CM</c:v>
                  </c:pt>
                  <c:pt idx="829">
                    <c:v>31x16x13cm</c:v>
                  </c:pt>
                  <c:pt idx="832">
                    <c:v>73 CN</c:v>
                  </c:pt>
                  <c:pt idx="833">
                    <c:v>35</c:v>
                  </c:pt>
                  <c:pt idx="834">
                    <c:v>45</c:v>
                  </c:pt>
                  <c:pt idx="835">
                    <c:v>55</c:v>
                  </c:pt>
                  <c:pt idx="836">
                    <c:v>50cm</c:v>
                  </c:pt>
                  <c:pt idx="837">
                    <c:v>25cm</c:v>
                  </c:pt>
                  <c:pt idx="838">
                    <c:v>37x17x13 </c:v>
                  </c:pt>
                  <c:pt idx="839">
                    <c:v>40x19</c:v>
                  </c:pt>
                  <c:pt idx="840">
                    <c:v>31x16x13</c:v>
                  </c:pt>
                  <c:pt idx="841">
                    <c:v>35 cm</c:v>
                  </c:pt>
                  <c:pt idx="842">
                    <c:v>34,5x28x46</c:v>
                  </c:pt>
                  <c:pt idx="843">
                    <c:v>69x45x36</c:v>
                  </c:pt>
                  <c:pt idx="844">
                    <c:v>85x49x38</c:v>
                  </c:pt>
                  <c:pt idx="845">
                    <c:v>60x36x32</c:v>
                  </c:pt>
                  <c:pt idx="846">
                    <c:v>3 pisos</c:v>
                  </c:pt>
                  <c:pt idx="847">
                    <c:v>30x23x21</c:v>
                  </c:pt>
                  <c:pt idx="848">
                    <c:v>30*23*41</c:v>
                  </c:pt>
                  <c:pt idx="849">
                    <c:v>kg.</c:v>
                  </c:pt>
                  <c:pt idx="851">
                    <c:v>grande</c:v>
                  </c:pt>
                  <c:pt idx="852">
                    <c:v>c/u</c:v>
                  </c:pt>
                  <c:pt idx="853">
                    <c:v>30x23x39</c:v>
                  </c:pt>
                  <c:pt idx="854">
                    <c:v>76,46,46,d610</c:v>
                  </c:pt>
                  <c:pt idx="855">
                    <c:v>76x46x46,d610</c:v>
                  </c:pt>
                  <c:pt idx="857">
                    <c:v>30x23x39</c:v>
                  </c:pt>
                  <c:pt idx="858">
                    <c:v>30x23x39</c:v>
                  </c:pt>
                  <c:pt idx="859">
                    <c:v>60x36x32</c:v>
                  </c:pt>
                  <c:pt idx="860">
                    <c:v>30x23x39</c:v>
                  </c:pt>
                  <c:pt idx="861">
                    <c:v>30*23*39</c:v>
                  </c:pt>
                  <c:pt idx="863">
                    <c:v>6 grs</c:v>
                  </c:pt>
                  <c:pt idx="864">
                    <c:v>8 gr</c:v>
                  </c:pt>
                  <c:pt idx="865">
                    <c:v>6 gr</c:v>
                  </c:pt>
                  <c:pt idx="866">
                    <c:v>3 grs</c:v>
                  </c:pt>
                  <c:pt idx="867">
                    <c:v>c/u</c:v>
                  </c:pt>
                  <c:pt idx="868">
                    <c:v>3gr</c:v>
                  </c:pt>
                  <c:pt idx="870">
                    <c:v>300 cc</c:v>
                  </c:pt>
                  <c:pt idx="871">
                    <c:v>300cc</c:v>
                  </c:pt>
                  <c:pt idx="872">
                    <c:v>2 tarro</c:v>
                  </c:pt>
                  <c:pt idx="876">
                    <c:v>38x1,5</c:v>
                  </c:pt>
                  <c:pt idx="877">
                    <c:v>45X2</c:v>
                  </c:pt>
                  <c:pt idx="878">
                    <c:v>34X1</c:v>
                  </c:pt>
                  <c:pt idx="880">
                    <c:v>0</c:v>
                  </c:pt>
                  <c:pt idx="881">
                    <c:v>3 PIEZAS</c:v>
                  </c:pt>
                  <c:pt idx="882">
                    <c:v>0</c:v>
                  </c:pt>
                  <c:pt idx="886">
                    <c:v>20cm</c:v>
                  </c:pt>
                  <c:pt idx="887">
                    <c:v>1,5cm</c:v>
                  </c:pt>
                  <c:pt idx="888">
                    <c:v>1cm</c:v>
                  </c:pt>
                  <c:pt idx="891">
                    <c:v>40x4 cn</c:v>
                  </c:pt>
                  <c:pt idx="892">
                    <c:v>10 x2,5</c:v>
                  </c:pt>
                  <c:pt idx="893">
                    <c:v>12 CM</c:v>
                  </c:pt>
                  <c:pt idx="898">
                    <c:v>13 CM</c:v>
                  </c:pt>
                  <c:pt idx="899">
                    <c:v>7 cm</c:v>
                  </c:pt>
                  <c:pt idx="900">
                    <c:v>8 cm</c:v>
                  </c:pt>
                  <c:pt idx="901">
                    <c:v>7 cm</c:v>
                  </c:pt>
                  <c:pt idx="902">
                    <c:v>33 cm</c:v>
                  </c:pt>
                  <c:pt idx="903">
                    <c:v>30 CM</c:v>
                  </c:pt>
                  <c:pt idx="904">
                    <c:v>12 cm</c:v>
                  </c:pt>
                  <c:pt idx="905">
                    <c:v>2 unidades</c:v>
                  </c:pt>
                  <c:pt idx="907">
                    <c:v>c/u</c:v>
                  </c:pt>
                  <c:pt idx="908">
                    <c:v>x metro</c:v>
                  </c:pt>
                  <c:pt idx="909">
                    <c:v>10cm </c:v>
                  </c:pt>
                  <c:pt idx="910">
                    <c:v>15MT</c:v>
                  </c:pt>
                  <c:pt idx="911">
                    <c:v>1m </c:v>
                  </c:pt>
                  <c:pt idx="912">
                    <c:v>10 CM X 50 CM</c:v>
                  </c:pt>
                  <c:pt idx="914">
                    <c:v>40-60 CMS RS-68l</c:v>
                  </c:pt>
                  <c:pt idx="916">
                    <c:v>20 a 30 cm</c:v>
                  </c:pt>
                  <c:pt idx="917">
                    <c:v>c/u</c:v>
                  </c:pt>
                  <c:pt idx="918">
                    <c:v>n 12</c:v>
                  </c:pt>
                  <c:pt idx="920">
                    <c:v>b20</c:v>
                  </c:pt>
                  <c:pt idx="921">
                    <c:v>n 44  </c:v>
                  </c:pt>
                  <c:pt idx="922">
                    <c:v>13,6x12,5</c:v>
                  </c:pt>
                  <c:pt idx="923">
                    <c:v>16,5x13,5</c:v>
                  </c:pt>
                  <c:pt idx="925">
                    <c:v>c/u</c:v>
                  </c:pt>
                  <c:pt idx="926">
                    <c:v>18</c:v>
                  </c:pt>
                  <c:pt idx="927">
                    <c:v>2</c:v>
                  </c:pt>
                  <c:pt idx="928">
                    <c:v>4</c:v>
                  </c:pt>
                  <c:pt idx="929">
                    <c:v>6</c:v>
                  </c:pt>
                  <c:pt idx="930">
                    <c:v>7</c:v>
                  </c:pt>
                  <c:pt idx="931">
                    <c:v>14 cm</c:v>
                  </c:pt>
                  <c:pt idx="932">
                    <c:v>17 cm</c:v>
                  </c:pt>
                  <c:pt idx="933">
                    <c:v>20 cm</c:v>
                  </c:pt>
                  <c:pt idx="934">
                    <c:v>27 cm</c:v>
                  </c:pt>
                  <c:pt idx="935">
                    <c:v>23 cm</c:v>
                  </c:pt>
                  <c:pt idx="936">
                    <c:v>25 cm</c:v>
                  </c:pt>
                  <c:pt idx="937">
                    <c:v>30 CM</c:v>
                  </c:pt>
                  <c:pt idx="938">
                    <c:v>16</c:v>
                  </c:pt>
                  <c:pt idx="939">
                    <c:v>30X20,5</c:v>
                  </c:pt>
                  <c:pt idx="940">
                    <c:v>25X16,5</c:v>
                  </c:pt>
                  <c:pt idx="941">
                    <c:v>35X23,5</c:v>
                  </c:pt>
                  <c:pt idx="942">
                    <c:v>30X20</c:v>
                  </c:pt>
                  <c:pt idx="943">
                    <c:v>25X16,5</c:v>
                  </c:pt>
                  <c:pt idx="944">
                    <c:v>10cm</c:v>
                  </c:pt>
                  <c:pt idx="945">
                    <c:v>12 cm</c:v>
                  </c:pt>
                  <c:pt idx="946">
                    <c:v>14 cm</c:v>
                  </c:pt>
                  <c:pt idx="947">
                    <c:v>16cm</c:v>
                  </c:pt>
                  <c:pt idx="948">
                    <c:v>18cm</c:v>
                  </c:pt>
                  <c:pt idx="949">
                    <c:v>20cm</c:v>
                  </c:pt>
                  <c:pt idx="950">
                    <c:v>22cm</c:v>
                  </c:pt>
                  <c:pt idx="951">
                    <c:v>26cm</c:v>
                  </c:pt>
                  <c:pt idx="952">
                    <c:v>30 CM</c:v>
                  </c:pt>
                  <c:pt idx="953">
                    <c:v>7cm</c:v>
                  </c:pt>
                  <c:pt idx="954">
                    <c:v>8cm</c:v>
                  </c:pt>
                  <c:pt idx="955">
                    <c:v>No 3</c:v>
                  </c:pt>
                  <c:pt idx="956">
                    <c:v>23</c:v>
                  </c:pt>
                  <c:pt idx="957">
                    <c:v>29</c:v>
                  </c:pt>
                  <c:pt idx="958">
                    <c:v>36</c:v>
                  </c:pt>
                  <c:pt idx="959">
                    <c:v>0</c:v>
                  </c:pt>
                  <c:pt idx="960">
                    <c:v>38 cm</c:v>
                  </c:pt>
                  <c:pt idx="961">
                    <c:v>1</c:v>
                  </c:pt>
                  <c:pt idx="962">
                    <c:v>n 12</c:v>
                  </c:pt>
                  <c:pt idx="963">
                    <c:v>n 5</c:v>
                  </c:pt>
                  <c:pt idx="964">
                    <c:v>n 6</c:v>
                  </c:pt>
                  <c:pt idx="965">
                    <c:v>n 7</c:v>
                  </c:pt>
                  <c:pt idx="966">
                    <c:v>n 0</c:v>
                  </c:pt>
                  <c:pt idx="967">
                    <c:v>n 8</c:v>
                  </c:pt>
                  <c:pt idx="968">
                    <c:v>12</c:v>
                  </c:pt>
                  <c:pt idx="969">
                    <c:v>16</c:v>
                  </c:pt>
                  <c:pt idx="971">
                    <c:v>40</c:v>
                  </c:pt>
                  <c:pt idx="972">
                    <c:v>48</c:v>
                  </c:pt>
                  <c:pt idx="973">
                    <c:v>52</c:v>
                  </c:pt>
                  <c:pt idx="974">
                    <c:v>22</c:v>
                  </c:pt>
                  <c:pt idx="975">
                    <c:v>22 cm</c:v>
                  </c:pt>
                  <c:pt idx="977">
                    <c:v>20</c:v>
                  </c:pt>
                  <c:pt idx="978">
                    <c:v>40</c:v>
                  </c:pt>
                  <c:pt idx="979">
                    <c:v>50</c:v>
                  </c:pt>
                  <c:pt idx="980">
                    <c:v>n 1</c:v>
                  </c:pt>
                  <c:pt idx="981">
                    <c:v>n 2</c:v>
                  </c:pt>
                  <c:pt idx="982">
                    <c:v>0</c:v>
                  </c:pt>
                  <c:pt idx="984">
                    <c:v>11 cm</c:v>
                  </c:pt>
                  <c:pt idx="985">
                    <c:v>9 cm</c:v>
                  </c:pt>
                  <c:pt idx="986">
                    <c:v>11 cm</c:v>
                  </c:pt>
                  <c:pt idx="987">
                    <c:v>9 cm</c:v>
                  </c:pt>
                  <c:pt idx="988">
                    <c:v>4,5x4,5</c:v>
                  </c:pt>
                  <c:pt idx="989">
                    <c:v>6 cm</c:v>
                  </c:pt>
                  <c:pt idx="990">
                    <c:v>6 cn</c:v>
                  </c:pt>
                  <c:pt idx="991">
                    <c:v>4,5 x4,5-</c:v>
                  </c:pt>
                  <c:pt idx="998">
                    <c:v>20cm</c:v>
                  </c:pt>
                  <c:pt idx="999">
                    <c:v>30cm</c:v>
                  </c:pt>
                  <c:pt idx="1000">
                    <c:v>15cm</c:v>
                  </c:pt>
                  <c:pt idx="1001">
                    <c:v>25 cm</c:v>
                  </c:pt>
                  <c:pt idx="1002">
                    <c:v>c/u</c:v>
                  </c:pt>
                  <c:pt idx="1003">
                    <c:v>48</c:v>
                  </c:pt>
                  <c:pt idx="1004">
                    <c:v>23</c:v>
                  </c:pt>
                  <c:pt idx="1005">
                    <c:v>27</c:v>
                  </c:pt>
                  <c:pt idx="1006">
                    <c:v>32</c:v>
                  </c:pt>
                  <c:pt idx="1007">
                    <c:v>38</c:v>
                  </c:pt>
                  <c:pt idx="1008">
                    <c:v>43</c:v>
                  </c:pt>
                  <c:pt idx="1009">
                    <c:v>48</c:v>
                  </c:pt>
                  <c:pt idx="1010">
                    <c:v>54</c:v>
                  </c:pt>
                  <c:pt idx="1011">
                    <c:v>48</c:v>
                  </c:pt>
                  <c:pt idx="1012">
                    <c:v>6,5x6</c:v>
                  </c:pt>
                  <c:pt idx="1015">
                    <c:v>c/u</c:v>
                  </c:pt>
                  <c:pt idx="1016">
                    <c:v>c/u</c:v>
                  </c:pt>
                  <c:pt idx="1017">
                    <c:v>c/u</c:v>
                  </c:pt>
                  <c:pt idx="1018">
                    <c:v>12 cm</c:v>
                  </c:pt>
                  <c:pt idx="1019">
                    <c:v>14 cm</c:v>
                  </c:pt>
                  <c:pt idx="1020">
                    <c:v>18 cm</c:v>
                  </c:pt>
                  <c:pt idx="1021">
                    <c:v>22cm</c:v>
                  </c:pt>
                  <c:pt idx="1022">
                    <c:v>N22</c:v>
                  </c:pt>
                  <c:pt idx="1023">
                    <c:v>N35</c:v>
                  </c:pt>
                  <c:pt idx="1024">
                    <c:v>N28</c:v>
                  </c:pt>
                  <c:pt idx="1025">
                    <c:v>N35</c:v>
                  </c:pt>
                  <c:pt idx="1026">
                    <c:v>N16</c:v>
                  </c:pt>
                  <c:pt idx="1027">
                    <c:v>N22</c:v>
                  </c:pt>
                  <c:pt idx="1028">
                    <c:v>N28</c:v>
                  </c:pt>
                  <c:pt idx="1029">
                    <c:v>N35</c:v>
                  </c:pt>
                  <c:pt idx="1030">
                    <c:v>35</c:v>
                  </c:pt>
                  <c:pt idx="1031">
                    <c:v>40</c:v>
                  </c:pt>
                  <c:pt idx="1032">
                    <c:v>48</c:v>
                  </c:pt>
                  <c:pt idx="1033">
                    <c:v>cl24</c:v>
                  </c:pt>
                  <c:pt idx="1034">
                    <c:v>cl15</c:v>
                  </c:pt>
                  <c:pt idx="1035">
                    <c:v>cl19</c:v>
                  </c:pt>
                  <c:pt idx="1036">
                    <c:v>12</c:v>
                  </c:pt>
                  <c:pt idx="1037">
                    <c:v>14</c:v>
                  </c:pt>
                  <c:pt idx="1038">
                    <c:v>16</c:v>
                  </c:pt>
                  <c:pt idx="1039">
                    <c:v>18</c:v>
                  </c:pt>
                  <c:pt idx="1040">
                    <c:v>20</c:v>
                  </c:pt>
                  <c:pt idx="1041">
                    <c:v>22</c:v>
                  </c:pt>
                  <c:pt idx="1042">
                    <c:v>24</c:v>
                  </c:pt>
                  <c:pt idx="1043">
                    <c:v>26</c:v>
                  </c:pt>
                  <c:pt idx="1044">
                    <c:v>30</c:v>
                  </c:pt>
                  <c:pt idx="1045">
                    <c:v>35</c:v>
                  </c:pt>
                  <c:pt idx="1046">
                    <c:v>40</c:v>
                  </c:pt>
                  <c:pt idx="1047">
                    <c:v>17</c:v>
                  </c:pt>
                  <c:pt idx="1048">
                    <c:v>24</c:v>
                  </c:pt>
                  <c:pt idx="1049">
                    <c:v>35</c:v>
                  </c:pt>
                  <c:pt idx="1050">
                    <c:v>cl10</c:v>
                  </c:pt>
                  <c:pt idx="1051">
                    <c:v>cl13</c:v>
                  </c:pt>
                  <c:pt idx="1053">
                    <c:v>16,5x12,5x51</c:v>
                  </c:pt>
                  <c:pt idx="1054">
                    <c:v>C13</c:v>
                  </c:pt>
                  <c:pt idx="1055">
                    <c:v>C18</c:v>
                  </c:pt>
                  <c:pt idx="1056">
                    <c:v>C21</c:v>
                  </c:pt>
                  <c:pt idx="1057">
                    <c:v>14,5x25,5</c:v>
                  </c:pt>
                  <c:pt idx="1058">
                    <c:v>11,5x20</c:v>
                  </c:pt>
                  <c:pt idx="1059">
                    <c:v>23,5x14,5cm</c:v>
                  </c:pt>
                  <c:pt idx="1061">
                    <c:v>20x12</c:v>
                  </c:pt>
                  <c:pt idx="1062">
                    <c:v>24X15</c:v>
                  </c:pt>
                  <c:pt idx="1063">
                    <c:v>20X13</c:v>
                  </c:pt>
                  <c:pt idx="1064">
                    <c:v>20X12</c:v>
                  </c:pt>
                  <c:pt idx="1068">
                    <c:v>37x29</c:v>
                  </c:pt>
                  <c:pt idx="1069">
                    <c:v>grde</c:v>
                  </c:pt>
                  <c:pt idx="1070">
                    <c:v>med</c:v>
                  </c:pt>
                  <c:pt idx="1071">
                    <c:v>20x16</c:v>
                  </c:pt>
                  <c:pt idx="1079">
                    <c:v>18x18x14,5</c:v>
                  </c:pt>
                  <c:pt idx="1084">
                    <c:v>21</c:v>
                  </c:pt>
                  <c:pt idx="1085">
                    <c:v>1,5</c:v>
                  </c:pt>
                  <c:pt idx="1086">
                    <c:v>2</c:v>
                  </c:pt>
                  <c:pt idx="1087">
                    <c:v>16 cm</c:v>
                  </c:pt>
                  <c:pt idx="1088">
                    <c:v>23 cm</c:v>
                  </c:pt>
                  <c:pt idx="1089">
                    <c:v>30 cm</c:v>
                  </c:pt>
                  <c:pt idx="1090">
                    <c:v>36 cm</c:v>
                  </c:pt>
                  <c:pt idx="1091">
                    <c:v>7 cm</c:v>
                  </c:pt>
                  <c:pt idx="1092">
                    <c:v>26 cm</c:v>
                  </c:pt>
                  <c:pt idx="1093">
                    <c:v>38 cm</c:v>
                  </c:pt>
                  <c:pt idx="1094">
                    <c:v>c/u</c:v>
                  </c:pt>
                  <c:pt idx="1095">
                    <c:v>1</c:v>
                  </c:pt>
                  <c:pt idx="1096">
                    <c:v>2</c:v>
                  </c:pt>
                  <c:pt idx="1097">
                    <c:v>4</c:v>
                  </c:pt>
                  <c:pt idx="1098">
                    <c:v>c/u</c:v>
                  </c:pt>
                  <c:pt idx="1103">
                    <c:v>26X11</c:v>
                  </c:pt>
                  <c:pt idx="1106">
                    <c:v>n 15</c:v>
                  </c:pt>
                  <c:pt idx="1107">
                    <c:v>23X12X11</c:v>
                  </c:pt>
                  <c:pt idx="1109">
                    <c:v>12 cm</c:v>
                  </c:pt>
                  <c:pt idx="1110">
                    <c:v>20lts</c:v>
                  </c:pt>
                  <c:pt idx="1111">
                    <c:v>11 lts</c:v>
                  </c:pt>
                  <c:pt idx="1112">
                    <c:v>5lt</c:v>
                  </c:pt>
                  <c:pt idx="1113">
                    <c:v>3lt</c:v>
                  </c:pt>
                  <c:pt idx="1114">
                    <c:v>2lt</c:v>
                  </c:pt>
                  <c:pt idx="1115">
                    <c:v>12 CM</c:v>
                  </c:pt>
                  <c:pt idx="1116">
                    <c:v>12 cm</c:v>
                  </c:pt>
                  <c:pt idx="1117">
                    <c:v>9 cm</c:v>
                  </c:pt>
                  <c:pt idx="1118">
                    <c:v>15lts</c:v>
                  </c:pt>
                  <c:pt idx="1119">
                    <c:v>15</c:v>
                  </c:pt>
                  <c:pt idx="1120">
                    <c:v>19</c:v>
                  </c:pt>
                  <c:pt idx="1122">
                    <c:v>15</c:v>
                  </c:pt>
                  <c:pt idx="1123">
                    <c:v>19</c:v>
                  </c:pt>
                  <c:pt idx="1124">
                    <c:v>17</c:v>
                  </c:pt>
                  <c:pt idx="1125">
                    <c:v>21</c:v>
                  </c:pt>
                  <c:pt idx="1126">
                    <c:v>25</c:v>
                  </c:pt>
                  <c:pt idx="1127">
                    <c:v>negra</c:v>
                  </c:pt>
                  <c:pt idx="1128">
                    <c:v>12</c:v>
                  </c:pt>
                  <c:pt idx="1129">
                    <c:v>14</c:v>
                  </c:pt>
                  <c:pt idx="1130">
                    <c:v>16</c:v>
                  </c:pt>
                  <c:pt idx="1131">
                    <c:v>N18</c:v>
                  </c:pt>
                  <c:pt idx="1132">
                    <c:v>N20</c:v>
                  </c:pt>
                  <c:pt idx="1133">
                    <c:v>N23</c:v>
                  </c:pt>
                  <c:pt idx="1134">
                    <c:v>N26</c:v>
                  </c:pt>
                  <c:pt idx="1135">
                    <c:v>N30</c:v>
                  </c:pt>
                  <c:pt idx="1136">
                    <c:v>22 cm</c:v>
                  </c:pt>
                  <c:pt idx="1137">
                    <c:v>25 cm</c:v>
                  </c:pt>
                  <c:pt idx="1138">
                    <c:v>30 cm</c:v>
                  </c:pt>
                  <c:pt idx="1139">
                    <c:v>34 cm</c:v>
                  </c:pt>
                  <c:pt idx="1140">
                    <c:v>38 cm</c:v>
                  </c:pt>
                  <c:pt idx="1141">
                    <c:v>43 cm</c:v>
                  </c:pt>
                  <c:pt idx="1142">
                    <c:v>20</c:v>
                  </c:pt>
                  <c:pt idx="1143">
                    <c:v>21,5x 18 cm</c:v>
                  </c:pt>
                  <c:pt idx="1144">
                    <c:v>ca21</c:v>
                  </c:pt>
                  <c:pt idx="1145">
                    <c:v>24 cm</c:v>
                  </c:pt>
                  <c:pt idx="1146">
                    <c:v>13 cm</c:v>
                  </c:pt>
                  <c:pt idx="1147">
                    <c:v>35X19,5X14,5</c:v>
                  </c:pt>
                  <c:pt idx="1148">
                    <c:v>43x21,5x16,5</c:v>
                  </c:pt>
                  <c:pt idx="1149">
                    <c:v>31x16x13</c:v>
                  </c:pt>
                  <c:pt idx="1150">
                    <c:v>31x16x13</c:v>
                  </c:pt>
                  <c:pt idx="1151">
                    <c:v>37X17X13</c:v>
                  </c:pt>
                  <c:pt idx="1152">
                    <c:v>45X20X14</c:v>
                  </c:pt>
                  <c:pt idx="1153">
                    <c:v>57x22x14</c:v>
                  </c:pt>
                  <c:pt idx="1154">
                    <c:v>35x20x14</c:v>
                  </c:pt>
                  <c:pt idx="1155">
                    <c:v>22</c:v>
                  </c:pt>
                  <c:pt idx="1158">
                    <c:v>17x13</c:v>
                  </c:pt>
                  <c:pt idx="1159">
                    <c:v>18x15x10</c:v>
                  </c:pt>
                  <c:pt idx="1160">
                    <c:v>42x29</c:v>
                  </c:pt>
                  <c:pt idx="1161">
                    <c:v>19x15</c:v>
                  </c:pt>
                  <c:pt idx="1162">
                    <c:v>30X23X17,5</c:v>
                  </c:pt>
                  <c:pt idx="1163">
                    <c:v>21X17X12</c:v>
                  </c:pt>
                  <c:pt idx="1164">
                    <c:v>16</c:v>
                  </c:pt>
                  <c:pt idx="1165">
                    <c:v>20</c:v>
                  </c:pt>
                  <c:pt idx="1166">
                    <c:v>c/u</c:v>
                  </c:pt>
                  <c:pt idx="1167">
                    <c:v>15 cm</c:v>
                  </c:pt>
                  <c:pt idx="1168">
                    <c:v>20 cm</c:v>
                  </c:pt>
                  <c:pt idx="1169">
                    <c:v>20 CM</c:v>
                  </c:pt>
                  <c:pt idx="1170">
                    <c:v>12 cm</c:v>
                  </c:pt>
                  <c:pt idx="1171">
                    <c:v>7 cm</c:v>
                  </c:pt>
                  <c:pt idx="1172">
                    <c:v>10cm</c:v>
                  </c:pt>
                  <c:pt idx="1173">
                    <c:v>14 cm</c:v>
                  </c:pt>
                  <c:pt idx="1174">
                    <c:v>16 cm</c:v>
                  </c:pt>
                  <c:pt idx="1175">
                    <c:v>18 cm</c:v>
                  </c:pt>
                  <c:pt idx="1176">
                    <c:v>20 cm</c:v>
                  </c:pt>
                  <c:pt idx="1177">
                    <c:v>35</c:v>
                  </c:pt>
                  <c:pt idx="1178">
                    <c:v>14</c:v>
                  </c:pt>
                  <c:pt idx="1179">
                    <c:v>16</c:v>
                  </c:pt>
                  <c:pt idx="1180">
                    <c:v>18</c:v>
                  </c:pt>
                  <c:pt idx="1181">
                    <c:v>12 CM</c:v>
                  </c:pt>
                  <c:pt idx="1182">
                    <c:v>c/u</c:v>
                  </c:pt>
                  <c:pt idx="1183">
                    <c:v>c/u</c:v>
                  </c:pt>
                  <c:pt idx="1184">
                    <c:v>N22</c:v>
                  </c:pt>
                  <c:pt idx="1185">
                    <c:v>N35</c:v>
                  </c:pt>
                  <c:pt idx="1186">
                    <c:v>N35</c:v>
                  </c:pt>
                  <c:pt idx="1188">
                    <c:v>31,5X25</c:v>
                  </c:pt>
                  <c:pt idx="1189">
                    <c:v>31,5X18</c:v>
                  </c:pt>
                  <c:pt idx="1190">
                    <c:v>15X12,5</c:v>
                  </c:pt>
                  <c:pt idx="1191">
                    <c:v>18X14,5</c:v>
                  </c:pt>
                  <c:pt idx="1192">
                    <c:v>35X27</c:v>
                  </c:pt>
                  <c:pt idx="1193">
                    <c:v>25X19,5</c:v>
                  </c:pt>
                  <c:pt idx="1194">
                    <c:v>30,5x23,5</c:v>
                  </c:pt>
                  <c:pt idx="1195">
                    <c:v>30,5/23,5</c:v>
                  </c:pt>
                  <c:pt idx="1196">
                    <c:v>22x22</c:v>
                  </c:pt>
                  <c:pt idx="1197">
                    <c:v>c/u</c:v>
                  </c:pt>
                  <c:pt idx="1198">
                    <c:v>25 lts</c:v>
                  </c:pt>
                  <c:pt idx="1199">
                    <c:v>14</c:v>
                  </c:pt>
                  <c:pt idx="1200">
                    <c:v>18</c:v>
                  </c:pt>
                  <c:pt idx="1203">
                    <c:v>15 cm</c:v>
                  </c:pt>
                  <c:pt idx="1204">
                    <c:v>14 cm</c:v>
                  </c:pt>
                  <c:pt idx="1205">
                    <c:v>18 cm</c:v>
                  </c:pt>
                  <c:pt idx="1206">
                    <c:v>22 CM</c:v>
                  </c:pt>
                  <c:pt idx="1207">
                    <c:v>35</c:v>
                  </c:pt>
                  <c:pt idx="1208">
                    <c:v>23</c:v>
                  </c:pt>
                  <c:pt idx="1209">
                    <c:v>25x22,5x19</c:v>
                  </c:pt>
                  <c:pt idx="1210">
                    <c:v>TA</c:v>
                  </c:pt>
                  <c:pt idx="1211">
                    <c:v>ch</c:v>
                  </c:pt>
                  <c:pt idx="1212">
                    <c:v>gde</c:v>
                  </c:pt>
                  <c:pt idx="1213">
                    <c:v>13X16X14</c:v>
                  </c:pt>
                  <c:pt idx="1215">
                    <c:v>18</c:v>
                  </c:pt>
                  <c:pt idx="1216">
                    <c:v>22</c:v>
                  </c:pt>
                  <c:pt idx="1217">
                    <c:v>27</c:v>
                  </c:pt>
                  <c:pt idx="1218">
                    <c:v>29 cm</c:v>
                  </c:pt>
                  <c:pt idx="1219">
                    <c:v>24 cm</c:v>
                  </c:pt>
                  <c:pt idx="1220">
                    <c:v>18</c:v>
                  </c:pt>
                  <c:pt idx="1221">
                    <c:v>20 cm</c:v>
                  </c:pt>
                  <c:pt idx="1222">
                    <c:v>35 cm</c:v>
                  </c:pt>
                  <c:pt idx="1223">
                    <c:v>67cm</c:v>
                  </c:pt>
                  <c:pt idx="1224">
                    <c:v>29x22</c:v>
                  </c:pt>
                  <c:pt idx="1225">
                    <c:v>25X20</c:v>
                  </c:pt>
                  <c:pt idx="1226">
                    <c:v>23x18cm</c:v>
                  </c:pt>
                  <c:pt idx="1227">
                    <c:v>19x20</c:v>
                  </c:pt>
                  <c:pt idx="1228">
                    <c:v>14x15</c:v>
                  </c:pt>
                  <c:pt idx="1229">
                    <c:v>10,5x11</c:v>
                  </c:pt>
                  <c:pt idx="1230">
                    <c:v>18x24</c:v>
                  </c:pt>
                  <c:pt idx="1231">
                    <c:v>16,5x18,5</c:v>
                  </c:pt>
                  <c:pt idx="1232">
                    <c:v>13,5x13</c:v>
                  </c:pt>
                  <c:pt idx="1233">
                    <c:v>18 x13</c:v>
                  </c:pt>
                  <c:pt idx="1235">
                    <c:v>N35</c:v>
                  </c:pt>
                  <c:pt idx="1236">
                    <c:v>N45</c:v>
                  </c:pt>
                  <c:pt idx="1237">
                    <c:v>17</c:v>
                  </c:pt>
                  <c:pt idx="1238">
                    <c:v>20</c:v>
                  </c:pt>
                  <c:pt idx="1239">
                    <c:v>24</c:v>
                  </c:pt>
                  <c:pt idx="1240">
                    <c:v>30</c:v>
                  </c:pt>
                  <c:pt idx="1241">
                    <c:v>17</c:v>
                  </c:pt>
                  <c:pt idx="1242">
                    <c:v>20</c:v>
                  </c:pt>
                  <c:pt idx="1243">
                    <c:v>24</c:v>
                  </c:pt>
                  <c:pt idx="1244">
                    <c:v>30</c:v>
                  </c:pt>
                  <c:pt idx="1245">
                    <c:v>34x18x14</c:v>
                  </c:pt>
                  <c:pt idx="1246">
                    <c:v>16x13</c:v>
                  </c:pt>
                  <c:pt idx="1247">
                    <c:v>0</c:v>
                  </c:pt>
                  <c:pt idx="1248">
                    <c:v>43x18x14</c:v>
                  </c:pt>
                  <c:pt idx="1249">
                    <c:v>15,5x12,3</c:v>
                  </c:pt>
                  <c:pt idx="1250">
                    <c:v>7,8x7</c:v>
                  </c:pt>
                  <c:pt idx="1251">
                    <c:v>25x20</c:v>
                  </c:pt>
                  <c:pt idx="1252">
                    <c:v>15,5x12,3</c:v>
                  </c:pt>
                  <c:pt idx="1253">
                    <c:v>20x16</c:v>
                  </c:pt>
                  <c:pt idx="1255">
                    <c:v>19 lts</c:v>
                  </c:pt>
                  <c:pt idx="1256">
                    <c:v>14 lts</c:v>
                  </c:pt>
                  <c:pt idx="1257">
                    <c:v>11 lts</c:v>
                  </c:pt>
                  <c:pt idx="1258">
                    <c:v>7 lts</c:v>
                  </c:pt>
                  <c:pt idx="1259">
                    <c:v>5 lts</c:v>
                  </c:pt>
                  <c:pt idx="1260">
                    <c:v>3 lts</c:v>
                  </c:pt>
                  <c:pt idx="1262">
                    <c:v>25x20</c:v>
                  </c:pt>
                  <c:pt idx="1263">
                    <c:v>20x16</c:v>
                  </c:pt>
                  <c:pt idx="1264">
                    <c:v>c/u</c:v>
                  </c:pt>
                  <c:pt idx="1265">
                    <c:v>0</c:v>
                  </c:pt>
                  <c:pt idx="1266">
                    <c:v>20</c:v>
                  </c:pt>
                  <c:pt idx="1267">
                    <c:v>12 CM</c:v>
                  </c:pt>
                  <c:pt idx="1268">
                    <c:v>16</c:v>
                  </c:pt>
                  <c:pt idx="1269">
                    <c:v>18</c:v>
                  </c:pt>
                  <c:pt idx="1270">
                    <c:v>20</c:v>
                  </c:pt>
                  <c:pt idx="1271">
                    <c:v>24</c:v>
                  </c:pt>
                  <c:pt idx="1274">
                    <c:v>,75 LT</c:v>
                  </c:pt>
                  <c:pt idx="1275">
                    <c:v>1,6 LT</c:v>
                  </c:pt>
                  <c:pt idx="1276">
                    <c:v>3 lts</c:v>
                  </c:pt>
                  <c:pt idx="1277">
                    <c:v>4,3 LT</c:v>
                  </c:pt>
                  <c:pt idx="1278">
                    <c:v>16X13</c:v>
                  </c:pt>
                  <c:pt idx="1279">
                    <c:v>39X29</c:v>
                  </c:pt>
                  <c:pt idx="1280">
                    <c:v>36X26</c:v>
                  </c:pt>
                  <c:pt idx="1281">
                    <c:v>32X24</c:v>
                  </c:pt>
                  <c:pt idx="1282">
                    <c:v>16X21</c:v>
                  </c:pt>
                  <c:pt idx="1283">
                    <c:v>43 x31</c:v>
                  </c:pt>
                  <c:pt idx="1288">
                    <c:v>24</c:v>
                  </c:pt>
                  <c:pt idx="1290">
                    <c:v>24x28</c:v>
                  </c:pt>
                  <c:pt idx="1291">
                    <c:v>36x40</c:v>
                  </c:pt>
                  <c:pt idx="1293">
                    <c:v>12</c:v>
                  </c:pt>
                  <c:pt idx="1294">
                    <c:v>15</c:v>
                  </c:pt>
                  <c:pt idx="1295">
                    <c:v>17</c:v>
                  </c:pt>
                  <c:pt idx="1296">
                    <c:v>20</c:v>
                  </c:pt>
                  <c:pt idx="1297">
                    <c:v>6</c:v>
                  </c:pt>
                  <c:pt idx="1298">
                    <c:v>8</c:v>
                  </c:pt>
                  <c:pt idx="1299">
                    <c:v>10</c:v>
                  </c:pt>
                  <c:pt idx="1300">
                    <c:v>12</c:v>
                  </c:pt>
                  <c:pt idx="1301">
                    <c:v>14</c:v>
                  </c:pt>
                  <c:pt idx="1302">
                    <c:v>DX1</c:v>
                  </c:pt>
                  <c:pt idx="1303">
                    <c:v>DX2</c:v>
                  </c:pt>
                  <c:pt idx="1304">
                    <c:v>DX3</c:v>
                  </c:pt>
                  <c:pt idx="1305">
                    <c:v>DX4</c:v>
                  </c:pt>
                  <c:pt idx="1306">
                    <c:v>7S2</c:v>
                  </c:pt>
                  <c:pt idx="1307">
                    <c:v>7S3</c:v>
                  </c:pt>
                  <c:pt idx="1308">
                    <c:v>7F2</c:v>
                  </c:pt>
                  <c:pt idx="1309">
                    <c:v>YT2</c:v>
                  </c:pt>
                  <c:pt idx="1310">
                    <c:v>YT3</c:v>
                  </c:pt>
                  <c:pt idx="1311">
                    <c:v>WLI</c:v>
                  </c:pt>
                  <c:pt idx="1312">
                    <c:v>GP3</c:v>
                  </c:pt>
                  <c:pt idx="1313">
                    <c:v>GP4</c:v>
                  </c:pt>
                  <c:pt idx="1314">
                    <c:v>X0</c:v>
                  </c:pt>
                  <c:pt idx="1315">
                    <c:v>JVER 24</c:v>
                  </c:pt>
                  <c:pt idx="1316">
                    <c:v>JVER 33</c:v>
                  </c:pt>
                  <c:pt idx="1317">
                    <c:v>JVER 42</c:v>
                  </c:pt>
                  <c:pt idx="1318">
                    <c:v>IVOM 30</c:v>
                  </c:pt>
                  <c:pt idx="1319">
                    <c:v>IVOM 38</c:v>
                  </c:pt>
                  <c:pt idx="1320">
                    <c:v>IVPM 25</c:v>
                  </c:pt>
                  <c:pt idx="1321">
                    <c:v>IVQM20</c:v>
                  </c:pt>
                  <c:pt idx="1322">
                    <c:v>JVEO 41</c:v>
                  </c:pt>
                  <c:pt idx="1323">
                    <c:v>JVEF 34</c:v>
                  </c:pt>
                  <c:pt idx="1324">
                    <c:v>JVEF 42</c:v>
                  </c:pt>
                  <c:pt idx="1325">
                    <c:v>IVEC 33</c:v>
                  </c:pt>
                  <c:pt idx="1326">
                    <c:v>JVEO 55</c:v>
                  </c:pt>
                  <c:pt idx="1327">
                    <c:v>JVHR 42</c:v>
                  </c:pt>
                  <c:pt idx="1328">
                    <c:v>JVHR33</c:v>
                  </c:pt>
                  <c:pt idx="1329">
                    <c:v>JVUM 30 S</c:v>
                  </c:pt>
                  <c:pt idx="1330">
                    <c:v>JVUM 38</c:v>
                  </c:pt>
                  <c:pt idx="1331">
                    <c:v>JFQF 67</c:v>
                  </c:pt>
                  <c:pt idx="1332">
                    <c:v>JFQF 77</c:v>
                  </c:pt>
                  <c:pt idx="1333">
                    <c:v>JVQM20</c:v>
                  </c:pt>
                  <c:pt idx="1334">
                    <c:v>45</c:v>
                  </c:pt>
                  <c:pt idx="1335">
                    <c:v>34</c:v>
                  </c:pt>
                  <c:pt idx="1336">
                    <c:v>25</c:v>
                  </c:pt>
                  <c:pt idx="1337">
                    <c:v>33</c:v>
                  </c:pt>
                  <c:pt idx="1339">
                    <c:v>28</c:v>
                  </c:pt>
                  <c:pt idx="1340">
                    <c:v>35</c:v>
                  </c:pt>
                  <c:pt idx="1341">
                    <c:v>45</c:v>
                  </c:pt>
                  <c:pt idx="1342">
                    <c:v>JVERH 33</c:v>
                  </c:pt>
                  <c:pt idx="1343">
                    <c:v>33</c:v>
                  </c:pt>
                  <c:pt idx="1344">
                    <c:v>JVLL45</c:v>
                  </c:pt>
                  <c:pt idx="1346">
                    <c:v>IVIP 34</c:v>
                  </c:pt>
                  <c:pt idx="1347">
                    <c:v>JVQM30</c:v>
                  </c:pt>
                  <c:pt idx="1348">
                    <c:v>IVQM36</c:v>
                  </c:pt>
                  <c:pt idx="1349">
                    <c:v>JVMO38C</c:v>
                  </c:pt>
                  <c:pt idx="1353">
                    <c:v>JVCB 30</c:v>
                  </c:pt>
                  <c:pt idx="1354">
                    <c:v>JVQM36</c:v>
                  </c:pt>
                  <c:pt idx="1355">
                    <c:v>37AC</c:v>
                  </c:pt>
                  <c:pt idx="1356">
                    <c:v>46 AC</c:v>
                  </c:pt>
                  <c:pt idx="1357">
                    <c:v>57 AC</c:v>
                  </c:pt>
                  <c:pt idx="1360">
                    <c:v>IVIP 43</c:v>
                  </c:pt>
                  <c:pt idx="1361">
                    <c:v>25</c:v>
                  </c:pt>
                  <c:pt idx="1362">
                    <c:v>20</c:v>
                  </c:pt>
                  <c:pt idx="1363">
                    <c:v>16</c:v>
                  </c:pt>
                  <c:pt idx="1364">
                    <c:v>23</c:v>
                  </c:pt>
                  <c:pt idx="1365">
                    <c:v>8</c:v>
                  </c:pt>
                  <c:pt idx="1366">
                    <c:v>10</c:v>
                  </c:pt>
                  <c:pt idx="1367">
                    <c:v>12</c:v>
                  </c:pt>
                  <c:pt idx="1368">
                    <c:v>14</c:v>
                  </c:pt>
                  <c:pt idx="1369">
                    <c:v>18</c:v>
                  </c:pt>
                  <c:pt idx="1370">
                    <c:v>12</c:v>
                  </c:pt>
                  <c:pt idx="1371">
                    <c:v>15</c:v>
                  </c:pt>
                  <c:pt idx="1372">
                    <c:v>17</c:v>
                  </c:pt>
                  <c:pt idx="1373">
                    <c:v>20</c:v>
                  </c:pt>
                  <c:pt idx="1374">
                    <c:v>30x40</c:v>
                  </c:pt>
                  <c:pt idx="1375">
                    <c:v>40X30</c:v>
                  </c:pt>
                  <c:pt idx="1376">
                    <c:v>11 cm</c:v>
                  </c:pt>
                  <c:pt idx="1377">
                    <c:v>14 cm</c:v>
                  </c:pt>
                  <c:pt idx="1378">
                    <c:v>19 cm</c:v>
                  </c:pt>
                  <c:pt idx="1379">
                    <c:v>16X13X9</c:v>
                  </c:pt>
                  <c:pt idx="1380">
                    <c:v>14</c:v>
                  </c:pt>
                  <c:pt idx="1381">
                    <c:v>18</c:v>
                  </c:pt>
                  <c:pt idx="1382">
                    <c:v>ch 8 cm </c:v>
                  </c:pt>
                  <c:pt idx="1383">
                    <c:v>gde</c:v>
                  </c:pt>
                  <c:pt idx="1384">
                    <c:v>7 cmx7</c:v>
                  </c:pt>
                  <c:pt idx="1385">
                    <c:v>9 cm</c:v>
                  </c:pt>
                  <c:pt idx="1386">
                    <c:v>1,5</c:v>
                  </c:pt>
                  <c:pt idx="1388">
                    <c:v>*</c:v>
                  </c:pt>
                  <c:pt idx="1389">
                    <c:v>n 5</c:v>
                  </c:pt>
                  <c:pt idx="1390">
                    <c:v>n 6</c:v>
                  </c:pt>
                  <c:pt idx="1391">
                    <c:v>n 7</c:v>
                  </c:pt>
                  <c:pt idx="1392">
                    <c:v>3,5</c:v>
                  </c:pt>
                  <c:pt idx="1393">
                    <c:v>5</c:v>
                  </c:pt>
                  <c:pt idx="1402">
                    <c:v>3</c:v>
                  </c:pt>
                  <c:pt idx="1403">
                    <c:v>30X24</c:v>
                  </c:pt>
                  <c:pt idx="1404">
                    <c:v>26x20</c:v>
                  </c:pt>
                  <c:pt idx="1405">
                    <c:v>33 cm</c:v>
                  </c:pt>
                  <c:pt idx="1406">
                    <c:v>18 cm</c:v>
                  </c:pt>
                  <c:pt idx="1407">
                    <c:v>colores brillosos</c:v>
                  </c:pt>
                  <c:pt idx="1408">
                    <c:v>13</c:v>
                  </c:pt>
                  <c:pt idx="1409">
                    <c:v>15</c:v>
                  </c:pt>
                  <c:pt idx="1410">
                    <c:v>17</c:v>
                  </c:pt>
                  <c:pt idx="1411">
                    <c:v>19</c:v>
                  </c:pt>
                  <c:pt idx="1412">
                    <c:v>21</c:v>
                  </c:pt>
                  <c:pt idx="1413">
                    <c:v>24</c:v>
                  </c:pt>
                  <c:pt idx="1414">
                    <c:v>27</c:v>
                  </c:pt>
                  <c:pt idx="1415">
                    <c:v>30</c:v>
                  </c:pt>
                  <c:pt idx="1416">
                    <c:v>35</c:v>
                  </c:pt>
                  <c:pt idx="1417">
                    <c:v>40</c:v>
                  </c:pt>
                  <c:pt idx="1418">
                    <c:v>60</c:v>
                  </c:pt>
                  <c:pt idx="1419">
                    <c:v>3,6 lt</c:v>
                  </c:pt>
                  <c:pt idx="1420">
                    <c:v>5 lts</c:v>
                  </c:pt>
                  <c:pt idx="1421">
                    <c:v>8,5 lt</c:v>
                  </c:pt>
                  <c:pt idx="1422">
                    <c:v>7 lts</c:v>
                  </c:pt>
                  <c:pt idx="1423">
                    <c:v>10 lts</c:v>
                  </c:pt>
                  <c:pt idx="1424">
                    <c:v>11 lt</c:v>
                  </c:pt>
                  <c:pt idx="1425">
                    <c:v>14,3 lt</c:v>
                  </c:pt>
                  <c:pt idx="1426">
                    <c:v>18 lt</c:v>
                  </c:pt>
                  <c:pt idx="1427">
                    <c:v>33 lts</c:v>
                  </c:pt>
                  <c:pt idx="1428">
                    <c:v>39,5 lt</c:v>
                  </c:pt>
                  <c:pt idx="1429">
                    <c:v>50 lt</c:v>
                  </c:pt>
                  <c:pt idx="1433">
                    <c:v>21x17x12</c:v>
                  </c:pt>
                  <c:pt idx="1435">
                    <c:v>18</c:v>
                  </c:pt>
                  <c:pt idx="1436">
                    <c:v>1 kg</c:v>
                  </c:pt>
                  <c:pt idx="1437">
                    <c:v>25 kg</c:v>
                  </c:pt>
                  <c:pt idx="1438">
                    <c:v>25 kg</c:v>
                  </c:pt>
                  <c:pt idx="1439">
                    <c:v>1 kg</c:v>
                  </c:pt>
                  <c:pt idx="1440">
                    <c:v>20 ml</c:v>
                  </c:pt>
                  <c:pt idx="1441">
                    <c:v>mtr</c:v>
                  </c:pt>
                  <c:pt idx="1442">
                    <c:v>mtr</c:v>
                  </c:pt>
                  <c:pt idx="1443">
                    <c:v>mtr</c:v>
                  </c:pt>
                  <c:pt idx="1444">
                    <c:v>2,1</c:v>
                  </c:pt>
                  <c:pt idx="1446">
                    <c:v>100 mts</c:v>
                  </c:pt>
                  <c:pt idx="1447">
                    <c:v>1 mt lineal</c:v>
                  </c:pt>
                  <c:pt idx="1448">
                    <c:v>mt cuadrado</c:v>
                  </c:pt>
                  <c:pt idx="1449">
                    <c:v>0</c:v>
                  </c:pt>
                  <c:pt idx="1452">
                    <c:v>50 pies</c:v>
                  </c:pt>
                  <c:pt idx="1453">
                    <c:v>3/4x100mtr</c:v>
                  </c:pt>
                  <c:pt idx="1454">
                    <c:v>0</c:v>
                  </c:pt>
                  <c:pt idx="1455">
                    <c:v>10 mt</c:v>
                  </c:pt>
                  <c:pt idx="1456">
                    <c:v>15 mt</c:v>
                  </c:pt>
                  <c:pt idx="1457">
                    <c:v>15 mt</c:v>
                  </c:pt>
                  <c:pt idx="1458">
                    <c:v>60 pies</c:v>
                  </c:pt>
                  <c:pt idx="1460">
                    <c:v>10 CM X 50 CM</c:v>
                  </c:pt>
                  <c:pt idx="1461">
                    <c:v>20 cn</c:v>
                  </c:pt>
                  <c:pt idx="1463">
                    <c:v>120maples</c:v>
                  </c:pt>
                  <c:pt idx="1464">
                    <c:v>c/u</c:v>
                  </c:pt>
                  <c:pt idx="1466">
                    <c:v>1,2 kg</c:v>
                  </c:pt>
                  <c:pt idx="1467">
                    <c:v>100gr</c:v>
                  </c:pt>
                  <c:pt idx="1468">
                    <c:v>360 c,c</c:v>
                  </c:pt>
                  <c:pt idx="1470">
                    <c:v>30x52</c:v>
                  </c:pt>
                  <c:pt idx="1471">
                    <c:v>24 blister</c:v>
                  </c:pt>
                  <c:pt idx="1472">
                    <c:v>pastilla</c:v>
                  </c:pt>
                  <c:pt idx="1473">
                    <c:v>blister</c:v>
                  </c:pt>
                  <c:pt idx="1474">
                    <c:v> 500 grs1 ltr</c:v>
                  </c:pt>
                  <c:pt idx="1475">
                    <c:v>125 grs(250cc)</c:v>
                  </c:pt>
                  <c:pt idx="1476">
                    <c:v>1 ltr</c:v>
                  </c:pt>
                  <c:pt idx="1477">
                    <c:v>50 ml</c:v>
                  </c:pt>
                  <c:pt idx="1478">
                    <c:v>30 ml</c:v>
                  </c:pt>
                  <c:pt idx="1479">
                    <c:v>15 gr</c:v>
                  </c:pt>
                  <c:pt idx="1481">
                    <c:v>c/u</c:v>
                  </c:pt>
                  <c:pt idx="1482">
                    <c:v>16 lt</c:v>
                  </c:pt>
                  <c:pt idx="1483">
                    <c:v>34x25x42</c:v>
                  </c:pt>
                  <c:pt idx="1484">
                    <c:v>0</c:v>
                  </c:pt>
                  <c:pt idx="1485">
                    <c:v>25 kg</c:v>
                  </c:pt>
                  <c:pt idx="1486">
                    <c:v>40 kg</c:v>
                  </c:pt>
                  <c:pt idx="1487">
                    <c:v>kgr</c:v>
                  </c:pt>
                  <c:pt idx="1493">
                    <c:v>c/u</c:v>
                  </c:pt>
                  <c:pt idx="1494">
                    <c:v>0</c:v>
                  </c:pt>
                  <c:pt idx="1495">
                    <c:v>0</c:v>
                  </c:pt>
                  <c:pt idx="1496">
                    <c:v>45 cn</c:v>
                  </c:pt>
                  <c:pt idx="1497">
                    <c:v>600 ml</c:v>
                  </c:pt>
                  <c:pt idx="1498">
                    <c:v>2 unidades</c:v>
                  </c:pt>
                  <c:pt idx="1499">
                    <c:v>50 mm</c:v>
                  </c:pt>
                  <c:pt idx="1500">
                    <c:v>70mm</c:v>
                  </c:pt>
                  <c:pt idx="1501">
                    <c:v>80 mm</c:v>
                  </c:pt>
                  <c:pt idx="1502">
                    <c:v>90 mm</c:v>
                  </c:pt>
                  <c:pt idx="1503">
                    <c:v>50 lt</c:v>
                  </c:pt>
                  <c:pt idx="1506">
                    <c:v>10 lt</c:v>
                  </c:pt>
                  <c:pt idx="1507">
                    <c:v>30 c.c.</c:v>
                  </c:pt>
                  <c:pt idx="1508">
                    <c:v>caja 12</c:v>
                  </c:pt>
                  <c:pt idx="1509">
                    <c:v>20c,c,</c:v>
                  </c:pt>
                  <c:pt idx="1510">
                    <c:v>24x10x10</c:v>
                  </c:pt>
                  <c:pt idx="1512">
                    <c:v>11,5X11,5X24</c:v>
                  </c:pt>
                  <c:pt idx="1513">
                    <c:v>0</c:v>
                  </c:pt>
                  <c:pt idx="1514">
                    <c:v>c/u</c:v>
                  </c:pt>
                  <c:pt idx="1515">
                    <c:v>c/u</c:v>
                  </c:pt>
                  <c:pt idx="1517">
                    <c:v>10x6</c:v>
                  </c:pt>
                  <c:pt idx="1518">
                    <c:v>c/u</c:v>
                  </c:pt>
                  <c:pt idx="1519">
                    <c:v>1 tr</c:v>
                  </c:pt>
                  <c:pt idx="1520">
                    <c:v>100 c,c</c:v>
                  </c:pt>
                  <c:pt idx="1522">
                    <c:v>450 grs,</c:v>
                  </c:pt>
                  <c:pt idx="1523">
                    <c:v>325 grs</c:v>
                  </c:pt>
                  <c:pt idx="1524">
                    <c:v>5 KG</c:v>
                  </c:pt>
                  <c:pt idx="1525">
                    <c:v>100 GRS</c:v>
                  </c:pt>
                  <c:pt idx="1527">
                    <c:v>c/u</c:v>
                  </c:pt>
                  <c:pt idx="1528">
                    <c:v>85 GRS</c:v>
                  </c:pt>
                  <c:pt idx="1529">
                    <c:v>850 gr</c:v>
                  </c:pt>
                  <c:pt idx="1530">
                    <c:v>kg</c:v>
                  </c:pt>
                  <c:pt idx="1531">
                    <c:v>100 gr</c:v>
                  </c:pt>
                  <c:pt idx="1532">
                    <c:v>c/u</c:v>
                  </c:pt>
                  <c:pt idx="1534">
                    <c:v>67 cn</c:v>
                  </c:pt>
                  <c:pt idx="1535">
                    <c:v>c/u</c:v>
                  </c:pt>
                  <c:pt idx="1536">
                    <c:v>30x8 cm</c:v>
                  </c:pt>
                  <c:pt idx="1537">
                    <c:v>26 cm</c:v>
                  </c:pt>
                  <c:pt idx="1538">
                    <c:v>12</c:v>
                  </c:pt>
                  <c:pt idx="1539">
                    <c:v>0</c:v>
                  </c:pt>
                  <c:pt idx="1541">
                    <c:v>35x8</c:v>
                  </c:pt>
                  <c:pt idx="1542">
                    <c:v>25 x9</c:v>
                  </c:pt>
                  <c:pt idx="1543">
                    <c:v>bolsita 5 gr</c:v>
                  </c:pt>
                  <c:pt idx="1546">
                    <c:v>0</c:v>
                  </c:pt>
                  <c:pt idx="1547">
                    <c:v>0</c:v>
                  </c:pt>
                  <c:pt idx="1548">
                    <c:v>kg</c:v>
                  </c:pt>
                  <c:pt idx="1549">
                    <c:v>160 gr</c:v>
                  </c:pt>
                  <c:pt idx="1550">
                    <c:v>600 grs</c:v>
                  </c:pt>
                  <c:pt idx="1551">
                    <c:v>160 ggr</c:v>
                  </c:pt>
                  <c:pt idx="1553">
                    <c:v>186 gr</c:v>
                  </c:pt>
                  <c:pt idx="1554">
                    <c:v>93 grs</c:v>
                  </c:pt>
                  <c:pt idx="1555">
                    <c:v>c/u</c:v>
                  </c:pt>
                  <c:pt idx="1556">
                    <c:v>10-25 kg</c:v>
                  </c:pt>
                  <c:pt idx="1557">
                    <c:v>25-50</c:v>
                  </c:pt>
                  <c:pt idx="1558">
                    <c:v>4-10kg</c:v>
                  </c:pt>
                  <c:pt idx="1559">
                    <c:v>2-4 kg</c:v>
                  </c:pt>
                  <c:pt idx="1560">
                    <c:v>150 grs</c:v>
                  </c:pt>
                  <c:pt idx="1561">
                    <c:v>80x40x25en 4 mm</c:v>
                  </c:pt>
                  <c:pt idx="1562">
                    <c:v>40x40x25 en 4 mm</c:v>
                  </c:pt>
                  <c:pt idx="1563">
                    <c:v>33x30x17</c:v>
                  </c:pt>
                  <c:pt idx="1564">
                    <c:v>38x20x16</c:v>
                  </c:pt>
                  <c:pt idx="1565">
                    <c:v>40x27x16</c:v>
                  </c:pt>
                  <c:pt idx="1566">
                    <c:v>80 x25x 40 h</c:v>
                  </c:pt>
                  <c:pt idx="1567">
                    <c:v>RS 380 C</c:v>
                  </c:pt>
                  <c:pt idx="1568">
                    <c:v>30 LTRS380A</c:v>
                  </c:pt>
                  <c:pt idx="1569">
                    <c:v>17x15</c:v>
                  </c:pt>
                  <c:pt idx="1570">
                    <c:v>8 kg</c:v>
                  </c:pt>
                  <c:pt idx="1571">
                    <c:v>21 kg</c:v>
                  </c:pt>
                  <c:pt idx="1572">
                    <c:v>19x26</c:v>
                  </c:pt>
                  <c:pt idx="1574">
                    <c:v>1*29cm</c:v>
                  </c:pt>
                  <c:pt idx="1575">
                    <c:v>caja 24 unidades</c:v>
                  </c:pt>
                  <c:pt idx="1577">
                    <c:v>3  u nidades</c:v>
                  </c:pt>
                  <c:pt idx="1582">
                    <c:v>35 cm</c:v>
                  </c:pt>
                  <c:pt idx="1584">
                    <c:v>125dm3</c:v>
                  </c:pt>
                  <c:pt idx="1585">
                    <c:v>50 lt-11kg</c:v>
                  </c:pt>
                  <c:pt idx="1586">
                    <c:v>200 gr</c:v>
                  </c:pt>
                  <c:pt idx="1587">
                    <c:v>50 ltr</c:v>
                  </c:pt>
                  <c:pt idx="1588">
                    <c:v>7 kgr</c:v>
                  </c:pt>
                  <c:pt idx="1589">
                    <c:v>15 kg</c:v>
                  </c:pt>
                  <c:pt idx="1590">
                    <c:v>7kg</c:v>
                  </c:pt>
                  <c:pt idx="1591">
                    <c:v>25 kg</c:v>
                  </c:pt>
                  <c:pt idx="1592">
                    <c:v>1 kg</c:v>
                  </c:pt>
                  <c:pt idx="1593">
                    <c:v>25 kg</c:v>
                  </c:pt>
                  <c:pt idx="1594">
                    <c:v>1 kg</c:v>
                  </c:pt>
                  <c:pt idx="1595">
                    <c:v>7 kg</c:v>
                  </c:pt>
                  <c:pt idx="1596">
                    <c:v>1 KG</c:v>
                  </c:pt>
                  <c:pt idx="1597">
                    <c:v>10,1 KG</c:v>
                  </c:pt>
                  <c:pt idx="1598">
                    <c:v>25kg</c:v>
                  </c:pt>
                  <c:pt idx="1599">
                    <c:v>18 kg</c:v>
                  </c:pt>
                  <c:pt idx="1600">
                    <c:v>1kg</c:v>
                  </c:pt>
                  <c:pt idx="1601">
                    <c:v>7kg</c:v>
                  </c:pt>
                  <c:pt idx="1602">
                    <c:v>18 kg</c:v>
                  </c:pt>
                  <c:pt idx="1603">
                    <c:v>1kg</c:v>
                  </c:pt>
                  <c:pt idx="1604">
                    <c:v>8kg</c:v>
                  </c:pt>
                  <c:pt idx="1605">
                    <c:v>22 kg</c:v>
                  </c:pt>
                  <c:pt idx="1606">
                    <c:v>1 kg</c:v>
                  </c:pt>
                  <c:pt idx="1607">
                    <c:v>8 KG</c:v>
                  </c:pt>
                  <c:pt idx="1608">
                    <c:v>8 kg</c:v>
                  </c:pt>
                  <c:pt idx="1609">
                    <c:v>7 KG</c:v>
                  </c:pt>
                  <c:pt idx="1610">
                    <c:v>8 kg</c:v>
                  </c:pt>
                  <c:pt idx="1611">
                    <c:v>24 kg</c:v>
                  </c:pt>
                  <c:pt idx="1612">
                    <c:v>1 kg</c:v>
                  </c:pt>
                  <c:pt idx="1613">
                    <c:v>24 kg</c:v>
                  </c:pt>
                  <c:pt idx="1614">
                    <c:v>kg</c:v>
                  </c:pt>
                  <c:pt idx="1615">
                    <c:v>7,5 KG</c:v>
                  </c:pt>
                  <c:pt idx="1616">
                    <c:v>1 kg</c:v>
                  </c:pt>
                  <c:pt idx="1617">
                    <c:v>15 kg</c:v>
                  </c:pt>
                  <c:pt idx="1618">
                    <c:v>7 kgr</c:v>
                  </c:pt>
                  <c:pt idx="1619">
                    <c:v>25 kgr</c:v>
                  </c:pt>
                  <c:pt idx="1620">
                    <c:v>15 kg</c:v>
                  </c:pt>
                  <c:pt idx="1621">
                    <c:v>22 kg</c:v>
                  </c:pt>
                  <c:pt idx="1622">
                    <c:v>10 kg</c:v>
                  </c:pt>
                  <c:pt idx="1623">
                    <c:v>1 kg</c:v>
                  </c:pt>
                  <c:pt idx="1624">
                    <c:v>21 kg</c:v>
                  </c:pt>
                  <c:pt idx="1625">
                    <c:v>8 kg</c:v>
                  </c:pt>
                  <c:pt idx="1626">
                    <c:v>25 kg</c:v>
                  </c:pt>
                  <c:pt idx="1627">
                    <c:v>8 kg</c:v>
                  </c:pt>
                  <c:pt idx="1628">
                    <c:v>21 kg</c:v>
                  </c:pt>
                  <c:pt idx="1629">
                    <c:v>21 kg</c:v>
                  </c:pt>
                  <c:pt idx="1630">
                    <c:v>8 kg</c:v>
                  </c:pt>
                  <c:pt idx="1631">
                    <c:v>1 kgr</c:v>
                  </c:pt>
                  <c:pt idx="1632">
                    <c:v>21 kg</c:v>
                  </c:pt>
                  <c:pt idx="1633">
                    <c:v>1 kg</c:v>
                  </c:pt>
                  <c:pt idx="1634">
                    <c:v>1 kg</c:v>
                  </c:pt>
                  <c:pt idx="1635">
                    <c:v>7 kg</c:v>
                  </c:pt>
                  <c:pt idx="1636">
                    <c:v>20</c:v>
                  </c:pt>
                  <c:pt idx="1637">
                    <c:v>1 kg</c:v>
                  </c:pt>
                  <c:pt idx="1638">
                    <c:v>1 kg</c:v>
                  </c:pt>
                  <c:pt idx="1639">
                    <c:v>20 kg</c:v>
                  </c:pt>
                  <c:pt idx="1640">
                    <c:v>20 kg</c:v>
                  </c:pt>
                  <c:pt idx="1641">
                    <c:v>8 kg</c:v>
                  </c:pt>
                  <c:pt idx="1642">
                    <c:v>15 kg</c:v>
                  </c:pt>
                  <c:pt idx="1643">
                    <c:v>25 kg</c:v>
                  </c:pt>
                  <c:pt idx="1644">
                    <c:v>5 kg</c:v>
                  </c:pt>
                  <c:pt idx="1645">
                    <c:v>15 kg</c:v>
                  </c:pt>
                  <c:pt idx="1646">
                    <c:v>25 kg</c:v>
                  </c:pt>
                  <c:pt idx="1647">
                    <c:v>8 kg</c:v>
                  </c:pt>
                  <c:pt idx="1648">
                    <c:v>8 kg</c:v>
                  </c:pt>
                  <c:pt idx="1651">
                    <c:v>50 gr</c:v>
                  </c:pt>
                  <c:pt idx="1654">
                    <c:v>8</c:v>
                  </c:pt>
                  <c:pt idx="1655">
                    <c:v>47 gr</c:v>
                  </c:pt>
                  <c:pt idx="1656">
                    <c:v>22 gr</c:v>
                  </c:pt>
                  <c:pt idx="1658">
                    <c:v>10"</c:v>
                  </c:pt>
                  <c:pt idx="1659">
                    <c:v>4"</c:v>
                  </c:pt>
                  <c:pt idx="1660">
                    <c:v>6"</c:v>
                  </c:pt>
                  <c:pt idx="1661">
                    <c:v>c/u</c:v>
                  </c:pt>
                  <c:pt idx="1662">
                    <c:v>2 kg</c:v>
                  </c:pt>
                  <c:pt idx="1663">
                    <c:v>4 kg</c:v>
                  </c:pt>
                  <c:pt idx="1664">
                    <c:v>1,7kg</c:v>
                  </c:pt>
                  <c:pt idx="1665">
                    <c:v>3,800 litros</c:v>
                  </c:pt>
                  <c:pt idx="1666">
                    <c:v>15 kg</c:v>
                  </c:pt>
                  <c:pt idx="1667">
                    <c:v>1 kg</c:v>
                  </c:pt>
                  <c:pt idx="1668">
                    <c:v>500 GR</c:v>
                  </c:pt>
                  <c:pt idx="1669">
                    <c:v>45x17</c:v>
                  </c:pt>
                  <c:pt idx="1670">
                    <c:v>0</c:v>
                  </c:pt>
                  <c:pt idx="1671">
                    <c:v>1835 cm</c:v>
                  </c:pt>
                  <c:pt idx="1672">
                    <c:v>100 cc</c:v>
                  </c:pt>
                  <c:pt idx="1673">
                    <c:v>50 grs</c:v>
                  </c:pt>
                  <c:pt idx="1674">
                    <c:v>10-20 kg</c:v>
                  </c:pt>
                  <c:pt idx="1675">
                    <c:v>hasta 10 kg</c:v>
                  </c:pt>
                  <c:pt idx="1676">
                    <c:v>2-10 kg</c:v>
                  </c:pt>
                  <c:pt idx="1677">
                    <c:v>10-20kg</c:v>
                  </c:pt>
                  <c:pt idx="1678">
                    <c:v>hasta 4 kg</c:v>
                  </c:pt>
                  <c:pt idx="1679">
                    <c:v>mas de 4 kg</c:v>
                  </c:pt>
                  <c:pt idx="1680">
                    <c:v>5A10 KG</c:v>
                  </c:pt>
                  <c:pt idx="1681">
                    <c:v>10-kg</c:v>
                  </c:pt>
                  <c:pt idx="1682">
                    <c:v>10-25 kg</c:v>
                  </c:pt>
                  <c:pt idx="1683">
                    <c:v>25-40 kg</c:v>
                  </c:pt>
                  <c:pt idx="1684">
                    <c:v>HASTA 5 KG</c:v>
                  </c:pt>
                  <c:pt idx="1685">
                    <c:v>mas de 4kg</c:v>
                  </c:pt>
                  <c:pt idx="1686">
                    <c:v>hasta 4 kg</c:v>
                  </c:pt>
                  <c:pt idx="1687">
                    <c:v>0</c:v>
                  </c:pt>
                  <c:pt idx="1688">
                    <c:v>20 a 40 kg</c:v>
                  </c:pt>
                  <c:pt idx="1689">
                    <c:v>gato</c:v>
                  </c:pt>
                  <c:pt idx="1690">
                    <c:v>3</c:v>
                  </c:pt>
                  <c:pt idx="1693">
                    <c:v>16*10*14</c:v>
                  </c:pt>
                  <c:pt idx="1694">
                    <c:v>12*5*28</c:v>
                  </c:pt>
                  <c:pt idx="1695">
                    <c:v>7*3*29</c:v>
                  </c:pt>
                  <c:pt idx="1697">
                    <c:v>12x11</c:v>
                  </c:pt>
                  <c:pt idx="1698">
                    <c:v>c/u</c:v>
                  </c:pt>
                  <c:pt idx="1699">
                    <c:v>0</c:v>
                  </c:pt>
                  <c:pt idx="1700">
                    <c:v>1221</c:v>
                  </c:pt>
                  <c:pt idx="1701">
                    <c:v>frondosa9x6x25</c:v>
                  </c:pt>
                  <c:pt idx="1702">
                    <c:v>30 cm</c:v>
                  </c:pt>
                  <c:pt idx="1704">
                    <c:v>c/u</c:v>
                  </c:pt>
                  <c:pt idx="1705">
                    <c:v>0</c:v>
                  </c:pt>
                  <c:pt idx="1709">
                    <c:v>c/u</c:v>
                  </c:pt>
                  <c:pt idx="1710">
                    <c:v>bolsa 20 cm x 2 unidades</c:v>
                  </c:pt>
                  <c:pt idx="1711">
                    <c:v>30 cm</c:v>
                  </c:pt>
                  <c:pt idx="1712">
                    <c:v>40 cm</c:v>
                  </c:pt>
                  <c:pt idx="1714">
                    <c:v>160 cc</c:v>
                  </c:pt>
                  <c:pt idx="1715">
                    <c:v>160 CC</c:v>
                  </c:pt>
                  <c:pt idx="1716">
                    <c:v>2 plat</c:v>
                  </c:pt>
                  <c:pt idx="1717">
                    <c:v>20</c:v>
                  </c:pt>
                  <c:pt idx="1718">
                    <c:v>25</c:v>
                  </c:pt>
                  <c:pt idx="1719">
                    <c:v>30</c:v>
                  </c:pt>
                  <c:pt idx="1720">
                    <c:v>15x15</c:v>
                  </c:pt>
                  <c:pt idx="1721">
                    <c:v>20x20</c:v>
                  </c:pt>
                  <c:pt idx="1722">
                    <c:v>27x27</c:v>
                  </c:pt>
                  <c:pt idx="1723">
                    <c:v>n 11</c:v>
                  </c:pt>
                  <c:pt idx="1724">
                    <c:v>n 14</c:v>
                  </c:pt>
                </c:lvl>
                <c:lvl>
                  <c:pt idx="0">
                    <c:v> pie sepelio mediano grde</c:v>
                  </c:pt>
                  <c:pt idx="1">
                    <c:v>abamectina100 c,c,</c:v>
                  </c:pt>
                  <c:pt idx="2">
                    <c:v>ABATOP(abamectina)</c:v>
                  </c:pt>
                  <c:pt idx="3">
                    <c:v>Abono de mar</c:v>
                  </c:pt>
                  <c:pt idx="4">
                    <c:v>Abono de mar </c:v>
                  </c:pt>
                  <c:pt idx="5">
                    <c:v>aceite</c:v>
                  </c:pt>
                  <c:pt idx="6">
                    <c:v>aceite</c:v>
                  </c:pt>
                  <c:pt idx="7">
                    <c:v>aceite</c:v>
                  </c:pt>
                  <c:pt idx="8">
                    <c:v>aceite de neem</c:v>
                  </c:pt>
                  <c:pt idx="9">
                    <c:v>ACEITE DE NEEM</c:v>
                  </c:pt>
                  <c:pt idx="10">
                    <c:v>acople para manguera</c:v>
                  </c:pt>
                  <c:pt idx="11">
                    <c:v>acoples para manguera 3 piezas</c:v>
                  </c:pt>
                  <c:pt idx="12">
                    <c:v>acoples plastico p/manguera</c:v>
                  </c:pt>
                  <c:pt idx="13">
                    <c:v>activador </c:v>
                  </c:pt>
                  <c:pt idx="14">
                    <c:v>activador de  flores</c:v>
                  </c:pt>
                  <c:pt idx="15">
                    <c:v>adaptador 1/2</c:v>
                  </c:pt>
                  <c:pt idx="16">
                    <c:v>adaptador 1/2a3/4</c:v>
                  </c:pt>
                  <c:pt idx="17">
                    <c:v>adorno de corazon</c:v>
                  </c:pt>
                  <c:pt idx="18">
                    <c:v>adorno mica</c:v>
                  </c:pt>
                  <c:pt idx="19">
                    <c:v>adorno pecera</c:v>
                  </c:pt>
                  <c:pt idx="20">
                    <c:v>adorno pecera</c:v>
                  </c:pt>
                  <c:pt idx="21">
                    <c:v>adorno pecera</c:v>
                  </c:pt>
                  <c:pt idx="22">
                    <c:v>adorno pecera</c:v>
                  </c:pt>
                  <c:pt idx="23">
                    <c:v>adorno pecera</c:v>
                  </c:pt>
                  <c:pt idx="24">
                    <c:v>afrechillo molido de trigo</c:v>
                  </c:pt>
                  <c:pt idx="25">
                    <c:v>afrechillo molido de trigo </c:v>
                  </c:pt>
                  <c:pt idx="26">
                    <c:v>ahuyentador perro y gatos</c:v>
                  </c:pt>
                  <c:pt idx="27">
                    <c:v>aireador 1 salida 3w</c:v>
                  </c:pt>
                  <c:pt idx="28">
                    <c:v>aireador 1 salida 3w</c:v>
                  </c:pt>
                  <c:pt idx="29">
                    <c:v>aireador 1 salida rs-160</c:v>
                  </c:pt>
                  <c:pt idx="30">
                    <c:v>aireador 2 salida 5w</c:v>
                  </c:pt>
                  <c:pt idx="31">
                    <c:v>aireador 2 salidas rs-360</c:v>
                  </c:pt>
                  <c:pt idx="32">
                    <c:v>aireador 2 salidas rs-390</c:v>
                  </c:pt>
                  <c:pt idx="33">
                    <c:v>aireador 2,5lm  sl-2800</c:v>
                  </c:pt>
                  <c:pt idx="34">
                    <c:v>AKITO</c:v>
                  </c:pt>
                  <c:pt idx="35">
                    <c:v>alicate p/mascota</c:v>
                  </c:pt>
                  <c:pt idx="36">
                    <c:v>alimemtos p/plantas</c:v>
                  </c:pt>
                  <c:pt idx="37">
                    <c:v>alimento de tortuga</c:v>
                  </c:pt>
                  <c:pt idx="38">
                    <c:v>alimento gammarus</c:v>
                  </c:pt>
                  <c:pt idx="39">
                    <c:v>alimento gammarus</c:v>
                  </c:pt>
                  <c:pt idx="40">
                    <c:v>alimento gammarus</c:v>
                  </c:pt>
                  <c:pt idx="41">
                    <c:v>alimento gammarus</c:v>
                  </c:pt>
                  <c:pt idx="42">
                    <c:v>alimento godlfish flakes</c:v>
                  </c:pt>
                  <c:pt idx="43">
                    <c:v>alimento goldfish colour bits</c:v>
                  </c:pt>
                  <c:pt idx="44">
                    <c:v>alimento goldfish flakes </c:v>
                  </c:pt>
                  <c:pt idx="45">
                    <c:v>alimento goldfish flakes </c:v>
                  </c:pt>
                  <c:pt idx="46">
                    <c:v>alimento golfish </c:v>
                  </c:pt>
                  <c:pt idx="47">
                    <c:v>alimento grano mediano marron-verde</c:v>
                  </c:pt>
                  <c:pt idx="48">
                    <c:v>alimento p/tortugas alcon</c:v>
                  </c:pt>
                  <c:pt idx="49">
                    <c:v>alimento para estanque</c:v>
                  </c:pt>
                  <c:pt idx="50">
                    <c:v>alimento peleteado floatin green p/peces</c:v>
                  </c:pt>
                  <c:pt idx="51">
                    <c:v>alimento peleteado floatin green p/peces</c:v>
                  </c:pt>
                  <c:pt idx="52">
                    <c:v>alimento peleteado floatin green p/peces</c:v>
                  </c:pt>
                  <c:pt idx="53">
                    <c:v>alimento peleteado floatin green p/peces</c:v>
                  </c:pt>
                  <c:pt idx="54">
                    <c:v>alimento tortuga reptolife balde1,100 kg</c:v>
                  </c:pt>
                  <c:pt idx="55">
                    <c:v>alimento tortugaalcon</c:v>
                  </c:pt>
                  <c:pt idx="56">
                    <c:v>alimento tortugas tartafood</c:v>
                  </c:pt>
                  <c:pt idx="57">
                    <c:v>alimento tortugas tartafood</c:v>
                  </c:pt>
                  <c:pt idx="58">
                    <c:v>alimento tortugas tartafood</c:v>
                  </c:pt>
                  <c:pt idx="59">
                    <c:v>alimentos p/plantas CRECE MAS</c:v>
                  </c:pt>
                  <c:pt idx="60">
                    <c:v>almaciguera</c:v>
                  </c:pt>
                  <c:pt idx="61">
                    <c:v>almaciguera</c:v>
                  </c:pt>
                  <c:pt idx="62">
                    <c:v>almaciguera</c:v>
                  </c:pt>
                  <c:pt idx="63">
                    <c:v>ALMACIGUERA </c:v>
                  </c:pt>
                  <c:pt idx="64">
                    <c:v>almaciguera 288 cavidades</c:v>
                  </c:pt>
                  <c:pt idx="65">
                    <c:v>almaciguera 50 cavidades </c:v>
                  </c:pt>
                  <c:pt idx="66">
                    <c:v>almacigueras</c:v>
                  </c:pt>
                  <c:pt idx="67">
                    <c:v>almacigueras x 106 espacios</c:v>
                  </c:pt>
                  <c:pt idx="68">
                    <c:v>almacigueras x 200 espacios</c:v>
                  </c:pt>
                  <c:pt idx="69">
                    <c:v>almacigueras x 21 espacios</c:v>
                  </c:pt>
                  <c:pt idx="70">
                    <c:v>almacigueras x 32 espacios</c:v>
                  </c:pt>
                  <c:pt idx="71">
                    <c:v>almohadon corazon</c:v>
                  </c:pt>
                  <c:pt idx="72">
                    <c:v>alpiste</c:v>
                  </c:pt>
                  <c:pt idx="73">
                    <c:v>alpiste</c:v>
                  </c:pt>
                  <c:pt idx="74">
                    <c:v>alpiste</c:v>
                  </c:pt>
                  <c:pt idx="75">
                    <c:v>alpiste</c:v>
                  </c:pt>
                  <c:pt idx="76">
                    <c:v>antorcha</c:v>
                  </c:pt>
                  <c:pt idx="77">
                    <c:v>antorcha</c:v>
                  </c:pt>
                  <c:pt idx="78">
                    <c:v>antorcha 120cc</c:v>
                  </c:pt>
                  <c:pt idx="79">
                    <c:v>antorcha 150cc</c:v>
                  </c:pt>
                  <c:pt idx="80">
                    <c:v>appril antiparasitario</c:v>
                  </c:pt>
                  <c:pt idx="81">
                    <c:v>appril antiparasitario</c:v>
                  </c:pt>
                  <c:pt idx="82">
                    <c:v>appril antiparasitario</c:v>
                  </c:pt>
                  <c:pt idx="83">
                    <c:v>ARO MIMBRE CHICO</c:v>
                  </c:pt>
                  <c:pt idx="84">
                    <c:v>ARO MIMBRE GRANDE</c:v>
                  </c:pt>
                  <c:pt idx="85">
                    <c:v>aros coronas</c:v>
                  </c:pt>
                  <c:pt idx="86">
                    <c:v>aros coronas</c:v>
                  </c:pt>
                  <c:pt idx="87">
                    <c:v>aros coronas</c:v>
                  </c:pt>
                  <c:pt idx="88">
                    <c:v>arrozin</c:v>
                  </c:pt>
                  <c:pt idx="89">
                    <c:v>arrozin</c:v>
                  </c:pt>
                  <c:pt idx="90">
                    <c:v>aspersor giratorio</c:v>
                  </c:pt>
                  <c:pt idx="91">
                    <c:v>ASPERSOR GIRATORIO</c:v>
                  </c:pt>
                  <c:pt idx="92">
                    <c:v>aspersor giratorio</c:v>
                  </c:pt>
                  <c:pt idx="93">
                    <c:v>ATADO FOLLAJE X 3 HOJAS VERDES</c:v>
                  </c:pt>
                  <c:pt idx="94">
                    <c:v>atado ilusion</c:v>
                  </c:pt>
                  <c:pt idx="95">
                    <c:v>atado rosa</c:v>
                  </c:pt>
                  <c:pt idx="96">
                    <c:v>atado x 6 cala</c:v>
                  </c:pt>
                  <c:pt idx="97">
                    <c:v>azomite</c:v>
                  </c:pt>
                  <c:pt idx="98">
                    <c:v>azufre en polvo industrial</c:v>
                  </c:pt>
                  <c:pt idx="99">
                    <c:v>azufre en polvo industrial</c:v>
                  </c:pt>
                  <c:pt idx="100">
                    <c:v>azufre mojable </c:v>
                  </c:pt>
                  <c:pt idx="101">
                    <c:v>azufre mojable sulfagro</c:v>
                  </c:pt>
                  <c:pt idx="102">
                    <c:v>azufre seco</c:v>
                  </c:pt>
                  <c:pt idx="103">
                    <c:v>babocol</c:v>
                  </c:pt>
                  <c:pt idx="104">
                    <c:v>baboxan organico pellet</c:v>
                  </c:pt>
                  <c:pt idx="105">
                    <c:v>baboxan pelets</c:v>
                  </c:pt>
                  <c:pt idx="106">
                    <c:v>baboxan pellets </c:v>
                  </c:pt>
                  <c:pt idx="107">
                    <c:v>baboxan polvo</c:v>
                  </c:pt>
                  <c:pt idx="108">
                    <c:v>baboxan polvo</c:v>
                  </c:pt>
                  <c:pt idx="109">
                    <c:v>BALDE ACERO INOX </c:v>
                  </c:pt>
                  <c:pt idx="110">
                    <c:v>bandeja plastico c/escamas</c:v>
                  </c:pt>
                  <c:pt idx="111">
                    <c:v>bandeja sanitaria</c:v>
                  </c:pt>
                  <c:pt idx="112">
                    <c:v>bandeja sanitaria</c:v>
                  </c:pt>
                  <c:pt idx="113">
                    <c:v>bandeja sanitaria alta luxo</c:v>
                  </c:pt>
                  <c:pt idx="114">
                    <c:v>bañera grande</c:v>
                  </c:pt>
                  <c:pt idx="115">
                    <c:v>bañera plastica chica</c:v>
                  </c:pt>
                  <c:pt idx="116">
                    <c:v>bañera plastica gigante</c:v>
                  </c:pt>
                  <c:pt idx="117">
                    <c:v>bañera plastica grande</c:v>
                  </c:pt>
                  <c:pt idx="118">
                    <c:v>bañera plastica mediada</c:v>
                  </c:pt>
                  <c:pt idx="119">
                    <c:v>barco galeon</c:v>
                  </c:pt>
                  <c:pt idx="120">
                    <c:v>barco hundido</c:v>
                  </c:pt>
                  <c:pt idx="121">
                    <c:v>barrera antihormigas</c:v>
                  </c:pt>
                  <c:pt idx="122">
                    <c:v>barricade </c:v>
                  </c:pt>
                  <c:pt idx="123">
                    <c:v>barricade 36 frascos</c:v>
                  </c:pt>
                  <c:pt idx="124">
                    <c:v>barrisan</c:v>
                  </c:pt>
                  <c:pt idx="125">
                    <c:v>Bat Guano</c:v>
                  </c:pt>
                  <c:pt idx="126">
                    <c:v>Bat Guano</c:v>
                  </c:pt>
                  <c:pt idx="127">
                    <c:v>bat guano</c:v>
                  </c:pt>
                  <c:pt idx="128">
                    <c:v>bat guano</c:v>
                  </c:pt>
                  <c:pt idx="129">
                    <c:v>BEBEDERO</c:v>
                  </c:pt>
                  <c:pt idx="130">
                    <c:v>bebedero </c:v>
                  </c:pt>
                  <c:pt idx="131">
                    <c:v>bebedero </c:v>
                  </c:pt>
                  <c:pt idx="132">
                    <c:v>bebedero con asa</c:v>
                  </c:pt>
                  <c:pt idx="133">
                    <c:v>bebedero con asa</c:v>
                  </c:pt>
                  <c:pt idx="134">
                    <c:v>BEBEDERO HAMSTER</c:v>
                  </c:pt>
                  <c:pt idx="135">
                    <c:v>bebedero hamster</c:v>
                  </c:pt>
                  <c:pt idx="136">
                    <c:v>bebedero jaula pajaro</c:v>
                  </c:pt>
                  <c:pt idx="137">
                    <c:v>bebedero nacional</c:v>
                  </c:pt>
                  <c:pt idx="138">
                    <c:v>bebedero p/pajaro grande</c:v>
                  </c:pt>
                  <c:pt idx="139">
                    <c:v>bebedero p/pajaro tubo</c:v>
                  </c:pt>
                  <c:pt idx="140">
                    <c:v>bebedero p/pajaros tubo</c:v>
                  </c:pt>
                  <c:pt idx="141">
                    <c:v>bebedero p/pajaros tubo</c:v>
                  </c:pt>
                  <c:pt idx="142">
                    <c:v>bebedero picaflor</c:v>
                  </c:pt>
                  <c:pt idx="143">
                    <c:v>bebedero picaflor 3 flores</c:v>
                  </c:pt>
                  <c:pt idx="144">
                    <c:v>bebedero picaflor beija flor gold</c:v>
                  </c:pt>
                  <c:pt idx="145">
                    <c:v>bebedero picaflor beija flor premium</c:v>
                  </c:pt>
                  <c:pt idx="146">
                    <c:v>bebedero picaflor chico</c:v>
                  </c:pt>
                  <c:pt idx="147">
                    <c:v>bebedero picaflor chico</c:v>
                  </c:pt>
                  <c:pt idx="148">
                    <c:v>bebedero picaflor especial</c:v>
                  </c:pt>
                  <c:pt idx="149">
                    <c:v>bebedero picaflor grande</c:v>
                  </c:pt>
                  <c:pt idx="150">
                    <c:v>bebedero picaflor mediano</c:v>
                  </c:pt>
                  <c:pt idx="151">
                    <c:v>bebedero picflor grande</c:v>
                  </c:pt>
                  <c:pt idx="152">
                    <c:v>bebedero picflor grande</c:v>
                  </c:pt>
                  <c:pt idx="153">
                    <c:v>bebedero plastico</c:v>
                  </c:pt>
                  <c:pt idx="154">
                    <c:v>bebedero plastico</c:v>
                  </c:pt>
                  <c:pt idx="155">
                    <c:v>bebedero plastico grande</c:v>
                  </c:pt>
                  <c:pt idx="156">
                    <c:v>bebedero plastico punta metal</c:v>
                  </c:pt>
                  <c:pt idx="157">
                    <c:v>bebedero plastico punta metal</c:v>
                  </c:pt>
                  <c:pt idx="158">
                    <c:v>bebedero plastico punta metal</c:v>
                  </c:pt>
                  <c:pt idx="159">
                    <c:v>bebedero plastico punta metal</c:v>
                  </c:pt>
                  <c:pt idx="160">
                    <c:v>bebedero plastico punta metal</c:v>
                  </c:pt>
                  <c:pt idx="161">
                    <c:v>bicarbonato de sodio</c:v>
                  </c:pt>
                  <c:pt idx="162">
                    <c:v>BICI METAL</c:v>
                  </c:pt>
                  <c:pt idx="163">
                    <c:v>BICI METAL GRANDE</c:v>
                  </c:pt>
                  <c:pt idx="164">
                    <c:v>BICI METAL MINI</c:v>
                  </c:pt>
                  <c:pt idx="165">
                    <c:v>bicicleta adorno</c:v>
                  </c:pt>
                  <c:pt idx="166">
                    <c:v>big one floraCION</c:v>
                  </c:pt>
                  <c:pt idx="167">
                    <c:v>bio funguicida</c:v>
                  </c:pt>
                  <c:pt idx="168">
                    <c:v>bio insecticida</c:v>
                  </c:pt>
                  <c:pt idx="169">
                    <c:v>bio-fertilizante</c:v>
                  </c:pt>
                  <c:pt idx="170">
                    <c:v>bio-fertilizante</c:v>
                  </c:pt>
                  <c:pt idx="171">
                    <c:v>bio-fertilizantes</c:v>
                  </c:pt>
                  <c:pt idx="172">
                    <c:v>biopellet compomite</c:v>
                  </c:pt>
                  <c:pt idx="173">
                    <c:v>biopellet componite</c:v>
                  </c:pt>
                  <c:pt idx="174">
                    <c:v>biorepelente</c:v>
                  </c:pt>
                  <c:pt idx="175">
                    <c:v>biosustrato</c:v>
                  </c:pt>
                  <c:pt idx="176">
                    <c:v>biosustrato</c:v>
                  </c:pt>
                  <c:pt idx="177">
                    <c:v>biscrok</c:v>
                  </c:pt>
                  <c:pt idx="178">
                    <c:v>biscrok</c:v>
                  </c:pt>
                  <c:pt idx="179">
                    <c:v>BLISTER COLLARES MASCOTAS /SONAJERO</c:v>
                  </c:pt>
                  <c:pt idx="180">
                    <c:v>BLISTER COLLARES MASCOTAS MOÑAC /SONAJERO</c:v>
                  </c:pt>
                  <c:pt idx="181">
                    <c:v>BOLS COCO 15</c:v>
                  </c:pt>
                  <c:pt idx="182">
                    <c:v>bols coco bols 20</c:v>
                  </c:pt>
                  <c:pt idx="183">
                    <c:v>bols coco bols 25</c:v>
                  </c:pt>
                  <c:pt idx="184">
                    <c:v>bols coco bols 30</c:v>
                  </c:pt>
                  <c:pt idx="185">
                    <c:v>bols coco bols 35</c:v>
                  </c:pt>
                  <c:pt idx="186">
                    <c:v>bols coco con plato y linga</c:v>
                  </c:pt>
                  <c:pt idx="187">
                    <c:v>bols coco con plato y linga</c:v>
                  </c:pt>
                  <c:pt idx="188">
                    <c:v>bols COLOR c/plato</c:v>
                  </c:pt>
                  <c:pt idx="189">
                    <c:v>bols COLOR c/plato</c:v>
                  </c:pt>
                  <c:pt idx="190">
                    <c:v>bols con cadena </c:v>
                  </c:pt>
                  <c:pt idx="191">
                    <c:v>bols con cadena </c:v>
                  </c:pt>
                  <c:pt idx="192">
                    <c:v>bols con cadena </c:v>
                  </c:pt>
                  <c:pt idx="193">
                    <c:v>bols con cadena chino</c:v>
                  </c:pt>
                  <c:pt idx="194">
                    <c:v>bols con cadena chino</c:v>
                  </c:pt>
                  <c:pt idx="195">
                    <c:v>BOLS RATAN</c:v>
                  </c:pt>
                  <c:pt idx="196">
                    <c:v>bols s/plato vicenza</c:v>
                  </c:pt>
                  <c:pt idx="197">
                    <c:v>bols s/plato VICENZA</c:v>
                  </c:pt>
                  <c:pt idx="198">
                    <c:v>bols s/plato VICENZA</c:v>
                  </c:pt>
                  <c:pt idx="199">
                    <c:v>bols s/plato VICENZA</c:v>
                  </c:pt>
                  <c:pt idx="200">
                    <c:v>bols s/plato VICENZA</c:v>
                  </c:pt>
                  <c:pt idx="201">
                    <c:v>BOLS TERRA</c:v>
                  </c:pt>
                  <c:pt idx="202">
                    <c:v>BOLS TERRA</c:v>
                  </c:pt>
                  <c:pt idx="203">
                    <c:v>bolsa 20x30</c:v>
                  </c:pt>
                  <c:pt idx="204">
                    <c:v>bolsa 28x40</c:v>
                  </c:pt>
                  <c:pt idx="205">
                    <c:v>bolsa 35x50</c:v>
                  </c:pt>
                  <c:pt idx="206">
                    <c:v>BOLSA CAMISETA-</c:v>
                  </c:pt>
                  <c:pt idx="207">
                    <c:v>bolsa camiseta con fuelle</c:v>
                  </c:pt>
                  <c:pt idx="208">
                    <c:v>bolsa camiseta recicble</c:v>
                  </c:pt>
                  <c:pt idx="209">
                    <c:v>bolsa camiseta recicble</c:v>
                  </c:pt>
                  <c:pt idx="210">
                    <c:v>bolsa p/ lavarropa</c:v>
                  </c:pt>
                  <c:pt idx="211">
                    <c:v>bolsa p/semilla p/p</c:v>
                  </c:pt>
                  <c:pt idx="212">
                    <c:v>bolsa papel n 3</c:v>
                  </c:pt>
                  <c:pt idx="213">
                    <c:v>bolsa vivero/kg</c:v>
                  </c:pt>
                  <c:pt idx="214">
                    <c:v>bolsa vivero/kg</c:v>
                  </c:pt>
                  <c:pt idx="215">
                    <c:v>bolsa vivero/kg</c:v>
                  </c:pt>
                  <c:pt idx="216">
                    <c:v>bolsa vivero/kg -1 LTR</c:v>
                  </c:pt>
                  <c:pt idx="217">
                    <c:v>bolsa vivero/kg-2 LTR</c:v>
                  </c:pt>
                  <c:pt idx="218">
                    <c:v>bolsoc/cierre</c:v>
                  </c:pt>
                  <c:pt idx="219">
                    <c:v>bolsos chicos</c:v>
                  </c:pt>
                  <c:pt idx="220">
                    <c:v>bolsos grande</c:v>
                  </c:pt>
                  <c:pt idx="221">
                    <c:v>bomba de agua</c:v>
                  </c:pt>
                  <c:pt idx="222">
                    <c:v>bomba de agua</c:v>
                  </c:pt>
                  <c:pt idx="223">
                    <c:v>Bomba de agua </c:v>
                  </c:pt>
                  <c:pt idx="224">
                    <c:v>bomba de agua 40 w 2000 ltr, hr 2 mtr h</c:v>
                  </c:pt>
                  <c:pt idx="225">
                    <c:v>bomba de agua 5 w350 ltr /h0,65 hrs-901</c:v>
                  </c:pt>
                  <c:pt idx="226">
                    <c:v>BOMBA DE AGUA AQUARIUM</c:v>
                  </c:pt>
                  <c:pt idx="227">
                    <c:v>botelle con rocedor</c:v>
                  </c:pt>
                  <c:pt idx="228">
                    <c:v>boyas con 3 tanzas</c:v>
                  </c:pt>
                  <c:pt idx="229">
                    <c:v>bozal cuero</c:v>
                  </c:pt>
                  <c:pt idx="230">
                    <c:v>bozal plastico</c:v>
                  </c:pt>
                  <c:pt idx="231">
                    <c:v>bozal plastico</c:v>
                  </c:pt>
                  <c:pt idx="232">
                    <c:v>bozal plastico</c:v>
                  </c:pt>
                  <c:pt idx="233">
                    <c:v>bozal plastico</c:v>
                  </c:pt>
                  <c:pt idx="234">
                    <c:v>brillo p/hojas</c:v>
                  </c:pt>
                  <c:pt idx="235">
                    <c:v>buche</c:v>
                  </c:pt>
                  <c:pt idx="236">
                    <c:v>BUD PACK top crop</c:v>
                  </c:pt>
                  <c:pt idx="237">
                    <c:v>cable alambre forrado de atar</c:v>
                  </c:pt>
                  <c:pt idx="238">
                    <c:v>cactus</c:v>
                  </c:pt>
                  <c:pt idx="239">
                    <c:v>cactus mix</c:v>
                  </c:pt>
                  <c:pt idx="240">
                    <c:v>cadena c/mauser y manija antides</c:v>
                  </c:pt>
                  <c:pt idx="241">
                    <c:v>cadena soldada para perro</c:v>
                  </c:pt>
                  <c:pt idx="242">
                    <c:v>cadena soldada para perro</c:v>
                  </c:pt>
                  <c:pt idx="243">
                    <c:v>cadena soldada para perro</c:v>
                  </c:pt>
                  <c:pt idx="244">
                    <c:v>cadena soldada para perro</c:v>
                  </c:pt>
                  <c:pt idx="245">
                    <c:v>cadena soldada para perro</c:v>
                  </c:pt>
                  <c:pt idx="246">
                    <c:v>cadena soldada para perro</c:v>
                  </c:pt>
                  <c:pt idx="247">
                    <c:v>caja anzuelos</c:v>
                  </c:pt>
                  <c:pt idx="248">
                    <c:v>CAJON AGROBOX</c:v>
                  </c:pt>
                  <c:pt idx="249">
                    <c:v>calcio p/tortuga</c:v>
                  </c:pt>
                  <c:pt idx="250">
                    <c:v>calcio-p/tortugas</c:v>
                  </c:pt>
                  <c:pt idx="251">
                    <c:v>caldo bordoles </c:v>
                  </c:pt>
                  <c:pt idx="252">
                    <c:v>calecfator30w</c:v>
                  </c:pt>
                  <c:pt idx="253">
                    <c:v>CALEFACTOR100 W</c:v>
                  </c:pt>
                  <c:pt idx="254">
                    <c:v>calefator </c:v>
                  </c:pt>
                  <c:pt idx="255">
                    <c:v>calefator 75w</c:v>
                  </c:pt>
                  <c:pt idx="256">
                    <c:v>cama mascota rayada</c:v>
                  </c:pt>
                  <c:pt idx="257">
                    <c:v>cama mascota rayada</c:v>
                  </c:pt>
                  <c:pt idx="258">
                    <c:v>CANASTO</c:v>
                  </c:pt>
                  <c:pt idx="259">
                    <c:v>CANTO RODADO</c:v>
                  </c:pt>
                  <c:pt idx="260">
                    <c:v>caño p/pecera</c:v>
                  </c:pt>
                  <c:pt idx="261">
                    <c:v>caracolicida</c:v>
                  </c:pt>
                  <c:pt idx="262">
                    <c:v>caracolicida + hormiguicida</c:v>
                  </c:pt>
                  <c:pt idx="263">
                    <c:v>caracolicida agrol granulado</c:v>
                  </c:pt>
                  <c:pt idx="264">
                    <c:v>caracolicida cara-ba pellets -caja de 24-</c:v>
                  </c:pt>
                  <c:pt idx="265">
                    <c:v>caracolicida metazon</c:v>
                  </c:pt>
                  <c:pt idx="266">
                    <c:v>caracolicida metazon</c:v>
                  </c:pt>
                  <c:pt idx="267">
                    <c:v>caracolicida metazon</c:v>
                  </c:pt>
                  <c:pt idx="268">
                    <c:v>caramelode miel</c:v>
                  </c:pt>
                  <c:pt idx="269">
                    <c:v>CARAMELOS DE MIEL</c:v>
                  </c:pt>
                  <c:pt idx="270">
                    <c:v>carbon activado</c:v>
                  </c:pt>
                  <c:pt idx="271">
                    <c:v>carbon activado polvo</c:v>
                  </c:pt>
                  <c:pt idx="272">
                    <c:v>cardina plastica</c:v>
                  </c:pt>
                  <c:pt idx="273">
                    <c:v>cascada </c:v>
                  </c:pt>
                  <c:pt idx="274">
                    <c:v>cascara de pino</c:v>
                  </c:pt>
                  <c:pt idx="275">
                    <c:v>casita trampa p/cucarachas</c:v>
                  </c:pt>
                  <c:pt idx="276">
                    <c:v>castillo</c:v>
                  </c:pt>
                  <c:pt idx="277">
                    <c:v>castillo 4 puntas y puente</c:v>
                  </c:pt>
                  <c:pt idx="278">
                    <c:v>cepillo silicona</c:v>
                  </c:pt>
                  <c:pt idx="279">
                    <c:v>CERAMICA CHICA</c:v>
                  </c:pt>
                  <c:pt idx="280">
                    <c:v>CERAMICA MEDIANA</c:v>
                  </c:pt>
                  <c:pt idx="281">
                    <c:v>CERAMICA OLLAS</c:v>
                  </c:pt>
                  <c:pt idx="282">
                    <c:v>cerca con hojas</c:v>
                  </c:pt>
                  <c:pt idx="283">
                    <c:v>CERCO PLASTICO COLONIAL</c:v>
                  </c:pt>
                  <c:pt idx="284">
                    <c:v>cerco plastico valla para jardin</c:v>
                  </c:pt>
                  <c:pt idx="285">
                    <c:v>cero plaga 3 en 1</c:v>
                  </c:pt>
                  <c:pt idx="286">
                    <c:v>CERO PLAGA BIO insc polvo diat</c:v>
                  </c:pt>
                  <c:pt idx="287">
                    <c:v>cero plaga brrera antihormigas</c:v>
                  </c:pt>
                  <c:pt idx="288">
                    <c:v>CERO PLAGA CARACOLICIDA</c:v>
                  </c:pt>
                  <c:pt idx="289">
                    <c:v>CERO PLAGA CARACOLICIDA</c:v>
                  </c:pt>
                  <c:pt idx="290">
                    <c:v>cero plaga epray recambio</c:v>
                  </c:pt>
                  <c:pt idx="291">
                    <c:v>cero plaga hormiguicida</c:v>
                  </c:pt>
                  <c:pt idx="292">
                    <c:v>cero plaga hormiguicida</c:v>
                  </c:pt>
                  <c:pt idx="293">
                    <c:v>CERO PLAGA ins org 4 en 1</c:v>
                  </c:pt>
                  <c:pt idx="294">
                    <c:v>CERO PLAGA INSECT ORG CONCENTRADO</c:v>
                  </c:pt>
                  <c:pt idx="295">
                    <c:v>cero plaga insecticida concentrado</c:v>
                  </c:pt>
                  <c:pt idx="296">
                    <c:v>cero plaga jabon potasico spray</c:v>
                  </c:pt>
                  <c:pt idx="297">
                    <c:v>CERO PLAGA RECAMBIO INSECTICIDA</c:v>
                  </c:pt>
                  <c:pt idx="298">
                    <c:v>CERO PLAGA spray organico</c:v>
                  </c:pt>
                  <c:pt idx="299">
                    <c:v>cesped axonopus</c:v>
                  </c:pt>
                  <c:pt idx="300">
                    <c:v>cesped axonopus</c:v>
                  </c:pt>
                  <c:pt idx="301">
                    <c:v>cesped inteligente</c:v>
                  </c:pt>
                  <c:pt idx="302">
                    <c:v>cesped inteligente</c:v>
                  </c:pt>
                  <c:pt idx="303">
                    <c:v>cesped loliumperenne esquire</c:v>
                  </c:pt>
                  <c:pt idx="304">
                    <c:v>cesped mezcla estándar bolsa</c:v>
                  </c:pt>
                  <c:pt idx="305">
                    <c:v>cesped mezcla estándar bolsa</c:v>
                  </c:pt>
                  <c:pt idx="306">
                    <c:v>cesped mezcla estándar disp caja</c:v>
                  </c:pt>
                  <c:pt idx="307">
                    <c:v>cesped premiun ultra rapido</c:v>
                  </c:pt>
                  <c:pt idx="308">
                    <c:v>CESPED SINTETICO</c:v>
                  </c:pt>
                  <c:pt idx="309">
                    <c:v>chip de coco</c:v>
                  </c:pt>
                  <c:pt idx="310">
                    <c:v>chip de pino</c:v>
                  </c:pt>
                  <c:pt idx="311">
                    <c:v>cinta aisladora</c:v>
                  </c:pt>
                  <c:pt idx="312">
                    <c:v>cinta aisladora</c:v>
                  </c:pt>
                  <c:pt idx="313">
                    <c:v>CINTA ATAR</c:v>
                  </c:pt>
                  <c:pt idx="314">
                    <c:v>cinta para insectos</c:v>
                  </c:pt>
                  <c:pt idx="315">
                    <c:v>cinta pegajosa moscas</c:v>
                  </c:pt>
                  <c:pt idx="316">
                    <c:v>cipermetrina</c:v>
                  </c:pt>
                  <c:pt idx="317">
                    <c:v>cipermetrina</c:v>
                  </c:pt>
                  <c:pt idx="318">
                    <c:v>cipermetrina ectosules</c:v>
                  </c:pt>
                  <c:pt idx="319">
                    <c:v>cipermic</c:v>
                  </c:pt>
                  <c:pt idx="320">
                    <c:v>CITRONELLA cero plaga</c:v>
                  </c:pt>
                  <c:pt idx="321">
                    <c:v>clavel grande</c:v>
                  </c:pt>
                  <c:pt idx="322">
                    <c:v>cloraqua liq anticloro</c:v>
                  </c:pt>
                  <c:pt idx="323">
                    <c:v>coco bols 15</c:v>
                  </c:pt>
                  <c:pt idx="324">
                    <c:v>coco bols 25</c:v>
                  </c:pt>
                  <c:pt idx="325">
                    <c:v>coco bols 35</c:v>
                  </c:pt>
                  <c:pt idx="326">
                    <c:v>coco bols 40</c:v>
                  </c:pt>
                  <c:pt idx="327">
                    <c:v>coco expandido</c:v>
                  </c:pt>
                  <c:pt idx="328">
                    <c:v>coigro coco cannablend</c:v>
                  </c:pt>
                  <c:pt idx="329">
                    <c:v>coigro coco cannablend</c:v>
                  </c:pt>
                  <c:pt idx="330">
                    <c:v>coigro coco cannablend</c:v>
                  </c:pt>
                  <c:pt idx="331">
                    <c:v>colchon sanitario ecologico</c:v>
                  </c:pt>
                  <c:pt idx="332">
                    <c:v>colgante n 1</c:v>
                  </c:pt>
                  <c:pt idx="333">
                    <c:v>colgante n 3</c:v>
                  </c:pt>
                  <c:pt idx="334">
                    <c:v>colgante n2</c:v>
                  </c:pt>
                  <c:pt idx="335">
                    <c:v>COLLAR</c:v>
                  </c:pt>
                  <c:pt idx="336">
                    <c:v>collar </c:v>
                  </c:pt>
                  <c:pt idx="337">
                    <c:v>collar ahorque </c:v>
                  </c:pt>
                  <c:pt idx="338">
                    <c:v>collar ahorque </c:v>
                  </c:pt>
                  <c:pt idx="339">
                    <c:v>collar ahorque </c:v>
                  </c:pt>
                  <c:pt idx="340">
                    <c:v>collar cinta lisa</c:v>
                  </c:pt>
                  <c:pt idx="341">
                    <c:v>collar cinta lisa</c:v>
                  </c:pt>
                  <c:pt idx="342">
                    <c:v>collar cinta lisa</c:v>
                  </c:pt>
                  <c:pt idx="343">
                    <c:v>collar cinta lisa</c:v>
                  </c:pt>
                  <c:pt idx="344">
                    <c:v>collar cinta lisa</c:v>
                  </c:pt>
                  <c:pt idx="345">
                    <c:v>collar cinta lisa</c:v>
                  </c:pt>
                  <c:pt idx="346">
                    <c:v>collar cinta lisa </c:v>
                  </c:pt>
                  <c:pt idx="347">
                    <c:v>collar cinta lisa </c:v>
                  </c:pt>
                  <c:pt idx="348">
                    <c:v>collar cinta lisa </c:v>
                  </c:pt>
                  <c:pt idx="349">
                    <c:v>collar cinta lisa 1,5 cm </c:v>
                  </c:pt>
                  <c:pt idx="350">
                    <c:v>collar cinta lisa 2 cm</c:v>
                  </c:pt>
                  <c:pt idx="351">
                    <c:v>collar cinta lisa doble cinta</c:v>
                  </c:pt>
                  <c:pt idx="352">
                    <c:v>COLLAR COLOR CUERO </c:v>
                  </c:pt>
                  <c:pt idx="353">
                    <c:v>collar con huellita</c:v>
                  </c:pt>
                  <c:pt idx="354">
                    <c:v>collar de perro</c:v>
                  </c:pt>
                  <c:pt idx="355">
                    <c:v>collar de perro</c:v>
                  </c:pt>
                  <c:pt idx="356">
                    <c:v>collar de perro</c:v>
                  </c:pt>
                  <c:pt idx="357">
                    <c:v>collar doble cocido</c:v>
                  </c:pt>
                  <c:pt idx="358">
                    <c:v>collar doble fila de ojales</c:v>
                  </c:pt>
                  <c:pt idx="359">
                    <c:v>collar doble ojalillo</c:v>
                  </c:pt>
                  <c:pt idx="360">
                    <c:v>collar doble ojalillo</c:v>
                  </c:pt>
                  <c:pt idx="361">
                    <c:v>collar dominal cachorro</c:v>
                  </c:pt>
                  <c:pt idx="362">
                    <c:v>collar dominal extra grande</c:v>
                  </c:pt>
                  <c:pt idx="363">
                    <c:v>collar dominal gato</c:v>
                  </c:pt>
                  <c:pt idx="364">
                    <c:v>collar dominal gato</c:v>
                  </c:pt>
                  <c:pt idx="365">
                    <c:v>collar dominal gatos</c:v>
                  </c:pt>
                  <c:pt idx="366">
                    <c:v>collar dominal grande</c:v>
                  </c:pt>
                  <c:pt idx="367">
                    <c:v>collar dominal mediano</c:v>
                  </c:pt>
                  <c:pt idx="368">
                    <c:v>collar domiunal mediano</c:v>
                  </c:pt>
                  <c:pt idx="369">
                    <c:v>collar galon </c:v>
                  </c:pt>
                  <c:pt idx="370">
                    <c:v>COLLAR GOM</c:v>
                  </c:pt>
                  <c:pt idx="371">
                    <c:v>collar jyg</c:v>
                  </c:pt>
                  <c:pt idx="372">
                    <c:v>collar jyg</c:v>
                  </c:pt>
                  <c:pt idx="373">
                    <c:v>collar lisoc/moña blister</c:v>
                  </c:pt>
                  <c:pt idx="374">
                    <c:v>collar nylondoble fila ojales</c:v>
                  </c:pt>
                  <c:pt idx="375">
                    <c:v>collar p/gatosperro chico</c:v>
                  </c:pt>
                  <c:pt idx="376">
                    <c:v>collar perro </c:v>
                  </c:pt>
                  <c:pt idx="377">
                    <c:v>collar perro doble filas de ojales</c:v>
                  </c:pt>
                  <c:pt idx="378">
                    <c:v>collar pincho s </c:v>
                  </c:pt>
                  <c:pt idx="379">
                    <c:v>collar pincho xl</c:v>
                  </c:pt>
                  <c:pt idx="380">
                    <c:v>COLLAR REGULABLE BANDANA</c:v>
                  </c:pt>
                  <c:pt idx="381">
                    <c:v>COLLAR REGULABLECON GALON</c:v>
                  </c:pt>
                  <c:pt idx="382">
                    <c:v>collar silicona p/gato</c:v>
                  </c:pt>
                  <c:pt idx="383">
                    <c:v>colza </c:v>
                  </c:pt>
                  <c:pt idx="384">
                    <c:v>colza </c:v>
                  </c:pt>
                  <c:pt idx="385">
                    <c:v>comeder doble</c:v>
                  </c:pt>
                  <c:pt idx="386">
                    <c:v>comedero</c:v>
                  </c:pt>
                  <c:pt idx="387">
                    <c:v>comedero </c:v>
                  </c:pt>
                  <c:pt idx="388">
                    <c:v>comedero acero inox</c:v>
                  </c:pt>
                  <c:pt idx="389">
                    <c:v>comedero acero inox loro  grande</c:v>
                  </c:pt>
                  <c:pt idx="390">
                    <c:v>comedero automatico pajaro</c:v>
                  </c:pt>
                  <c:pt idx="391">
                    <c:v>comedero automatico premier</c:v>
                  </c:pt>
                  <c:pt idx="392">
                    <c:v>COMEDERO BEBEDERO CERAMICA</c:v>
                  </c:pt>
                  <c:pt idx="393">
                    <c:v>COMEDERO BEBEDERO CERAMICA</c:v>
                  </c:pt>
                  <c:pt idx="394">
                    <c:v>comedero bebedero p/pajaro-resorte externo</c:v>
                  </c:pt>
                  <c:pt idx="395">
                    <c:v>COMEDERO CON PATITAS</c:v>
                  </c:pt>
                  <c:pt idx="396">
                    <c:v>COMEDERO CON PATITAS</c:v>
                  </c:pt>
                  <c:pt idx="397">
                    <c:v>comedero doble</c:v>
                  </c:pt>
                  <c:pt idx="398">
                    <c:v>comedero doble</c:v>
                  </c:pt>
                  <c:pt idx="399">
                    <c:v>comedero doble de melamina</c:v>
                  </c:pt>
                  <c:pt idx="400">
                    <c:v>comedero doble p/gato</c:v>
                  </c:pt>
                  <c:pt idx="401">
                    <c:v>comedero economico </c:v>
                  </c:pt>
                  <c:pt idx="402">
                    <c:v>comedero economico bowl</c:v>
                  </c:pt>
                  <c:pt idx="403">
                    <c:v>comedero exterior</c:v>
                  </c:pt>
                  <c:pt idx="404">
                    <c:v>comedero interior</c:v>
                  </c:pt>
                  <c:pt idx="405">
                    <c:v>comedero oval 2agujeros c/gancho</c:v>
                  </c:pt>
                  <c:pt idx="406">
                    <c:v>comedero oval 3 agujeros</c:v>
                  </c:pt>
                  <c:pt idx="407">
                    <c:v>comedero pajaro</c:v>
                  </c:pt>
                  <c:pt idx="408">
                    <c:v>comedero plastico</c:v>
                  </c:pt>
                  <c:pt idx="409">
                    <c:v>comedero rancho plastico</c:v>
                  </c:pt>
                  <c:pt idx="410">
                    <c:v>comedero rancho plastico</c:v>
                  </c:pt>
                  <c:pt idx="411">
                    <c:v>comedero rect,hamster</c:v>
                  </c:pt>
                  <c:pt idx="412">
                    <c:v>comedero silvestre automatico</c:v>
                  </c:pt>
                  <c:pt idx="413">
                    <c:v>comedero tipo rancho</c:v>
                  </c:pt>
                  <c:pt idx="414">
                    <c:v>comedero tubo tolva</c:v>
                  </c:pt>
                  <c:pt idx="415">
                    <c:v>comederoeconomico c/ dibujos</c:v>
                  </c:pt>
                  <c:pt idx="416">
                    <c:v>compost premiun</c:v>
                  </c:pt>
                  <c:pt idx="417">
                    <c:v>compost premiun</c:v>
                  </c:pt>
                  <c:pt idx="418">
                    <c:v>conector de manguera</c:v>
                  </c:pt>
                  <c:pt idx="419">
                    <c:v>conector de manguera</c:v>
                  </c:pt>
                  <c:pt idx="420">
                    <c:v>conector p manguera</c:v>
                  </c:pt>
                  <c:pt idx="421">
                    <c:v>conexiom t</c:v>
                  </c:pt>
                  <c:pt idx="422">
                    <c:v>coral naranja</c:v>
                  </c:pt>
                  <c:pt idx="423">
                    <c:v>corazon espuma</c:v>
                  </c:pt>
                  <c:pt idx="424">
                    <c:v>Corona chica</c:v>
                  </c:pt>
                  <c:pt idx="425">
                    <c:v>Corona extra grande  claveles rosas y lilium</c:v>
                  </c:pt>
                  <c:pt idx="426">
                    <c:v>Corona grande claveles</c:v>
                  </c:pt>
                  <c:pt idx="427">
                    <c:v>corona mediana</c:v>
                  </c:pt>
                  <c:pt idx="428">
                    <c:v>CORREA CINTA LISA GALV</c:v>
                  </c:pt>
                  <c:pt idx="429">
                    <c:v>CORREA CINTA LISA GALV</c:v>
                  </c:pt>
                  <c:pt idx="430">
                    <c:v>CORREA CINTA LISA GALV</c:v>
                  </c:pt>
                  <c:pt idx="431">
                    <c:v>CORREA CINTA LISA GALV</c:v>
                  </c:pt>
                  <c:pt idx="432">
                    <c:v>correa con arnes</c:v>
                  </c:pt>
                  <c:pt idx="433">
                    <c:v>CORREA CON MANIJA Y RESORTE</c:v>
                  </c:pt>
                  <c:pt idx="434">
                    <c:v>correa lisa</c:v>
                  </c:pt>
                  <c:pt idx="435">
                    <c:v>correa lisa</c:v>
                  </c:pt>
                  <c:pt idx="436">
                    <c:v>correa retractil 5mts</c:v>
                  </c:pt>
                  <c:pt idx="437">
                    <c:v>corteza pino</c:v>
                  </c:pt>
                  <c:pt idx="438">
                    <c:v>CRECE MAS ACTIVADOR de flores </c:v>
                  </c:pt>
                  <c:pt idx="439">
                    <c:v>CRECE MAS ACTIVADOR de flores sachet</c:v>
                  </c:pt>
                  <c:pt idx="440">
                    <c:v>crece mas alim p/ todas plantas</c:v>
                  </c:pt>
                  <c:pt idx="441">
                    <c:v>crece mas alimento para cactus</c:v>
                  </c:pt>
                  <c:pt idx="442">
                    <c:v>crece mas arboles y frutales</c:v>
                  </c:pt>
                  <c:pt idx="443">
                    <c:v>crece mas enraizador sachett</c:v>
                  </c:pt>
                  <c:pt idx="444">
                    <c:v>crece mas jardin y huerta</c:v>
                  </c:pt>
                  <c:pt idx="445">
                    <c:v>crece mas p/ todas las plantas</c:v>
                  </c:pt>
                  <c:pt idx="446">
                    <c:v>crece mas p/helechos</c:v>
                  </c:pt>
                  <c:pt idx="447">
                    <c:v>crece mas rosas y flores</c:v>
                  </c:pt>
                  <c:pt idx="448">
                    <c:v>crece mas todas plantas FOLIAR</c:v>
                  </c:pt>
                  <c:pt idx="449">
                    <c:v>crece ms organico p/plantas</c:v>
                  </c:pt>
                  <c:pt idx="450">
                    <c:v>crecemas cactus y suculentas</c:v>
                  </c:pt>
                  <c:pt idx="451">
                    <c:v>creolina</c:v>
                  </c:pt>
                  <c:pt idx="452">
                    <c:v>creolina aromas</c:v>
                  </c:pt>
                  <c:pt idx="453">
                    <c:v>creolina buena estrella</c:v>
                  </c:pt>
                  <c:pt idx="454">
                    <c:v>creolina buena estrella</c:v>
                  </c:pt>
                  <c:pt idx="455">
                    <c:v>creolina concentrada</c:v>
                  </c:pt>
                  <c:pt idx="456">
                    <c:v>creolina concentrada</c:v>
                  </c:pt>
                  <c:pt idx="457">
                    <c:v>creolina concentrada</c:v>
                  </c:pt>
                  <c:pt idx="458">
                    <c:v>creolinas aromas</c:v>
                  </c:pt>
                  <c:pt idx="459">
                    <c:v>CROTON 65 CM</c:v>
                  </c:pt>
                  <c:pt idx="460">
                    <c:v>cucarachicida fulmoline</c:v>
                  </c:pt>
                  <c:pt idx="461">
                    <c:v>cucarachicida fulmolini</c:v>
                  </c:pt>
                  <c:pt idx="462">
                    <c:v>cucarachicida green choice</c:v>
                  </c:pt>
                  <c:pt idx="463">
                    <c:v>cucarachicida talquera</c:v>
                  </c:pt>
                  <c:pt idx="464">
                    <c:v>cuerda</c:v>
                  </c:pt>
                  <c:pt idx="465">
                    <c:v>cuerda con agasrre</c:v>
                  </c:pt>
                  <c:pt idx="466">
                    <c:v>cuerde 3 nudos-pelotas de goma</c:v>
                  </c:pt>
                  <c:pt idx="467">
                    <c:v>cuna 3 piezas</c:v>
                  </c:pt>
                  <c:pt idx="468">
                    <c:v>cuna de tela</c:v>
                  </c:pt>
                  <c:pt idx="469">
                    <c:v>cuna de tela</c:v>
                  </c:pt>
                  <c:pt idx="470">
                    <c:v>cuna de tela</c:v>
                  </c:pt>
                  <c:pt idx="471">
                    <c:v>cuna oval</c:v>
                  </c:pt>
                  <c:pt idx="472">
                    <c:v>cuna oval desmontable chico</c:v>
                  </c:pt>
                  <c:pt idx="473">
                    <c:v>cuna oval desmontable mediano</c:v>
                  </c:pt>
                  <c:pt idx="474">
                    <c:v>curabichera fibrusules</c:v>
                  </c:pt>
                  <c:pt idx="475">
                    <c:v>curabichera fleant ag spray</c:v>
                  </c:pt>
                  <c:pt idx="476">
                    <c:v>d</c:v>
                  </c:pt>
                  <c:pt idx="477">
                    <c:v>deeper under groun</c:v>
                  </c:pt>
                  <c:pt idx="478">
                    <c:v>dentastix</c:v>
                  </c:pt>
                  <c:pt idx="479">
                    <c:v>des</c:v>
                  </c:pt>
                  <c:pt idx="480">
                    <c:v>des</c:v>
                  </c:pt>
                  <c:pt idx="481">
                    <c:v>des</c:v>
                  </c:pt>
                  <c:pt idx="482">
                    <c:v>des</c:v>
                  </c:pt>
                  <c:pt idx="483">
                    <c:v>des</c:v>
                  </c:pt>
                  <c:pt idx="484">
                    <c:v>des</c:v>
                  </c:pt>
                  <c:pt idx="485">
                    <c:v>DES</c:v>
                  </c:pt>
                  <c:pt idx="486">
                    <c:v>DES</c:v>
                  </c:pt>
                  <c:pt idx="487">
                    <c:v>DES</c:v>
                  </c:pt>
                  <c:pt idx="488">
                    <c:v>des</c:v>
                  </c:pt>
                  <c:pt idx="489">
                    <c:v>des</c:v>
                  </c:pt>
                  <c:pt idx="490">
                    <c:v>des</c:v>
                  </c:pt>
                  <c:pt idx="491">
                    <c:v>des</c:v>
                  </c:pt>
                  <c:pt idx="492">
                    <c:v>des</c:v>
                  </c:pt>
                  <c:pt idx="493">
                    <c:v>des</c:v>
                  </c:pt>
                  <c:pt idx="494">
                    <c:v>des</c:v>
                  </c:pt>
                  <c:pt idx="495">
                    <c:v>des</c:v>
                  </c:pt>
                  <c:pt idx="496">
                    <c:v>des</c:v>
                  </c:pt>
                  <c:pt idx="497">
                    <c:v>des</c:v>
                  </c:pt>
                  <c:pt idx="498">
                    <c:v>des</c:v>
                  </c:pt>
                  <c:pt idx="499">
                    <c:v>des</c:v>
                  </c:pt>
                  <c:pt idx="500">
                    <c:v>des</c:v>
                  </c:pt>
                  <c:pt idx="501">
                    <c:v>des</c:v>
                  </c:pt>
                  <c:pt idx="502">
                    <c:v>des</c:v>
                  </c:pt>
                  <c:pt idx="503">
                    <c:v>des</c:v>
                  </c:pt>
                  <c:pt idx="504">
                    <c:v>des</c:v>
                  </c:pt>
                  <c:pt idx="505">
                    <c:v>des</c:v>
                  </c:pt>
                  <c:pt idx="506">
                    <c:v>des</c:v>
                  </c:pt>
                  <c:pt idx="507">
                    <c:v>des</c:v>
                  </c:pt>
                  <c:pt idx="508">
                    <c:v>des</c:v>
                  </c:pt>
                  <c:pt idx="509">
                    <c:v>des</c:v>
                  </c:pt>
                  <c:pt idx="510">
                    <c:v>des</c:v>
                  </c:pt>
                  <c:pt idx="511">
                    <c:v>des</c:v>
                  </c:pt>
                  <c:pt idx="512">
                    <c:v>des</c:v>
                  </c:pt>
                  <c:pt idx="513">
                    <c:v>des</c:v>
                  </c:pt>
                  <c:pt idx="514">
                    <c:v>des</c:v>
                  </c:pt>
                  <c:pt idx="515">
                    <c:v>des</c:v>
                  </c:pt>
                  <c:pt idx="516">
                    <c:v>des</c:v>
                  </c:pt>
                  <c:pt idx="517">
                    <c:v>des</c:v>
                  </c:pt>
                  <c:pt idx="518">
                    <c:v>des</c:v>
                  </c:pt>
                  <c:pt idx="519">
                    <c:v>des</c:v>
                  </c:pt>
                  <c:pt idx="520">
                    <c:v>des</c:v>
                  </c:pt>
                  <c:pt idx="521">
                    <c:v>des</c:v>
                  </c:pt>
                  <c:pt idx="522">
                    <c:v>des</c:v>
                  </c:pt>
                  <c:pt idx="523">
                    <c:v>des</c:v>
                  </c:pt>
                  <c:pt idx="524">
                    <c:v>des</c:v>
                  </c:pt>
                  <c:pt idx="525">
                    <c:v>des</c:v>
                  </c:pt>
                  <c:pt idx="526">
                    <c:v>des</c:v>
                  </c:pt>
                  <c:pt idx="527">
                    <c:v>des</c:v>
                  </c:pt>
                  <c:pt idx="528">
                    <c:v>des</c:v>
                  </c:pt>
                  <c:pt idx="529">
                    <c:v>des</c:v>
                  </c:pt>
                  <c:pt idx="530">
                    <c:v>des</c:v>
                  </c:pt>
                  <c:pt idx="531">
                    <c:v>des</c:v>
                  </c:pt>
                  <c:pt idx="532">
                    <c:v>des</c:v>
                  </c:pt>
                  <c:pt idx="533">
                    <c:v>des</c:v>
                  </c:pt>
                  <c:pt idx="534">
                    <c:v>des</c:v>
                  </c:pt>
                  <c:pt idx="535">
                    <c:v>des</c:v>
                  </c:pt>
                  <c:pt idx="536">
                    <c:v>des</c:v>
                  </c:pt>
                  <c:pt idx="537">
                    <c:v>des</c:v>
                  </c:pt>
                  <c:pt idx="538">
                    <c:v>des</c:v>
                  </c:pt>
                  <c:pt idx="539">
                    <c:v>des</c:v>
                  </c:pt>
                  <c:pt idx="540">
                    <c:v>des</c:v>
                  </c:pt>
                  <c:pt idx="541">
                    <c:v>des</c:v>
                  </c:pt>
                  <c:pt idx="542">
                    <c:v>des</c:v>
                  </c:pt>
                  <c:pt idx="543">
                    <c:v>des</c:v>
                  </c:pt>
                  <c:pt idx="544">
                    <c:v>des</c:v>
                  </c:pt>
                  <c:pt idx="545">
                    <c:v>des</c:v>
                  </c:pt>
                  <c:pt idx="546">
                    <c:v>des</c:v>
                  </c:pt>
                  <c:pt idx="547">
                    <c:v>des</c:v>
                  </c:pt>
                  <c:pt idx="548">
                    <c:v>des</c:v>
                  </c:pt>
                  <c:pt idx="549">
                    <c:v>des</c:v>
                  </c:pt>
                  <c:pt idx="550">
                    <c:v>des</c:v>
                  </c:pt>
                  <c:pt idx="551">
                    <c:v>des</c:v>
                  </c:pt>
                  <c:pt idx="552">
                    <c:v>destorcedor galvanizado n4</c:v>
                  </c:pt>
                  <c:pt idx="553">
                    <c:v>destorcedor galvanizado n8</c:v>
                  </c:pt>
                  <c:pt idx="554">
                    <c:v>dimetoato</c:v>
                  </c:pt>
                  <c:pt idx="555">
                    <c:v>dispersona</c:v>
                  </c:pt>
                  <c:pt idx="556">
                    <c:v>dispersona</c:v>
                  </c:pt>
                  <c:pt idx="557">
                    <c:v>ecovaso con plato y linga</c:v>
                  </c:pt>
                  <c:pt idx="558">
                    <c:v>ectosules</c:v>
                  </c:pt>
                  <c:pt idx="559">
                    <c:v>educador y ahuyentador perro y gato</c:v>
                  </c:pt>
                  <c:pt idx="560">
                    <c:v>eliminador olores para pisos</c:v>
                  </c:pt>
                  <c:pt idx="561">
                    <c:v>embudo grande</c:v>
                  </c:pt>
                  <c:pt idx="562">
                    <c:v>embudo mediano chico</c:v>
                  </c:pt>
                  <c:pt idx="563">
                    <c:v>enraizador</c:v>
                  </c:pt>
                  <c:pt idx="564">
                    <c:v>enraizador 345</c:v>
                  </c:pt>
                  <c:pt idx="565">
                    <c:v>enraizaor</c:v>
                  </c:pt>
                  <c:pt idx="566">
                    <c:v>equipex</c:v>
                  </c:pt>
                  <c:pt idx="567">
                    <c:v>ESCARDILLA DOBLE </c:v>
                  </c:pt>
                  <c:pt idx="568">
                    <c:v>escardillo de mano</c:v>
                  </c:pt>
                  <c:pt idx="569">
                    <c:v>escardillo p/jardin</c:v>
                  </c:pt>
                  <c:pt idx="570">
                    <c:v>escardillo tridente de jardineria</c:v>
                  </c:pt>
                  <c:pt idx="571">
                    <c:v>escoba de jardin</c:v>
                  </c:pt>
                  <c:pt idx="572">
                    <c:v>escoba plastico c/mango</c:v>
                  </c:pt>
                  <c:pt idx="573">
                    <c:v>escobas paja</c:v>
                  </c:pt>
                  <c:pt idx="574">
                    <c:v>escobilla de plastico naranja</c:v>
                  </c:pt>
                  <c:pt idx="575">
                    <c:v>escobilla jardin</c:v>
                  </c:pt>
                  <c:pt idx="576">
                    <c:v>escobilla metal</c:v>
                  </c:pt>
                  <c:pt idx="577">
                    <c:v>escobilla plastica sin cabo</c:v>
                  </c:pt>
                  <c:pt idx="578">
                    <c:v>escobilla plastica sin cabo</c:v>
                  </c:pt>
                  <c:pt idx="579">
                    <c:v>esfera acrilica de hamster</c:v>
                  </c:pt>
                  <c:pt idx="580">
                    <c:v>esfera hamster mediana</c:v>
                  </c:pt>
                  <c:pt idx="581">
                    <c:v>espinillo</c:v>
                  </c:pt>
                  <c:pt idx="582">
                    <c:v>espirales jumo</c:v>
                  </c:pt>
                  <c:pt idx="583">
                    <c:v>estaca</c:v>
                  </c:pt>
                  <c:pt idx="584">
                    <c:v>esterilla</c:v>
                  </c:pt>
                  <c:pt idx="585">
                    <c:v>estrangulador</c:v>
                  </c:pt>
                  <c:pt idx="586">
                    <c:v>estrobal</c:v>
                  </c:pt>
                  <c:pt idx="587">
                    <c:v>estrobal comprimidos</c:v>
                  </c:pt>
                  <c:pt idx="588">
                    <c:v>estrobal inyectable</c:v>
                  </c:pt>
                  <c:pt idx="589">
                    <c:v>FERT FERROSO</c:v>
                  </c:pt>
                  <c:pt idx="590">
                    <c:v>fert hakaphos rojo 18x18x18</c:v>
                  </c:pt>
                  <c:pt idx="591">
                    <c:v>fert hakaphos rojo 18x18x18</c:v>
                  </c:pt>
                  <c:pt idx="592">
                    <c:v>fert urea</c:v>
                  </c:pt>
                  <c:pt idx="593">
                    <c:v>fert urea</c:v>
                  </c:pt>
                  <c:pt idx="594">
                    <c:v>fert urea</c:v>
                  </c:pt>
                  <c:pt idx="595">
                    <c:v>fertilizante 15-15-15</c:v>
                  </c:pt>
                  <c:pt idx="596">
                    <c:v>fertilizante 15-15-15-</c:v>
                  </c:pt>
                  <c:pt idx="597">
                    <c:v>fertilizante AKAFOS ROSADO 18-18-18</c:v>
                  </c:pt>
                  <c:pt idx="598">
                    <c:v>fertilizante blaukorn 12-8-16 azul</c:v>
                  </c:pt>
                  <c:pt idx="599">
                    <c:v>fertilizante blaukorn 12-8-16 azul</c:v>
                  </c:pt>
                  <c:pt idx="600">
                    <c:v>fertilizante blaukorn classic</c:v>
                  </c:pt>
                  <c:pt idx="601">
                    <c:v>fertilizante blaukorn classic</c:v>
                  </c:pt>
                  <c:pt idx="602">
                    <c:v>fertilizante bleu korn</c:v>
                  </c:pt>
                  <c:pt idx="603">
                    <c:v>fertilizante bleu korn</c:v>
                  </c:pt>
                  <c:pt idx="604">
                    <c:v>fertilizante granos azules act. Flores y frutos</c:v>
                  </c:pt>
                  <c:pt idx="605">
                    <c:v>fertilizante helecho</c:v>
                  </c:pt>
                  <c:pt idx="606">
                    <c:v>fertilizante helechos</c:v>
                  </c:pt>
                  <c:pt idx="607">
                    <c:v>fertilizante orquidea</c:v>
                  </c:pt>
                  <c:pt idx="608">
                    <c:v>fertilizante orquidea</c:v>
                  </c:pt>
                  <c:pt idx="609">
                    <c:v>fertilizante orquideas</c:v>
                  </c:pt>
                  <c:pt idx="610">
                    <c:v>fertilizante orquideas</c:v>
                  </c:pt>
                  <c:pt idx="611">
                    <c:v>fertilizante violetas</c:v>
                  </c:pt>
                  <c:pt idx="612">
                    <c:v>fertilizantes helechos samambaias </c:v>
                  </c:pt>
                  <c:pt idx="613">
                    <c:v>fetilizante cactus</c:v>
                  </c:pt>
                  <c:pt idx="614">
                    <c:v>fibra de coco</c:v>
                  </c:pt>
                  <c:pt idx="615">
                    <c:v>fibra de coco</c:v>
                  </c:pt>
                  <c:pt idx="616">
                    <c:v>fibra de coco</c:v>
                  </c:pt>
                  <c:pt idx="617">
                    <c:v>fibra de coco</c:v>
                  </c:pt>
                  <c:pt idx="618">
                    <c:v>fibra de coco expandido</c:v>
                  </c:pt>
                  <c:pt idx="619">
                    <c:v>filtro  638 b</c:v>
                  </c:pt>
                  <c:pt idx="620">
                    <c:v>filtro bioesponja</c:v>
                  </c:pt>
                  <c:pt idx="621">
                    <c:v>filtro bioesponja</c:v>
                  </c:pt>
                  <c:pt idx="622">
                    <c:v>filtro bioesponja</c:v>
                  </c:pt>
                  <c:pt idx="623">
                    <c:v>filtro bioesponja</c:v>
                  </c:pt>
                  <c:pt idx="624">
                    <c:v>filtro externo mochila</c:v>
                  </c:pt>
                  <c:pt idx="625">
                    <c:v>filtro humedo seco </c:v>
                  </c:pt>
                  <c:pt idx="626">
                    <c:v>filtro interno 3w  rs 072</c:v>
                  </c:pt>
                  <c:pt idx="627">
                    <c:v>filtro interno 6w450 rs 082A</c:v>
                  </c:pt>
                  <c:pt idx="628">
                    <c:v>filtro interno rs 2001 8 W</c:v>
                  </c:pt>
                  <c:pt idx="629">
                    <c:v>filtro interno rs 201 8W</c:v>
                  </c:pt>
                  <c:pt idx="630">
                    <c:v>filtro interno rs-062A2W </c:v>
                  </c:pt>
                  <c:pt idx="631">
                    <c:v>filtro mochila 3000</c:v>
                  </c:pt>
                  <c:pt idx="632">
                    <c:v>filtro-cabeza de poder</c:v>
                  </c:pt>
                  <c:pt idx="633">
                    <c:v>flit derribador</c:v>
                  </c:pt>
                  <c:pt idx="634">
                    <c:v>flit dezenur </c:v>
                  </c:pt>
                  <c:pt idx="635">
                    <c:v>flit dezenur 1/4250 c,c</c:v>
                  </c:pt>
                  <c:pt idx="636">
                    <c:v>flit dezenur envasado</c:v>
                  </c:pt>
                  <c:pt idx="637">
                    <c:v>flor artificial</c:v>
                  </c:pt>
                  <c:pt idx="638">
                    <c:v>flor artificial</c:v>
                  </c:pt>
                  <c:pt idx="639">
                    <c:v>flor de pajarito </c:v>
                  </c:pt>
                  <c:pt idx="640">
                    <c:v>FLOR DE REGADERA PARA BOTELLA</c:v>
                  </c:pt>
                  <c:pt idx="641">
                    <c:v>flor goma eva</c:v>
                  </c:pt>
                  <c:pt idx="642">
                    <c:v>FLORERO</c:v>
                  </c:pt>
                  <c:pt idx="643">
                    <c:v>FLORERO</c:v>
                  </c:pt>
                  <c:pt idx="644">
                    <c:v>FLORERO</c:v>
                  </c:pt>
                  <c:pt idx="645">
                    <c:v>florero labrado</c:v>
                  </c:pt>
                  <c:pt idx="646">
                    <c:v>FLORERO PECERA</c:v>
                  </c:pt>
                  <c:pt idx="647">
                    <c:v>florero vidrio</c:v>
                  </c:pt>
                  <c:pt idx="648">
                    <c:v>florero vidrio</c:v>
                  </c:pt>
                  <c:pt idx="649">
                    <c:v>florero vidrio</c:v>
                  </c:pt>
                  <c:pt idx="650">
                    <c:v>florero vidrio</c:v>
                  </c:pt>
                  <c:pt idx="651">
                    <c:v>florero vidrio caja</c:v>
                  </c:pt>
                  <c:pt idx="652">
                    <c:v>FLORERO VIDRIO LABRADO</c:v>
                  </c:pt>
                  <c:pt idx="653">
                    <c:v>FLORERO VIDRIO LABRADO</c:v>
                  </c:pt>
                  <c:pt idx="654">
                    <c:v>FLORERO VIDRIO LABRADO</c:v>
                  </c:pt>
                  <c:pt idx="655">
                    <c:v>FLORERO VIDRIO LABRADO</c:v>
                  </c:pt>
                  <c:pt idx="656">
                    <c:v>florero vidrio labrado</c:v>
                  </c:pt>
                  <c:pt idx="657">
                    <c:v>flores aleli</c:v>
                  </c:pt>
                  <c:pt idx="658">
                    <c:v>flores astromelias</c:v>
                  </c:pt>
                  <c:pt idx="659">
                    <c:v>flores astromelias c/arreglo</c:v>
                  </c:pt>
                  <c:pt idx="660">
                    <c:v>FOLLAJE  CASPIA FLOR SECA CON CELOFAN</c:v>
                  </c:pt>
                  <c:pt idx="661">
                    <c:v>FOLLAJE COLITA DE RATON</c:v>
                  </c:pt>
                  <c:pt idx="662">
                    <c:v>FOLLAJE FLOR SECA</c:v>
                  </c:pt>
                  <c:pt idx="663">
                    <c:v>FOLLAJE SECO</c:v>
                  </c:pt>
                  <c:pt idx="664">
                    <c:v>FOLLAJE SECO</c:v>
                  </c:pt>
                  <c:pt idx="665">
                    <c:v>FOLLAJE SECO</c:v>
                  </c:pt>
                  <c:pt idx="666">
                    <c:v>franela micro fibra</c:v>
                  </c:pt>
                  <c:pt idx="667">
                    <c:v>frascos</c:v>
                  </c:pt>
                  <c:pt idx="668">
                    <c:v>frascos</c:v>
                  </c:pt>
                  <c:pt idx="669">
                    <c:v>fuente cascada</c:v>
                  </c:pt>
                  <c:pt idx="670">
                    <c:v>fumigador</c:v>
                  </c:pt>
                  <c:pt idx="671">
                    <c:v>fumigador</c:v>
                  </c:pt>
                  <c:pt idx="672">
                    <c:v>fumigator</c:v>
                  </c:pt>
                  <c:pt idx="673">
                    <c:v>FUNGOXAN</c:v>
                  </c:pt>
                  <c:pt idx="674">
                    <c:v>fungoxan mixto-caja  36 fc,</c:v>
                  </c:pt>
                  <c:pt idx="675">
                    <c:v>gallinol</c:v>
                  </c:pt>
                  <c:pt idx="676">
                    <c:v>gallinol</c:v>
                  </c:pt>
                  <c:pt idx="677">
                    <c:v>gancho hierro</c:v>
                  </c:pt>
                  <c:pt idx="678">
                    <c:v>gatillos</c:v>
                  </c:pt>
                  <c:pt idx="679">
                    <c:v>gato  castrado wiskas</c:v>
                  </c:pt>
                  <c:pt idx="680">
                    <c:v>gato 7 vidas</c:v>
                  </c:pt>
                  <c:pt idx="681">
                    <c:v>gato adulto equilibrio</c:v>
                  </c:pt>
                  <c:pt idx="682">
                    <c:v>gato adulto equilibrio </c:v>
                  </c:pt>
                  <c:pt idx="683">
                    <c:v>gato beny</c:v>
                  </c:pt>
                  <c:pt idx="684">
                    <c:v>gato beny</c:v>
                  </c:pt>
                  <c:pt idx="685">
                    <c:v>gato birbo</c:v>
                  </c:pt>
                  <c:pt idx="686">
                    <c:v>gato birbo</c:v>
                  </c:pt>
                  <c:pt idx="687">
                    <c:v>gato castrado</c:v>
                  </c:pt>
                  <c:pt idx="688">
                    <c:v>gato castrado RAZA carne y pollo</c:v>
                  </c:pt>
                  <c:pt idx="689">
                    <c:v>gato castrados wiskas</c:v>
                  </c:pt>
                  <c:pt idx="690">
                    <c:v>gato cat chow </c:v>
                  </c:pt>
                  <c:pt idx="691">
                    <c:v>gato cat chow </c:v>
                  </c:pt>
                  <c:pt idx="692">
                    <c:v>gato cat chow adulto</c:v>
                  </c:pt>
                  <c:pt idx="693">
                    <c:v>gato cat chow gatito</c:v>
                  </c:pt>
                  <c:pt idx="694">
                    <c:v>gato catrado-carne y pollo</c:v>
                  </c:pt>
                  <c:pt idx="695">
                    <c:v>GATO CHARRUA ADULTO</c:v>
                  </c:pt>
                  <c:pt idx="696">
                    <c:v>GATO CHARRUA ADULTO</c:v>
                  </c:pt>
                  <c:pt idx="697">
                    <c:v>GATO CRIOLLA ADULTO</c:v>
                  </c:pt>
                  <c:pt idx="698">
                    <c:v>GATO CRIOLLA ADULTO</c:v>
                  </c:pt>
                  <c:pt idx="699">
                    <c:v>gato equilibrio filote</c:v>
                  </c:pt>
                  <c:pt idx="700">
                    <c:v>gato equilibrio filote</c:v>
                  </c:pt>
                  <c:pt idx="701">
                    <c:v>gato gati</c:v>
                  </c:pt>
                  <c:pt idx="702">
                    <c:v>gato gati</c:v>
                  </c:pt>
                  <c:pt idx="703">
                    <c:v>GATO LE ROY COCKTAIL</c:v>
                  </c:pt>
                  <c:pt idx="704">
                    <c:v>gato pelusa</c:v>
                  </c:pt>
                  <c:pt idx="705">
                    <c:v>gato pelusa</c:v>
                  </c:pt>
                  <c:pt idx="706">
                    <c:v>gato primogato</c:v>
                  </c:pt>
                  <c:pt idx="707">
                    <c:v>gato primogato  blend</c:v>
                  </c:pt>
                  <c:pt idx="708">
                    <c:v>gato primogato  blend</c:v>
                  </c:pt>
                  <c:pt idx="709">
                    <c:v>gato primogato castrado</c:v>
                  </c:pt>
                  <c:pt idx="710">
                    <c:v>gato primogato castrado</c:v>
                  </c:pt>
                  <c:pt idx="711">
                    <c:v>gato primogato premiun filhotes</c:v>
                  </c:pt>
                  <c:pt idx="712">
                    <c:v>gato primogato premiun filhotes</c:v>
                  </c:pt>
                  <c:pt idx="713">
                    <c:v>gato prot cat</c:v>
                  </c:pt>
                  <c:pt idx="714">
                    <c:v>gato prot cat</c:v>
                  </c:pt>
                  <c:pt idx="715">
                    <c:v>gato salmon</c:v>
                  </c:pt>
                  <c:pt idx="716">
                    <c:v>gato salmon</c:v>
                  </c:pt>
                  <c:pt idx="717">
                    <c:v>gato salsa whiskas carne</c:v>
                  </c:pt>
                  <c:pt idx="718">
                    <c:v>gato whiskas</c:v>
                  </c:pt>
                  <c:pt idx="719">
                    <c:v>gato whiskas gatitos</c:v>
                  </c:pt>
                  <c:pt idx="720">
                    <c:v>gato whiskas gatitos</c:v>
                  </c:pt>
                  <c:pt idx="721">
                    <c:v>gato whiskas pescado-pollo y leche-carne</c:v>
                  </c:pt>
                  <c:pt idx="722">
                    <c:v>GATO-sushi cat</c:v>
                  </c:pt>
                  <c:pt idx="723">
                    <c:v>GEL REFRESCANTE RELAJANTE</c:v>
                  </c:pt>
                  <c:pt idx="724">
                    <c:v>girasol</c:v>
                  </c:pt>
                  <c:pt idx="725">
                    <c:v>girasol</c:v>
                  </c:pt>
                  <c:pt idx="726">
                    <c:v>girasol confitero</c:v>
                  </c:pt>
                  <c:pt idx="727">
                    <c:v>girasol confitero</c:v>
                  </c:pt>
                  <c:pt idx="728">
                    <c:v>girasol pelado</c:v>
                  </c:pt>
                  <c:pt idx="729">
                    <c:v>girasol pelado</c:v>
                  </c:pt>
                  <c:pt idx="730">
                    <c:v>glifosato improsate</c:v>
                  </c:pt>
                  <c:pt idx="731">
                    <c:v>glifosato improsate</c:v>
                  </c:pt>
                  <c:pt idx="732">
                    <c:v>gr1287</c:v>
                  </c:pt>
                  <c:pt idx="733">
                    <c:v>GRAN AMOR cannabis abono organico</c:v>
                  </c:pt>
                  <c:pt idx="734">
                    <c:v>gran amor educador</c:v>
                  </c:pt>
                  <c:pt idx="735">
                    <c:v>green explosion</c:v>
                  </c:pt>
                  <c:pt idx="736">
                    <c:v>guano-rojoo</c:v>
                  </c:pt>
                  <c:pt idx="737">
                    <c:v>guante </c:v>
                  </c:pt>
                  <c:pt idx="738">
                    <c:v>guante de descarne</c:v>
                  </c:pt>
                  <c:pt idx="739">
                    <c:v>GUANTE DE TRABAJO</c:v>
                  </c:pt>
                  <c:pt idx="740">
                    <c:v>guante de trabajo</c:v>
                  </c:pt>
                  <c:pt idx="741">
                    <c:v>guante de trabajo tela y cuero</c:v>
                  </c:pt>
                  <c:pt idx="742">
                    <c:v>guante multiuso</c:v>
                  </c:pt>
                  <c:pt idx="743">
                    <c:v>guia de flores</c:v>
                  </c:pt>
                  <c:pt idx="744">
                    <c:v>guia de hojas</c:v>
                  </c:pt>
                  <c:pt idx="745">
                    <c:v>guia hojas x 12</c:v>
                  </c:pt>
                  <c:pt idx="746">
                    <c:v>guia hojas x2</c:v>
                  </c:pt>
                  <c:pt idx="747">
                    <c:v>hacha mango fibra</c:v>
                  </c:pt>
                  <c:pt idx="748">
                    <c:v>hacha mango madera</c:v>
                  </c:pt>
                  <c:pt idx="749">
                    <c:v>harina de hueso</c:v>
                  </c:pt>
                  <c:pt idx="750">
                    <c:v>harina de hueso </c:v>
                  </c:pt>
                  <c:pt idx="751">
                    <c:v>herbicida</c:v>
                  </c:pt>
                  <c:pt idx="752">
                    <c:v>herbicida</c:v>
                  </c:pt>
                  <c:pt idx="753">
                    <c:v>herbicida</c:v>
                  </c:pt>
                  <c:pt idx="754">
                    <c:v>herbicida fluidamina -hoja ancha</c:v>
                  </c:pt>
                  <c:pt idx="755">
                    <c:v>herbicida glifosol  envasado</c:v>
                  </c:pt>
                  <c:pt idx="756">
                    <c:v>herbicida glifosol suelta</c:v>
                  </c:pt>
                  <c:pt idx="757">
                    <c:v>herbicida gliseb sum</c:v>
                  </c:pt>
                  <c:pt idx="758">
                    <c:v>herramienta de jardin</c:v>
                  </c:pt>
                  <c:pt idx="759">
                    <c:v>herramienta de jardin</c:v>
                  </c:pt>
                  <c:pt idx="760">
                    <c:v>hierba gatuna</c:v>
                  </c:pt>
                  <c:pt idx="761">
                    <c:v>hiploclorito</c:v>
                  </c:pt>
                  <c:pt idx="762">
                    <c:v>hiploclorito</c:v>
                  </c:pt>
                  <c:pt idx="763">
                    <c:v>hoja jazmin</c:v>
                  </c:pt>
                  <c:pt idx="764">
                    <c:v>hormiguicida en grano</c:v>
                  </c:pt>
                  <c:pt idx="765">
                    <c:v>hormiguicida folimur polvo60</c:v>
                  </c:pt>
                  <c:pt idx="766">
                    <c:v>hormiguicida fomilur 40</c:v>
                  </c:pt>
                  <c:pt idx="767">
                    <c:v>hormiguicida grano lampo30</c:v>
                  </c:pt>
                  <c:pt idx="768">
                    <c:v>hormiguicida grano lampo40</c:v>
                  </c:pt>
                  <c:pt idx="769">
                    <c:v>hormiguicida grano lampo65</c:v>
                  </c:pt>
                  <c:pt idx="770">
                    <c:v>hormiguicida grano lampo-caja 15 pte,</c:v>
                  </c:pt>
                  <c:pt idx="771">
                    <c:v>hormiguicida polvo</c:v>
                  </c:pt>
                  <c:pt idx="772">
                    <c:v>hormiguicida polvo folimur-caja20 pte</c:v>
                  </c:pt>
                  <c:pt idx="773">
                    <c:v>hormiguicida polvo-caja 120,precio x50</c:v>
                  </c:pt>
                  <c:pt idx="774">
                    <c:v>hormiguicida talquera </c:v>
                  </c:pt>
                  <c:pt idx="775">
                    <c:v>hornito chico</c:v>
                  </c:pt>
                  <c:pt idx="776">
                    <c:v>hueso con chifle</c:v>
                  </c:pt>
                  <c:pt idx="777">
                    <c:v>hueso digerible</c:v>
                  </c:pt>
                  <c:pt idx="778">
                    <c:v>hueso digerible</c:v>
                  </c:pt>
                  <c:pt idx="779">
                    <c:v>huevos juguete</c:v>
                  </c:pt>
                  <c:pt idx="780">
                    <c:v>huevos juguete</c:v>
                  </c:pt>
                  <c:pt idx="781">
                    <c:v>huevos p/canarios</c:v>
                  </c:pt>
                  <c:pt idx="782">
                    <c:v>humus</c:v>
                  </c:pt>
                  <c:pt idx="783">
                    <c:v>humus</c:v>
                  </c:pt>
                  <c:pt idx="784">
                    <c:v>humus de lombriz</c:v>
                  </c:pt>
                  <c:pt idx="785">
                    <c:v>humus de lombriz</c:v>
                  </c:pt>
                  <c:pt idx="786">
                    <c:v>ibnsecticida mata cucaracha sapolio</c:v>
                  </c:pt>
                  <c:pt idx="787">
                    <c:v>ICTIO ML LABCON</c:v>
                  </c:pt>
                  <c:pt idx="788">
                    <c:v>identificadores c/marco</c:v>
                  </c:pt>
                  <c:pt idx="789">
                    <c:v>igloo casa chico</c:v>
                  </c:pt>
                  <c:pt idx="790">
                    <c:v>igloo casa mediano</c:v>
                  </c:pt>
                  <c:pt idx="791">
                    <c:v>IGLOO con orejas</c:v>
                  </c:pt>
                  <c:pt idx="792">
                    <c:v>incectisida dezenurCE</c:v>
                  </c:pt>
                  <c:pt idx="793">
                    <c:v>incesan oil</c:v>
                  </c:pt>
                  <c:pt idx="794">
                    <c:v>incienso</c:v>
                  </c:pt>
                  <c:pt idx="795">
                    <c:v>insecticida</c:v>
                  </c:pt>
                  <c:pt idx="796">
                    <c:v>insecticida dezenur CE(rogor)</c:v>
                  </c:pt>
                  <c:pt idx="797">
                    <c:v>insecticida dezenur(rogor)</c:v>
                  </c:pt>
                  <c:pt idx="798">
                    <c:v>insecticida mata mosca</c:v>
                  </c:pt>
                  <c:pt idx="799">
                    <c:v>insecticida mata pulgas</c:v>
                  </c:pt>
                  <c:pt idx="800">
                    <c:v>insecticida mata todo</c:v>
                  </c:pt>
                  <c:pt idx="801">
                    <c:v>jabon potasico</c:v>
                  </c:pt>
                  <c:pt idx="802">
                    <c:v>jabon potasico</c:v>
                  </c:pt>
                  <c:pt idx="803">
                    <c:v>jabon potasico</c:v>
                  </c:pt>
                  <c:pt idx="804">
                    <c:v>jabon potasico</c:v>
                  </c:pt>
                  <c:pt idx="805">
                    <c:v>jardinera</c:v>
                  </c:pt>
                  <c:pt idx="806">
                    <c:v>JARDINERA</c:v>
                  </c:pt>
                  <c:pt idx="807">
                    <c:v>JARDINERA</c:v>
                  </c:pt>
                  <c:pt idx="808">
                    <c:v>JARDINERA</c:v>
                  </c:pt>
                  <c:pt idx="809">
                    <c:v>JARDINERA</c:v>
                  </c:pt>
                  <c:pt idx="810">
                    <c:v>JARDINERA BULCANICA</c:v>
                  </c:pt>
                  <c:pt idx="811">
                    <c:v>jardinera c/plat</c:v>
                  </c:pt>
                  <c:pt idx="812">
                    <c:v>jardinera c/plato</c:v>
                  </c:pt>
                  <c:pt idx="813">
                    <c:v>jardinera chica</c:v>
                  </c:pt>
                  <c:pt idx="814">
                    <c:v>jardinera de colores</c:v>
                  </c:pt>
                  <c:pt idx="815">
                    <c:v>jardinera de colores</c:v>
                  </c:pt>
                  <c:pt idx="816">
                    <c:v>jardinera de colores</c:v>
                  </c:pt>
                  <c:pt idx="817">
                    <c:v>jardinera de colores</c:v>
                  </c:pt>
                  <c:pt idx="818">
                    <c:v>jardinera de colores</c:v>
                  </c:pt>
                  <c:pt idx="819">
                    <c:v>jardinera ecovaso</c:v>
                  </c:pt>
                  <c:pt idx="820">
                    <c:v>jardinera ecovaso</c:v>
                  </c:pt>
                  <c:pt idx="821">
                    <c:v>JARDINERA MINI</c:v>
                  </c:pt>
                  <c:pt idx="822">
                    <c:v>JARDINERA MINI</c:v>
                  </c:pt>
                  <c:pt idx="823">
                    <c:v>JARDINERA NEGRA</c:v>
                  </c:pt>
                  <c:pt idx="824">
                    <c:v>JARDINERA NEGRA</c:v>
                  </c:pt>
                  <c:pt idx="825">
                    <c:v>JARDINERA NEGRA</c:v>
                  </c:pt>
                  <c:pt idx="826">
                    <c:v>JARDINERA NEGRA</c:v>
                  </c:pt>
                  <c:pt idx="827">
                    <c:v>jardinera nutriplant c/plato</c:v>
                  </c:pt>
                  <c:pt idx="828">
                    <c:v>JARDINERA OCRE</c:v>
                  </c:pt>
                  <c:pt idx="829">
                    <c:v>jardinera plastico s/plato</c:v>
                  </c:pt>
                  <c:pt idx="830">
                    <c:v>JARDINERA PREMIUN</c:v>
                  </c:pt>
                  <c:pt idx="831">
                    <c:v>JARDINERA PUNTO</c:v>
                  </c:pt>
                  <c:pt idx="832">
                    <c:v>jardinera retomoldeada JFQM780</c:v>
                  </c:pt>
                  <c:pt idx="833">
                    <c:v>jardinera rocio</c:v>
                  </c:pt>
                  <c:pt idx="834">
                    <c:v>jardinera rocio</c:v>
                  </c:pt>
                  <c:pt idx="835">
                    <c:v>jardinera rocio</c:v>
                  </c:pt>
                  <c:pt idx="836">
                    <c:v>jardinera rotomoldeada</c:v>
                  </c:pt>
                  <c:pt idx="837">
                    <c:v>jardinera rotomoldeada</c:v>
                  </c:pt>
                  <c:pt idx="838">
                    <c:v>jardinera s/´lat</c:v>
                  </c:pt>
                  <c:pt idx="839">
                    <c:v>jardinera sampa</c:v>
                  </c:pt>
                  <c:pt idx="840">
                    <c:v>jardinera s-plato</c:v>
                  </c:pt>
                  <c:pt idx="841">
                    <c:v>jardineras</c:v>
                  </c:pt>
                  <c:pt idx="842">
                    <c:v>jaula </c:v>
                  </c:pt>
                  <c:pt idx="843">
                    <c:v>jaula conejo mediana</c:v>
                  </c:pt>
                  <c:pt idx="844">
                    <c:v>jaula conejos grande</c:v>
                  </c:pt>
                  <c:pt idx="845">
                    <c:v>jaula conejos grande</c:v>
                  </c:pt>
                  <c:pt idx="846">
                    <c:v>jaula hamster grande</c:v>
                  </c:pt>
                  <c:pt idx="847">
                    <c:v>jaula hamster R/ beb/ com</c:v>
                  </c:pt>
                  <c:pt idx="848">
                    <c:v>jaula hamster rued/cas/beb 2 pisos</c:v>
                  </c:pt>
                  <c:pt idx="849">
                    <c:v>vitamina alcon</c:v>
                  </c:pt>
                  <c:pt idx="850">
                    <c:v>jaula loro alambre</c:v>
                  </c:pt>
                  <c:pt idx="851">
                    <c:v>jaula p/australiabno </c:v>
                  </c:pt>
                  <c:pt idx="852">
                    <c:v>jaula p/cria</c:v>
                  </c:pt>
                  <c:pt idx="853">
                    <c:v>jaula pagoda</c:v>
                  </c:pt>
                  <c:pt idx="854">
                    <c:v>jaula pajarera median</c:v>
                  </c:pt>
                  <c:pt idx="855">
                    <c:v>jaula pajarera median</c:v>
                  </c:pt>
                  <c:pt idx="856">
                    <c:v>jaula pajaro alta doble campanario</c:v>
                  </c:pt>
                  <c:pt idx="857">
                    <c:v>Jaula pajaro curva chica</c:v>
                  </c:pt>
                  <c:pt idx="858">
                    <c:v>Jaula pajaro rancho chica</c:v>
                  </c:pt>
                  <c:pt idx="859">
                    <c:v>jaula para conejo</c:v>
                  </c:pt>
                  <c:pt idx="860">
                    <c:v>jaula techo recto</c:v>
                  </c:pt>
                  <c:pt idx="861">
                    <c:v>jaula volado</c:v>
                  </c:pt>
                  <c:pt idx="862">
                    <c:v>jaulas p/australianos</c:v>
                  </c:pt>
                  <c:pt idx="863">
                    <c:v>jeringa cucarachicida vigilante</c:v>
                  </c:pt>
                  <c:pt idx="864">
                    <c:v>jeringa fulmoline p/cucaracha</c:v>
                  </c:pt>
                  <c:pt idx="865">
                    <c:v>jeringa p/cucaracha</c:v>
                  </c:pt>
                  <c:pt idx="866">
                    <c:v>jeringa p/cucaracha raid max</c:v>
                  </c:pt>
                  <c:pt idx="867">
                    <c:v>jeringa p/hormiga</c:v>
                  </c:pt>
                  <c:pt idx="868">
                    <c:v>jeringa para cucaracha</c:v>
                  </c:pt>
                  <c:pt idx="869">
                    <c:v>jhaula hamster</c:v>
                  </c:pt>
                  <c:pt idx="870">
                    <c:v>jimo mata cucaracha</c:v>
                  </c:pt>
                  <c:pt idx="871">
                    <c:v>jimo mata cucarachas aerosol</c:v>
                  </c:pt>
                  <c:pt idx="872">
                    <c:v>jimo-gas</c:v>
                  </c:pt>
                  <c:pt idx="873">
                    <c:v>juego ceramica n12</c:v>
                  </c:pt>
                  <c:pt idx="874">
                    <c:v>juego ceramica n23</c:v>
                  </c:pt>
                  <c:pt idx="875">
                    <c:v>juego ceramica n6</c:v>
                  </c:pt>
                  <c:pt idx="876">
                    <c:v>juego collar correa multicolor</c:v>
                  </c:pt>
                  <c:pt idx="877">
                    <c:v>juego collar correa multicolor</c:v>
                  </c:pt>
                  <c:pt idx="878">
                    <c:v>juego collar correa multicolor</c:v>
                  </c:pt>
                  <c:pt idx="879">
                    <c:v>juego collar y correa</c:v>
                  </c:pt>
                  <c:pt idx="880">
                    <c:v>juego de jardin</c:v>
                  </c:pt>
                  <c:pt idx="881">
                    <c:v>juego de jardin 3 piezas</c:v>
                  </c:pt>
                  <c:pt idx="882">
                    <c:v>juego de jardin 3 piezas-wantok</c:v>
                  </c:pt>
                  <c:pt idx="883">
                    <c:v>juego jardin</c:v>
                  </c:pt>
                  <c:pt idx="884">
                    <c:v>juego palitas mini </c:v>
                  </c:pt>
                  <c:pt idx="885">
                    <c:v>juego palitas mini acero inox</c:v>
                  </c:pt>
                  <c:pt idx="886">
                    <c:v>juego pretal c/correa</c:v>
                  </c:pt>
                  <c:pt idx="887">
                    <c:v>juego pretal c/correa </c:v>
                  </c:pt>
                  <c:pt idx="888">
                    <c:v>juego pretal c/correa poliester</c:v>
                  </c:pt>
                  <c:pt idx="889">
                    <c:v>juegos con pinchitos</c:v>
                  </c:pt>
                  <c:pt idx="890">
                    <c:v>juguerte pata polloc/chifle</c:v>
                  </c:pt>
                  <c:pt idx="891">
                    <c:v>juguete 2 salchichas c/cuerda</c:v>
                  </c:pt>
                  <c:pt idx="892">
                    <c:v>juguete chuleta c/chifle</c:v>
                  </c:pt>
                  <c:pt idx="893">
                    <c:v>JUGUETE GATO PELOTA CON RATON</c:v>
                  </c:pt>
                  <c:pt idx="894">
                    <c:v>JUGUETE MASCOTA</c:v>
                  </c:pt>
                  <c:pt idx="895">
                    <c:v>juguete mascota pelota con pinchos</c:v>
                  </c:pt>
                  <c:pt idx="896">
                    <c:v>juguete para mascota pelota con chifle</c:v>
                  </c:pt>
                  <c:pt idx="897">
                    <c:v>juguete para mascota pelota tenis por 3 unid</c:v>
                  </c:pt>
                  <c:pt idx="898">
                    <c:v>JUGUETE PATA DE POLLO</c:v>
                  </c:pt>
                  <c:pt idx="899">
                    <c:v>juguete pelota c/chifle</c:v>
                  </c:pt>
                  <c:pt idx="900">
                    <c:v>juguete pelota cuerda</c:v>
                  </c:pt>
                  <c:pt idx="901">
                    <c:v>juguete pelota de goma c/pincho</c:v>
                  </c:pt>
                  <c:pt idx="902">
                    <c:v>juguete pollo</c:v>
                  </c:pt>
                  <c:pt idx="903">
                    <c:v>JUGUETE POLLO AMARILLO MED</c:v>
                  </c:pt>
                  <c:pt idx="904">
                    <c:v>juguete raton sisal con plumas</c:v>
                  </c:pt>
                  <c:pt idx="905">
                    <c:v>jupiter-bomba de gas</c:v>
                  </c:pt>
                  <c:pt idx="906">
                    <c:v>kit de jardinero</c:v>
                  </c:pt>
                  <c:pt idx="907">
                    <c:v>ladrillo de coco</c:v>
                  </c:pt>
                  <c:pt idx="908">
                    <c:v>Lamina 40cm ancho simple faz</c:v>
                  </c:pt>
                  <c:pt idx="909">
                    <c:v>Lamina 40cm ancho simple faz</c:v>
                  </c:pt>
                  <c:pt idx="910">
                    <c:v>lamina 40cm doble faz</c:v>
                  </c:pt>
                  <c:pt idx="911">
                    <c:v>lamina 40cm doble faz</c:v>
                  </c:pt>
                  <c:pt idx="912">
                    <c:v>lamina doble faz 50 cm</c:v>
                  </c:pt>
                  <c:pt idx="913">
                    <c:v>lampara 400 led</c:v>
                  </c:pt>
                  <c:pt idx="914">
                    <c:v>lampara 42 led 4w</c:v>
                  </c:pt>
                  <c:pt idx="915">
                    <c:v>lampara 500 led</c:v>
                  </c:pt>
                  <c:pt idx="916">
                    <c:v>lampara rs306 7w 20 </c:v>
                  </c:pt>
                  <c:pt idx="917">
                    <c:v>lampara rs-308 13w largo 40-50 cm</c:v>
                  </c:pt>
                  <c:pt idx="918">
                    <c:v>lata cobre</c:v>
                  </c:pt>
                  <c:pt idx="919">
                    <c:v>lingas</c:v>
                  </c:pt>
                  <c:pt idx="920">
                    <c:v>maceta</c:v>
                  </c:pt>
                  <c:pt idx="921">
                    <c:v>maceta </c:v>
                  </c:pt>
                  <c:pt idx="922">
                    <c:v>maceta </c:v>
                  </c:pt>
                  <c:pt idx="923">
                    <c:v>maceta </c:v>
                  </c:pt>
                  <c:pt idx="924">
                    <c:v>maceta  plastica</c:v>
                  </c:pt>
                  <c:pt idx="925">
                    <c:v>maceta 32 espacios</c:v>
                  </c:pt>
                  <c:pt idx="926">
                    <c:v>maceta A teja </c:v>
                  </c:pt>
                  <c:pt idx="927">
                    <c:v>maceta aquinop barro</c:v>
                  </c:pt>
                  <c:pt idx="928">
                    <c:v>maceta aquinop barro</c:v>
                  </c:pt>
                  <c:pt idx="929">
                    <c:v>maceta aquinop barro</c:v>
                  </c:pt>
                  <c:pt idx="930">
                    <c:v>maceta aquinop barro</c:v>
                  </c:pt>
                  <c:pt idx="931">
                    <c:v>maceta atractive</c:v>
                  </c:pt>
                  <c:pt idx="932">
                    <c:v>maceta atractive</c:v>
                  </c:pt>
                  <c:pt idx="933">
                    <c:v>maceta atractive</c:v>
                  </c:pt>
                  <c:pt idx="934">
                    <c:v>maceta atractive</c:v>
                  </c:pt>
                  <c:pt idx="935">
                    <c:v>maceta atractive</c:v>
                  </c:pt>
                  <c:pt idx="936">
                    <c:v>maceta atractive</c:v>
                  </c:pt>
                  <c:pt idx="937">
                    <c:v>maceta atractive</c:v>
                  </c:pt>
                  <c:pt idx="938">
                    <c:v>maceta bage</c:v>
                  </c:pt>
                  <c:pt idx="939">
                    <c:v>MACETA BARRIL</c:v>
                  </c:pt>
                  <c:pt idx="940">
                    <c:v>MACETA BARRIL</c:v>
                  </c:pt>
                  <c:pt idx="941">
                    <c:v>MACETA BARRIL NEGRA</c:v>
                  </c:pt>
                  <c:pt idx="942">
                    <c:v>MACETA BARRIL NEGRA</c:v>
                  </c:pt>
                  <c:pt idx="943">
                    <c:v>MACETA BARRIL NEGRA</c:v>
                  </c:pt>
                  <c:pt idx="944">
                    <c:v>maceta barro</c:v>
                  </c:pt>
                  <c:pt idx="945">
                    <c:v>maceta barro</c:v>
                  </c:pt>
                  <c:pt idx="946">
                    <c:v>maceta barro</c:v>
                  </c:pt>
                  <c:pt idx="947">
                    <c:v>maceta barro</c:v>
                  </c:pt>
                  <c:pt idx="948">
                    <c:v>maceta barro</c:v>
                  </c:pt>
                  <c:pt idx="949">
                    <c:v>maceta barro</c:v>
                  </c:pt>
                  <c:pt idx="950">
                    <c:v>maceta barro</c:v>
                  </c:pt>
                  <c:pt idx="951">
                    <c:v>maceta barro</c:v>
                  </c:pt>
                  <c:pt idx="952">
                    <c:v>maceta barro</c:v>
                  </c:pt>
                  <c:pt idx="953">
                    <c:v>maceta barro</c:v>
                  </c:pt>
                  <c:pt idx="954">
                    <c:v>maceta barro</c:v>
                  </c:pt>
                  <c:pt idx="955">
                    <c:v>maceta barro acuarium</c:v>
                  </c:pt>
                  <c:pt idx="956">
                    <c:v>maceta barro americana</c:v>
                  </c:pt>
                  <c:pt idx="957">
                    <c:v>maceta barro americana</c:v>
                  </c:pt>
                  <c:pt idx="958">
                    <c:v>maceta barro americana</c:v>
                  </c:pt>
                  <c:pt idx="959">
                    <c:v>Maceta barro aquario n5</c:v>
                  </c:pt>
                  <c:pt idx="960">
                    <c:v>maceta barro cilindro bajo</c:v>
                  </c:pt>
                  <c:pt idx="961">
                    <c:v>Maceta barro COIMBRA</c:v>
                  </c:pt>
                  <c:pt idx="962">
                    <c:v>maceta barro comun</c:v>
                  </c:pt>
                  <c:pt idx="963">
                    <c:v>maceta barro comun</c:v>
                  </c:pt>
                  <c:pt idx="964">
                    <c:v>maceta barro comun</c:v>
                  </c:pt>
                  <c:pt idx="965">
                    <c:v>maceta barro comun</c:v>
                  </c:pt>
                  <c:pt idx="966">
                    <c:v>maceta barro comun</c:v>
                  </c:pt>
                  <c:pt idx="967">
                    <c:v>maceta barro comun</c:v>
                  </c:pt>
                  <c:pt idx="968">
                    <c:v>maceta barro icono</c:v>
                  </c:pt>
                  <c:pt idx="969">
                    <c:v>maceta barro icono</c:v>
                  </c:pt>
                  <c:pt idx="970">
                    <c:v>maceta barro icono</c:v>
                  </c:pt>
                  <c:pt idx="971">
                    <c:v>maceta barro italiana</c:v>
                  </c:pt>
                  <c:pt idx="972">
                    <c:v>maceta barro italiana</c:v>
                  </c:pt>
                  <c:pt idx="973">
                    <c:v>maceta barro italiana</c:v>
                  </c:pt>
                  <c:pt idx="974">
                    <c:v>maceta barro lebrillo</c:v>
                  </c:pt>
                  <c:pt idx="975">
                    <c:v>maceta barro legsino</c:v>
                  </c:pt>
                  <c:pt idx="976">
                    <c:v>maceta barro nido paloma</c:v>
                  </c:pt>
                  <c:pt idx="977">
                    <c:v>maceta barro porteña</c:v>
                  </c:pt>
                  <c:pt idx="978">
                    <c:v>maceta barro porteña</c:v>
                  </c:pt>
                  <c:pt idx="979">
                    <c:v>maceta barro porteña</c:v>
                  </c:pt>
                  <c:pt idx="980">
                    <c:v>maceta barro redentor</c:v>
                  </c:pt>
                  <c:pt idx="981">
                    <c:v>maceta barro redentor</c:v>
                  </c:pt>
                  <c:pt idx="982">
                    <c:v>Maceta barro SAO PAULO</c:v>
                  </c:pt>
                  <c:pt idx="983">
                    <c:v>maceta barro suculkenta</c:v>
                  </c:pt>
                  <c:pt idx="984">
                    <c:v>maceta biodegradable</c:v>
                  </c:pt>
                  <c:pt idx="985">
                    <c:v>maceta biodegradable</c:v>
                  </c:pt>
                  <c:pt idx="986">
                    <c:v>maceta biodegradable (120maceta)</c:v>
                  </c:pt>
                  <c:pt idx="987">
                    <c:v>maceta biodegradable (300 maceta)</c:v>
                  </c:pt>
                  <c:pt idx="988">
                    <c:v>maceta biodegradable 4,5 x4,5</c:v>
                  </c:pt>
                  <c:pt idx="989">
                    <c:v>maceta biodegradable olivo</c:v>
                  </c:pt>
                  <c:pt idx="990">
                    <c:v>maceta biodegradable olivos-</c:v>
                  </c:pt>
                  <c:pt idx="991">
                    <c:v>maceta biodegradable-( 600 macetas)</c:v>
                  </c:pt>
                  <c:pt idx="992">
                    <c:v>maceta blanca cilindrica</c:v>
                  </c:pt>
                  <c:pt idx="993">
                    <c:v>MACETA BLANCA CUADRADA</c:v>
                  </c:pt>
                  <c:pt idx="994">
                    <c:v>maceta blanca cuadrada</c:v>
                  </c:pt>
                  <c:pt idx="995">
                    <c:v>maceta blanca rayas horizontales</c:v>
                  </c:pt>
                  <c:pt idx="996">
                    <c:v>MACETA BLANXA CILINDRICA</c:v>
                  </c:pt>
                  <c:pt idx="997">
                    <c:v>maceta bonsai elegance</c:v>
                  </c:pt>
                  <c:pt idx="998">
                    <c:v>maceta bonsai ovalada</c:v>
                  </c:pt>
                  <c:pt idx="999">
                    <c:v>maceta bonsai ovalada</c:v>
                  </c:pt>
                  <c:pt idx="1000">
                    <c:v>maceta bonsai rectangular</c:v>
                  </c:pt>
                  <c:pt idx="1001">
                    <c:v>maceta bonsai rectangular</c:v>
                  </c:pt>
                  <c:pt idx="1002">
                    <c:v>maceta bonsai terracota</c:v>
                  </c:pt>
                  <c:pt idx="1003">
                    <c:v>maceta campana color con plato</c:v>
                  </c:pt>
                  <c:pt idx="1004">
                    <c:v>maceta campana con plato</c:v>
                  </c:pt>
                  <c:pt idx="1005">
                    <c:v>maceta campana con plato</c:v>
                  </c:pt>
                  <c:pt idx="1006">
                    <c:v>maceta campana con plato</c:v>
                  </c:pt>
                  <c:pt idx="1007">
                    <c:v>maceta campana con plato</c:v>
                  </c:pt>
                  <c:pt idx="1008">
                    <c:v>maceta campana con plato</c:v>
                  </c:pt>
                  <c:pt idx="1009">
                    <c:v>maceta campana con plato</c:v>
                  </c:pt>
                  <c:pt idx="1010">
                    <c:v>maceta campana con plato</c:v>
                  </c:pt>
                  <c:pt idx="1011">
                    <c:v>maceta campana negra sin plato</c:v>
                  </c:pt>
                  <c:pt idx="1012">
                    <c:v>maceta ceramica</c:v>
                  </c:pt>
                  <c:pt idx="1013">
                    <c:v>maceta ceramica blanca</c:v>
                  </c:pt>
                  <c:pt idx="1014">
                    <c:v>maceta ceramica blanca</c:v>
                  </c:pt>
                  <c:pt idx="1015">
                    <c:v>maceta ceramica cruda</c:v>
                  </c:pt>
                  <c:pt idx="1016">
                    <c:v>maceta ceramica cruda</c:v>
                  </c:pt>
                  <c:pt idx="1017">
                    <c:v>maceta cerramica chata azul</c:v>
                  </c:pt>
                  <c:pt idx="1018">
                    <c:v>maceta cilindrica barro</c:v>
                  </c:pt>
                  <c:pt idx="1019">
                    <c:v>maceta cilindrica barro</c:v>
                  </c:pt>
                  <c:pt idx="1020">
                    <c:v>maceta cilindrica barro</c:v>
                  </c:pt>
                  <c:pt idx="1021">
                    <c:v>maceta cilindrica barro</c:v>
                  </c:pt>
                  <c:pt idx="1022">
                    <c:v>maceta cilindrica negra</c:v>
                  </c:pt>
                  <c:pt idx="1023">
                    <c:v>maceta cilindrica negra</c:v>
                  </c:pt>
                  <c:pt idx="1024">
                    <c:v>maceta cilindrica negra </c:v>
                  </c:pt>
                  <c:pt idx="1025">
                    <c:v>maceta cilindrica S/plato</c:v>
                  </c:pt>
                  <c:pt idx="1026">
                    <c:v>maceta cilindrica TEJA con plato</c:v>
                  </c:pt>
                  <c:pt idx="1027">
                    <c:v>maceta cilindrica TEJA con plato</c:v>
                  </c:pt>
                  <c:pt idx="1028">
                    <c:v>maceta cilindrica TEJA con plato</c:v>
                  </c:pt>
                  <c:pt idx="1029">
                    <c:v>maceta cilindrica TEJA con plato</c:v>
                  </c:pt>
                  <c:pt idx="1030">
                    <c:v>MACETA CIOTOLA</c:v>
                  </c:pt>
                  <c:pt idx="1031">
                    <c:v>MACETA CIOTOLA</c:v>
                  </c:pt>
                  <c:pt idx="1032">
                    <c:v>MACETA CIOTOLA</c:v>
                  </c:pt>
                  <c:pt idx="1033">
                    <c:v>maceta clasic ecovaso</c:v>
                  </c:pt>
                  <c:pt idx="1034">
                    <c:v>maceta clasic ecovaso</c:v>
                  </c:pt>
                  <c:pt idx="1035">
                    <c:v>maceta clasic ecovaso</c:v>
                  </c:pt>
                  <c:pt idx="1036">
                    <c:v>maceta clasica barro</c:v>
                  </c:pt>
                  <c:pt idx="1037">
                    <c:v>maceta clasica barro</c:v>
                  </c:pt>
                  <c:pt idx="1038">
                    <c:v>maceta clasica barro</c:v>
                  </c:pt>
                  <c:pt idx="1039">
                    <c:v>maceta clasica barro</c:v>
                  </c:pt>
                  <c:pt idx="1040">
                    <c:v>maceta clasica barro</c:v>
                  </c:pt>
                  <c:pt idx="1041">
                    <c:v>maceta clasica barro</c:v>
                  </c:pt>
                  <c:pt idx="1042">
                    <c:v>maceta clasica barro</c:v>
                  </c:pt>
                  <c:pt idx="1043">
                    <c:v>maceta clasica barro</c:v>
                  </c:pt>
                  <c:pt idx="1044">
                    <c:v>maceta clasica barro</c:v>
                  </c:pt>
                  <c:pt idx="1045">
                    <c:v>maceta clasica barro</c:v>
                  </c:pt>
                  <c:pt idx="1046">
                    <c:v>maceta clasica barro</c:v>
                  </c:pt>
                  <c:pt idx="1047">
                    <c:v>maceta clasica c/plato</c:v>
                  </c:pt>
                  <c:pt idx="1048">
                    <c:v>maceta clasica c/plato</c:v>
                  </c:pt>
                  <c:pt idx="1049">
                    <c:v>maceta clasica c/plato</c:v>
                  </c:pt>
                  <c:pt idx="1050">
                    <c:v>maceta clasica ecovaso</c:v>
                  </c:pt>
                  <c:pt idx="1051">
                    <c:v>maceta clasica ecovaso</c:v>
                  </c:pt>
                  <c:pt idx="1052">
                    <c:v>MACETA COCO CUADRADA COLGAR</c:v>
                  </c:pt>
                  <c:pt idx="1053">
                    <c:v>maceta colgante</c:v>
                  </c:pt>
                  <c:pt idx="1054">
                    <c:v>maceta colgar</c:v>
                  </c:pt>
                  <c:pt idx="1055">
                    <c:v>maceta colgar</c:v>
                  </c:pt>
                  <c:pt idx="1056">
                    <c:v>maceta colgar</c:v>
                  </c:pt>
                  <c:pt idx="1057">
                    <c:v>maceta colgar</c:v>
                  </c:pt>
                  <c:pt idx="1058">
                    <c:v>maceta colgar</c:v>
                  </c:pt>
                  <c:pt idx="1059">
                    <c:v>maceta colgar </c:v>
                  </c:pt>
                  <c:pt idx="1060">
                    <c:v>MACETA COLGAR C/CADENA </c:v>
                  </c:pt>
                  <c:pt idx="1061">
                    <c:v>maceta colgar cadena</c:v>
                  </c:pt>
                  <c:pt idx="1062">
                    <c:v>MACETA COLGAR CON CADENA</c:v>
                  </c:pt>
                  <c:pt idx="1063">
                    <c:v>MACETA COLGAR CON CADENA</c:v>
                  </c:pt>
                  <c:pt idx="1064">
                    <c:v>MACETA COLGAR CON CADENA</c:v>
                  </c:pt>
                  <c:pt idx="1065">
                    <c:v>maceta colgar simil ratan</c:v>
                  </c:pt>
                  <c:pt idx="1066">
                    <c:v>maceta colgar simil ratan</c:v>
                  </c:pt>
                  <c:pt idx="1067">
                    <c:v>maceta con planta</c:v>
                  </c:pt>
                  <c:pt idx="1068">
                    <c:v>maceta copa</c:v>
                  </c:pt>
                  <c:pt idx="1069">
                    <c:v>maceta copa</c:v>
                  </c:pt>
                  <c:pt idx="1070">
                    <c:v>maceta copa</c:v>
                  </c:pt>
                  <c:pt idx="1071">
                    <c:v>maceta copa</c:v>
                  </c:pt>
                  <c:pt idx="1072">
                    <c:v>MACETA CRAQUELADA</c:v>
                  </c:pt>
                  <c:pt idx="1073">
                    <c:v>MACETA CRAQUELADA</c:v>
                  </c:pt>
                  <c:pt idx="1074">
                    <c:v>MACETA CRAQUELADA</c:v>
                  </c:pt>
                  <c:pt idx="1075">
                    <c:v>MACETA CRAQUELADA</c:v>
                  </c:pt>
                  <c:pt idx="1076">
                    <c:v>MACETA CRAQUELADA</c:v>
                  </c:pt>
                  <c:pt idx="1077">
                    <c:v>maceta cua</c:v>
                  </c:pt>
                  <c:pt idx="1078">
                    <c:v>maceta cuadrada c/plat</c:v>
                  </c:pt>
                  <c:pt idx="1079">
                    <c:v>maceta cuadrada c/plat</c:v>
                  </c:pt>
                  <c:pt idx="1080">
                    <c:v>Maceta cuadrada chica plas garden</c:v>
                  </c:pt>
                  <c:pt idx="1081">
                    <c:v>maceta cuadrada N23</c:v>
                  </c:pt>
                  <c:pt idx="1082">
                    <c:v>maceta cuadrada N28</c:v>
                  </c:pt>
                  <c:pt idx="1083">
                    <c:v>maceta cuadrada N33</c:v>
                  </c:pt>
                  <c:pt idx="1084">
                    <c:v>maceta cuadrada N35</c:v>
                  </c:pt>
                  <c:pt idx="1085">
                    <c:v>maceta cuia</c:v>
                  </c:pt>
                  <c:pt idx="1086">
                    <c:v>maceta cuia</c:v>
                  </c:pt>
                  <c:pt idx="1087">
                    <c:v>maceta cuia 1,5</c:v>
                  </c:pt>
                  <c:pt idx="1088">
                    <c:v>maceta cuia 2</c:v>
                  </c:pt>
                  <c:pt idx="1089">
                    <c:v>maceta cuia 3</c:v>
                  </c:pt>
                  <c:pt idx="1090">
                    <c:v>maceta cuia 4</c:v>
                  </c:pt>
                  <c:pt idx="1091">
                    <c:v>maceta de barro</c:v>
                  </c:pt>
                  <c:pt idx="1092">
                    <c:v>maceta de barro</c:v>
                  </c:pt>
                  <c:pt idx="1093">
                    <c:v>maceta de barro</c:v>
                  </c:pt>
                  <c:pt idx="1094">
                    <c:v>maceta de barro aerea</c:v>
                  </c:pt>
                  <c:pt idx="1095">
                    <c:v>Maceta de barro FARAO</c:v>
                  </c:pt>
                  <c:pt idx="1096">
                    <c:v>Maceta de cococ/ plato</c:v>
                  </c:pt>
                  <c:pt idx="1097">
                    <c:v>Maceta de cococ/ plato</c:v>
                  </c:pt>
                  <c:pt idx="1098">
                    <c:v>maceta de colgar c/ cadena</c:v>
                  </c:pt>
                  <c:pt idx="1099">
                    <c:v>MACETA DE COLGAR C/ CADENA</c:v>
                  </c:pt>
                  <c:pt idx="1100">
                    <c:v>maceta de colgar c/cadena</c:v>
                  </c:pt>
                  <c:pt idx="1101">
                    <c:v>MACETA DE COLGAR CON CADENA</c:v>
                  </c:pt>
                  <c:pt idx="1102">
                    <c:v>MACETA DE COLGAR CON CADENA</c:v>
                  </c:pt>
                  <c:pt idx="1103">
                    <c:v>MACETA DE COLGAR CON CADENA</c:v>
                  </c:pt>
                  <c:pt idx="1104">
                    <c:v>MACETA DE COLGAR CON CADENA</c:v>
                  </c:pt>
                  <c:pt idx="1105">
                    <c:v>MACETA DE COLGAR CON CADENA</c:v>
                  </c:pt>
                  <c:pt idx="1106">
                    <c:v>maceta de orquidea</c:v>
                  </c:pt>
                  <c:pt idx="1107">
                    <c:v>MACETA DE PLASTICO DE PARED</c:v>
                  </c:pt>
                  <c:pt idx="1108">
                    <c:v>maceta decorada</c:v>
                  </c:pt>
                  <c:pt idx="1109">
                    <c:v>maceta descartable</c:v>
                  </c:pt>
                  <c:pt idx="1110">
                    <c:v>maceta descartable canadience</c:v>
                  </c:pt>
                  <c:pt idx="1111">
                    <c:v>maceta descartable canadience</c:v>
                  </c:pt>
                  <c:pt idx="1112">
                    <c:v>maceta descartable canadience</c:v>
                  </c:pt>
                  <c:pt idx="1113">
                    <c:v>maceta descartable canadience</c:v>
                  </c:pt>
                  <c:pt idx="1114">
                    <c:v>maceta descartable canadience</c:v>
                  </c:pt>
                  <c:pt idx="1115">
                    <c:v>maceta descartable vivero</c:v>
                  </c:pt>
                  <c:pt idx="1116">
                    <c:v>maceta descartable vivero-1000 maceta</c:v>
                  </c:pt>
                  <c:pt idx="1117">
                    <c:v>maceta descartable vivero-2000 maceta</c:v>
                  </c:pt>
                  <c:pt idx="1118">
                    <c:v>maceta descatable canadience</c:v>
                  </c:pt>
                  <c:pt idx="1119">
                    <c:v>maceta diamante</c:v>
                  </c:pt>
                  <c:pt idx="1120">
                    <c:v>maceta diamante</c:v>
                  </c:pt>
                  <c:pt idx="1121">
                    <c:v>MACETA DIAMANTE</c:v>
                  </c:pt>
                  <c:pt idx="1122">
                    <c:v>MACETA DIAMANTE</c:v>
                  </c:pt>
                  <c:pt idx="1123">
                    <c:v>MACETA DIAMANTE</c:v>
                  </c:pt>
                  <c:pt idx="1124">
                    <c:v>maceta duo</c:v>
                  </c:pt>
                  <c:pt idx="1125">
                    <c:v>maceta duo</c:v>
                  </c:pt>
                  <c:pt idx="1126">
                    <c:v>maceta duo</c:v>
                  </c:pt>
                  <c:pt idx="1127">
                    <c:v>maceta ecologica n 2</c:v>
                  </c:pt>
                  <c:pt idx="1128">
                    <c:v>maceta elegant S/plato</c:v>
                  </c:pt>
                  <c:pt idx="1129">
                    <c:v>maceta elegant S/plato</c:v>
                  </c:pt>
                  <c:pt idx="1130">
                    <c:v>maceta elegant S/plato</c:v>
                  </c:pt>
                  <c:pt idx="1131">
                    <c:v>maceta elegant S/plato</c:v>
                  </c:pt>
                  <c:pt idx="1132">
                    <c:v>maceta elegant S/plato</c:v>
                  </c:pt>
                  <c:pt idx="1133">
                    <c:v>maceta elegant S/plato</c:v>
                  </c:pt>
                  <c:pt idx="1134">
                    <c:v>maceta elegant S/plato</c:v>
                  </c:pt>
                  <c:pt idx="1135">
                    <c:v>maceta elegant S/plato</c:v>
                  </c:pt>
                  <c:pt idx="1136">
                    <c:v>maceta estampada blanca lineasc/p</c:v>
                  </c:pt>
                  <c:pt idx="1137">
                    <c:v>maceta estampada blanca lineasc/p</c:v>
                  </c:pt>
                  <c:pt idx="1138">
                    <c:v>maceta estampada blanca lineasc/p</c:v>
                  </c:pt>
                  <c:pt idx="1139">
                    <c:v>maceta estampada blanca lineasc/p</c:v>
                  </c:pt>
                  <c:pt idx="1140">
                    <c:v>maceta estampada blanca lineasc/p</c:v>
                  </c:pt>
                  <c:pt idx="1141">
                    <c:v>maceta estampada blanca lineasc/p</c:v>
                  </c:pt>
                  <c:pt idx="1142">
                    <c:v>maceta facetada</c:v>
                  </c:pt>
                  <c:pt idx="1143">
                    <c:v>maceta flor c/plato</c:v>
                  </c:pt>
                  <c:pt idx="1144">
                    <c:v>maceta guia ecovaso</c:v>
                  </c:pt>
                  <c:pt idx="1145">
                    <c:v>maceta hexagonal</c:v>
                  </c:pt>
                  <c:pt idx="1146">
                    <c:v>maceta holambra</c:v>
                  </c:pt>
                  <c:pt idx="1147">
                    <c:v>MACETA JARDINERA CON PLATO</c:v>
                  </c:pt>
                  <c:pt idx="1148">
                    <c:v>maceta jardinera de pared</c:v>
                  </c:pt>
                  <c:pt idx="1149">
                    <c:v>maceta jardinera plasticos/plato</c:v>
                  </c:pt>
                  <c:pt idx="1150">
                    <c:v>maceta jardinera plstico s/plato</c:v>
                  </c:pt>
                  <c:pt idx="1151">
                    <c:v>MACETA JARDINERA S/PLATO</c:v>
                  </c:pt>
                  <c:pt idx="1152">
                    <c:v>MACETA JARDINERA S/PLATO</c:v>
                  </c:pt>
                  <c:pt idx="1153">
                    <c:v>MACETA JARDINERA TERRACOTA</c:v>
                  </c:pt>
                  <c:pt idx="1154">
                    <c:v>MACETA JARDINERA TERRACOTA</c:v>
                  </c:pt>
                  <c:pt idx="1155">
                    <c:v>maceta lebrillo</c:v>
                  </c:pt>
                  <c:pt idx="1156">
                    <c:v>MACETA MARRON CUADRADA</c:v>
                  </c:pt>
                  <c:pt idx="1157">
                    <c:v>MACETA MARRON CUADRADA</c:v>
                  </c:pt>
                  <c:pt idx="1158">
                    <c:v>maceta marron lisa c/plato</c:v>
                  </c:pt>
                  <c:pt idx="1159">
                    <c:v>maceta marron lisa c/plato</c:v>
                  </c:pt>
                  <c:pt idx="1160">
                    <c:v>MACETA marron lisa c/plato</c:v>
                  </c:pt>
                  <c:pt idx="1161">
                    <c:v>maceta marron lisa c/plato</c:v>
                  </c:pt>
                  <c:pt idx="1162">
                    <c:v>MACETA marron lisa redonda</c:v>
                  </c:pt>
                  <c:pt idx="1163">
                    <c:v>MACETA marrron lisac/plato</c:v>
                  </c:pt>
                  <c:pt idx="1164">
                    <c:v>maceta milan</c:v>
                  </c:pt>
                  <c:pt idx="1165">
                    <c:v>maceta milan</c:v>
                  </c:pt>
                  <c:pt idx="1166">
                    <c:v>maceta mini c/plat</c:v>
                  </c:pt>
                  <c:pt idx="1167">
                    <c:v>maceta N3 color c/plato</c:v>
                  </c:pt>
                  <c:pt idx="1168">
                    <c:v>maceta N4 color c/plato</c:v>
                  </c:pt>
                  <c:pt idx="1169">
                    <c:v>maceta N5 color c/plato</c:v>
                  </c:pt>
                  <c:pt idx="1170">
                    <c:v>maceta nacional </c:v>
                  </c:pt>
                  <c:pt idx="1171">
                    <c:v>maceta nacional A</c:v>
                  </c:pt>
                  <c:pt idx="1172">
                    <c:v>maceta nacional A</c:v>
                  </c:pt>
                  <c:pt idx="1173">
                    <c:v>maceta nacional A</c:v>
                  </c:pt>
                  <c:pt idx="1174">
                    <c:v>maceta nacional A</c:v>
                  </c:pt>
                  <c:pt idx="1175">
                    <c:v>maceta nacional A</c:v>
                  </c:pt>
                  <c:pt idx="1176">
                    <c:v>maceta nacional A</c:v>
                  </c:pt>
                  <c:pt idx="1177">
                    <c:v>maceta nacional A </c:v>
                  </c:pt>
                  <c:pt idx="1178">
                    <c:v>maceta nacional A negra</c:v>
                  </c:pt>
                  <c:pt idx="1179">
                    <c:v>maceta nacional A negra</c:v>
                  </c:pt>
                  <c:pt idx="1180">
                    <c:v>maceta nacional A negra</c:v>
                  </c:pt>
                  <c:pt idx="1181">
                    <c:v>maceta nacional A NEGRA</c:v>
                  </c:pt>
                  <c:pt idx="1182">
                    <c:v>maceta negra c/blanco</c:v>
                  </c:pt>
                  <c:pt idx="1183">
                    <c:v>maceta negra c/blanco</c:v>
                  </c:pt>
                  <c:pt idx="1184">
                    <c:v>maceta negra cilindrica</c:v>
                  </c:pt>
                  <c:pt idx="1185">
                    <c:v>maceta negra cilindrica</c:v>
                  </c:pt>
                  <c:pt idx="1186">
                    <c:v>maceta negra cilindricaC/PLATO</c:v>
                  </c:pt>
                  <c:pt idx="1187">
                    <c:v>MACETA NEGRA CUADRADA RALLADA</c:v>
                  </c:pt>
                  <c:pt idx="1188">
                    <c:v>MACETA NEGRA FLOR C/ PLATO</c:v>
                  </c:pt>
                  <c:pt idx="1189">
                    <c:v>MACETA NEGRA FLOR C/ PLATO</c:v>
                  </c:pt>
                  <c:pt idx="1190">
                    <c:v>MACETA NEGRA FLOR C/ PLATO</c:v>
                  </c:pt>
                  <c:pt idx="1191">
                    <c:v>MACETA NEGRA FLOR C/ PLATO</c:v>
                  </c:pt>
                  <c:pt idx="1192">
                    <c:v>MACETA NEGRA LABRADA</c:v>
                  </c:pt>
                  <c:pt idx="1193">
                    <c:v>MACETA NEGRA LABRADA</c:v>
                  </c:pt>
                  <c:pt idx="1194">
                    <c:v>maceta negra labrada c/plato</c:v>
                  </c:pt>
                  <c:pt idx="1195">
                    <c:v>MACETA NEGRA LABRADA CON PLATO</c:v>
                  </c:pt>
                  <c:pt idx="1196">
                    <c:v>MACETA NEGRA+B1896 CUADRADA RALLADA</c:v>
                  </c:pt>
                  <c:pt idx="1197">
                    <c:v>maceta negto c/blanco</c:v>
                  </c:pt>
                  <c:pt idx="1198">
                    <c:v>maceta nutriplant</c:v>
                  </c:pt>
                  <c:pt idx="1199">
                    <c:v>maceta orquidea</c:v>
                  </c:pt>
                  <c:pt idx="1200">
                    <c:v>maceta orquidea</c:v>
                  </c:pt>
                  <c:pt idx="1201">
                    <c:v>MACETA ORQUIDEA COLOR FLUOR</c:v>
                  </c:pt>
                  <c:pt idx="1202">
                    <c:v>maceta orquidea grande</c:v>
                  </c:pt>
                  <c:pt idx="1203">
                    <c:v>MACETA ORQUIDEA TRANSPARENTE</c:v>
                  </c:pt>
                  <c:pt idx="1204">
                    <c:v>MACETA ORQUIDEA TRANSPARENTE</c:v>
                  </c:pt>
                  <c:pt idx="1205">
                    <c:v>MACETA ORQUIDEA TRANSPARENTE</c:v>
                  </c:pt>
                  <c:pt idx="1206">
                    <c:v>MACETA ORQUIDEA TRANSPARENTE</c:v>
                  </c:pt>
                  <c:pt idx="1207">
                    <c:v>maceta paila 35</c:v>
                  </c:pt>
                  <c:pt idx="1208">
                    <c:v>maceta paila c/p</c:v>
                  </c:pt>
                  <c:pt idx="1209">
                    <c:v>maceta pared</c:v>
                  </c:pt>
                  <c:pt idx="1210">
                    <c:v>maceta pared</c:v>
                  </c:pt>
                  <c:pt idx="1211">
                    <c:v>maceta pared</c:v>
                  </c:pt>
                  <c:pt idx="1212">
                    <c:v>maceta pared</c:v>
                  </c:pt>
                  <c:pt idx="1213">
                    <c:v>maceta pared</c:v>
                  </c:pt>
                  <c:pt idx="1214">
                    <c:v>maceta pared plastico</c:v>
                  </c:pt>
                  <c:pt idx="1215">
                    <c:v>maceta paris</c:v>
                  </c:pt>
                  <c:pt idx="1216">
                    <c:v>maceta paris</c:v>
                  </c:pt>
                  <c:pt idx="1217">
                    <c:v>maceta paris</c:v>
                  </c:pt>
                  <c:pt idx="1218">
                    <c:v>maceta paula  c/plato</c:v>
                  </c:pt>
                  <c:pt idx="1219">
                    <c:v>maceta paula c/plato</c:v>
                  </c:pt>
                  <c:pt idx="1220">
                    <c:v>maceta paula c/plato</c:v>
                  </c:pt>
                  <c:pt idx="1221">
                    <c:v>maceta paula c/plato</c:v>
                  </c:pt>
                  <c:pt idx="1222">
                    <c:v>maceta paula c/plato</c:v>
                  </c:pt>
                  <c:pt idx="1223">
                    <c:v>maceta piramidal con luz  N67</c:v>
                  </c:pt>
                  <c:pt idx="1224">
                    <c:v>maceta piso c/ PLATO</c:v>
                  </c:pt>
                  <c:pt idx="1225">
                    <c:v>MACETA PISO C/ PLATO</c:v>
                  </c:pt>
                  <c:pt idx="1226">
                    <c:v>MACETA PISO C/ PLATO</c:v>
                  </c:pt>
                  <c:pt idx="1227">
                    <c:v>maceta piso con plato</c:v>
                  </c:pt>
                  <c:pt idx="1228">
                    <c:v>maceta piso con plato</c:v>
                  </c:pt>
                  <c:pt idx="1229">
                    <c:v>maceta piso con plato</c:v>
                  </c:pt>
                  <c:pt idx="1230">
                    <c:v>maceta piso cuadradacon plato</c:v>
                  </c:pt>
                  <c:pt idx="1231">
                    <c:v>maceta piso cuadradacon plato</c:v>
                  </c:pt>
                  <c:pt idx="1232">
                    <c:v>maceta piso cuadradacon plato</c:v>
                  </c:pt>
                  <c:pt idx="1233">
                    <c:v>MACETA piso MARRON c/plat</c:v>
                  </c:pt>
                  <c:pt idx="1234">
                    <c:v>maceta piza</c:v>
                  </c:pt>
                  <c:pt idx="1235">
                    <c:v>maceta pl</c:v>
                  </c:pt>
                  <c:pt idx="1236">
                    <c:v>maceta pl</c:v>
                  </c:pt>
                  <c:pt idx="1237">
                    <c:v>maceta pl COLOR</c:v>
                  </c:pt>
                  <c:pt idx="1238">
                    <c:v>maceta pl COLOR</c:v>
                  </c:pt>
                  <c:pt idx="1239">
                    <c:v>maceta pl COLOR</c:v>
                  </c:pt>
                  <c:pt idx="1240">
                    <c:v>maceta pl COLOR</c:v>
                  </c:pt>
                  <c:pt idx="1241">
                    <c:v>MACETA PL NEGRA</c:v>
                  </c:pt>
                  <c:pt idx="1242">
                    <c:v>MACETA PL NEGRA</c:v>
                  </c:pt>
                  <c:pt idx="1243">
                    <c:v>MACETA PL NEGRA</c:v>
                  </c:pt>
                  <c:pt idx="1244">
                    <c:v>MACETA PL NEGRA</c:v>
                  </c:pt>
                  <c:pt idx="1245">
                    <c:v>maceta plastica</c:v>
                  </c:pt>
                  <c:pt idx="1246">
                    <c:v>maceta plastica</c:v>
                  </c:pt>
                  <c:pt idx="1247">
                    <c:v>maceta plastica</c:v>
                  </c:pt>
                  <c:pt idx="1248">
                    <c:v>maceta plastica</c:v>
                  </c:pt>
                  <c:pt idx="1249">
                    <c:v>maceta plastica</c:v>
                  </c:pt>
                  <c:pt idx="1250">
                    <c:v>maceta plastica</c:v>
                  </c:pt>
                  <c:pt idx="1251">
                    <c:v>maceta plastica </c:v>
                  </c:pt>
                  <c:pt idx="1252">
                    <c:v>maceta plastica blanca</c:v>
                  </c:pt>
                  <c:pt idx="1253">
                    <c:v>MACETA PLASTICA COPA</c:v>
                  </c:pt>
                  <c:pt idx="1254">
                    <c:v>maceta plastica gris</c:v>
                  </c:pt>
                  <c:pt idx="1255">
                    <c:v>maceta plastico cuadrada</c:v>
                  </c:pt>
                  <c:pt idx="1256">
                    <c:v>maceta plastico cuadrada</c:v>
                  </c:pt>
                  <c:pt idx="1257">
                    <c:v>maceta plastico cuadrada</c:v>
                  </c:pt>
                  <c:pt idx="1258">
                    <c:v>maceta plastico cuadrada</c:v>
                  </c:pt>
                  <c:pt idx="1259">
                    <c:v>maceta plastico cuadrada</c:v>
                  </c:pt>
                  <c:pt idx="1260">
                    <c:v>maceta plastico cuadrada</c:v>
                  </c:pt>
                  <c:pt idx="1261">
                    <c:v>maceta plastico jardinera s/</c:v>
                  </c:pt>
                  <c:pt idx="1262">
                    <c:v>maceta plastico labrada</c:v>
                  </c:pt>
                  <c:pt idx="1263">
                    <c:v>maceta plastico labrada</c:v>
                  </c:pt>
                  <c:pt idx="1264">
                    <c:v>maceta plastico n11</c:v>
                  </c:pt>
                  <c:pt idx="1265">
                    <c:v>maceta plastico n8</c:v>
                  </c:pt>
                  <c:pt idx="1266">
                    <c:v>maceta porteña </c:v>
                  </c:pt>
                  <c:pt idx="1267">
                    <c:v>MACETA PREMIUN clasica</c:v>
                  </c:pt>
                  <c:pt idx="1268">
                    <c:v>MACETA PREMIUN clasica</c:v>
                  </c:pt>
                  <c:pt idx="1269">
                    <c:v>MACETA PREMIUN clasica</c:v>
                  </c:pt>
                  <c:pt idx="1270">
                    <c:v>MACETA PREMIUN clasica</c:v>
                  </c:pt>
                  <c:pt idx="1271">
                    <c:v>MACETA PREMIUN clasica</c:v>
                  </c:pt>
                  <c:pt idx="1272">
                    <c:v>maceta premiun redonda blanca </c:v>
                  </c:pt>
                  <c:pt idx="1273">
                    <c:v>MACETA PRISMA CODIGO</c:v>
                  </c:pt>
                  <c:pt idx="1274">
                    <c:v>MACETA PUNTO 1</c:v>
                  </c:pt>
                  <c:pt idx="1275">
                    <c:v>MACETA PUNTO 2</c:v>
                  </c:pt>
                  <c:pt idx="1276">
                    <c:v>MACETA PUNTO 3</c:v>
                  </c:pt>
                  <c:pt idx="1277">
                    <c:v>MACETA PUNTO 4</c:v>
                  </c:pt>
                  <c:pt idx="1278">
                    <c:v>MACETA RAYADA PLASTICO</c:v>
                  </c:pt>
                  <c:pt idx="1279">
                    <c:v>MACETA RAYADA TERRACOTA</c:v>
                  </c:pt>
                  <c:pt idx="1280">
                    <c:v>MACETA RAYADA TERRACOTA</c:v>
                  </c:pt>
                  <c:pt idx="1281">
                    <c:v>MACETA RAYADA TERRACOTA</c:v>
                  </c:pt>
                  <c:pt idx="1282">
                    <c:v>MACETA RAYADA TERRACOTA</c:v>
                  </c:pt>
                  <c:pt idx="1283">
                    <c:v>maceta rayadaterracota</c:v>
                  </c:pt>
                  <c:pt idx="1284">
                    <c:v>maceta redonda decorada c/plato</c:v>
                  </c:pt>
                  <c:pt idx="1285">
                    <c:v>maceta redonda decorada c/plato</c:v>
                  </c:pt>
                  <c:pt idx="1286">
                    <c:v>maceta redonda decorada c/plato</c:v>
                  </c:pt>
                  <c:pt idx="1287">
                    <c:v>maceta redonda decorada c/plato</c:v>
                  </c:pt>
                  <c:pt idx="1288">
                    <c:v>maceta redonda europea</c:v>
                  </c:pt>
                  <c:pt idx="1289">
                    <c:v>MACETA REDONDA SIMIL PETRE 10 CM</c:v>
                  </c:pt>
                  <c:pt idx="1290">
                    <c:v>maceta relevo</c:v>
                  </c:pt>
                  <c:pt idx="1291">
                    <c:v>maceta relevo</c:v>
                  </c:pt>
                  <c:pt idx="1292">
                    <c:v>maceta rio</c:v>
                  </c:pt>
                  <c:pt idx="1293">
                    <c:v>maceta rocio </c:v>
                  </c:pt>
                  <c:pt idx="1294">
                    <c:v>maceta rocio </c:v>
                  </c:pt>
                  <c:pt idx="1295">
                    <c:v>maceta rocio </c:v>
                  </c:pt>
                  <c:pt idx="1296">
                    <c:v>maceta rocio </c:v>
                  </c:pt>
                  <c:pt idx="1297">
                    <c:v>maceta rocio de colores</c:v>
                  </c:pt>
                  <c:pt idx="1298">
                    <c:v>maceta rocio de colores</c:v>
                  </c:pt>
                  <c:pt idx="1299">
                    <c:v>maceta rocio de colores</c:v>
                  </c:pt>
                  <c:pt idx="1300">
                    <c:v>maceta rocio de colores</c:v>
                  </c:pt>
                  <c:pt idx="1301">
                    <c:v>maceta rocio de colores</c:v>
                  </c:pt>
                  <c:pt idx="1302">
                    <c:v>maceta rotomoldeada</c:v>
                  </c:pt>
                  <c:pt idx="1303">
                    <c:v>maceta rotomoldeada</c:v>
                  </c:pt>
                  <c:pt idx="1304">
                    <c:v>maceta rotomoldeada</c:v>
                  </c:pt>
                  <c:pt idx="1305">
                    <c:v>maceta rotomoldeada</c:v>
                  </c:pt>
                  <c:pt idx="1306">
                    <c:v>maceta rotomoldeada</c:v>
                  </c:pt>
                  <c:pt idx="1307">
                    <c:v>maceta rotomoldeada</c:v>
                  </c:pt>
                  <c:pt idx="1308">
                    <c:v>maceta rotomoldeada</c:v>
                  </c:pt>
                  <c:pt idx="1309">
                    <c:v>maceta rotomoldeada</c:v>
                  </c:pt>
                  <c:pt idx="1310">
                    <c:v>maceta rotomoldeada</c:v>
                  </c:pt>
                  <c:pt idx="1311">
                    <c:v>maceta rotomoldeada</c:v>
                  </c:pt>
                  <c:pt idx="1312">
                    <c:v>maceta rotomoldeada</c:v>
                  </c:pt>
                  <c:pt idx="1313">
                    <c:v>maceta rotomoldeada</c:v>
                  </c:pt>
                  <c:pt idx="1314">
                    <c:v>maceta rotomoldeada</c:v>
                  </c:pt>
                  <c:pt idx="1315">
                    <c:v>MACETA ROTOMOLDEADA</c:v>
                  </c:pt>
                  <c:pt idx="1316">
                    <c:v>MACETA ROTOMOLDEADA</c:v>
                  </c:pt>
                  <c:pt idx="1317">
                    <c:v>MACETA ROTOMOLDEADA</c:v>
                  </c:pt>
                  <c:pt idx="1318">
                    <c:v>MACETA ROTOMOLDEADA</c:v>
                  </c:pt>
                  <c:pt idx="1319">
                    <c:v>MACETA ROTOMOLDEADA</c:v>
                  </c:pt>
                  <c:pt idx="1320">
                    <c:v>MACETA ROTOMOLDEADA</c:v>
                  </c:pt>
                  <c:pt idx="1321">
                    <c:v>MACETA ROTOMOLDEADA</c:v>
                  </c:pt>
                  <c:pt idx="1322">
                    <c:v>maceta rotomoldeada</c:v>
                  </c:pt>
                  <c:pt idx="1323">
                    <c:v>MACETA ROTOMOLDEADA</c:v>
                  </c:pt>
                  <c:pt idx="1324">
                    <c:v>MACETA ROTOMOLDEADA</c:v>
                  </c:pt>
                  <c:pt idx="1325">
                    <c:v>MACETA ROTOMOLDEADA</c:v>
                  </c:pt>
                  <c:pt idx="1326">
                    <c:v>MACETA ROTOMOLDEADA</c:v>
                  </c:pt>
                  <c:pt idx="1327">
                    <c:v>MACETA ROTOMOLDEADA</c:v>
                  </c:pt>
                  <c:pt idx="1328">
                    <c:v>MACETA ROTOMOLDEADA</c:v>
                  </c:pt>
                  <c:pt idx="1329">
                    <c:v>MACETA ROTOMOLDEADA</c:v>
                  </c:pt>
                  <c:pt idx="1330">
                    <c:v>MACETA ROTOMOLDEADA</c:v>
                  </c:pt>
                  <c:pt idx="1331">
                    <c:v>MACETA ROTOMOLDEADA</c:v>
                  </c:pt>
                  <c:pt idx="1332">
                    <c:v>MACETA ROTOMOLDEADA</c:v>
                  </c:pt>
                  <c:pt idx="1333">
                    <c:v>MACETA ROTOMOLDEADA</c:v>
                  </c:pt>
                  <c:pt idx="1334">
                    <c:v>MACETA ROTOMOLDEADA</c:v>
                  </c:pt>
                  <c:pt idx="1335">
                    <c:v>MACETA ROTOMOLDEADA</c:v>
                  </c:pt>
                  <c:pt idx="1336">
                    <c:v>MACETA ROTOMOLDEADA</c:v>
                  </c:pt>
                  <c:pt idx="1337">
                    <c:v>MACETA ROTOMOLDEADA</c:v>
                  </c:pt>
                  <c:pt idx="1338">
                    <c:v>MACETA ROTOMOLDEADA</c:v>
                  </c:pt>
                  <c:pt idx="1339">
                    <c:v>MACETA ROTOMOLDEADA</c:v>
                  </c:pt>
                  <c:pt idx="1340">
                    <c:v>MACETA ROTOMOLDEADA</c:v>
                  </c:pt>
                  <c:pt idx="1341">
                    <c:v>MACETA ROTOMOLDEADA</c:v>
                  </c:pt>
                  <c:pt idx="1342">
                    <c:v>MACETA ROTOMOLDEADA</c:v>
                  </c:pt>
                  <c:pt idx="1343">
                    <c:v>MACETA ROTOMOLDEADA</c:v>
                  </c:pt>
                  <c:pt idx="1344">
                    <c:v>MACETA ROTOMOLDEADA</c:v>
                  </c:pt>
                  <c:pt idx="1345">
                    <c:v>MACETA ROTOMOLDEADA</c:v>
                  </c:pt>
                  <c:pt idx="1346">
                    <c:v>MACETA ROTOMOLDEADA </c:v>
                  </c:pt>
                  <c:pt idx="1347">
                    <c:v>maceta rotomoldeada </c:v>
                  </c:pt>
                  <c:pt idx="1348">
                    <c:v>maceta rotomoldeada </c:v>
                  </c:pt>
                  <c:pt idx="1349">
                    <c:v>maceta rotomoldeada </c:v>
                  </c:pt>
                  <c:pt idx="1350">
                    <c:v>MACETA ROTOMOLDEADA </c:v>
                  </c:pt>
                  <c:pt idx="1351">
                    <c:v>MACETA ROTOMOLDEADA </c:v>
                  </c:pt>
                  <c:pt idx="1352">
                    <c:v>MACETA ROTOMOLDEADA </c:v>
                  </c:pt>
                  <c:pt idx="1353">
                    <c:v>MACETA ROTOMOLDEADA </c:v>
                  </c:pt>
                  <c:pt idx="1354">
                    <c:v>maceta rotomoldeada </c:v>
                  </c:pt>
                  <c:pt idx="1355">
                    <c:v>MACETA ROTOMOLDEADA OCRE</c:v>
                  </c:pt>
                  <c:pt idx="1356">
                    <c:v>MACETA ROTOMOLDEADA OCRE</c:v>
                  </c:pt>
                  <c:pt idx="1357">
                    <c:v>MACETA ROTOMOLDEADA OCRE</c:v>
                  </c:pt>
                  <c:pt idx="1358">
                    <c:v>MACETA ROTOMOLDEADA OCRE</c:v>
                  </c:pt>
                  <c:pt idx="1359">
                    <c:v>maceta rotomoldeada vogue mini beta mini</c:v>
                  </c:pt>
                  <c:pt idx="1360">
                    <c:v>MACETA ROTOMOLDEALA</c:v>
                  </c:pt>
                  <c:pt idx="1361">
                    <c:v>maceta sampa</c:v>
                  </c:pt>
                  <c:pt idx="1362">
                    <c:v>maceta sampa</c:v>
                  </c:pt>
                  <c:pt idx="1363">
                    <c:v>maceta sampa</c:v>
                  </c:pt>
                  <c:pt idx="1364">
                    <c:v>maceta sampa</c:v>
                  </c:pt>
                  <c:pt idx="1365">
                    <c:v>maceta sampa</c:v>
                  </c:pt>
                  <c:pt idx="1366">
                    <c:v>maceta sampa</c:v>
                  </c:pt>
                  <c:pt idx="1367">
                    <c:v>maceta sampa</c:v>
                  </c:pt>
                  <c:pt idx="1368">
                    <c:v>maceta sampa</c:v>
                  </c:pt>
                  <c:pt idx="1369">
                    <c:v>maceta sampa</c:v>
                  </c:pt>
                  <c:pt idx="1370">
                    <c:v>maceta SURA</c:v>
                  </c:pt>
                  <c:pt idx="1371">
                    <c:v>maceta SURA</c:v>
                  </c:pt>
                  <c:pt idx="1372">
                    <c:v>maceta SURA</c:v>
                  </c:pt>
                  <c:pt idx="1373">
                    <c:v>maceta SURA</c:v>
                  </c:pt>
                  <c:pt idx="1374">
                    <c:v>maceta terra</c:v>
                  </c:pt>
                  <c:pt idx="1375">
                    <c:v>MACETA TERRACOTA</c:v>
                  </c:pt>
                  <c:pt idx="1376">
                    <c:v>maceta terracota</c:v>
                  </c:pt>
                  <c:pt idx="1377">
                    <c:v>maceta terracota</c:v>
                  </c:pt>
                  <c:pt idx="1378">
                    <c:v>maceta terracota</c:v>
                  </c:pt>
                  <c:pt idx="1379">
                    <c:v>MACETA TERRACOTA</c:v>
                  </c:pt>
                  <c:pt idx="1380">
                    <c:v>maceta transparente p/orquidia</c:v>
                  </c:pt>
                  <c:pt idx="1381">
                    <c:v>maceta transparente p/orquidia</c:v>
                  </c:pt>
                  <c:pt idx="1382">
                    <c:v>maceta tuna cuadrada</c:v>
                  </c:pt>
                  <c:pt idx="1383">
                    <c:v>maceta tuna cuadrada</c:v>
                  </c:pt>
                  <c:pt idx="1384">
                    <c:v>maceta tuna redonda</c:v>
                  </c:pt>
                  <c:pt idx="1385">
                    <c:v>maceta tuna redonda</c:v>
                  </c:pt>
                  <c:pt idx="1386">
                    <c:v>maceta vaso acuarela</c:v>
                  </c:pt>
                  <c:pt idx="1387">
                    <c:v>maceta vaso duo brancografiti</c:v>
                  </c:pt>
                  <c:pt idx="1388">
                    <c:v>maceta vaso negro</c:v>
                  </c:pt>
                  <c:pt idx="1389">
                    <c:v>maceta vaso negro</c:v>
                  </c:pt>
                  <c:pt idx="1390">
                    <c:v>maceta vaso negro</c:v>
                  </c:pt>
                  <c:pt idx="1391">
                    <c:v>maceta vaso negro</c:v>
                  </c:pt>
                  <c:pt idx="1392">
                    <c:v>maceta vaso redondo</c:v>
                  </c:pt>
                  <c:pt idx="1393">
                    <c:v>maceta vaso redondo</c:v>
                  </c:pt>
                  <c:pt idx="1394">
                    <c:v>maceta vechio americano N°1</c:v>
                  </c:pt>
                  <c:pt idx="1395">
                    <c:v>maceta vechio americano N°3</c:v>
                  </c:pt>
                  <c:pt idx="1396">
                    <c:v>maceta vechio cachepo bally N°1</c:v>
                  </c:pt>
                  <c:pt idx="1397">
                    <c:v>maceta vechio cachepo bola N°1</c:v>
                  </c:pt>
                  <c:pt idx="1398">
                    <c:v>maceta verona con plato set x 5</c:v>
                  </c:pt>
                  <c:pt idx="1399">
                    <c:v>maceta vivero</c:v>
                  </c:pt>
                  <c:pt idx="1400">
                    <c:v>maceta xaxim con cadena ch</c:v>
                  </c:pt>
                  <c:pt idx="1401">
                    <c:v>maceta xaxim con cadena med</c:v>
                  </c:pt>
                  <c:pt idx="1402">
                    <c:v>macetacui nobleproductor</c:v>
                  </c:pt>
                  <c:pt idx="1403">
                    <c:v>MACETAlisa</c:v>
                  </c:pt>
                  <c:pt idx="1404">
                    <c:v>MACETAlisa</c:v>
                  </c:pt>
                  <c:pt idx="1405">
                    <c:v>macetas barro cilindro alto</c:v>
                  </c:pt>
                  <c:pt idx="1406">
                    <c:v>macetas barro cilindro alto</c:v>
                  </c:pt>
                  <c:pt idx="1407">
                    <c:v>macetas bombe c/ plato</c:v>
                  </c:pt>
                  <c:pt idx="1408">
                    <c:v>macetas clasicas blancas</c:v>
                  </c:pt>
                  <c:pt idx="1409">
                    <c:v>macetas clasicas blancas</c:v>
                  </c:pt>
                  <c:pt idx="1410">
                    <c:v>macetas clasicas blancas</c:v>
                  </c:pt>
                  <c:pt idx="1411">
                    <c:v>macetas clasicas blancas</c:v>
                  </c:pt>
                  <c:pt idx="1412">
                    <c:v>macetas clasicas blancas</c:v>
                  </c:pt>
                  <c:pt idx="1413">
                    <c:v>macetas clasicas blancas</c:v>
                  </c:pt>
                  <c:pt idx="1414">
                    <c:v>macetas clasicas blancas</c:v>
                  </c:pt>
                  <c:pt idx="1415">
                    <c:v>macetas clasicas blancas</c:v>
                  </c:pt>
                  <c:pt idx="1416">
                    <c:v>macetas clasicas blancas</c:v>
                  </c:pt>
                  <c:pt idx="1417">
                    <c:v>macetas clasicas blancas</c:v>
                  </c:pt>
                  <c:pt idx="1418">
                    <c:v>macetas clasicas blancas</c:v>
                  </c:pt>
                  <c:pt idx="1419">
                    <c:v>macetas nutriplant negra</c:v>
                  </c:pt>
                  <c:pt idx="1420">
                    <c:v>macetas nutriplant negra</c:v>
                  </c:pt>
                  <c:pt idx="1421">
                    <c:v>macetas nutriplant negra</c:v>
                  </c:pt>
                  <c:pt idx="1422">
                    <c:v>macetas nutriplant negra</c:v>
                  </c:pt>
                  <c:pt idx="1423">
                    <c:v>macetas nutriplant negra</c:v>
                  </c:pt>
                  <c:pt idx="1424">
                    <c:v>macetas nutriplant negra</c:v>
                  </c:pt>
                  <c:pt idx="1425">
                    <c:v>macetas nutriplant negra</c:v>
                  </c:pt>
                  <c:pt idx="1426">
                    <c:v>macetas nutriplant negra</c:v>
                  </c:pt>
                  <c:pt idx="1427">
                    <c:v>macetas nutriplant negra</c:v>
                  </c:pt>
                  <c:pt idx="1428">
                    <c:v>macetas nutriplant negra</c:v>
                  </c:pt>
                  <c:pt idx="1429">
                    <c:v>macetas nutriplant negra</c:v>
                  </c:pt>
                  <c:pt idx="1430">
                    <c:v>MACETERO COLGAR RATAN CH</c:v>
                  </c:pt>
                  <c:pt idx="1431">
                    <c:v>MACETERO COLGAR RATAN GDE</c:v>
                  </c:pt>
                  <c:pt idx="1432">
                    <c:v>MACETERO COLGAR RATAN MED</c:v>
                  </c:pt>
                  <c:pt idx="1433">
                    <c:v>macetta plastico pared</c:v>
                  </c:pt>
                  <c:pt idx="1434">
                    <c:v>macetta plastico pared</c:v>
                  </c:pt>
                  <c:pt idx="1435">
                    <c:v>machete tramontina</c:v>
                  </c:pt>
                  <c:pt idx="1436">
                    <c:v>maiz entero</c:v>
                  </c:pt>
                  <c:pt idx="1437">
                    <c:v>maiz entero</c:v>
                  </c:pt>
                  <c:pt idx="1438">
                    <c:v>maiz quebrado</c:v>
                  </c:pt>
                  <c:pt idx="1439">
                    <c:v>maiz quebrado</c:v>
                  </c:pt>
                  <c:pt idx="1440">
                    <c:v>malbitraz</c:v>
                  </c:pt>
                  <c:pt idx="1441">
                    <c:v>malla negra n 4</c:v>
                  </c:pt>
                  <c:pt idx="1442">
                    <c:v>malla negra n2</c:v>
                  </c:pt>
                  <c:pt idx="1443">
                    <c:v>malla para helada</c:v>
                  </c:pt>
                  <c:pt idx="1444">
                    <c:v>malla sombra 50 %</c:v>
                  </c:pt>
                  <c:pt idx="1445">
                    <c:v>malla sombra 50 %</c:v>
                  </c:pt>
                  <c:pt idx="1446">
                    <c:v>malla sombra 80 % 4 mts ancho</c:v>
                  </c:pt>
                  <c:pt idx="1447">
                    <c:v>malla sombra 80 % 4 mts ancho</c:v>
                  </c:pt>
                  <c:pt idx="1448">
                    <c:v>malla sombra 80 % 4 mts ancho</c:v>
                  </c:pt>
                  <c:pt idx="1449">
                    <c:v>mancoceb</c:v>
                  </c:pt>
                  <c:pt idx="1450">
                    <c:v>mancozeb</c:v>
                  </c:pt>
                  <c:pt idx="1451">
                    <c:v>mancozeb</c:v>
                  </c:pt>
                  <c:pt idx="1452">
                    <c:v>manguer extensible </c:v>
                  </c:pt>
                  <c:pt idx="1453">
                    <c:v>manguera</c:v>
                  </c:pt>
                  <c:pt idx="1454">
                    <c:v>manguera</c:v>
                  </c:pt>
                  <c:pt idx="1455">
                    <c:v>manguera de tela</c:v>
                  </c:pt>
                  <c:pt idx="1456">
                    <c:v>manguera extensible</c:v>
                  </c:pt>
                  <c:pt idx="1457">
                    <c:v>manguera extensible</c:v>
                  </c:pt>
                  <c:pt idx="1458">
                    <c:v>manguera extensiblo</c:v>
                  </c:pt>
                  <c:pt idx="1459">
                    <c:v>MANTA DE COCO</c:v>
                  </c:pt>
                  <c:pt idx="1460">
                    <c:v>MANTA DE COCO</c:v>
                  </c:pt>
                  <c:pt idx="1461">
                    <c:v>manta de coco</c:v>
                  </c:pt>
                  <c:pt idx="1462">
                    <c:v>MANZANILLA</c:v>
                  </c:pt>
                  <c:pt idx="1463">
                    <c:v>maple de huevo-</c:v>
                  </c:pt>
                  <c:pt idx="1464">
                    <c:v>maples de huevo</c:v>
                  </c:pt>
                  <c:pt idx="1465">
                    <c:v>maquina de flit</c:v>
                  </c:pt>
                  <c:pt idx="1466">
                    <c:v>marmolina </c:v>
                  </c:pt>
                  <c:pt idx="1467">
                    <c:v>mata polillas </c:v>
                  </c:pt>
                  <c:pt idx="1468">
                    <c:v>mata todo</c:v>
                  </c:pt>
                  <c:pt idx="1469">
                    <c:v>MATAMOSCAS</c:v>
                  </c:pt>
                  <c:pt idx="1470">
                    <c:v>mcetero colgante</c:v>
                  </c:pt>
                  <c:pt idx="1471">
                    <c:v>medroxi</c:v>
                  </c:pt>
                  <c:pt idx="1472">
                    <c:v>medroxi</c:v>
                  </c:pt>
                  <c:pt idx="1473">
                    <c:v>medroxi</c:v>
                  </c:pt>
                  <c:pt idx="1474">
                    <c:v>melaza</c:v>
                  </c:pt>
                  <c:pt idx="1475">
                    <c:v>Melaza</c:v>
                  </c:pt>
                  <c:pt idx="1476">
                    <c:v>mercaptathion</c:v>
                  </c:pt>
                  <c:pt idx="1477">
                    <c:v>mercaptothion</c:v>
                  </c:pt>
                  <c:pt idx="1478">
                    <c:v>metilaqua azul</c:v>
                  </c:pt>
                  <c:pt idx="1479">
                    <c:v>microvita</c:v>
                  </c:pt>
                  <c:pt idx="1480">
                    <c:v>mini bola</c:v>
                  </c:pt>
                  <c:pt idx="1481">
                    <c:v>mixtos</c:v>
                  </c:pt>
                  <c:pt idx="1482">
                    <c:v>mochila fumigadora</c:v>
                  </c:pt>
                  <c:pt idx="1483">
                    <c:v>mochila plastico</c:v>
                  </c:pt>
                  <c:pt idx="1484">
                    <c:v>mochila roceador</c:v>
                  </c:pt>
                  <c:pt idx="1485">
                    <c:v>moha</c:v>
                  </c:pt>
                  <c:pt idx="1486">
                    <c:v>moha</c:v>
                  </c:pt>
                  <c:pt idx="1487">
                    <c:v>moha</c:v>
                  </c:pt>
                  <c:pt idx="1488">
                    <c:v>MOLINETE CHICO</c:v>
                  </c:pt>
                  <c:pt idx="1489">
                    <c:v>molinete flor</c:v>
                  </c:pt>
                  <c:pt idx="1490">
                    <c:v>MOLINETE GRANDE</c:v>
                  </c:pt>
                  <c:pt idx="1491">
                    <c:v>molino</c:v>
                  </c:pt>
                  <c:pt idx="1492">
                    <c:v>molino</c:v>
                  </c:pt>
                  <c:pt idx="1493">
                    <c:v>molino</c:v>
                  </c:pt>
                  <c:pt idx="1494">
                    <c:v>molino</c:v>
                  </c:pt>
                  <c:pt idx="1495">
                    <c:v>molino</c:v>
                  </c:pt>
                  <c:pt idx="1496">
                    <c:v>molino</c:v>
                  </c:pt>
                  <c:pt idx="1497">
                    <c:v>moscaxan</c:v>
                  </c:pt>
                  <c:pt idx="1498">
                    <c:v>moscaxan platillos</c:v>
                  </c:pt>
                  <c:pt idx="1499">
                    <c:v>mosqueton c/destorcedor</c:v>
                  </c:pt>
                  <c:pt idx="1500">
                    <c:v>mosqueton c/destorcedor</c:v>
                  </c:pt>
                  <c:pt idx="1501">
                    <c:v>mosqueton c/destorcedor</c:v>
                  </c:pt>
                  <c:pt idx="1502">
                    <c:v>mosqueton c/destorcedor</c:v>
                  </c:pt>
                  <c:pt idx="1503">
                    <c:v>mulch </c:v>
                  </c:pt>
                  <c:pt idx="1504">
                    <c:v>Mulch sol</c:v>
                  </c:pt>
                  <c:pt idx="1505">
                    <c:v>musgo</c:v>
                  </c:pt>
                  <c:pt idx="1506">
                    <c:v>musgo natural</c:v>
                  </c:pt>
                  <c:pt idx="1507">
                    <c:v>neen super</c:v>
                  </c:pt>
                  <c:pt idx="1508">
                    <c:v>neodip</c:v>
                  </c:pt>
                  <c:pt idx="1509">
                    <c:v>neodip</c:v>
                  </c:pt>
                  <c:pt idx="1510">
                    <c:v>nido cotorra australiana</c:v>
                  </c:pt>
                  <c:pt idx="1511">
                    <c:v>nido de canario alambre y cuerda</c:v>
                  </c:pt>
                  <c:pt idx="1512">
                    <c:v>NIDO JUNCO</c:v>
                  </c:pt>
                  <c:pt idx="1513">
                    <c:v>NIDO jute CANARIO</c:v>
                  </c:pt>
                  <c:pt idx="1514">
                    <c:v>nido loro australiano</c:v>
                  </c:pt>
                  <c:pt idx="1515">
                    <c:v>nido p/pajaro grande</c:v>
                  </c:pt>
                  <c:pt idx="1516">
                    <c:v>nido para canario piola</c:v>
                  </c:pt>
                  <c:pt idx="1517">
                    <c:v>nido yute p/canario</c:v>
                  </c:pt>
                  <c:pt idx="1518">
                    <c:v>nido yute p/canarios</c:v>
                  </c:pt>
                  <c:pt idx="1519">
                    <c:v>nitro sulfa aviar</c:v>
                  </c:pt>
                  <c:pt idx="1520">
                    <c:v>nitro sulfa aviar</c:v>
                  </c:pt>
                  <c:pt idx="1521">
                    <c:v>nogales europeo</c:v>
                  </c:pt>
                  <c:pt idx="1522">
                    <c:v>nutricion p/canarios</c:v>
                  </c:pt>
                  <c:pt idx="1523">
                    <c:v>nutricion p/canarios</c:v>
                  </c:pt>
                  <c:pt idx="1524">
                    <c:v>nutricion p/canarios</c:v>
                  </c:pt>
                  <c:pt idx="1525">
                    <c:v>nutricion p/canarios</c:v>
                  </c:pt>
                  <c:pt idx="1526">
                    <c:v>oasis biodegradable</c:v>
                  </c:pt>
                  <c:pt idx="1527">
                    <c:v>oasis-ladrillo de espuma floral</c:v>
                  </c:pt>
                  <c:pt idx="1528">
                    <c:v>OPTIMUN GATOS CASTRADOS</c:v>
                  </c:pt>
                  <c:pt idx="1529">
                    <c:v>OSMOCOTE fertilizante</c:v>
                  </c:pt>
                  <c:pt idx="1530">
                    <c:v>oxicloruro de cobre-fanavid</c:v>
                  </c:pt>
                  <c:pt idx="1531">
                    <c:v>oxicloruro de cobre-fanavid</c:v>
                  </c:pt>
                  <c:pt idx="1532">
                    <c:v>pala ancha</c:v>
                  </c:pt>
                  <c:pt idx="1533">
                    <c:v>pala ancha /fina de jardineria</c:v>
                  </c:pt>
                  <c:pt idx="1534">
                    <c:v>pala anchamango de madera</c:v>
                  </c:pt>
                  <c:pt idx="1535">
                    <c:v>pala de jardin</c:v>
                  </c:pt>
                  <c:pt idx="1536">
                    <c:v>pala plastico para jardin</c:v>
                  </c:pt>
                  <c:pt idx="1537">
                    <c:v>pala sanitaria</c:v>
                  </c:pt>
                  <c:pt idx="1538">
                    <c:v>palillos de ropa</c:v>
                  </c:pt>
                  <c:pt idx="1539">
                    <c:v>palita angosta cabo de madera</c:v>
                  </c:pt>
                  <c:pt idx="1540">
                    <c:v>PALITA METALICA</c:v>
                  </c:pt>
                  <c:pt idx="1541">
                    <c:v>palita p/jardin mango madera</c:v>
                  </c:pt>
                  <c:pt idx="1542">
                    <c:v>palita sanitaria c/cara de gato</c:v>
                  </c:pt>
                  <c:pt idx="1543">
                    <c:v>palo santo </c:v>
                  </c:pt>
                  <c:pt idx="1544">
                    <c:v>panel pasto hoja larga</c:v>
                  </c:pt>
                  <c:pt idx="1545">
                    <c:v>panel pasto trebol</c:v>
                  </c:pt>
                  <c:pt idx="1546">
                    <c:v>pantalla luz blanca</c:v>
                  </c:pt>
                  <c:pt idx="1547">
                    <c:v>pantalla luz blanca</c:v>
                  </c:pt>
                  <c:pt idx="1548">
                    <c:v>papel pino 50 /25 cm</c:v>
                  </c:pt>
                  <c:pt idx="1549">
                    <c:v>papilla p/ pajaros</c:v>
                  </c:pt>
                  <c:pt idx="1550">
                    <c:v>papilla p/pajaros</c:v>
                  </c:pt>
                  <c:pt idx="1551">
                    <c:v>papillap/psitacidos-tarro azul</c:v>
                  </c:pt>
                  <c:pt idx="1552">
                    <c:v>paquette semilla aromatica</c:v>
                  </c:pt>
                  <c:pt idx="1553">
                    <c:v>paradicloro</c:v>
                  </c:pt>
                  <c:pt idx="1554">
                    <c:v>paradicloro</c:v>
                  </c:pt>
                  <c:pt idx="1555">
                    <c:v>parrilleros</c:v>
                  </c:pt>
                  <c:pt idx="1556">
                    <c:v>pastilla nexgard dog L c/u</c:v>
                  </c:pt>
                  <c:pt idx="1557">
                    <c:v>pastilla nexgard dog XL C/U</c:v>
                  </c:pt>
                  <c:pt idx="1558">
                    <c:v>pastillas nexgard dog M c/u</c:v>
                  </c:pt>
                  <c:pt idx="1559">
                    <c:v>pastillas nexgard dog S C/U</c:v>
                  </c:pt>
                  <c:pt idx="1560">
                    <c:v>pate de carne</c:v>
                  </c:pt>
                  <c:pt idx="1561">
                    <c:v>pecera</c:v>
                  </c:pt>
                  <c:pt idx="1562">
                    <c:v>pecera</c:v>
                  </c:pt>
                  <c:pt idx="1563">
                    <c:v>pecera</c:v>
                  </c:pt>
                  <c:pt idx="1564">
                    <c:v>pecera</c:v>
                  </c:pt>
                  <c:pt idx="1565">
                    <c:v>pecera</c:v>
                  </c:pt>
                  <c:pt idx="1566">
                    <c:v>pecera</c:v>
                  </c:pt>
                  <c:pt idx="1567">
                    <c:v>PECERA ACRILICO 39X26X49</c:v>
                  </c:pt>
                  <c:pt idx="1568">
                    <c:v>PECERA ACRILICO38X22X41</c:v>
                  </c:pt>
                  <c:pt idx="1569">
                    <c:v>pecera de vidrio</c:v>
                  </c:pt>
                  <c:pt idx="1570">
                    <c:v>pedigree razas pequeñas</c:v>
                  </c:pt>
                  <c:pt idx="1571">
                    <c:v>pedigree razas pequeñas</c:v>
                  </c:pt>
                  <c:pt idx="1572">
                    <c:v>pegamento p/rata</c:v>
                  </c:pt>
                  <c:pt idx="1573">
                    <c:v>pelones</c:v>
                  </c:pt>
                  <c:pt idx="1574">
                    <c:v>pelota de tenis</c:v>
                  </c:pt>
                  <c:pt idx="1575">
                    <c:v>pelota maciza</c:v>
                  </c:pt>
                  <c:pt idx="1576">
                    <c:v>pelota soga</c:v>
                  </c:pt>
                  <c:pt idx="1577">
                    <c:v>pelota tenis goma</c:v>
                  </c:pt>
                  <c:pt idx="1578">
                    <c:v>pelota vinilo erizo con luz</c:v>
                  </c:pt>
                  <c:pt idx="1579">
                    <c:v>peluche conejo con corazon</c:v>
                  </c:pt>
                  <c:pt idx="1580">
                    <c:v>peluche oso c/enterito smile 70 cm-4 colores </c:v>
                  </c:pt>
                  <c:pt idx="1581">
                    <c:v>peluche oso corazon te amo grande</c:v>
                  </c:pt>
                  <c:pt idx="1582">
                    <c:v>peluche perro corazon te amo</c:v>
                  </c:pt>
                  <c:pt idx="1583">
                    <c:v>PERCHAS</c:v>
                  </c:pt>
                  <c:pt idx="1584">
                    <c:v>perlita</c:v>
                  </c:pt>
                  <c:pt idx="1585">
                    <c:v>perlita</c:v>
                  </c:pt>
                  <c:pt idx="1586">
                    <c:v>perlita</c:v>
                  </c:pt>
                  <c:pt idx="1587">
                    <c:v>perlita</c:v>
                  </c:pt>
                  <c:pt idx="1588">
                    <c:v>perro bandido</c:v>
                  </c:pt>
                  <c:pt idx="1589">
                    <c:v>perro bandido</c:v>
                  </c:pt>
                  <c:pt idx="1590">
                    <c:v>perro bandido</c:v>
                  </c:pt>
                  <c:pt idx="1591">
                    <c:v>perro beny</c:v>
                  </c:pt>
                  <c:pt idx="1592">
                    <c:v>perro beny</c:v>
                  </c:pt>
                  <c:pt idx="1593">
                    <c:v>perro beny</c:v>
                  </c:pt>
                  <c:pt idx="1594">
                    <c:v>perro birbo cachorro</c:v>
                  </c:pt>
                  <c:pt idx="1595">
                    <c:v>perro birbo cachorro</c:v>
                  </c:pt>
                  <c:pt idx="1596">
                    <c:v>PERRO BRABO BABY</c:v>
                  </c:pt>
                  <c:pt idx="1597">
                    <c:v>PERRO BRAVO FRANGO E LEGUMES</c:v>
                  </c:pt>
                  <c:pt idx="1598">
                    <c:v>perro burny</c:v>
                  </c:pt>
                  <c:pt idx="1599">
                    <c:v>perro cannel</c:v>
                  </c:pt>
                  <c:pt idx="1600">
                    <c:v>perro cannel</c:v>
                  </c:pt>
                  <c:pt idx="1601">
                    <c:v>perro cannel</c:v>
                  </c:pt>
                  <c:pt idx="1602">
                    <c:v>perro cannel mix</c:v>
                  </c:pt>
                  <c:pt idx="1603">
                    <c:v>perro cannel mix</c:v>
                  </c:pt>
                  <c:pt idx="1604">
                    <c:v>perro cannel mix</c:v>
                  </c:pt>
                  <c:pt idx="1605">
                    <c:v>perro champmix de carne</c:v>
                  </c:pt>
                  <c:pt idx="1606">
                    <c:v>perro champmix de carne</c:v>
                  </c:pt>
                  <c:pt idx="1607">
                    <c:v>PERRO CHARRUA ADULTO</c:v>
                  </c:pt>
                  <c:pt idx="1608">
                    <c:v>perro conni adulto </c:v>
                  </c:pt>
                  <c:pt idx="1609">
                    <c:v>PERRO CRIOLLA ADULTO</c:v>
                  </c:pt>
                  <c:pt idx="1610">
                    <c:v>perro dogui cachorro</c:v>
                  </c:pt>
                  <c:pt idx="1611">
                    <c:v>perro dogui cachorro</c:v>
                  </c:pt>
                  <c:pt idx="1612">
                    <c:v>perro dogui cachorro</c:v>
                  </c:pt>
                  <c:pt idx="1613">
                    <c:v>perro dogui cer,car,arroz</c:v>
                  </c:pt>
                  <c:pt idx="1614">
                    <c:v>perro dogui cer,car,arroz</c:v>
                  </c:pt>
                  <c:pt idx="1615">
                    <c:v>perro equilibrio raza pequeña</c:v>
                  </c:pt>
                  <c:pt idx="1616">
                    <c:v>perro equilibrio raza pequeña</c:v>
                  </c:pt>
                  <c:pt idx="1617">
                    <c:v>perro especial dog</c:v>
                  </c:pt>
                  <c:pt idx="1618">
                    <c:v>perro fridy</c:v>
                  </c:pt>
                  <c:pt idx="1619">
                    <c:v>perro fridy</c:v>
                  </c:pt>
                  <c:pt idx="1620">
                    <c:v>perro intor cachorro</c:v>
                  </c:pt>
                  <c:pt idx="1621">
                    <c:v>perro lager</c:v>
                  </c:pt>
                  <c:pt idx="1622">
                    <c:v>perro lager</c:v>
                  </c:pt>
                  <c:pt idx="1623">
                    <c:v>perro lager</c:v>
                  </c:pt>
                  <c:pt idx="1624">
                    <c:v>perro mimos plus</c:v>
                  </c:pt>
                  <c:pt idx="1625">
                    <c:v>perro ny dog</c:v>
                  </c:pt>
                  <c:pt idx="1626">
                    <c:v>perro ny dog</c:v>
                  </c:pt>
                  <c:pt idx="1627">
                    <c:v>perro pedrighe cachorro</c:v>
                  </c:pt>
                  <c:pt idx="1628">
                    <c:v>perro pedrighe cachorro</c:v>
                  </c:pt>
                  <c:pt idx="1629">
                    <c:v>perro pedrigree</c:v>
                  </c:pt>
                  <c:pt idx="1630">
                    <c:v>perro pedrigree carne pollos y cereales</c:v>
                  </c:pt>
                  <c:pt idx="1631">
                    <c:v>perro pedrigree raza pequeña</c:v>
                  </c:pt>
                  <c:pt idx="1632">
                    <c:v>perro pedrigue razas pequeñas</c:v>
                  </c:pt>
                  <c:pt idx="1633">
                    <c:v>perro pedrigue razas pequeñas</c:v>
                  </c:pt>
                  <c:pt idx="1634">
                    <c:v>perro primocao filhotes</c:v>
                  </c:pt>
                  <c:pt idx="1635">
                    <c:v>perro primocao original negra</c:v>
                  </c:pt>
                  <c:pt idx="1636">
                    <c:v>perro primocao original negro </c:v>
                  </c:pt>
                  <c:pt idx="1637">
                    <c:v>perro primocao original negro </c:v>
                  </c:pt>
                  <c:pt idx="1638">
                    <c:v>perro primocao premiun filohotes</c:v>
                  </c:pt>
                  <c:pt idx="1639">
                    <c:v>perro primocao premiun filohotes</c:v>
                  </c:pt>
                  <c:pt idx="1640">
                    <c:v>perro primocao premiun raza pequeña</c:v>
                  </c:pt>
                  <c:pt idx="1641">
                    <c:v>perro pro 21</c:v>
                  </c:pt>
                  <c:pt idx="1642">
                    <c:v>perro pro 21 </c:v>
                  </c:pt>
                  <c:pt idx="1643">
                    <c:v>perro pro 21 </c:v>
                  </c:pt>
                  <c:pt idx="1644">
                    <c:v>perro pro 27</c:v>
                  </c:pt>
                  <c:pt idx="1645">
                    <c:v>perro pro 27</c:v>
                  </c:pt>
                  <c:pt idx="1646">
                    <c:v>perro urupet</c:v>
                  </c:pt>
                  <c:pt idx="1647">
                    <c:v>perro urupet</c:v>
                  </c:pt>
                  <c:pt idx="1648">
                    <c:v>perro wits</c:v>
                  </c:pt>
                  <c:pt idx="1649">
                    <c:v>pez doris</c:v>
                  </c:pt>
                  <c:pt idx="1650">
                    <c:v>pez payaso con cartel</c:v>
                  </c:pt>
                  <c:pt idx="1651">
                    <c:v>phaltan 80 wdg</c:v>
                  </c:pt>
                  <c:pt idx="1652">
                    <c:v>pico de placa nacional</c:v>
                  </c:pt>
                  <c:pt idx="1653">
                    <c:v>pie sepelio chica</c:v>
                  </c:pt>
                  <c:pt idx="1654">
                    <c:v>piedra  porosa </c:v>
                  </c:pt>
                  <c:pt idx="1655">
                    <c:v>piedra de calcio</c:v>
                  </c:pt>
                  <c:pt idx="1656">
                    <c:v>piedra de calcio</c:v>
                  </c:pt>
                  <c:pt idx="1657">
                    <c:v>PIEDRA DE CALCIO</c:v>
                  </c:pt>
                  <c:pt idx="1658">
                    <c:v>piedra porosa azul</c:v>
                  </c:pt>
                  <c:pt idx="1659">
                    <c:v>piedra porosa azul</c:v>
                  </c:pt>
                  <c:pt idx="1660">
                    <c:v>piedra porosa azul</c:v>
                  </c:pt>
                  <c:pt idx="1661">
                    <c:v>piedra porosa redonda</c:v>
                  </c:pt>
                  <c:pt idx="1662">
                    <c:v>piedra sanitaria</c:v>
                  </c:pt>
                  <c:pt idx="1663">
                    <c:v>piedra sanitaria</c:v>
                  </c:pt>
                  <c:pt idx="1664">
                    <c:v>piedra sanitaria animalitos sanipel</c:v>
                  </c:pt>
                  <c:pt idx="1665">
                    <c:v>piedra sanitaria c/gel silica</c:v>
                  </c:pt>
                  <c:pt idx="1666">
                    <c:v>piedras blancas</c:v>
                  </c:pt>
                  <c:pt idx="1667">
                    <c:v>piedras blancas</c:v>
                  </c:pt>
                  <c:pt idx="1668">
                    <c:v>PIEDRAS COLORES</c:v>
                  </c:pt>
                  <c:pt idx="1669">
                    <c:v>piedras de calcio</c:v>
                  </c:pt>
                  <c:pt idx="1670">
                    <c:v>pinza </c:v>
                  </c:pt>
                  <c:pt idx="1671">
                    <c:v>pinza de corte</c:v>
                  </c:pt>
                  <c:pt idx="1672">
                    <c:v>pioner</c:v>
                  </c:pt>
                  <c:pt idx="1673">
                    <c:v>piperacina</c:v>
                  </c:pt>
                  <c:pt idx="1674">
                    <c:v>pipeta efinol</c:v>
                  </c:pt>
                  <c:pt idx="1675">
                    <c:v>pipeta efinol</c:v>
                  </c:pt>
                  <c:pt idx="1676">
                    <c:v>pipeta frontline plus</c:v>
                  </c:pt>
                  <c:pt idx="1677">
                    <c:v>pipeta frontline plus</c:v>
                  </c:pt>
                  <c:pt idx="1678">
                    <c:v>pipeta gato  pulgout</c:v>
                  </c:pt>
                  <c:pt idx="1679">
                    <c:v>pipeta gato  pulgout</c:v>
                  </c:pt>
                  <c:pt idx="1680">
                    <c:v>PIPETA PERRO</c:v>
                  </c:pt>
                  <c:pt idx="1681">
                    <c:v>pipeta perro pulgout</c:v>
                  </c:pt>
                  <c:pt idx="1682">
                    <c:v>pipeta perro pulgout</c:v>
                  </c:pt>
                  <c:pt idx="1683">
                    <c:v>pipeta perro pulgout</c:v>
                  </c:pt>
                  <c:pt idx="1684">
                    <c:v>pipeta perro pulgout</c:v>
                  </c:pt>
                  <c:pt idx="1685">
                    <c:v>pipeta pipeton gato</c:v>
                  </c:pt>
                  <c:pt idx="1686">
                    <c:v>pipeta pipeton gato</c:v>
                  </c:pt>
                  <c:pt idx="1687">
                    <c:v>pipetas efinol gato</c:v>
                  </c:pt>
                  <c:pt idx="1688">
                    <c:v>pipetas frontline</c:v>
                  </c:pt>
                  <c:pt idx="1689">
                    <c:v>pipete frontline</c:v>
                  </c:pt>
                  <c:pt idx="1690">
                    <c:v>pistola naranja puntero de bronce</c:v>
                  </c:pt>
                  <c:pt idx="1691">
                    <c:v>placa nacional</c:v>
                  </c:pt>
                  <c:pt idx="1692">
                    <c:v>planta</c:v>
                  </c:pt>
                  <c:pt idx="1693">
                    <c:v>planta</c:v>
                  </c:pt>
                  <c:pt idx="1694">
                    <c:v>planta</c:v>
                  </c:pt>
                  <c:pt idx="1695">
                    <c:v>planta</c:v>
                  </c:pt>
                  <c:pt idx="1696">
                    <c:v>planta adorno arbol amarillo</c:v>
                  </c:pt>
                  <c:pt idx="1697">
                    <c:v>planta adorno arbol violeta</c:v>
                  </c:pt>
                  <c:pt idx="1698">
                    <c:v>planta adornoarbol amarillo</c:v>
                  </c:pt>
                  <c:pt idx="1699">
                    <c:v>planta artificial </c:v>
                  </c:pt>
                  <c:pt idx="1700">
                    <c:v>planta artificial pecera</c:v>
                  </c:pt>
                  <c:pt idx="1701">
                    <c:v>planta artificial pecera</c:v>
                  </c:pt>
                  <c:pt idx="1702">
                    <c:v>planta artificial pecera</c:v>
                  </c:pt>
                  <c:pt idx="1703">
                    <c:v>planta chica x 2 unidades</c:v>
                  </c:pt>
                  <c:pt idx="1704">
                    <c:v>planta colgante</c:v>
                  </c:pt>
                  <c:pt idx="1705">
                    <c:v>planta colgante</c:v>
                  </c:pt>
                  <c:pt idx="1706">
                    <c:v>PLANTA PHILODENDRO 90 CM</c:v>
                  </c:pt>
                  <c:pt idx="1707">
                    <c:v>PLANTA PIMPOLLO COLGAR</c:v>
                  </c:pt>
                  <c:pt idx="1708">
                    <c:v>planta pincho</c:v>
                  </c:pt>
                  <c:pt idx="1709">
                    <c:v>plantas</c:v>
                  </c:pt>
                  <c:pt idx="1710">
                    <c:v>plantas artf plasticas</c:v>
                  </c:pt>
                  <c:pt idx="1711">
                    <c:v>plantas artf plasticas</c:v>
                  </c:pt>
                  <c:pt idx="1712">
                    <c:v>plantas artf plasticas</c:v>
                  </c:pt>
                  <c:pt idx="1713">
                    <c:v>plantas artf. chicas</c:v>
                  </c:pt>
                  <c:pt idx="1714">
                    <c:v>plantiflor</c:v>
                  </c:pt>
                  <c:pt idx="1715">
                    <c:v>PLANTIFLOR</c:v>
                  </c:pt>
                  <c:pt idx="1716">
                    <c:v>platillos cebo nosca</c:v>
                  </c:pt>
                  <c:pt idx="1717">
                    <c:v>plato cuadrado gris</c:v>
                  </c:pt>
                  <c:pt idx="1718">
                    <c:v>plato cuadrado gris</c:v>
                  </c:pt>
                  <c:pt idx="1719">
                    <c:v>plato cuadrado gris</c:v>
                  </c:pt>
                  <c:pt idx="1720">
                    <c:v>plato cuadrado negro</c:v>
                  </c:pt>
                  <c:pt idx="1721">
                    <c:v>plato cuadrado negro</c:v>
                  </c:pt>
                  <c:pt idx="1722">
                    <c:v>plato cuadrado negro</c:v>
                  </c:pt>
                  <c:pt idx="1723">
                    <c:v>plato de barro</c:v>
                  </c:pt>
                  <c:pt idx="1724">
                    <c:v>plato de barro</c:v>
                  </c:pt>
                </c:lvl>
                <c:lvl>
                  <c:pt idx="1">
                    <c:v>10</c:v>
                  </c:pt>
                  <c:pt idx="3">
                    <c:v>-</c:v>
                  </c:pt>
                  <c:pt idx="5">
                    <c:v>320</c:v>
                  </c:pt>
                  <c:pt idx="6">
                    <c:v>320</c:v>
                  </c:pt>
                  <c:pt idx="9">
                    <c:v>magric</c:v>
                  </c:pt>
                  <c:pt idx="10">
                    <c:v>gr9675</c:v>
                  </c:pt>
                  <c:pt idx="11">
                    <c:v>gr 9675</c:v>
                  </c:pt>
                  <c:pt idx="12">
                    <c:v>GR11371</c:v>
                  </c:pt>
                  <c:pt idx="13">
                    <c:v>act600d</c:v>
                  </c:pt>
                  <c:pt idx="14">
                    <c:v>3120</c:v>
                  </c:pt>
                  <c:pt idx="15">
                    <c:v>cgt00074</c:v>
                  </c:pt>
                  <c:pt idx="17">
                    <c:v>cgf00710</c:v>
                  </c:pt>
                  <c:pt idx="18">
                    <c:v>33963</c:v>
                  </c:pt>
                  <c:pt idx="19">
                    <c:v>86984</c:v>
                  </c:pt>
                  <c:pt idx="20">
                    <c:v>6982</c:v>
                  </c:pt>
                  <c:pt idx="21">
                    <c:v>6986</c:v>
                  </c:pt>
                  <c:pt idx="22">
                    <c:v>6981</c:v>
                  </c:pt>
                  <c:pt idx="26">
                    <c:v>2,12fgc223</c:v>
                  </c:pt>
                  <c:pt idx="27">
                    <c:v>V1300</c:v>
                  </c:pt>
                  <c:pt idx="28">
                    <c:v>V1309</c:v>
                  </c:pt>
                  <c:pt idx="29">
                    <c:v>v1313</c:v>
                  </c:pt>
                  <c:pt idx="30">
                    <c:v>v1301</c:v>
                  </c:pt>
                  <c:pt idx="31">
                    <c:v>v1314</c:v>
                  </c:pt>
                  <c:pt idx="32">
                    <c:v>v1310</c:v>
                  </c:pt>
                  <c:pt idx="33">
                    <c:v>v1304</c:v>
                  </c:pt>
                  <c:pt idx="34">
                    <c:v>81</c:v>
                  </c:pt>
                  <c:pt idx="35">
                    <c:v>gr2884</c:v>
                  </c:pt>
                  <c:pt idx="36">
                    <c:v>3110</c:v>
                  </c:pt>
                  <c:pt idx="37">
                    <c:v>se500</c:v>
                  </c:pt>
                  <c:pt idx="38">
                    <c:v>v5313</c:v>
                  </c:pt>
                  <c:pt idx="39">
                    <c:v>v5312</c:v>
                  </c:pt>
                  <c:pt idx="40">
                    <c:v>v5312</c:v>
                  </c:pt>
                  <c:pt idx="41">
                    <c:v>v5312</c:v>
                  </c:pt>
                  <c:pt idx="42">
                    <c:v>P014A</c:v>
                  </c:pt>
                  <c:pt idx="43">
                    <c:v>v0891</c:v>
                  </c:pt>
                  <c:pt idx="44">
                    <c:v>p014a</c:v>
                  </c:pt>
                  <c:pt idx="45">
                    <c:v>p014a</c:v>
                  </c:pt>
                  <c:pt idx="46">
                    <c:v>po14</c:v>
                  </c:pt>
                  <c:pt idx="47">
                    <c:v>v0844</c:v>
                  </c:pt>
                  <c:pt idx="48">
                    <c:v>V5303</c:v>
                  </c:pt>
                  <c:pt idx="49">
                    <c:v>vo851</c:v>
                  </c:pt>
                  <c:pt idx="50">
                    <c:v>v0845</c:v>
                  </c:pt>
                  <c:pt idx="51">
                    <c:v>v0845</c:v>
                  </c:pt>
                  <c:pt idx="52">
                    <c:v>v0845</c:v>
                  </c:pt>
                  <c:pt idx="53">
                    <c:v>v0845</c:v>
                  </c:pt>
                  <c:pt idx="54">
                    <c:v>v5304</c:v>
                  </c:pt>
                  <c:pt idx="55">
                    <c:v>v5302</c:v>
                  </c:pt>
                  <c:pt idx="56">
                    <c:v>p037</c:v>
                  </c:pt>
                  <c:pt idx="57">
                    <c:v>p037</c:v>
                  </c:pt>
                  <c:pt idx="58">
                    <c:v>p037</c:v>
                  </c:pt>
                  <c:pt idx="59">
                    <c:v>3104</c:v>
                  </c:pt>
                  <c:pt idx="60">
                    <c:v>506614</c:v>
                  </c:pt>
                  <c:pt idx="64">
                    <c:v>cfl00004</c:v>
                  </c:pt>
                  <c:pt idx="67">
                    <c:v>CGT00085</c:v>
                  </c:pt>
                  <c:pt idx="68">
                    <c:v>CGT00088</c:v>
                  </c:pt>
                  <c:pt idx="69">
                    <c:v>CGT00089</c:v>
                  </c:pt>
                  <c:pt idx="70">
                    <c:v>CGT00090</c:v>
                  </c:pt>
                  <c:pt idx="78">
                    <c:v>hw70731</c:v>
                  </c:pt>
                  <c:pt idx="79">
                    <c:v>hw70732</c:v>
                  </c:pt>
                  <c:pt idx="82">
                    <c:v>232</c:v>
                  </c:pt>
                  <c:pt idx="83">
                    <c:v>DC2840</c:v>
                  </c:pt>
                  <c:pt idx="84">
                    <c:v>DC2839</c:v>
                  </c:pt>
                  <c:pt idx="89">
                    <c:v>444</c:v>
                  </c:pt>
                  <c:pt idx="90">
                    <c:v>cgt00002</c:v>
                  </c:pt>
                  <c:pt idx="91">
                    <c:v>CGTOOOO2</c:v>
                  </c:pt>
                  <c:pt idx="92">
                    <c:v>cgt00002</c:v>
                  </c:pt>
                  <c:pt idx="93">
                    <c:v>T2905</c:v>
                  </c:pt>
                  <c:pt idx="98">
                    <c:v>1010297</c:v>
                  </c:pt>
                  <c:pt idx="99">
                    <c:v>1010297</c:v>
                  </c:pt>
                  <c:pt idx="103">
                    <c:v>221000</c:v>
                  </c:pt>
                  <c:pt idx="105">
                    <c:v>1006</c:v>
                  </c:pt>
                  <c:pt idx="106">
                    <c:v>508</c:v>
                  </c:pt>
                  <c:pt idx="107">
                    <c:v>404</c:v>
                  </c:pt>
                  <c:pt idx="108">
                    <c:v>3004</c:v>
                  </c:pt>
                  <c:pt idx="111">
                    <c:v>v3965</c:v>
                  </c:pt>
                  <c:pt idx="112">
                    <c:v>pe649</c:v>
                  </c:pt>
                  <c:pt idx="113">
                    <c:v>pe210</c:v>
                  </c:pt>
                  <c:pt idx="114">
                    <c:v>v4164</c:v>
                  </c:pt>
                  <c:pt idx="115">
                    <c:v>v4162</c:v>
                  </c:pt>
                  <c:pt idx="116">
                    <c:v>v4226</c:v>
                  </c:pt>
                  <c:pt idx="117">
                    <c:v>al1018</c:v>
                  </c:pt>
                  <c:pt idx="118">
                    <c:v>al1028</c:v>
                  </c:pt>
                  <c:pt idx="119">
                    <c:v>nhsz06</c:v>
                  </c:pt>
                  <c:pt idx="120">
                    <c:v>nhsz05</c:v>
                  </c:pt>
                  <c:pt idx="121">
                    <c:v>200155</c:v>
                  </c:pt>
                  <c:pt idx="122">
                    <c:v>2230</c:v>
                  </c:pt>
                  <c:pt idx="123">
                    <c:v>1</c:v>
                  </c:pt>
                  <c:pt idx="129">
                    <c:v>V2691A</c:v>
                  </c:pt>
                  <c:pt idx="130">
                    <c:v>514224</c:v>
                  </c:pt>
                  <c:pt idx="131">
                    <c:v>514223</c:v>
                  </c:pt>
                  <c:pt idx="134">
                    <c:v>BE125</c:v>
                  </c:pt>
                  <c:pt idx="135">
                    <c:v>be03</c:v>
                  </c:pt>
                  <c:pt idx="136">
                    <c:v>V4652</c:v>
                  </c:pt>
                  <c:pt idx="137">
                    <c:v>518800</c:v>
                  </c:pt>
                  <c:pt idx="138">
                    <c:v>a28003</c:v>
                  </c:pt>
                  <c:pt idx="139">
                    <c:v>pe359</c:v>
                  </c:pt>
                  <c:pt idx="140">
                    <c:v>pe359</c:v>
                  </c:pt>
                  <c:pt idx="141">
                    <c:v>pe358</c:v>
                  </c:pt>
                  <c:pt idx="142">
                    <c:v>al1114</c:v>
                  </c:pt>
                  <c:pt idx="143">
                    <c:v>al1030</c:v>
                  </c:pt>
                  <c:pt idx="144">
                    <c:v>V4631</c:v>
                  </c:pt>
                  <c:pt idx="145">
                    <c:v>V4632</c:v>
                  </c:pt>
                  <c:pt idx="146">
                    <c:v>eh400</c:v>
                  </c:pt>
                  <c:pt idx="148">
                    <c:v>al1116</c:v>
                  </c:pt>
                  <c:pt idx="149">
                    <c:v>al1030</c:v>
                  </c:pt>
                  <c:pt idx="150">
                    <c:v>al1114</c:v>
                  </c:pt>
                  <c:pt idx="151">
                    <c:v>eh400</c:v>
                  </c:pt>
                  <c:pt idx="153">
                    <c:v>v4606</c:v>
                  </c:pt>
                  <c:pt idx="154">
                    <c:v>v4607</c:v>
                  </c:pt>
                  <c:pt idx="155">
                    <c:v>v4608</c:v>
                  </c:pt>
                  <c:pt idx="156">
                    <c:v>v5025</c:v>
                  </c:pt>
                  <c:pt idx="157">
                    <c:v>v5028</c:v>
                  </c:pt>
                  <c:pt idx="158">
                    <c:v>v5027</c:v>
                  </c:pt>
                  <c:pt idx="159">
                    <c:v>v5029a</c:v>
                  </c:pt>
                  <c:pt idx="160">
                    <c:v>v5029A</c:v>
                  </c:pt>
                  <c:pt idx="161">
                    <c:v>1011008</c:v>
                  </c:pt>
                  <c:pt idx="167">
                    <c:v>fum600d</c:v>
                  </c:pt>
                  <c:pt idx="168">
                    <c:v>ins600d</c:v>
                  </c:pt>
                  <c:pt idx="169">
                    <c:v>fer10d</c:v>
                  </c:pt>
                  <c:pt idx="170">
                    <c:v>fer10d</c:v>
                  </c:pt>
                  <c:pt idx="171">
                    <c:v>fer10d</c:v>
                  </c:pt>
                  <c:pt idx="175">
                    <c:v>sus7dav</c:v>
                  </c:pt>
                  <c:pt idx="176">
                    <c:v>sus20dav</c:v>
                  </c:pt>
                  <c:pt idx="177">
                    <c:v>2501</c:v>
                  </c:pt>
                  <c:pt idx="178">
                    <c:v>2505</c:v>
                  </c:pt>
                  <c:pt idx="179">
                    <c:v>gr19202</c:v>
                  </c:pt>
                  <c:pt idx="180">
                    <c:v>GR19204</c:v>
                  </c:pt>
                  <c:pt idx="203">
                    <c:v>0</c:v>
                  </c:pt>
                  <c:pt idx="204">
                    <c:v>0</c:v>
                  </c:pt>
                  <c:pt idx="205">
                    <c:v>0</c:v>
                  </c:pt>
                  <c:pt idx="206">
                    <c:v>472-37492</c:v>
                  </c:pt>
                  <c:pt idx="208">
                    <c:v>0</c:v>
                  </c:pt>
                  <c:pt idx="209">
                    <c:v>0</c:v>
                  </c:pt>
                  <c:pt idx="210">
                    <c:v>hw73198</c:v>
                  </c:pt>
                  <c:pt idx="216">
                    <c:v>184070</c:v>
                  </c:pt>
                  <c:pt idx="217">
                    <c:v>184008</c:v>
                  </c:pt>
                  <c:pt idx="218">
                    <c:v>1800</c:v>
                  </c:pt>
                  <c:pt idx="219">
                    <c:v>0</c:v>
                  </c:pt>
                  <c:pt idx="220">
                    <c:v>0</c:v>
                  </c:pt>
                  <c:pt idx="221">
                    <c:v>v1320</c:v>
                  </c:pt>
                  <c:pt idx="222">
                    <c:v>v1321</c:v>
                  </c:pt>
                  <c:pt idx="223">
                    <c:v>V1326</c:v>
                  </c:pt>
                  <c:pt idx="224">
                    <c:v>v1327</c:v>
                  </c:pt>
                  <c:pt idx="225">
                    <c:v>v1323</c:v>
                  </c:pt>
                  <c:pt idx="226">
                    <c:v>V13356</c:v>
                  </c:pt>
                  <c:pt idx="227">
                    <c:v>cgt00048</c:v>
                  </c:pt>
                  <c:pt idx="229">
                    <c:v>he702</c:v>
                  </c:pt>
                  <c:pt idx="230">
                    <c:v>207</c:v>
                  </c:pt>
                  <c:pt idx="231">
                    <c:v>208</c:v>
                  </c:pt>
                  <c:pt idx="232">
                    <c:v>209</c:v>
                  </c:pt>
                  <c:pt idx="233">
                    <c:v>211</c:v>
                  </c:pt>
                  <c:pt idx="234">
                    <c:v>6403</c:v>
                  </c:pt>
                  <c:pt idx="237">
                    <c:v>gr3287</c:v>
                  </c:pt>
                  <c:pt idx="238">
                    <c:v>3232</c:v>
                  </c:pt>
                  <c:pt idx="239">
                    <c:v>cac7DB</c:v>
                  </c:pt>
                  <c:pt idx="240">
                    <c:v>HE1920</c:v>
                  </c:pt>
                  <c:pt idx="241">
                    <c:v>z174</c:v>
                  </c:pt>
                  <c:pt idx="242">
                    <c:v>he356</c:v>
                  </c:pt>
                  <c:pt idx="243">
                    <c:v>Z175</c:v>
                  </c:pt>
                  <c:pt idx="244">
                    <c:v>Z174</c:v>
                  </c:pt>
                  <c:pt idx="245">
                    <c:v>Z173</c:v>
                  </c:pt>
                  <c:pt idx="246">
                    <c:v>z172</c:v>
                  </c:pt>
                  <c:pt idx="249">
                    <c:v>f-113</c:v>
                  </c:pt>
                  <c:pt idx="250">
                    <c:v>v5325</c:v>
                  </c:pt>
                  <c:pt idx="252">
                    <c:v>v1411</c:v>
                  </c:pt>
                  <c:pt idx="253">
                    <c:v>v1419a</c:v>
                  </c:pt>
                  <c:pt idx="254">
                    <c:v>ht-3300</c:v>
                  </c:pt>
                  <c:pt idx="255">
                    <c:v>v1419a</c:v>
                  </c:pt>
                  <c:pt idx="260">
                    <c:v>V0614</c:v>
                  </c:pt>
                  <c:pt idx="261">
                    <c:v>1221</c:v>
                  </c:pt>
                  <c:pt idx="262">
                    <c:v>11222</c:v>
                  </c:pt>
                  <c:pt idx="264">
                    <c:v>222000</c:v>
                  </c:pt>
                  <c:pt idx="266">
                    <c:v>0</c:v>
                  </c:pt>
                  <c:pt idx="267">
                    <c:v>0</c:v>
                  </c:pt>
                  <c:pt idx="268">
                    <c:v>213</c:v>
                  </c:pt>
                  <c:pt idx="269">
                    <c:v>213</c:v>
                  </c:pt>
                  <c:pt idx="270">
                    <c:v>ac21</c:v>
                  </c:pt>
                  <c:pt idx="271">
                    <c:v>1011849</c:v>
                  </c:pt>
                  <c:pt idx="272">
                    <c:v>mt200s</c:v>
                  </c:pt>
                  <c:pt idx="273">
                    <c:v>DW97065</c:v>
                  </c:pt>
                  <c:pt idx="275">
                    <c:v>278</c:v>
                  </c:pt>
                  <c:pt idx="276">
                    <c:v>v1166a</c:v>
                  </c:pt>
                  <c:pt idx="277">
                    <c:v>v1166a</c:v>
                  </c:pt>
                  <c:pt idx="278">
                    <c:v>kc59216</c:v>
                  </c:pt>
                  <c:pt idx="282">
                    <c:v>cgf00669</c:v>
                  </c:pt>
                  <c:pt idx="283">
                    <c:v>GR19309</c:v>
                  </c:pt>
                  <c:pt idx="284">
                    <c:v>gr19307</c:v>
                  </c:pt>
                  <c:pt idx="285">
                    <c:v>3755</c:v>
                  </c:pt>
                  <c:pt idx="286">
                    <c:v>3607</c:v>
                  </c:pt>
                  <c:pt idx="287">
                    <c:v>3237</c:v>
                  </c:pt>
                  <c:pt idx="288">
                    <c:v>3300</c:v>
                  </c:pt>
                  <c:pt idx="289">
                    <c:v>3306</c:v>
                  </c:pt>
                  <c:pt idx="290">
                    <c:v>3758</c:v>
                  </c:pt>
                  <c:pt idx="291">
                    <c:v>3204</c:v>
                  </c:pt>
                  <c:pt idx="292">
                    <c:v>3202</c:v>
                  </c:pt>
                  <c:pt idx="293">
                    <c:v>3236</c:v>
                  </c:pt>
                  <c:pt idx="294">
                    <c:v>3200</c:v>
                  </c:pt>
                  <c:pt idx="295">
                    <c:v>3206</c:v>
                  </c:pt>
                  <c:pt idx="296">
                    <c:v>3235</c:v>
                  </c:pt>
                  <c:pt idx="297">
                    <c:v>3205</c:v>
                  </c:pt>
                  <c:pt idx="298">
                    <c:v>3603</c:v>
                  </c:pt>
                  <c:pt idx="299">
                    <c:v>99320</c:v>
                  </c:pt>
                  <c:pt idx="300">
                    <c:v>99325</c:v>
                  </c:pt>
                  <c:pt idx="303">
                    <c:v>788780</c:v>
                  </c:pt>
                  <c:pt idx="304">
                    <c:v>99200</c:v>
                  </c:pt>
                  <c:pt idx="307">
                    <c:v>99116</c:v>
                  </c:pt>
                  <c:pt idx="310">
                    <c:v>218</c:v>
                  </c:pt>
                  <c:pt idx="312">
                    <c:v>gr25486</c:v>
                  </c:pt>
                  <c:pt idx="314">
                    <c:v>hw66622</c:v>
                  </c:pt>
                  <c:pt idx="315">
                    <c:v>bhw72004</c:v>
                  </c:pt>
                  <c:pt idx="316">
                    <c:v>1</c:v>
                  </c:pt>
                  <c:pt idx="317">
                    <c:v>430</c:v>
                  </c:pt>
                  <c:pt idx="320">
                    <c:v>3751</c:v>
                  </c:pt>
                  <c:pt idx="322">
                    <c:v>V0694</c:v>
                  </c:pt>
                  <c:pt idx="331">
                    <c:v>sg2</c:v>
                  </c:pt>
                  <c:pt idx="335">
                    <c:v>MT925</c:v>
                  </c:pt>
                  <c:pt idx="336">
                    <c:v>2166</c:v>
                  </c:pt>
                  <c:pt idx="337">
                    <c:v>sl2103</c:v>
                  </c:pt>
                  <c:pt idx="338">
                    <c:v>sl2102</c:v>
                  </c:pt>
                  <c:pt idx="339">
                    <c:v>sl2104</c:v>
                  </c:pt>
                  <c:pt idx="340">
                    <c:v>830</c:v>
                  </c:pt>
                  <c:pt idx="341">
                    <c:v>831</c:v>
                  </c:pt>
                  <c:pt idx="342">
                    <c:v>821</c:v>
                  </c:pt>
                  <c:pt idx="343">
                    <c:v>841d</c:v>
                  </c:pt>
                  <c:pt idx="344">
                    <c:v>851</c:v>
                  </c:pt>
                  <c:pt idx="345">
                    <c:v>800</c:v>
                  </c:pt>
                  <c:pt idx="346">
                    <c:v>840</c:v>
                  </c:pt>
                  <c:pt idx="347">
                    <c:v>840D</c:v>
                  </c:pt>
                  <c:pt idx="348">
                    <c:v>799</c:v>
                  </c:pt>
                  <c:pt idx="349">
                    <c:v>810</c:v>
                  </c:pt>
                  <c:pt idx="350">
                    <c:v>820</c:v>
                  </c:pt>
                  <c:pt idx="351">
                    <c:v>850D</c:v>
                  </c:pt>
                  <c:pt idx="352">
                    <c:v>A14506</c:v>
                  </c:pt>
                  <c:pt idx="353">
                    <c:v>2404</c:v>
                  </c:pt>
                  <c:pt idx="354">
                    <c:v>gr14027</c:v>
                  </c:pt>
                  <c:pt idx="355">
                    <c:v>gr14026</c:v>
                  </c:pt>
                  <c:pt idx="356">
                    <c:v>gr14018</c:v>
                  </c:pt>
                  <c:pt idx="357">
                    <c:v>18</c:v>
                  </c:pt>
                  <c:pt idx="358">
                    <c:v>gr14027</c:v>
                  </c:pt>
                  <c:pt idx="359">
                    <c:v>he7110</c:v>
                  </c:pt>
                  <c:pt idx="360">
                    <c:v>he7150</c:v>
                  </c:pt>
                  <c:pt idx="361">
                    <c:v>2,03,dom2</c:v>
                  </c:pt>
                  <c:pt idx="362">
                    <c:v>2,03,dom5</c:v>
                  </c:pt>
                  <c:pt idx="363">
                    <c:v>d7051</c:v>
                  </c:pt>
                  <c:pt idx="364">
                    <c:v>2,03,dom1</c:v>
                  </c:pt>
                  <c:pt idx="366">
                    <c:v>2,03,dom4</c:v>
                  </c:pt>
                  <c:pt idx="367">
                    <c:v>2,03,dom3</c:v>
                  </c:pt>
                  <c:pt idx="369">
                    <c:v>mt93</c:v>
                  </c:pt>
                  <c:pt idx="370">
                    <c:v>HE4715</c:v>
                  </c:pt>
                  <c:pt idx="371">
                    <c:v>gr16176</c:v>
                  </c:pt>
                  <c:pt idx="372">
                    <c:v>gr12846</c:v>
                  </c:pt>
                  <c:pt idx="373">
                    <c:v>he1932</c:v>
                  </c:pt>
                  <c:pt idx="374">
                    <c:v>gr14026</c:v>
                  </c:pt>
                  <c:pt idx="375">
                    <c:v>2</c:v>
                  </c:pt>
                  <c:pt idx="376">
                    <c:v>gr14020</c:v>
                  </c:pt>
                  <c:pt idx="377">
                    <c:v>gr14027</c:v>
                  </c:pt>
                  <c:pt idx="378">
                    <c:v>he2545</c:v>
                  </c:pt>
                  <c:pt idx="379">
                    <c:v>he4560</c:v>
                  </c:pt>
                  <c:pt idx="380">
                    <c:v>MT1002</c:v>
                  </c:pt>
                  <c:pt idx="381">
                    <c:v>MT104</c:v>
                  </c:pt>
                  <c:pt idx="382">
                    <c:v>mt477</c:v>
                  </c:pt>
                  <c:pt idx="385">
                    <c:v>he3301</c:v>
                  </c:pt>
                  <c:pt idx="386">
                    <c:v>2029</c:v>
                  </c:pt>
                  <c:pt idx="387">
                    <c:v>pe1003</c:v>
                  </c:pt>
                  <c:pt idx="388">
                    <c:v>v4103</c:v>
                  </c:pt>
                  <c:pt idx="389">
                    <c:v>v4096</c:v>
                  </c:pt>
                  <c:pt idx="390">
                    <c:v>v4227</c:v>
                  </c:pt>
                  <c:pt idx="391">
                    <c:v>v4227</c:v>
                  </c:pt>
                  <c:pt idx="392">
                    <c:v>A17973</c:v>
                  </c:pt>
                  <c:pt idx="393">
                    <c:v>A17974</c:v>
                  </c:pt>
                  <c:pt idx="394">
                    <c:v>v4060</c:v>
                  </c:pt>
                  <c:pt idx="395">
                    <c:v>pe109</c:v>
                  </c:pt>
                  <c:pt idx="396">
                    <c:v>pe300</c:v>
                  </c:pt>
                  <c:pt idx="397">
                    <c:v>c f211</c:v>
                  </c:pt>
                  <c:pt idx="398">
                    <c:v>he3301</c:v>
                  </c:pt>
                  <c:pt idx="399">
                    <c:v>he0202</c:v>
                  </c:pt>
                  <c:pt idx="400">
                    <c:v>476</c:v>
                  </c:pt>
                  <c:pt idx="401">
                    <c:v>mt860</c:v>
                  </c:pt>
                  <c:pt idx="402">
                    <c:v>cf109</c:v>
                  </c:pt>
                  <c:pt idx="403">
                    <c:v>V4118</c:v>
                  </c:pt>
                  <c:pt idx="404">
                    <c:v>1583</c:v>
                  </c:pt>
                  <c:pt idx="405">
                    <c:v>v4610a</c:v>
                  </c:pt>
                  <c:pt idx="406">
                    <c:v>v4322</c:v>
                  </c:pt>
                  <c:pt idx="408">
                    <c:v>462</c:v>
                  </c:pt>
                  <c:pt idx="409">
                    <c:v>513550</c:v>
                  </c:pt>
                  <c:pt idx="410">
                    <c:v>513550</c:v>
                  </c:pt>
                  <c:pt idx="411">
                    <c:v>BE21</c:v>
                  </c:pt>
                  <c:pt idx="412">
                    <c:v>v4623</c:v>
                  </c:pt>
                  <c:pt idx="413">
                    <c:v>513600</c:v>
                  </c:pt>
                  <c:pt idx="414">
                    <c:v>1585</c:v>
                  </c:pt>
                  <c:pt idx="415">
                    <c:v>mt856</c:v>
                  </c:pt>
                  <c:pt idx="416">
                    <c:v>com20db</c:v>
                  </c:pt>
                  <c:pt idx="417">
                    <c:v>com7DB</c:v>
                  </c:pt>
                  <c:pt idx="418">
                    <c:v>gt2603</c:v>
                  </c:pt>
                  <c:pt idx="419">
                    <c:v>gt 2605</c:v>
                  </c:pt>
                  <c:pt idx="420">
                    <c:v>tl32987</c:v>
                  </c:pt>
                  <c:pt idx="422">
                    <c:v>nhsz79</c:v>
                  </c:pt>
                  <c:pt idx="428">
                    <c:v>600</c:v>
                  </c:pt>
                  <c:pt idx="429">
                    <c:v>610</c:v>
                  </c:pt>
                  <c:pt idx="430">
                    <c:v>620</c:v>
                  </c:pt>
                  <c:pt idx="431">
                    <c:v>630</c:v>
                  </c:pt>
                  <c:pt idx="432">
                    <c:v>ggr11295</c:v>
                  </c:pt>
                  <c:pt idx="433">
                    <c:v>MT720</c:v>
                  </c:pt>
                  <c:pt idx="434">
                    <c:v>651</c:v>
                  </c:pt>
                  <c:pt idx="435">
                    <c:v>640</c:v>
                  </c:pt>
                  <c:pt idx="436">
                    <c:v>mt444</c:v>
                  </c:pt>
                  <c:pt idx="438">
                    <c:v>3113</c:v>
                  </c:pt>
                  <c:pt idx="439">
                    <c:v>3118</c:v>
                  </c:pt>
                  <c:pt idx="440">
                    <c:v>3103</c:v>
                  </c:pt>
                  <c:pt idx="441">
                    <c:v>3130</c:v>
                  </c:pt>
                  <c:pt idx="442">
                    <c:v>3131</c:v>
                  </c:pt>
                  <c:pt idx="443">
                    <c:v>3128</c:v>
                  </c:pt>
                  <c:pt idx="444">
                    <c:v>3126</c:v>
                  </c:pt>
                  <c:pt idx="445">
                    <c:v>3117</c:v>
                  </c:pt>
                  <c:pt idx="446">
                    <c:v>3109</c:v>
                  </c:pt>
                  <c:pt idx="447">
                    <c:v>3129</c:v>
                  </c:pt>
                  <c:pt idx="448">
                    <c:v>3127</c:v>
                  </c:pt>
                  <c:pt idx="449">
                    <c:v>3124</c:v>
                  </c:pt>
                  <c:pt idx="450">
                    <c:v>3132</c:v>
                  </c:pt>
                  <c:pt idx="451">
                    <c:v>4,01,fgc515</c:v>
                  </c:pt>
                  <c:pt idx="452">
                    <c:v>v4093</c:v>
                  </c:pt>
                  <c:pt idx="455">
                    <c:v>v5011</c:v>
                  </c:pt>
                  <c:pt idx="456">
                    <c:v>127</c:v>
                  </c:pt>
                  <c:pt idx="457">
                    <c:v>1108</c:v>
                  </c:pt>
                  <c:pt idx="458">
                    <c:v>0</c:v>
                  </c:pt>
                  <c:pt idx="459">
                    <c:v>W2651</c:v>
                  </c:pt>
                  <c:pt idx="460">
                    <c:v>1311</c:v>
                  </c:pt>
                  <c:pt idx="461">
                    <c:v>1313</c:v>
                  </c:pt>
                  <c:pt idx="462">
                    <c:v>4,02,fgc224</c:v>
                  </c:pt>
                  <c:pt idx="463">
                    <c:v>44</c:v>
                  </c:pt>
                  <c:pt idx="464">
                    <c:v>2999</c:v>
                  </c:pt>
                  <c:pt idx="465">
                    <c:v>3236</c:v>
                  </c:pt>
                  <c:pt idx="466">
                    <c:v>he189</c:v>
                  </c:pt>
                  <c:pt idx="467">
                    <c:v>B2936</c:v>
                  </c:pt>
                  <c:pt idx="468">
                    <c:v>he453</c:v>
                  </c:pt>
                  <c:pt idx="469">
                    <c:v>he453</c:v>
                  </c:pt>
                  <c:pt idx="470">
                    <c:v>he453</c:v>
                  </c:pt>
                  <c:pt idx="471">
                    <c:v>100</c:v>
                  </c:pt>
                  <c:pt idx="472">
                    <c:v>100</c:v>
                  </c:pt>
                  <c:pt idx="473">
                    <c:v>101</c:v>
                  </c:pt>
                  <c:pt idx="475">
                    <c:v>5,03,dor400</c:v>
                  </c:pt>
                  <c:pt idx="476">
                    <c:v>T51</c:v>
                  </c:pt>
                  <c:pt idx="477">
                    <c:v>tcdu1</c:v>
                  </c:pt>
                  <c:pt idx="479">
                    <c:v>288</c:v>
                  </c:pt>
                  <c:pt idx="480">
                    <c:v>cgt00075</c:v>
                  </c:pt>
                  <c:pt idx="482">
                    <c:v>0</c:v>
                  </c:pt>
                  <c:pt idx="488">
                    <c:v>223</c:v>
                  </c:pt>
                  <c:pt idx="489">
                    <c:v>GR10530</c:v>
                  </c:pt>
                  <c:pt idx="491">
                    <c:v>CR 1344</c:v>
                  </c:pt>
                  <c:pt idx="493">
                    <c:v>202148</c:v>
                  </c:pt>
                  <c:pt idx="495">
                    <c:v>314100</c:v>
                  </c:pt>
                  <c:pt idx="497">
                    <c:v>1523</c:v>
                  </c:pt>
                  <c:pt idx="498">
                    <c:v>v4167</c:v>
                  </c:pt>
                  <c:pt idx="499">
                    <c:v>A13181</c:v>
                  </c:pt>
                  <c:pt idx="500">
                    <c:v>1547</c:v>
                  </c:pt>
                  <c:pt idx="501">
                    <c:v>B232</c:v>
                  </c:pt>
                  <c:pt idx="502">
                    <c:v>0</c:v>
                  </c:pt>
                  <c:pt idx="503">
                    <c:v>V4175</c:v>
                  </c:pt>
                  <c:pt idx="504">
                    <c:v>v0455</c:v>
                  </c:pt>
                  <c:pt idx="506">
                    <c:v>tl10466</c:v>
                  </c:pt>
                  <c:pt idx="507">
                    <c:v>3236</c:v>
                  </c:pt>
                  <c:pt idx="508">
                    <c:v>T61</c:v>
                  </c:pt>
                  <c:pt idx="509">
                    <c:v>gr16107</c:v>
                  </c:pt>
                  <c:pt idx="510">
                    <c:v>D122 </c:v>
                  </c:pt>
                  <c:pt idx="511">
                    <c:v>V5047</c:v>
                  </c:pt>
                  <c:pt idx="512">
                    <c:v>V5045</c:v>
                  </c:pt>
                  <c:pt idx="513">
                    <c:v>v5099</c:v>
                  </c:pt>
                  <c:pt idx="514">
                    <c:v>W2045-1</c:v>
                  </c:pt>
                  <c:pt idx="515">
                    <c:v>W2045</c:v>
                  </c:pt>
                  <c:pt idx="516">
                    <c:v>1323</c:v>
                  </c:pt>
                  <c:pt idx="517">
                    <c:v>1321</c:v>
                  </c:pt>
                  <c:pt idx="518">
                    <c:v>658570</c:v>
                  </c:pt>
                  <c:pt idx="520">
                    <c:v>0</c:v>
                  </c:pt>
                  <c:pt idx="522">
                    <c:v>3119</c:v>
                  </c:pt>
                  <c:pt idx="536">
                    <c:v>6411</c:v>
                  </c:pt>
                  <c:pt idx="537">
                    <c:v>2271</c:v>
                  </c:pt>
                  <c:pt idx="538">
                    <c:v>V5098</c:v>
                  </c:pt>
                  <c:pt idx="542">
                    <c:v>15988</c:v>
                  </c:pt>
                  <c:pt idx="543">
                    <c:v>15989</c:v>
                  </c:pt>
                  <c:pt idx="544">
                    <c:v>gr6284</c:v>
                  </c:pt>
                  <c:pt idx="545">
                    <c:v>322</c:v>
                  </c:pt>
                  <c:pt idx="552">
                    <c:v>pb33</c:v>
                  </c:pt>
                  <c:pt idx="553">
                    <c:v>pb35</c:v>
                  </c:pt>
                  <c:pt idx="555">
                    <c:v>11</c:v>
                  </c:pt>
                  <c:pt idx="558">
                    <c:v>443190</c:v>
                  </c:pt>
                  <c:pt idx="559">
                    <c:v>800</c:v>
                  </c:pt>
                  <c:pt idx="560">
                    <c:v>2324</c:v>
                  </c:pt>
                  <c:pt idx="561">
                    <c:v>201</c:v>
                  </c:pt>
                  <c:pt idx="562">
                    <c:v>200</c:v>
                  </c:pt>
                  <c:pt idx="563">
                    <c:v>391190</c:v>
                  </c:pt>
                  <c:pt idx="564">
                    <c:v>3108</c:v>
                  </c:pt>
                  <c:pt idx="565">
                    <c:v>6425</c:v>
                  </c:pt>
                  <c:pt idx="567">
                    <c:v>246</c:v>
                  </c:pt>
                  <c:pt idx="568">
                    <c:v>gr10306</c:v>
                  </c:pt>
                  <c:pt idx="569">
                    <c:v>15201</c:v>
                  </c:pt>
                  <c:pt idx="570">
                    <c:v>324</c:v>
                  </c:pt>
                  <c:pt idx="571">
                    <c:v>tl31172</c:v>
                  </c:pt>
                  <c:pt idx="572">
                    <c:v>725038</c:v>
                  </c:pt>
                  <c:pt idx="577">
                    <c:v>220</c:v>
                  </c:pt>
                  <c:pt idx="578">
                    <c:v>220</c:v>
                  </c:pt>
                  <c:pt idx="579">
                    <c:v>4236-18</c:v>
                  </c:pt>
                  <c:pt idx="580">
                    <c:v>V5098</c:v>
                  </c:pt>
                  <c:pt idx="585">
                    <c:v>v0609</c:v>
                  </c:pt>
                  <c:pt idx="586">
                    <c:v>0</c:v>
                  </c:pt>
                  <c:pt idx="588">
                    <c:v>2,07,2305b</c:v>
                  </c:pt>
                  <c:pt idx="589">
                    <c:v>50</c:v>
                  </c:pt>
                  <c:pt idx="592">
                    <c:v>472-22178</c:v>
                  </c:pt>
                  <c:pt idx="607">
                    <c:v>v4121b</c:v>
                  </c:pt>
                  <c:pt idx="610">
                    <c:v>0</c:v>
                  </c:pt>
                  <c:pt idx="614">
                    <c:v>fc50DB</c:v>
                  </c:pt>
                  <c:pt idx="617">
                    <c:v>100151</c:v>
                  </c:pt>
                  <c:pt idx="619">
                    <c:v>638b</c:v>
                  </c:pt>
                  <c:pt idx="620">
                    <c:v>v1455</c:v>
                  </c:pt>
                  <c:pt idx="621">
                    <c:v>v1456</c:v>
                  </c:pt>
                  <c:pt idx="622">
                    <c:v>v1457</c:v>
                  </c:pt>
                  <c:pt idx="623">
                    <c:v>v1458</c:v>
                  </c:pt>
                  <c:pt idx="624">
                    <c:v>v1347</c:v>
                  </c:pt>
                  <c:pt idx="625">
                    <c:v>V1370</c:v>
                  </c:pt>
                  <c:pt idx="626">
                    <c:v>V1341</c:v>
                  </c:pt>
                  <c:pt idx="627">
                    <c:v>v1340</c:v>
                  </c:pt>
                  <c:pt idx="628">
                    <c:v>v1343</c:v>
                  </c:pt>
                  <c:pt idx="629">
                    <c:v>v1341</c:v>
                  </c:pt>
                  <c:pt idx="630">
                    <c:v>v1342</c:v>
                  </c:pt>
                  <c:pt idx="631">
                    <c:v>0</c:v>
                  </c:pt>
                  <c:pt idx="632">
                    <c:v>v1389</c:v>
                  </c:pt>
                  <c:pt idx="633">
                    <c:v>61011</c:v>
                  </c:pt>
                  <c:pt idx="634">
                    <c:v>113</c:v>
                  </c:pt>
                  <c:pt idx="636">
                    <c:v>110</c:v>
                  </c:pt>
                  <c:pt idx="637">
                    <c:v>33946</c:v>
                  </c:pt>
                  <c:pt idx="638">
                    <c:v>cgf00663</c:v>
                  </c:pt>
                  <c:pt idx="640">
                    <c:v>232</c:v>
                  </c:pt>
                  <c:pt idx="641">
                    <c:v>fl11430</c:v>
                  </c:pt>
                  <c:pt idx="642">
                    <c:v>GF34012</c:v>
                  </c:pt>
                  <c:pt idx="643">
                    <c:v>GF34013</c:v>
                  </c:pt>
                  <c:pt idx="644">
                    <c:v>GF34009</c:v>
                  </c:pt>
                  <c:pt idx="645">
                    <c:v>552</c:v>
                  </c:pt>
                  <c:pt idx="647">
                    <c:v>hw72926</c:v>
                  </c:pt>
                  <c:pt idx="651">
                    <c:v>22497</c:v>
                  </c:pt>
                  <c:pt idx="652">
                    <c:v>26828</c:v>
                  </c:pt>
                  <c:pt idx="653">
                    <c:v>28427</c:v>
                  </c:pt>
                  <c:pt idx="654">
                    <c:v>26827</c:v>
                  </c:pt>
                  <c:pt idx="655">
                    <c:v>28422</c:v>
                  </c:pt>
                  <c:pt idx="656">
                    <c:v>gr 25119</c:v>
                  </c:pt>
                  <c:pt idx="658">
                    <c:v>322</c:v>
                  </c:pt>
                  <c:pt idx="660">
                    <c:v>FS2726</c:v>
                  </c:pt>
                  <c:pt idx="661">
                    <c:v>FS2733</c:v>
                  </c:pt>
                  <c:pt idx="662">
                    <c:v>FS2730</c:v>
                  </c:pt>
                  <c:pt idx="663">
                    <c:v>FS2944</c:v>
                  </c:pt>
                  <c:pt idx="664">
                    <c:v>FS2943</c:v>
                  </c:pt>
                  <c:pt idx="665">
                    <c:v>FS2936</c:v>
                  </c:pt>
                  <c:pt idx="666">
                    <c:v>0</c:v>
                  </c:pt>
                  <c:pt idx="667">
                    <c:v>0</c:v>
                  </c:pt>
                  <c:pt idx="668">
                    <c:v>0</c:v>
                  </c:pt>
                  <c:pt idx="670">
                    <c:v>23837</c:v>
                  </c:pt>
                  <c:pt idx="671">
                    <c:v>28763</c:v>
                  </c:pt>
                  <c:pt idx="674">
                    <c:v>313</c:v>
                  </c:pt>
                  <c:pt idx="677">
                    <c:v>gr19302</c:v>
                  </c:pt>
                  <c:pt idx="680">
                    <c:v>120105</c:v>
                  </c:pt>
                  <c:pt idx="681">
                    <c:v>e128</c:v>
                  </c:pt>
                  <c:pt idx="682">
                    <c:v>e128</c:v>
                  </c:pt>
                  <c:pt idx="683">
                    <c:v>127176</c:v>
                  </c:pt>
                  <c:pt idx="684">
                    <c:v>127176</c:v>
                  </c:pt>
                  <c:pt idx="687">
                    <c:v>GR1346</c:v>
                  </c:pt>
                  <c:pt idx="692">
                    <c:v>9552</c:v>
                  </c:pt>
                  <c:pt idx="694">
                    <c:v>1,104rgc1</c:v>
                  </c:pt>
                  <c:pt idx="695">
                    <c:v>CHARGT001</c:v>
                  </c:pt>
                  <c:pt idx="696">
                    <c:v>CHARGT008</c:v>
                  </c:pt>
                  <c:pt idx="697">
                    <c:v>CRIOGT001</c:v>
                  </c:pt>
                  <c:pt idx="698">
                    <c:v>CRIOGT001</c:v>
                  </c:pt>
                  <c:pt idx="699">
                    <c:v>e125</c:v>
                  </c:pt>
                  <c:pt idx="700">
                    <c:v>e125</c:v>
                  </c:pt>
                  <c:pt idx="703">
                    <c:v>ILRCM005</c:v>
                  </c:pt>
                  <c:pt idx="707">
                    <c:v>121575</c:v>
                  </c:pt>
                  <c:pt idx="708">
                    <c:v>121575</c:v>
                  </c:pt>
                  <c:pt idx="709">
                    <c:v>121557</c:v>
                  </c:pt>
                  <c:pt idx="710">
                    <c:v>121557</c:v>
                  </c:pt>
                  <c:pt idx="712">
                    <c:v>v0505</c:v>
                  </c:pt>
                  <c:pt idx="714">
                    <c:v>1202</c:v>
                  </c:pt>
                  <c:pt idx="715">
                    <c:v>12</c:v>
                  </c:pt>
                  <c:pt idx="716">
                    <c:v>0</c:v>
                  </c:pt>
                  <c:pt idx="717">
                    <c:v>53,1</c:v>
                  </c:pt>
                  <c:pt idx="718">
                    <c:v>0</c:v>
                  </c:pt>
                  <c:pt idx="719">
                    <c:v>77</c:v>
                  </c:pt>
                  <c:pt idx="721">
                    <c:v>38,1</c:v>
                  </c:pt>
                  <c:pt idx="726">
                    <c:v>M235</c:v>
                  </c:pt>
                  <c:pt idx="727">
                    <c:v>M245</c:v>
                  </c:pt>
                  <c:pt idx="730">
                    <c:v>1</c:v>
                  </c:pt>
                  <c:pt idx="732">
                    <c:v>0</c:v>
                  </c:pt>
                  <c:pt idx="733">
                    <c:v>6710</c:v>
                  </c:pt>
                  <c:pt idx="734">
                    <c:v>6222</c:v>
                  </c:pt>
                  <c:pt idx="736">
                    <c:v>gua500d</c:v>
                  </c:pt>
                  <c:pt idx="737">
                    <c:v>tl33029</c:v>
                  </c:pt>
                  <c:pt idx="738">
                    <c:v>tl36395</c:v>
                  </c:pt>
                  <c:pt idx="739">
                    <c:v>GR5270</c:v>
                  </c:pt>
                  <c:pt idx="740">
                    <c:v>gr270</c:v>
                  </c:pt>
                  <c:pt idx="741">
                    <c:v>gr16171</c:v>
                  </c:pt>
                  <c:pt idx="742">
                    <c:v>gr920</c:v>
                  </c:pt>
                  <c:pt idx="744">
                    <c:v>0</c:v>
                  </c:pt>
                  <c:pt idx="747">
                    <c:v>tl35454</c:v>
                  </c:pt>
                  <c:pt idx="748">
                    <c:v>tl36456</c:v>
                  </c:pt>
                  <c:pt idx="750">
                    <c:v>0</c:v>
                  </c:pt>
                  <c:pt idx="758">
                    <c:v>cgt00091</c:v>
                  </c:pt>
                  <c:pt idx="759">
                    <c:v>cgt00092</c:v>
                  </c:pt>
                  <c:pt idx="760">
                    <c:v>z181</c:v>
                  </c:pt>
                  <c:pt idx="761">
                    <c:v>1010683</c:v>
                  </c:pt>
                  <c:pt idx="762">
                    <c:v>631247</c:v>
                  </c:pt>
                  <c:pt idx="764">
                    <c:v>412</c:v>
                  </c:pt>
                  <c:pt idx="765">
                    <c:v>204200</c:v>
                  </c:pt>
                  <c:pt idx="766">
                    <c:v>260800</c:v>
                  </c:pt>
                  <c:pt idx="767">
                    <c:v>206910</c:v>
                  </c:pt>
                  <c:pt idx="768">
                    <c:v>206890</c:v>
                  </c:pt>
                  <c:pt idx="769">
                    <c:v>206880</c:v>
                  </c:pt>
                  <c:pt idx="773">
                    <c:v>500</c:v>
                  </c:pt>
                  <c:pt idx="774">
                    <c:v>1321</c:v>
                  </c:pt>
                  <c:pt idx="776">
                    <c:v>3830</c:v>
                  </c:pt>
                  <c:pt idx="777">
                    <c:v>mh5</c:v>
                  </c:pt>
                  <c:pt idx="778">
                    <c:v>mh10</c:v>
                  </c:pt>
                  <c:pt idx="779">
                    <c:v>mt904</c:v>
                  </c:pt>
                  <c:pt idx="780">
                    <c:v>mt904</c:v>
                  </c:pt>
                  <c:pt idx="781">
                    <c:v>v4180</c:v>
                  </c:pt>
                  <c:pt idx="782">
                    <c:v>53</c:v>
                  </c:pt>
                  <c:pt idx="787">
                    <c:v>V0953</c:v>
                  </c:pt>
                  <c:pt idx="788">
                    <c:v>469</c:v>
                  </c:pt>
                  <c:pt idx="789">
                    <c:v>130</c:v>
                  </c:pt>
                  <c:pt idx="790">
                    <c:v>131</c:v>
                  </c:pt>
                  <c:pt idx="791">
                    <c:v>HE353</c:v>
                  </c:pt>
                  <c:pt idx="792">
                    <c:v>125</c:v>
                  </c:pt>
                  <c:pt idx="796">
                    <c:v>122</c:v>
                  </c:pt>
                  <c:pt idx="798">
                    <c:v>150702</c:v>
                  </c:pt>
                  <c:pt idx="805">
                    <c:v>0</c:v>
                  </c:pt>
                  <c:pt idx="806">
                    <c:v>GR 3852</c:v>
                  </c:pt>
                  <c:pt idx="811">
                    <c:v>100092</c:v>
                  </c:pt>
                  <c:pt idx="812">
                    <c:v>100112</c:v>
                  </c:pt>
                  <c:pt idx="813">
                    <c:v>22072</c:v>
                  </c:pt>
                  <c:pt idx="819">
                    <c:v>100046</c:v>
                  </c:pt>
                  <c:pt idx="820">
                    <c:v>100046</c:v>
                  </c:pt>
                  <c:pt idx="827">
                    <c:v>100092</c:v>
                  </c:pt>
                  <c:pt idx="828">
                    <c:v>JFQF</c:v>
                  </c:pt>
                  <c:pt idx="829">
                    <c:v>gr3853</c:v>
                  </c:pt>
                  <c:pt idx="831">
                    <c:v>449</c:v>
                  </c:pt>
                  <c:pt idx="832">
                    <c:v>jfqm78</c:v>
                  </c:pt>
                  <c:pt idx="836">
                    <c:v>JVPM 50</c:v>
                  </c:pt>
                  <c:pt idx="837">
                    <c:v>JVPM 25</c:v>
                  </c:pt>
                  <c:pt idx="838">
                    <c:v>gr284</c:v>
                  </c:pt>
                  <c:pt idx="842">
                    <c:v>v4008</c:v>
                  </c:pt>
                  <c:pt idx="843">
                    <c:v>v5066</c:v>
                  </c:pt>
                  <c:pt idx="844">
                    <c:v>v5067</c:v>
                  </c:pt>
                  <c:pt idx="845">
                    <c:v>v5065</c:v>
                  </c:pt>
                  <c:pt idx="846">
                    <c:v>v5007</c:v>
                  </c:pt>
                  <c:pt idx="847">
                    <c:v>v5009</c:v>
                  </c:pt>
                  <c:pt idx="848">
                    <c:v>V5004</c:v>
                  </c:pt>
                  <c:pt idx="849">
                    <c:v>0</c:v>
                  </c:pt>
                  <c:pt idx="853">
                    <c:v>V4003</c:v>
                  </c:pt>
                  <c:pt idx="854">
                    <c:v>v4010</c:v>
                  </c:pt>
                  <c:pt idx="855">
                    <c:v>v4010</c:v>
                  </c:pt>
                  <c:pt idx="856">
                    <c:v>V4017</c:v>
                  </c:pt>
                  <c:pt idx="857">
                    <c:v>V4001</c:v>
                  </c:pt>
                  <c:pt idx="858">
                    <c:v>V4002</c:v>
                  </c:pt>
                  <c:pt idx="859">
                    <c:v>771</c:v>
                  </c:pt>
                  <c:pt idx="860">
                    <c:v>V4000</c:v>
                  </c:pt>
                  <c:pt idx="861">
                    <c:v>V4004</c:v>
                  </c:pt>
                  <c:pt idx="864">
                    <c:v>1055</c:v>
                  </c:pt>
                  <c:pt idx="865">
                    <c:v>132</c:v>
                  </c:pt>
                  <c:pt idx="867">
                    <c:v>82</c:v>
                  </c:pt>
                  <c:pt idx="868">
                    <c:v>131</c:v>
                  </c:pt>
                  <c:pt idx="869">
                    <c:v>3296</c:v>
                  </c:pt>
                  <c:pt idx="870">
                    <c:v>402</c:v>
                  </c:pt>
                  <c:pt idx="876">
                    <c:v>he215</c:v>
                  </c:pt>
                  <c:pt idx="877">
                    <c:v>HE220</c:v>
                  </c:pt>
                  <c:pt idx="878">
                    <c:v>HE210</c:v>
                  </c:pt>
                  <c:pt idx="879">
                    <c:v>he215</c:v>
                  </c:pt>
                  <c:pt idx="880">
                    <c:v>TL33990SH</c:v>
                  </c:pt>
                  <c:pt idx="881">
                    <c:v>gr113758</c:v>
                  </c:pt>
                  <c:pt idx="882">
                    <c:v>910118</c:v>
                  </c:pt>
                  <c:pt idx="883">
                    <c:v>910118</c:v>
                  </c:pt>
                  <c:pt idx="884">
                    <c:v>267</c:v>
                  </c:pt>
                  <c:pt idx="885">
                    <c:v>270</c:v>
                  </c:pt>
                  <c:pt idx="886">
                    <c:v>HE6420</c:v>
                  </c:pt>
                  <c:pt idx="887">
                    <c:v>HE6415</c:v>
                  </c:pt>
                  <c:pt idx="888">
                    <c:v>HE6410</c:v>
                  </c:pt>
                  <c:pt idx="890">
                    <c:v>gr2891</c:v>
                  </c:pt>
                  <c:pt idx="891">
                    <c:v>gr4804</c:v>
                  </c:pt>
                  <c:pt idx="892">
                    <c:v>gr2873</c:v>
                  </c:pt>
                  <c:pt idx="893">
                    <c:v>MT459</c:v>
                  </c:pt>
                  <c:pt idx="894">
                    <c:v>CPSO1151</c:v>
                  </c:pt>
                  <c:pt idx="895">
                    <c:v>gr 19205</c:v>
                  </c:pt>
                  <c:pt idx="896">
                    <c:v>gr2871</c:v>
                  </c:pt>
                  <c:pt idx="897">
                    <c:v>gr2881</c:v>
                  </c:pt>
                  <c:pt idx="898">
                    <c:v>CK4</c:v>
                  </c:pt>
                  <c:pt idx="899">
                    <c:v>gr2871</c:v>
                  </c:pt>
                  <c:pt idx="900">
                    <c:v>gr4820</c:v>
                  </c:pt>
                  <c:pt idx="901">
                    <c:v>gr2868</c:v>
                  </c:pt>
                  <c:pt idx="902">
                    <c:v>3200</c:v>
                  </c:pt>
                  <c:pt idx="903">
                    <c:v>HE1111</c:v>
                  </c:pt>
                  <c:pt idx="904">
                    <c:v>he99</c:v>
                  </c:pt>
                  <c:pt idx="905">
                    <c:v>6632</c:v>
                  </c:pt>
                  <c:pt idx="906">
                    <c:v>mt362</c:v>
                  </c:pt>
                  <c:pt idx="908">
                    <c:v>V0647</c:v>
                  </c:pt>
                  <c:pt idx="909">
                    <c:v>V0647</c:v>
                  </c:pt>
                  <c:pt idx="910">
                    <c:v>v0648</c:v>
                  </c:pt>
                  <c:pt idx="911">
                    <c:v>v0648</c:v>
                  </c:pt>
                  <c:pt idx="912">
                    <c:v>v0652</c:v>
                  </c:pt>
                  <c:pt idx="913">
                    <c:v>rs-s400</c:v>
                  </c:pt>
                  <c:pt idx="914">
                    <c:v>V1428</c:v>
                  </c:pt>
                  <c:pt idx="915">
                    <c:v>re-s 500</c:v>
                  </c:pt>
                  <c:pt idx="916">
                    <c:v>v1430</c:v>
                  </c:pt>
                  <c:pt idx="917">
                    <c:v>v1431</c:v>
                  </c:pt>
                  <c:pt idx="918">
                    <c:v>0</c:v>
                  </c:pt>
                  <c:pt idx="920">
                    <c:v>chw00937</c:v>
                  </c:pt>
                  <c:pt idx="921">
                    <c:v>jvrh 44</c:v>
                  </c:pt>
                  <c:pt idx="922">
                    <c:v>chw00945</c:v>
                  </c:pt>
                  <c:pt idx="923">
                    <c:v>hw54082</c:v>
                  </c:pt>
                  <c:pt idx="924">
                    <c:v>jgt88003</c:v>
                  </c:pt>
                  <c:pt idx="925">
                    <c:v>cgt00090</c:v>
                  </c:pt>
                  <c:pt idx="931">
                    <c:v>lb-311</c:v>
                  </c:pt>
                  <c:pt idx="932">
                    <c:v>he4012</c:v>
                  </c:pt>
                  <c:pt idx="935">
                    <c:v>gr2538</c:v>
                  </c:pt>
                  <c:pt idx="936">
                    <c:v>269</c:v>
                  </c:pt>
                  <c:pt idx="939">
                    <c:v>GR21753</c:v>
                  </c:pt>
                  <c:pt idx="940">
                    <c:v>GR21752</c:v>
                  </c:pt>
                  <c:pt idx="941">
                    <c:v>GR1328</c:v>
                  </c:pt>
                  <c:pt idx="942">
                    <c:v>GR1327</c:v>
                  </c:pt>
                  <c:pt idx="943">
                    <c:v>GR1326</c:v>
                  </c:pt>
                  <c:pt idx="959">
                    <c:v>100171</c:v>
                  </c:pt>
                  <c:pt idx="961">
                    <c:v>100172</c:v>
                  </c:pt>
                  <c:pt idx="962">
                    <c:v>0</c:v>
                  </c:pt>
                  <c:pt idx="963">
                    <c:v>0</c:v>
                  </c:pt>
                  <c:pt idx="982">
                    <c:v>100219</c:v>
                  </c:pt>
                  <c:pt idx="988">
                    <c:v>41</c:v>
                  </c:pt>
                  <c:pt idx="990">
                    <c:v>40</c:v>
                  </c:pt>
                  <c:pt idx="992">
                    <c:v>22914</c:v>
                  </c:pt>
                  <c:pt idx="993">
                    <c:v>22912</c:v>
                  </c:pt>
                  <c:pt idx="994">
                    <c:v>22912</c:v>
                  </c:pt>
                  <c:pt idx="995">
                    <c:v>22917</c:v>
                  </c:pt>
                  <c:pt idx="996">
                    <c:v>22914</c:v>
                  </c:pt>
                  <c:pt idx="1012">
                    <c:v>12848</c:v>
                  </c:pt>
                  <c:pt idx="1013">
                    <c:v>16664</c:v>
                  </c:pt>
                  <c:pt idx="1033">
                    <c:v>35002</c:v>
                  </c:pt>
                  <c:pt idx="1034">
                    <c:v>210002</c:v>
                  </c:pt>
                  <c:pt idx="1035">
                    <c:v>35001</c:v>
                  </c:pt>
                  <c:pt idx="1038">
                    <c:v>0</c:v>
                  </c:pt>
                  <c:pt idx="1050">
                    <c:v>210000</c:v>
                  </c:pt>
                  <c:pt idx="1051">
                    <c:v>210001</c:v>
                  </c:pt>
                  <c:pt idx="1052">
                    <c:v>27896</c:v>
                  </c:pt>
                  <c:pt idx="1053">
                    <c:v>31033</c:v>
                  </c:pt>
                  <c:pt idx="1057">
                    <c:v>gr21124</c:v>
                  </c:pt>
                  <c:pt idx="1058">
                    <c:v>gr21123</c:v>
                  </c:pt>
                  <c:pt idx="1059">
                    <c:v>gr10513</c:v>
                  </c:pt>
                  <c:pt idx="1060">
                    <c:v>GR283</c:v>
                  </c:pt>
                  <c:pt idx="1061">
                    <c:v>gr10512</c:v>
                  </c:pt>
                  <c:pt idx="1062">
                    <c:v>GR280</c:v>
                  </c:pt>
                  <c:pt idx="1063">
                    <c:v>GR281</c:v>
                  </c:pt>
                  <c:pt idx="1064">
                    <c:v>GR10512</c:v>
                  </c:pt>
                  <c:pt idx="1065">
                    <c:v>gr21099</c:v>
                  </c:pt>
                  <c:pt idx="1066">
                    <c:v>gr 21098</c:v>
                  </c:pt>
                  <c:pt idx="1067">
                    <c:v>jhw80102</c:v>
                  </c:pt>
                  <c:pt idx="1068">
                    <c:v>gr1346</c:v>
                  </c:pt>
                  <c:pt idx="1069">
                    <c:v>22078</c:v>
                  </c:pt>
                  <c:pt idx="1070">
                    <c:v>22077</c:v>
                  </c:pt>
                  <c:pt idx="1071">
                    <c:v>gr1343</c:v>
                  </c:pt>
                  <c:pt idx="1072">
                    <c:v>2403</c:v>
                  </c:pt>
                  <c:pt idx="1073">
                    <c:v>2404</c:v>
                  </c:pt>
                  <c:pt idx="1074">
                    <c:v>2405</c:v>
                  </c:pt>
                  <c:pt idx="1075">
                    <c:v>2406</c:v>
                  </c:pt>
                  <c:pt idx="1076">
                    <c:v>2407</c:v>
                  </c:pt>
                  <c:pt idx="1078">
                    <c:v>gr1339</c:v>
                  </c:pt>
                  <c:pt idx="1079">
                    <c:v>gr1338</c:v>
                  </c:pt>
                  <c:pt idx="1080">
                    <c:v>25123</c:v>
                  </c:pt>
                  <c:pt idx="1084">
                    <c:v>M835</c:v>
                  </c:pt>
                  <c:pt idx="1091">
                    <c:v>100173</c:v>
                  </c:pt>
                  <c:pt idx="1095">
                    <c:v>100174</c:v>
                  </c:pt>
                  <c:pt idx="1098">
                    <c:v>gr283</c:v>
                  </c:pt>
                  <c:pt idx="1099">
                    <c:v>GR282</c:v>
                  </c:pt>
                  <c:pt idx="1100">
                    <c:v>GR279</c:v>
                  </c:pt>
                  <c:pt idx="1101">
                    <c:v>GR282</c:v>
                  </c:pt>
                  <c:pt idx="1102">
                    <c:v>GR281</c:v>
                  </c:pt>
                  <c:pt idx="1103">
                    <c:v>GR279</c:v>
                  </c:pt>
                  <c:pt idx="1104">
                    <c:v>BR280</c:v>
                  </c:pt>
                  <c:pt idx="1105">
                    <c:v>GR10528</c:v>
                  </c:pt>
                  <c:pt idx="1107">
                    <c:v>GR285</c:v>
                  </c:pt>
                  <c:pt idx="1108">
                    <c:v>chw00566</c:v>
                  </c:pt>
                  <c:pt idx="1109">
                    <c:v>468</c:v>
                  </c:pt>
                  <c:pt idx="1116">
                    <c:v>126</c:v>
                  </c:pt>
                  <c:pt idx="1117">
                    <c:v>122</c:v>
                  </c:pt>
                  <c:pt idx="1143">
                    <c:v>gr1308</c:v>
                  </c:pt>
                  <c:pt idx="1144">
                    <c:v>100194</c:v>
                  </c:pt>
                  <c:pt idx="1146">
                    <c:v>100120</c:v>
                  </c:pt>
                  <c:pt idx="1147">
                    <c:v>GR10545</c:v>
                  </c:pt>
                  <c:pt idx="1148">
                    <c:v>gr21126</c:v>
                  </c:pt>
                  <c:pt idx="1149">
                    <c:v>gr3852</c:v>
                  </c:pt>
                  <c:pt idx="1150">
                    <c:v>gr3852</c:v>
                  </c:pt>
                  <c:pt idx="1151">
                    <c:v>GR294</c:v>
                  </c:pt>
                  <c:pt idx="1152">
                    <c:v>GR1312</c:v>
                  </c:pt>
                  <c:pt idx="1153">
                    <c:v>gr1313</c:v>
                  </c:pt>
                  <c:pt idx="1154">
                    <c:v>gr1311</c:v>
                  </c:pt>
                  <c:pt idx="1156">
                    <c:v>G1339</c:v>
                  </c:pt>
                  <c:pt idx="1157">
                    <c:v>G1338</c:v>
                  </c:pt>
                  <c:pt idx="1158">
                    <c:v>gr1283</c:v>
                  </c:pt>
                  <c:pt idx="1159">
                    <c:v>gr1284</c:v>
                  </c:pt>
                  <c:pt idx="1160">
                    <c:v>GR1289</c:v>
                  </c:pt>
                  <c:pt idx="1161">
                    <c:v>gr1284</c:v>
                  </c:pt>
                  <c:pt idx="1162">
                    <c:v>GR1287</c:v>
                  </c:pt>
                  <c:pt idx="1163">
                    <c:v>GR1285</c:v>
                  </c:pt>
                  <c:pt idx="1182">
                    <c:v>2159</c:v>
                  </c:pt>
                  <c:pt idx="1183">
                    <c:v>20</c:v>
                  </c:pt>
                  <c:pt idx="1187">
                    <c:v>GR1332</c:v>
                  </c:pt>
                  <c:pt idx="1188">
                    <c:v>gr1310</c:v>
                  </c:pt>
                  <c:pt idx="1189">
                    <c:v>gr1308</c:v>
                  </c:pt>
                  <c:pt idx="1190">
                    <c:v>gr1306</c:v>
                  </c:pt>
                  <c:pt idx="1191">
                    <c:v>GR 1307</c:v>
                  </c:pt>
                  <c:pt idx="1192">
                    <c:v>GR1325</c:v>
                  </c:pt>
                  <c:pt idx="1193">
                    <c:v>GR1323</c:v>
                  </c:pt>
                  <c:pt idx="1194">
                    <c:v>gr1324</c:v>
                  </c:pt>
                  <c:pt idx="1195">
                    <c:v>GR1324</c:v>
                  </c:pt>
                  <c:pt idx="1196">
                    <c:v>gr1331</c:v>
                  </c:pt>
                  <c:pt idx="1197">
                    <c:v>21</c:v>
                  </c:pt>
                  <c:pt idx="1198">
                    <c:v>100095</c:v>
                  </c:pt>
                  <c:pt idx="1209">
                    <c:v>gr21121</c:v>
                  </c:pt>
                  <c:pt idx="1213">
                    <c:v>GR1321</c:v>
                  </c:pt>
                  <c:pt idx="1214">
                    <c:v>GR286</c:v>
                  </c:pt>
                  <c:pt idx="1218">
                    <c:v>706770</c:v>
                  </c:pt>
                  <c:pt idx="1219">
                    <c:v>704647</c:v>
                  </c:pt>
                  <c:pt idx="1220">
                    <c:v>706732</c:v>
                  </c:pt>
                  <c:pt idx="1221">
                    <c:v>706740</c:v>
                  </c:pt>
                  <c:pt idx="1222">
                    <c:v>704648</c:v>
                  </c:pt>
                  <c:pt idx="1224">
                    <c:v>gr1295</c:v>
                  </c:pt>
                  <c:pt idx="1225">
                    <c:v>GR1294</c:v>
                  </c:pt>
                  <c:pt idx="1226">
                    <c:v>GR1293</c:v>
                  </c:pt>
                  <c:pt idx="1227">
                    <c:v>gr21102</c:v>
                  </c:pt>
                  <c:pt idx="1228">
                    <c:v>gr21101</c:v>
                  </c:pt>
                  <c:pt idx="1229">
                    <c:v>gr2110</c:v>
                  </c:pt>
                  <c:pt idx="1230">
                    <c:v>gr21105</c:v>
                  </c:pt>
                  <c:pt idx="1231">
                    <c:v>gr21104</c:v>
                  </c:pt>
                  <c:pt idx="1232">
                    <c:v>gr21103</c:v>
                  </c:pt>
                  <c:pt idx="1233">
                    <c:v>gr1290</c:v>
                  </c:pt>
                  <c:pt idx="1245">
                    <c:v>jgt88003</c:v>
                  </c:pt>
                  <c:pt idx="1247">
                    <c:v>chw00946</c:v>
                  </c:pt>
                  <c:pt idx="1248">
                    <c:v>jgt88002</c:v>
                  </c:pt>
                  <c:pt idx="1249">
                    <c:v>27419</c:v>
                  </c:pt>
                  <c:pt idx="1250">
                    <c:v>27432</c:v>
                  </c:pt>
                  <c:pt idx="1251">
                    <c:v>27045</c:v>
                  </c:pt>
                  <c:pt idx="1252">
                    <c:v>27424</c:v>
                  </c:pt>
                  <c:pt idx="1253">
                    <c:v>gr1343</c:v>
                  </c:pt>
                  <c:pt idx="1254">
                    <c:v>chw01890</c:v>
                  </c:pt>
                  <c:pt idx="1255">
                    <c:v>mac 20</c:v>
                  </c:pt>
                  <c:pt idx="1257">
                    <c:v>mac11</c:v>
                  </c:pt>
                  <c:pt idx="1258">
                    <c:v>mac 7</c:v>
                  </c:pt>
                  <c:pt idx="1260">
                    <c:v>mac 3</c:v>
                  </c:pt>
                  <c:pt idx="1261">
                    <c:v>GR284</c:v>
                  </c:pt>
                  <c:pt idx="1262">
                    <c:v>gr21750</c:v>
                  </c:pt>
                  <c:pt idx="1263">
                    <c:v>gr21749-1</c:v>
                  </c:pt>
                  <c:pt idx="1264">
                    <c:v>1246</c:v>
                  </c:pt>
                  <c:pt idx="1274">
                    <c:v>446</c:v>
                  </c:pt>
                  <c:pt idx="1275">
                    <c:v>447</c:v>
                  </c:pt>
                  <c:pt idx="1276">
                    <c:v>448</c:v>
                  </c:pt>
                  <c:pt idx="1277">
                    <c:v>450</c:v>
                  </c:pt>
                  <c:pt idx="1278">
                    <c:v>GR1291</c:v>
                  </c:pt>
                  <c:pt idx="1279">
                    <c:v>GR1298</c:v>
                  </c:pt>
                  <c:pt idx="1280">
                    <c:v>GR1297</c:v>
                  </c:pt>
                  <c:pt idx="1281">
                    <c:v>GR1296</c:v>
                  </c:pt>
                  <c:pt idx="1282">
                    <c:v>GR1292</c:v>
                  </c:pt>
                  <c:pt idx="1283">
                    <c:v>gr1299</c:v>
                  </c:pt>
                  <c:pt idx="1284">
                    <c:v>22076</c:v>
                  </c:pt>
                  <c:pt idx="1285">
                    <c:v>22071</c:v>
                  </c:pt>
                  <c:pt idx="1286">
                    <c:v>22074</c:v>
                  </c:pt>
                  <c:pt idx="1287">
                    <c:v>22075</c:v>
                  </c:pt>
                  <c:pt idx="1289">
                    <c:v>B376</c:v>
                  </c:pt>
                  <c:pt idx="1302">
                    <c:v>DX1</c:v>
                  </c:pt>
                  <c:pt idx="1303">
                    <c:v>DX2</c:v>
                  </c:pt>
                  <c:pt idx="1304">
                    <c:v>DX3</c:v>
                  </c:pt>
                  <c:pt idx="1305">
                    <c:v>DX4</c:v>
                  </c:pt>
                  <c:pt idx="1306">
                    <c:v>7S2</c:v>
                  </c:pt>
                  <c:pt idx="1307">
                    <c:v>7S3</c:v>
                  </c:pt>
                  <c:pt idx="1308">
                    <c:v>7F2</c:v>
                  </c:pt>
                  <c:pt idx="1309">
                    <c:v>YT2</c:v>
                  </c:pt>
                  <c:pt idx="1310">
                    <c:v>YT3</c:v>
                  </c:pt>
                  <c:pt idx="1311">
                    <c:v>WLI</c:v>
                  </c:pt>
                  <c:pt idx="1312">
                    <c:v>GP3</c:v>
                  </c:pt>
                  <c:pt idx="1313">
                    <c:v>GP4</c:v>
                  </c:pt>
                  <c:pt idx="1314">
                    <c:v>X0</c:v>
                  </c:pt>
                  <c:pt idx="1315">
                    <c:v>JVER 24</c:v>
                  </c:pt>
                  <c:pt idx="1316">
                    <c:v>JVER 33</c:v>
                  </c:pt>
                  <c:pt idx="1317">
                    <c:v>JVER 42</c:v>
                  </c:pt>
                  <c:pt idx="1318">
                    <c:v>JVOM 30</c:v>
                  </c:pt>
                  <c:pt idx="1319">
                    <c:v>IVOM 38</c:v>
                  </c:pt>
                  <c:pt idx="1320">
                    <c:v>IVPM 25</c:v>
                  </c:pt>
                  <c:pt idx="1321">
                    <c:v>IVQM20</c:v>
                  </c:pt>
                  <c:pt idx="1322">
                    <c:v>JVEO 41</c:v>
                  </c:pt>
                  <c:pt idx="1323">
                    <c:v>JVEF 34</c:v>
                  </c:pt>
                  <c:pt idx="1324">
                    <c:v>JVEF 42</c:v>
                  </c:pt>
                  <c:pt idx="1325">
                    <c:v>JVEC 33</c:v>
                  </c:pt>
                  <c:pt idx="1326">
                    <c:v>JVEO 55</c:v>
                  </c:pt>
                  <c:pt idx="1327">
                    <c:v>JVHR 42</c:v>
                  </c:pt>
                  <c:pt idx="1328">
                    <c:v>JVHR33</c:v>
                  </c:pt>
                  <c:pt idx="1329">
                    <c:v>JVUM 30 S</c:v>
                  </c:pt>
                  <c:pt idx="1330">
                    <c:v>JVUM 38</c:v>
                  </c:pt>
                  <c:pt idx="1331">
                    <c:v>JFQF 67</c:v>
                  </c:pt>
                  <c:pt idx="1332">
                    <c:v>JFQF 77</c:v>
                  </c:pt>
                  <c:pt idx="1333">
                    <c:v>JVQM20</c:v>
                  </c:pt>
                  <c:pt idx="1334">
                    <c:v>JURT 45</c:v>
                  </c:pt>
                  <c:pt idx="1335">
                    <c:v>JUMB 34</c:v>
                  </c:pt>
                  <c:pt idx="1336">
                    <c:v>JPRD 25</c:v>
                  </c:pt>
                  <c:pt idx="1337">
                    <c:v>JVRH33</c:v>
                  </c:pt>
                  <c:pt idx="1338">
                    <c:v>JVOM 38</c:v>
                  </c:pt>
                  <c:pt idx="1339">
                    <c:v>JVSR</c:v>
                  </c:pt>
                  <c:pt idx="1340">
                    <c:v>JCMC 35</c:v>
                  </c:pt>
                  <c:pt idx="1341">
                    <c:v>JCMC 45</c:v>
                  </c:pt>
                  <c:pt idx="1342">
                    <c:v>JVERH 33</c:v>
                  </c:pt>
                  <c:pt idx="1343">
                    <c:v>JURH 33</c:v>
                  </c:pt>
                  <c:pt idx="1344">
                    <c:v>JVLL45</c:v>
                  </c:pt>
                  <c:pt idx="1345">
                    <c:v>JFQM 45</c:v>
                  </c:pt>
                  <c:pt idx="1346">
                    <c:v>JVIP 34</c:v>
                  </c:pt>
                  <c:pt idx="1347">
                    <c:v>JVQM30</c:v>
                  </c:pt>
                  <c:pt idx="1348">
                    <c:v>IVQM36</c:v>
                  </c:pt>
                  <c:pt idx="1349">
                    <c:v>JVMO38C</c:v>
                  </c:pt>
                  <c:pt idx="1350">
                    <c:v>JVAQ44</c:v>
                  </c:pt>
                  <c:pt idx="1351">
                    <c:v>JVAQ55</c:v>
                  </c:pt>
                  <c:pt idx="1352">
                    <c:v>JVAQ56</c:v>
                  </c:pt>
                  <c:pt idx="1353">
                    <c:v>JVCB 30</c:v>
                  </c:pt>
                  <c:pt idx="1354">
                    <c:v>JVQM36</c:v>
                  </c:pt>
                  <c:pt idx="1355">
                    <c:v>JVRE 37</c:v>
                  </c:pt>
                  <c:pt idx="1356">
                    <c:v>JVRE 46</c:v>
                  </c:pt>
                  <c:pt idx="1357">
                    <c:v>JVRE 57</c:v>
                  </c:pt>
                  <c:pt idx="1358">
                    <c:v>JVRE 34</c:v>
                  </c:pt>
                  <c:pt idx="1359">
                    <c:v>100199</c:v>
                  </c:pt>
                  <c:pt idx="1360">
                    <c:v>IVIP 43</c:v>
                  </c:pt>
                  <c:pt idx="1375">
                    <c:v>GR1288</c:v>
                  </c:pt>
                  <c:pt idx="1376">
                    <c:v>100161</c:v>
                  </c:pt>
                  <c:pt idx="1377">
                    <c:v>100161</c:v>
                  </c:pt>
                  <c:pt idx="1378">
                    <c:v>100162</c:v>
                  </c:pt>
                  <c:pt idx="1379">
                    <c:v>GR1283</c:v>
                  </c:pt>
                  <c:pt idx="1380">
                    <c:v>0</c:v>
                  </c:pt>
                  <c:pt idx="1381">
                    <c:v>0</c:v>
                  </c:pt>
                  <c:pt idx="1386">
                    <c:v>100152</c:v>
                  </c:pt>
                  <c:pt idx="1388">
                    <c:v>52044</c:v>
                  </c:pt>
                  <c:pt idx="1391">
                    <c:v>gt3235</c:v>
                  </c:pt>
                  <c:pt idx="1394">
                    <c:v>100231</c:v>
                  </c:pt>
                  <c:pt idx="1395">
                    <c:v>100232</c:v>
                  </c:pt>
                  <c:pt idx="1396">
                    <c:v>100189</c:v>
                  </c:pt>
                  <c:pt idx="1397">
                    <c:v>100190</c:v>
                  </c:pt>
                  <c:pt idx="1398">
                    <c:v>100228</c:v>
                  </c:pt>
                  <c:pt idx="1399">
                    <c:v>PE439</c:v>
                  </c:pt>
                  <c:pt idx="1402">
                    <c:v>100096</c:v>
                  </c:pt>
                  <c:pt idx="1403">
                    <c:v>GR1287</c:v>
                  </c:pt>
                  <c:pt idx="1404">
                    <c:v>gr1286</c:v>
                  </c:pt>
                  <c:pt idx="1420">
                    <c:v>100095</c:v>
                  </c:pt>
                  <c:pt idx="1421">
                    <c:v>100131</c:v>
                  </c:pt>
                  <c:pt idx="1423">
                    <c:v>100186</c:v>
                  </c:pt>
                  <c:pt idx="1426">
                    <c:v>100113</c:v>
                  </c:pt>
                  <c:pt idx="1427">
                    <c:v>100131</c:v>
                  </c:pt>
                  <c:pt idx="1429">
                    <c:v>100133</c:v>
                  </c:pt>
                  <c:pt idx="1430">
                    <c:v>M1980</c:v>
                  </c:pt>
                  <c:pt idx="1431">
                    <c:v>M1982</c:v>
                  </c:pt>
                  <c:pt idx="1432">
                    <c:v>M1981</c:v>
                  </c:pt>
                  <c:pt idx="1433">
                    <c:v>gr21119</c:v>
                  </c:pt>
                  <c:pt idx="1434">
                    <c:v>gr21118</c:v>
                  </c:pt>
                  <c:pt idx="1435">
                    <c:v>26600018</c:v>
                  </c:pt>
                  <c:pt idx="1436">
                    <c:v>1463</c:v>
                  </c:pt>
                  <c:pt idx="1437">
                    <c:v>1463</c:v>
                  </c:pt>
                  <c:pt idx="1438">
                    <c:v>24/7/</c:v>
                  </c:pt>
                  <c:pt idx="1439">
                    <c:v>1464</c:v>
                  </c:pt>
                  <c:pt idx="1441">
                    <c:v>642004</c:v>
                  </c:pt>
                  <c:pt idx="1442">
                    <c:v>642001</c:v>
                  </c:pt>
                  <c:pt idx="1443">
                    <c:v>0</c:v>
                  </c:pt>
                  <c:pt idx="1446">
                    <c:v>107</c:v>
                  </c:pt>
                  <c:pt idx="1449">
                    <c:v>28</c:v>
                  </c:pt>
                  <c:pt idx="1452">
                    <c:v>cgt00081</c:v>
                  </c:pt>
                  <c:pt idx="1453">
                    <c:v>cgt00080</c:v>
                  </c:pt>
                  <c:pt idx="1454">
                    <c:v>gt2961</c:v>
                  </c:pt>
                  <c:pt idx="1455">
                    <c:v>gt2961</c:v>
                  </c:pt>
                  <c:pt idx="1456">
                    <c:v>gt3045</c:v>
                  </c:pt>
                  <c:pt idx="1458">
                    <c:v>cgt0081</c:v>
                  </c:pt>
                  <c:pt idx="1462">
                    <c:v>A1847</c:v>
                  </c:pt>
                  <c:pt idx="1464">
                    <c:v>590</c:v>
                  </c:pt>
                  <c:pt idx="1465">
                    <c:v>31109</c:v>
                  </c:pt>
                  <c:pt idx="1466">
                    <c:v>2126</c:v>
                  </c:pt>
                  <c:pt idx="1468">
                    <c:v>108001</c:v>
                  </c:pt>
                  <c:pt idx="1470">
                    <c:v>31036</c:v>
                  </c:pt>
                  <c:pt idx="1476">
                    <c:v>0</c:v>
                  </c:pt>
                  <c:pt idx="1477">
                    <c:v>260500</c:v>
                  </c:pt>
                  <c:pt idx="1478">
                    <c:v>V0690</c:v>
                  </c:pt>
                  <c:pt idx="1481">
                    <c:v>0</c:v>
                  </c:pt>
                  <c:pt idx="1482">
                    <c:v>gt3380</c:v>
                  </c:pt>
                  <c:pt idx="1483">
                    <c:v>mt97</c:v>
                  </c:pt>
                  <c:pt idx="1484">
                    <c:v>cgt00051</c:v>
                  </c:pt>
                  <c:pt idx="1485">
                    <c:v>22079</c:v>
                  </c:pt>
                  <c:pt idx="1486">
                    <c:v>22080</c:v>
                  </c:pt>
                  <c:pt idx="1488">
                    <c:v>MO273</c:v>
                  </c:pt>
                  <c:pt idx="1490">
                    <c:v>MO274</c:v>
                  </c:pt>
                  <c:pt idx="1491">
                    <c:v>gt4414</c:v>
                  </c:pt>
                  <c:pt idx="1492">
                    <c:v>gt3611</c:v>
                  </c:pt>
                  <c:pt idx="1493">
                    <c:v>gt4412</c:v>
                  </c:pt>
                  <c:pt idx="1494">
                    <c:v>gt3618</c:v>
                  </c:pt>
                  <c:pt idx="1495">
                    <c:v>gt4407</c:v>
                  </c:pt>
                  <c:pt idx="1496">
                    <c:v>gt3616</c:v>
                  </c:pt>
                  <c:pt idx="1499">
                    <c:v>271</c:v>
                  </c:pt>
                  <c:pt idx="1500">
                    <c:v>273</c:v>
                  </c:pt>
                  <c:pt idx="1501">
                    <c:v>274</c:v>
                  </c:pt>
                  <c:pt idx="1502">
                    <c:v>275</c:v>
                  </c:pt>
                  <c:pt idx="1508">
                    <c:v>310003</c:v>
                  </c:pt>
                  <c:pt idx="1510">
                    <c:v>2047</c:v>
                  </c:pt>
                  <c:pt idx="1511">
                    <c:v>v4168</c:v>
                  </c:pt>
                  <c:pt idx="1512">
                    <c:v>HE103</c:v>
                  </c:pt>
                  <c:pt idx="1513">
                    <c:v>a11269</c:v>
                  </c:pt>
                  <c:pt idx="1514">
                    <c:v>v4167</c:v>
                  </c:pt>
                  <c:pt idx="1515">
                    <c:v>a13182</c:v>
                  </c:pt>
                  <c:pt idx="1516">
                    <c:v>a13181</c:v>
                  </c:pt>
                  <c:pt idx="1517">
                    <c:v>cl31</c:v>
                  </c:pt>
                  <c:pt idx="1518">
                    <c:v>cl42</c:v>
                  </c:pt>
                  <c:pt idx="1522">
                    <c:v>v4554b</c:v>
                  </c:pt>
                  <c:pt idx="1523">
                    <c:v>v4555</c:v>
                  </c:pt>
                  <c:pt idx="1524">
                    <c:v>v4555a</c:v>
                  </c:pt>
                  <c:pt idx="1525">
                    <c:v>v4554</c:v>
                  </c:pt>
                  <c:pt idx="1530">
                    <c:v>315600</c:v>
                  </c:pt>
                  <c:pt idx="1532">
                    <c:v>100200</c:v>
                  </c:pt>
                  <c:pt idx="1533">
                    <c:v>244</c:v>
                  </c:pt>
                  <c:pt idx="1534">
                    <c:v>gr10308</c:v>
                  </c:pt>
                  <c:pt idx="1535">
                    <c:v>15199</c:v>
                  </c:pt>
                  <c:pt idx="1536">
                    <c:v>gr18765</c:v>
                  </c:pt>
                  <c:pt idx="1537">
                    <c:v>B0070</c:v>
                  </c:pt>
                  <c:pt idx="1538">
                    <c:v>2,13,491758</c:v>
                  </c:pt>
                  <c:pt idx="1539">
                    <c:v>910121</c:v>
                  </c:pt>
                  <c:pt idx="1540">
                    <c:v>271</c:v>
                  </c:pt>
                  <c:pt idx="1541">
                    <c:v>mt1350</c:v>
                  </c:pt>
                  <c:pt idx="1542">
                    <c:v>he0522</c:v>
                  </c:pt>
                  <c:pt idx="1546">
                    <c:v>gf31234</c:v>
                  </c:pt>
                  <c:pt idx="1547">
                    <c:v>gf31235</c:v>
                  </c:pt>
                  <c:pt idx="1549">
                    <c:v>v4550</c:v>
                  </c:pt>
                  <c:pt idx="1550">
                    <c:v>v4551</c:v>
                  </c:pt>
                  <c:pt idx="1551">
                    <c:v>v4570a</c:v>
                  </c:pt>
                  <c:pt idx="1553">
                    <c:v>198</c:v>
                  </c:pt>
                  <c:pt idx="1554">
                    <c:v>199</c:v>
                  </c:pt>
                  <c:pt idx="1555">
                    <c:v>0</c:v>
                  </c:pt>
                  <c:pt idx="1556">
                    <c:v>s142</c:v>
                  </c:pt>
                  <c:pt idx="1557">
                    <c:v>s143</c:v>
                  </c:pt>
                  <c:pt idx="1558">
                    <c:v>s141</c:v>
                  </c:pt>
                  <c:pt idx="1559">
                    <c:v>s140</c:v>
                  </c:pt>
                  <c:pt idx="1560">
                    <c:v>1780</c:v>
                  </c:pt>
                  <c:pt idx="1561">
                    <c:v>0</c:v>
                  </c:pt>
                  <c:pt idx="1562">
                    <c:v>0</c:v>
                  </c:pt>
                  <c:pt idx="1563">
                    <c:v>0</c:v>
                  </c:pt>
                  <c:pt idx="1566">
                    <c:v>0</c:v>
                  </c:pt>
                  <c:pt idx="1567">
                    <c:v>V1476</c:v>
                  </c:pt>
                  <c:pt idx="1568">
                    <c:v>V1468A</c:v>
                  </c:pt>
                  <c:pt idx="1569">
                    <c:v>gr1909</c:v>
                  </c:pt>
                  <c:pt idx="1572">
                    <c:v>72003</c:v>
                  </c:pt>
                  <c:pt idx="1574">
                    <c:v>mt180</c:v>
                  </c:pt>
                  <c:pt idx="1575">
                    <c:v>mt620</c:v>
                  </c:pt>
                  <c:pt idx="1577">
                    <c:v>gr2881</c:v>
                  </c:pt>
                  <c:pt idx="1579">
                    <c:v>15990</c:v>
                  </c:pt>
                  <c:pt idx="1580">
                    <c:v>20033</c:v>
                  </c:pt>
                  <c:pt idx="1581">
                    <c:v>15984</c:v>
                  </c:pt>
                  <c:pt idx="1582">
                    <c:v>14223</c:v>
                  </c:pt>
                  <c:pt idx="1588">
                    <c:v>111507</c:v>
                  </c:pt>
                  <c:pt idx="1590">
                    <c:v>1106</c:v>
                  </c:pt>
                  <c:pt idx="1591">
                    <c:v>117175</c:v>
                  </c:pt>
                  <c:pt idx="1592">
                    <c:v>117175</c:v>
                  </c:pt>
                  <c:pt idx="1593">
                    <c:v>117175</c:v>
                  </c:pt>
                  <c:pt idx="1594">
                    <c:v>201</c:v>
                  </c:pt>
                  <c:pt idx="1596">
                    <c:v>IBRBY01</c:v>
                  </c:pt>
                  <c:pt idx="1597">
                    <c:v>IBRFL101</c:v>
                  </c:pt>
                  <c:pt idx="1600">
                    <c:v>133</c:v>
                  </c:pt>
                  <c:pt idx="1601">
                    <c:v>108</c:v>
                  </c:pt>
                  <c:pt idx="1603">
                    <c:v>140</c:v>
                  </c:pt>
                  <c:pt idx="1604">
                    <c:v>140</c:v>
                  </c:pt>
                  <c:pt idx="1607">
                    <c:v>CHARAD08</c:v>
                  </c:pt>
                  <c:pt idx="1609">
                    <c:v>CRIOAD07</c:v>
                  </c:pt>
                  <c:pt idx="1613">
                    <c:v>9789</c:v>
                  </c:pt>
                  <c:pt idx="1615">
                    <c:v>e120</c:v>
                  </c:pt>
                  <c:pt idx="1616">
                    <c:v>e120</c:v>
                  </c:pt>
                  <c:pt idx="1617">
                    <c:v>4</c:v>
                  </c:pt>
                  <c:pt idx="1621">
                    <c:v>gt2961</c:v>
                  </c:pt>
                  <c:pt idx="1624">
                    <c:v>90</c:v>
                  </c:pt>
                  <c:pt idx="1627">
                    <c:v>14,08</c:v>
                  </c:pt>
                  <c:pt idx="1629">
                    <c:v>16,21</c:v>
                  </c:pt>
                  <c:pt idx="1630">
                    <c:v>0</c:v>
                  </c:pt>
                  <c:pt idx="1631">
                    <c:v>9236</c:v>
                  </c:pt>
                  <c:pt idx="1632">
                    <c:v>0</c:v>
                  </c:pt>
                  <c:pt idx="1634">
                    <c:v>111547</c:v>
                  </c:pt>
                  <c:pt idx="1635">
                    <c:v>10040</c:v>
                  </c:pt>
                  <c:pt idx="1636">
                    <c:v>10050</c:v>
                  </c:pt>
                  <c:pt idx="1637">
                    <c:v>111655</c:v>
                  </c:pt>
                  <c:pt idx="1638">
                    <c:v>111547</c:v>
                  </c:pt>
                  <c:pt idx="1639">
                    <c:v>111547</c:v>
                  </c:pt>
                  <c:pt idx="1640">
                    <c:v>111547</c:v>
                  </c:pt>
                  <c:pt idx="1643">
                    <c:v>5758</c:v>
                  </c:pt>
                  <c:pt idx="1649">
                    <c:v>sz350</c:v>
                  </c:pt>
                  <c:pt idx="1650">
                    <c:v>sz513</c:v>
                  </c:pt>
                  <c:pt idx="1651">
                    <c:v>324740</c:v>
                  </c:pt>
                  <c:pt idx="1652">
                    <c:v>v0605</c:v>
                  </c:pt>
                  <c:pt idx="1654">
                    <c:v>v0452</c:v>
                  </c:pt>
                  <c:pt idx="1655">
                    <c:v>v4582</c:v>
                  </c:pt>
                  <c:pt idx="1656">
                    <c:v>2058</c:v>
                  </c:pt>
                  <c:pt idx="1658">
                    <c:v>v0451</c:v>
                  </c:pt>
                  <c:pt idx="1659">
                    <c:v>v0454</c:v>
                  </c:pt>
                  <c:pt idx="1660">
                    <c:v>v0453</c:v>
                  </c:pt>
                  <c:pt idx="1661">
                    <c:v>v0456</c:v>
                  </c:pt>
                  <c:pt idx="1662">
                    <c:v>2,12ps2</c:v>
                  </c:pt>
                  <c:pt idx="1663">
                    <c:v>2,12ps4</c:v>
                  </c:pt>
                  <c:pt idx="1666">
                    <c:v>0</c:v>
                  </c:pt>
                  <c:pt idx="1667">
                    <c:v>133</c:v>
                  </c:pt>
                  <c:pt idx="1668">
                    <c:v>19141</c:v>
                  </c:pt>
                  <c:pt idx="1669">
                    <c:v>k-310</c:v>
                  </c:pt>
                  <c:pt idx="1670">
                    <c:v>gr24751</c:v>
                  </c:pt>
                  <c:pt idx="1671">
                    <c:v>gr5296</c:v>
                  </c:pt>
                  <c:pt idx="1672">
                    <c:v>6</c:v>
                  </c:pt>
                  <c:pt idx="1674">
                    <c:v>k003</c:v>
                  </c:pt>
                  <c:pt idx="1675">
                    <c:v>k002</c:v>
                  </c:pt>
                  <c:pt idx="1676">
                    <c:v>s145</c:v>
                  </c:pt>
                  <c:pt idx="1677">
                    <c:v>s146</c:v>
                  </c:pt>
                  <c:pt idx="1678">
                    <c:v>203pg44</c:v>
                  </c:pt>
                  <c:pt idx="1681">
                    <c:v>k002</c:v>
                  </c:pt>
                  <c:pt idx="1682">
                    <c:v>k003</c:v>
                  </c:pt>
                  <c:pt idx="1683">
                    <c:v>k004</c:v>
                  </c:pt>
                  <c:pt idx="1689">
                    <c:v>s144</c:v>
                  </c:pt>
                  <c:pt idx="1690">
                    <c:v>236</c:v>
                  </c:pt>
                  <c:pt idx="1691">
                    <c:v>v0601</c:v>
                  </c:pt>
                  <c:pt idx="1692">
                    <c:v>cfl00007</c:v>
                  </c:pt>
                  <c:pt idx="1693">
                    <c:v>sc816</c:v>
                  </c:pt>
                  <c:pt idx="1694">
                    <c:v>sc642</c:v>
                  </c:pt>
                  <c:pt idx="1695">
                    <c:v>sc1129</c:v>
                  </c:pt>
                  <c:pt idx="1696">
                    <c:v>sc-12a </c:v>
                  </c:pt>
                  <c:pt idx="1697">
                    <c:v>sc-12b</c:v>
                  </c:pt>
                  <c:pt idx="1698">
                    <c:v>sc-12</c:v>
                  </c:pt>
                  <c:pt idx="1699">
                    <c:v>cfl00004</c:v>
                  </c:pt>
                  <c:pt idx="1700">
                    <c:v>v1221</c:v>
                  </c:pt>
                  <c:pt idx="1701">
                    <c:v>v1224</c:v>
                  </c:pt>
                  <c:pt idx="1702">
                    <c:v>v0632</c:v>
                  </c:pt>
                  <c:pt idx="1703">
                    <c:v>sc-01</c:v>
                  </c:pt>
                  <c:pt idx="1704">
                    <c:v>cfl00018</c:v>
                  </c:pt>
                  <c:pt idx="1705">
                    <c:v>cfl00014</c:v>
                  </c:pt>
                  <c:pt idx="1706">
                    <c:v>W2896</c:v>
                  </c:pt>
                  <c:pt idx="1707">
                    <c:v>PC2519</c:v>
                  </c:pt>
                  <c:pt idx="1709">
                    <c:v>sc-643</c:v>
                  </c:pt>
                  <c:pt idx="1710">
                    <c:v>v0631-2</c:v>
                  </c:pt>
                  <c:pt idx="1711">
                    <c:v>v0632</c:v>
                  </c:pt>
                  <c:pt idx="1712">
                    <c:v>v0633</c:v>
                  </c:pt>
                  <c:pt idx="1713">
                    <c:v>v0634</c:v>
                  </c:pt>
                  <c:pt idx="1715">
                    <c:v>14</c:v>
                  </c:pt>
                  <c:pt idx="1716">
                    <c:v>139</c:v>
                  </c:pt>
                  <c:pt idx="1720">
                    <c:v>pcn15</c:v>
                  </c:pt>
                  <c:pt idx="1721">
                    <c:v>pcn20</c:v>
                  </c:pt>
                </c:lvl>
              </c:multiLvlStrCache>
            </c:multiLvlStrRef>
          </c:cat>
          <c:val>
            <c:numRef>
              <c:f>PRECIO!$N$3:$N$1802</c:f>
              <c:numCache>
                <c:formatCode>0</c:formatCode>
                <c:ptCount val="1725"/>
                <c:pt idx="1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14">
                  <c:v>0</c:v>
                </c:pt>
                <c:pt idx="1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32">
                  <c:v>0</c:v>
                </c:pt>
                <c:pt idx="33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42">
                  <c:v>0</c:v>
                </c:pt>
                <c:pt idx="44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6">
                  <c:v>0</c:v>
                </c:pt>
                <c:pt idx="60">
                  <c:v>0</c:v>
                </c:pt>
                <c:pt idx="61">
                  <c:v>0</c:v>
                </c:pt>
                <c:pt idx="72">
                  <c:v>0</c:v>
                </c:pt>
                <c:pt idx="73">
                  <c:v>0</c:v>
                </c:pt>
                <c:pt idx="80">
                  <c:v>0</c:v>
                </c:pt>
                <c:pt idx="82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5" formatCode="General">
                  <c:v>0</c:v>
                </c:pt>
                <c:pt idx="97">
                  <c:v>0</c:v>
                </c:pt>
                <c:pt idx="98">
                  <c:v>0</c:v>
                </c:pt>
                <c:pt idx="100">
                  <c:v>0</c:v>
                </c:pt>
                <c:pt idx="103">
                  <c:v>234.86220000000003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10">
                  <c:v>0</c:v>
                </c:pt>
                <c:pt idx="115">
                  <c:v>0</c:v>
                </c:pt>
                <c:pt idx="116">
                  <c:v>0</c:v>
                </c:pt>
                <c:pt idx="121">
                  <c:v>279.7704</c:v>
                </c:pt>
                <c:pt idx="122">
                  <c:v>0</c:v>
                </c:pt>
                <c:pt idx="123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36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4">
                  <c:v>0</c:v>
                </c:pt>
                <c:pt idx="145">
                  <c:v>0</c:v>
                </c:pt>
                <c:pt idx="148">
                  <c:v>0</c:v>
                </c:pt>
                <c:pt idx="149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1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80" formatCode="General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10">
                  <c:v>0</c:v>
                </c:pt>
                <c:pt idx="211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34">
                  <c:v>0</c:v>
                </c:pt>
                <c:pt idx="238">
                  <c:v>0</c:v>
                </c:pt>
                <c:pt idx="239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60">
                  <c:v>0</c:v>
                </c:pt>
                <c:pt idx="261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336</c:v>
                </c:pt>
                <c:pt idx="267">
                  <c:v>201.60000000000002</c:v>
                </c:pt>
                <c:pt idx="268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85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8">
                  <c:v>0</c:v>
                </c:pt>
                <c:pt idx="299">
                  <c:v>1596.3749999999998</c:v>
                </c:pt>
                <c:pt idx="303">
                  <c:v>0</c:v>
                </c:pt>
                <c:pt idx="304">
                  <c:v>459.9</c:v>
                </c:pt>
                <c:pt idx="305">
                  <c:v>296.10000000000002</c:v>
                </c:pt>
                <c:pt idx="307">
                  <c:v>8221.5</c:v>
                </c:pt>
                <c:pt idx="309">
                  <c:v>0</c:v>
                </c:pt>
                <c:pt idx="313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2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7">
                  <c:v>0</c:v>
                </c:pt>
                <c:pt idx="339">
                  <c:v>0</c:v>
                </c:pt>
                <c:pt idx="345">
                  <c:v>0</c:v>
                </c:pt>
                <c:pt idx="354">
                  <c:v>0</c:v>
                </c:pt>
                <c:pt idx="355" formatCode="General">
                  <c:v>0</c:v>
                </c:pt>
                <c:pt idx="356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3">
                  <c:v>0</c:v>
                </c:pt>
                <c:pt idx="364">
                  <c:v>0</c:v>
                </c:pt>
                <c:pt idx="373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82">
                  <c:v>0</c:v>
                </c:pt>
                <c:pt idx="385">
                  <c:v>0</c:v>
                </c:pt>
                <c:pt idx="386">
                  <c:v>0</c:v>
                </c:pt>
                <c:pt idx="397">
                  <c:v>0</c:v>
                </c:pt>
                <c:pt idx="400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21">
                  <c:v>0</c:v>
                </c:pt>
                <c:pt idx="423" formatCode="General">
                  <c:v>0</c:v>
                </c:pt>
                <c:pt idx="424" formatCode="General">
                  <c:v>0</c:v>
                </c:pt>
                <c:pt idx="425" formatCode="General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3">
                  <c:v>0</c:v>
                </c:pt>
                <c:pt idx="447">
                  <c:v>0</c:v>
                </c:pt>
                <c:pt idx="449">
                  <c:v>0</c:v>
                </c:pt>
                <c:pt idx="451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71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9">
                  <c:v>0</c:v>
                </c:pt>
                <c:pt idx="482">
                  <c:v>0</c:v>
                </c:pt>
                <c:pt idx="492">
                  <c:v>0</c:v>
                </c:pt>
                <c:pt idx="493">
                  <c:v>0</c:v>
                </c:pt>
                <c:pt idx="495">
                  <c:v>0</c:v>
                </c:pt>
                <c:pt idx="497">
                  <c:v>0</c:v>
                </c:pt>
                <c:pt idx="498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8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6">
                  <c:v>0</c:v>
                </c:pt>
                <c:pt idx="517">
                  <c:v>0</c:v>
                </c:pt>
                <c:pt idx="519">
                  <c:v>0</c:v>
                </c:pt>
                <c:pt idx="524">
                  <c:v>0</c:v>
                </c:pt>
                <c:pt idx="525">
                  <c:v>0</c:v>
                </c:pt>
                <c:pt idx="532">
                  <c:v>0</c:v>
                </c:pt>
                <c:pt idx="534">
                  <c:v>0</c:v>
                </c:pt>
                <c:pt idx="536">
                  <c:v>0</c:v>
                </c:pt>
                <c:pt idx="537">
                  <c:v>0</c:v>
                </c:pt>
                <c:pt idx="539">
                  <c:v>0</c:v>
                </c:pt>
                <c:pt idx="541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2">
                  <c:v>0</c:v>
                </c:pt>
                <c:pt idx="553">
                  <c:v>0</c:v>
                </c:pt>
                <c:pt idx="555">
                  <c:v>0</c:v>
                </c:pt>
                <c:pt idx="556">
                  <c:v>0</c:v>
                </c:pt>
                <c:pt idx="558">
                  <c:v>0</c:v>
                </c:pt>
                <c:pt idx="563">
                  <c:v>0</c:v>
                </c:pt>
                <c:pt idx="564">
                  <c:v>0</c:v>
                </c:pt>
                <c:pt idx="569">
                  <c:v>0</c:v>
                </c:pt>
                <c:pt idx="571">
                  <c:v>0</c:v>
                </c:pt>
                <c:pt idx="572">
                  <c:v>496.10567999999995</c:v>
                </c:pt>
                <c:pt idx="574">
                  <c:v>466.65</c:v>
                </c:pt>
                <c:pt idx="576">
                  <c:v>0</c:v>
                </c:pt>
                <c:pt idx="581">
                  <c:v>0</c:v>
                </c:pt>
                <c:pt idx="584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92">
                  <c:v>0</c:v>
                </c:pt>
                <c:pt idx="593">
                  <c:v>0</c:v>
                </c:pt>
                <c:pt idx="595">
                  <c:v>0</c:v>
                </c:pt>
                <c:pt idx="596">
                  <c:v>1193.92</c:v>
                </c:pt>
                <c:pt idx="606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3">
                  <c:v>0</c:v>
                </c:pt>
                <c:pt idx="614">
                  <c:v>0</c:v>
                </c:pt>
                <c:pt idx="616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6">
                  <c:v>0</c:v>
                </c:pt>
                <c:pt idx="627">
                  <c:v>0</c:v>
                </c:pt>
                <c:pt idx="631">
                  <c:v>0</c:v>
                </c:pt>
                <c:pt idx="633">
                  <c:v>0</c:v>
                </c:pt>
                <c:pt idx="634">
                  <c:v>0</c:v>
                </c:pt>
                <c:pt idx="636">
                  <c:v>0</c:v>
                </c:pt>
                <c:pt idx="638">
                  <c:v>0</c:v>
                </c:pt>
                <c:pt idx="639">
                  <c:v>0</c:v>
                </c:pt>
                <c:pt idx="645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5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72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80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9">
                  <c:v>0</c:v>
                </c:pt>
                <c:pt idx="691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7">
                  <c:v>0</c:v>
                </c:pt>
                <c:pt idx="721">
                  <c:v>0</c:v>
                </c:pt>
                <c:pt idx="722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3">
                  <c:v>0</c:v>
                </c:pt>
                <c:pt idx="736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50">
                  <c:v>0</c:v>
                </c:pt>
                <c:pt idx="751">
                  <c:v>0</c:v>
                </c:pt>
                <c:pt idx="754">
                  <c:v>214.2</c:v>
                </c:pt>
                <c:pt idx="755">
                  <c:v>0</c:v>
                </c:pt>
                <c:pt idx="757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9">
                  <c:v>97.65</c:v>
                </c:pt>
                <c:pt idx="770">
                  <c:v>0</c:v>
                </c:pt>
                <c:pt idx="772">
                  <c:v>0</c:v>
                </c:pt>
                <c:pt idx="773">
                  <c:v>102.14400000000002</c:v>
                </c:pt>
                <c:pt idx="775">
                  <c:v>0</c:v>
                </c:pt>
                <c:pt idx="777">
                  <c:v>0</c:v>
                </c:pt>
                <c:pt idx="778">
                  <c:v>0</c:v>
                </c:pt>
                <c:pt idx="781">
                  <c:v>0</c:v>
                </c:pt>
                <c:pt idx="788">
                  <c:v>0</c:v>
                </c:pt>
                <c:pt idx="792">
                  <c:v>0</c:v>
                </c:pt>
                <c:pt idx="805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23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1">
                  <c:v>0</c:v>
                </c:pt>
                <c:pt idx="832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41">
                  <c:v>0</c:v>
                </c:pt>
                <c:pt idx="843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4">
                  <c:v>0</c:v>
                </c:pt>
                <c:pt idx="855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70">
                  <c:v>0</c:v>
                </c:pt>
                <c:pt idx="872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91">
                  <c:v>0</c:v>
                </c:pt>
                <c:pt idx="892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5">
                  <c:v>0</c:v>
                </c:pt>
                <c:pt idx="908">
                  <c:v>0</c:v>
                </c:pt>
                <c:pt idx="909">
                  <c:v>0</c:v>
                </c:pt>
                <c:pt idx="914">
                  <c:v>0</c:v>
                </c:pt>
                <c:pt idx="917">
                  <c:v>0</c:v>
                </c:pt>
                <c:pt idx="918">
                  <c:v>0</c:v>
                </c:pt>
                <c:pt idx="921">
                  <c:v>3046.95</c:v>
                </c:pt>
                <c:pt idx="933">
                  <c:v>0</c:v>
                </c:pt>
                <c:pt idx="936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62">
                  <c:v>0</c:v>
                </c:pt>
                <c:pt idx="963">
                  <c:v>0</c:v>
                </c:pt>
                <c:pt idx="968">
                  <c:v>0</c:v>
                </c:pt>
                <c:pt idx="969">
                  <c:v>0</c:v>
                </c:pt>
                <c:pt idx="980">
                  <c:v>0</c:v>
                </c:pt>
                <c:pt idx="981">
                  <c:v>0</c:v>
                </c:pt>
                <c:pt idx="987">
                  <c:v>0</c:v>
                </c:pt>
                <c:pt idx="988">
                  <c:v>0</c:v>
                </c:pt>
                <c:pt idx="990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4">
                  <c:v>0</c:v>
                </c:pt>
                <c:pt idx="1025">
                  <c:v>0</c:v>
                </c:pt>
                <c:pt idx="1030">
                  <c:v>0</c:v>
                </c:pt>
                <c:pt idx="1034">
                  <c:v>0</c:v>
                </c:pt>
                <c:pt idx="1035">
                  <c:v>0</c:v>
                </c:pt>
                <c:pt idx="1038">
                  <c:v>0</c:v>
                </c:pt>
                <c:pt idx="1052">
                  <c:v>0</c:v>
                </c:pt>
                <c:pt idx="1071">
                  <c:v>0</c:v>
                </c:pt>
                <c:pt idx="1083">
                  <c:v>0</c:v>
                </c:pt>
                <c:pt idx="1084">
                  <c:v>0</c:v>
                </c:pt>
                <c:pt idx="1091">
                  <c:v>0</c:v>
                </c:pt>
                <c:pt idx="1094">
                  <c:v>0</c:v>
                </c:pt>
                <c:pt idx="1098">
                  <c:v>0</c:v>
                </c:pt>
                <c:pt idx="1109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12.297599999999999</c:v>
                </c:pt>
                <c:pt idx="1116">
                  <c:v>0</c:v>
                </c:pt>
                <c:pt idx="1117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43">
                  <c:v>0</c:v>
                </c:pt>
                <c:pt idx="1146">
                  <c:v>0</c:v>
                </c:pt>
                <c:pt idx="1149">
                  <c:v>0</c:v>
                </c:pt>
                <c:pt idx="1150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81">
                  <c:v>0</c:v>
                </c:pt>
                <c:pt idx="1182">
                  <c:v>0</c:v>
                </c:pt>
                <c:pt idx="1185">
                  <c:v>0</c:v>
                </c:pt>
                <c:pt idx="1202">
                  <c:v>0</c:v>
                </c:pt>
                <c:pt idx="1218">
                  <c:v>459.73503999999997</c:v>
                </c:pt>
                <c:pt idx="1219">
                  <c:v>0</c:v>
                </c:pt>
                <c:pt idx="1220">
                  <c:v>115.28999999999998</c:v>
                </c:pt>
                <c:pt idx="1221">
                  <c:v>158.99040000000002</c:v>
                </c:pt>
                <c:pt idx="1222">
                  <c:v>0</c:v>
                </c:pt>
                <c:pt idx="1223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51">
                  <c:v>0</c:v>
                </c:pt>
                <c:pt idx="1264">
                  <c:v>0</c:v>
                </c:pt>
                <c:pt idx="1265">
                  <c:v>0</c:v>
                </c:pt>
                <c:pt idx="1283">
                  <c:v>0</c:v>
                </c:pt>
                <c:pt idx="1288">
                  <c:v>0</c:v>
                </c:pt>
                <c:pt idx="1289">
                  <c:v>0</c:v>
                </c:pt>
                <c:pt idx="1315">
                  <c:v>1054.0800000000002</c:v>
                </c:pt>
                <c:pt idx="1316">
                  <c:v>1668.96</c:v>
                </c:pt>
                <c:pt idx="1318">
                  <c:v>1756.8</c:v>
                </c:pt>
                <c:pt idx="1319">
                  <c:v>2080.3439999999996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6">
                  <c:v>2283.84</c:v>
                </c:pt>
                <c:pt idx="1327">
                  <c:v>2961.1840000000002</c:v>
                </c:pt>
                <c:pt idx="1328">
                  <c:v>2020.3200000000002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1141.92</c:v>
                </c:pt>
                <c:pt idx="1346">
                  <c:v>1760.704</c:v>
                </c:pt>
                <c:pt idx="1347">
                  <c:v>2459.5200000000004</c:v>
                </c:pt>
                <c:pt idx="1348">
                  <c:v>0</c:v>
                </c:pt>
                <c:pt idx="1349">
                  <c:v>0</c:v>
                </c:pt>
                <c:pt idx="1355">
                  <c:v>0</c:v>
                </c:pt>
                <c:pt idx="1356">
                  <c:v>2305.7999999999997</c:v>
                </c:pt>
                <c:pt idx="1357">
                  <c:v>0</c:v>
                </c:pt>
                <c:pt idx="1360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6">
                  <c:v>0</c:v>
                </c:pt>
                <c:pt idx="1378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8">
                  <c:v>0</c:v>
                </c:pt>
                <c:pt idx="1389">
                  <c:v>0</c:v>
                </c:pt>
                <c:pt idx="1391">
                  <c:v>0</c:v>
                </c:pt>
                <c:pt idx="1396">
                  <c:v>425.54400000000004</c:v>
                </c:pt>
                <c:pt idx="1402">
                  <c:v>0</c:v>
                </c:pt>
                <c:pt idx="1407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1">
                  <c:v>0</c:v>
                </c:pt>
                <c:pt idx="1442">
                  <c:v>0</c:v>
                </c:pt>
                <c:pt idx="1444">
                  <c:v>5764.5</c:v>
                </c:pt>
                <c:pt idx="1446">
                  <c:v>9226.4939999999988</c:v>
                </c:pt>
                <c:pt idx="1452">
                  <c:v>0</c:v>
                </c:pt>
                <c:pt idx="1453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4">
                  <c:v>0</c:v>
                </c:pt>
                <c:pt idx="1475">
                  <c:v>0</c:v>
                </c:pt>
                <c:pt idx="1477">
                  <c:v>250.65600000000001</c:v>
                </c:pt>
                <c:pt idx="1478">
                  <c:v>0</c:v>
                </c:pt>
                <c:pt idx="1480">
                  <c:v>0</c:v>
                </c:pt>
                <c:pt idx="1481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9">
                  <c:v>0</c:v>
                </c:pt>
                <c:pt idx="1500">
                  <c:v>0</c:v>
                </c:pt>
                <c:pt idx="1507">
                  <c:v>0</c:v>
                </c:pt>
                <c:pt idx="1508">
                  <c:v>0</c:v>
                </c:pt>
                <c:pt idx="1510">
                  <c:v>0</c:v>
                </c:pt>
                <c:pt idx="1514">
                  <c:v>0</c:v>
                </c:pt>
                <c:pt idx="1515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7">
                  <c:v>0</c:v>
                </c:pt>
                <c:pt idx="1530">
                  <c:v>1208.25</c:v>
                </c:pt>
                <c:pt idx="1532">
                  <c:v>0</c:v>
                </c:pt>
                <c:pt idx="1534">
                  <c:v>0</c:v>
                </c:pt>
                <c:pt idx="1535">
                  <c:v>0</c:v>
                </c:pt>
                <c:pt idx="1537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50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7">
                  <c:v>0</c:v>
                </c:pt>
                <c:pt idx="1559">
                  <c:v>0</c:v>
                </c:pt>
                <c:pt idx="1560">
                  <c:v>0</c:v>
                </c:pt>
                <c:pt idx="1563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2">
                  <c:v>0</c:v>
                </c:pt>
                <c:pt idx="1573">
                  <c:v>0</c:v>
                </c:pt>
                <c:pt idx="1577">
                  <c:v>0</c:v>
                </c:pt>
                <c:pt idx="1585">
                  <c:v>0</c:v>
                </c:pt>
                <c:pt idx="1586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6" formatCode="General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9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8">
                  <c:v>0</c:v>
                </c:pt>
                <c:pt idx="1651">
                  <c:v>0</c:v>
                </c:pt>
                <c:pt idx="1654">
                  <c:v>0</c:v>
                </c:pt>
                <c:pt idx="1656">
                  <c:v>0</c:v>
                </c:pt>
                <c:pt idx="1658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 formatCode="General">
                  <c:v>0</c:v>
                </c:pt>
                <c:pt idx="1674">
                  <c:v>0</c:v>
                </c:pt>
                <c:pt idx="1675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1">
                  <c:v>0</c:v>
                </c:pt>
                <c:pt idx="1682">
                  <c:v>0</c:v>
                </c:pt>
                <c:pt idx="1689">
                  <c:v>0</c:v>
                </c:pt>
                <c:pt idx="1698">
                  <c:v>0</c:v>
                </c:pt>
                <c:pt idx="1699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9">
                  <c:v>0</c:v>
                </c:pt>
                <c:pt idx="1710">
                  <c:v>0</c:v>
                </c:pt>
                <c:pt idx="1713">
                  <c:v>0</c:v>
                </c:pt>
                <c:pt idx="1716">
                  <c:v>0</c:v>
                </c:pt>
                <c:pt idx="1723">
                  <c:v>0</c:v>
                </c:pt>
                <c:pt idx="1724">
                  <c:v>0</c:v>
                </c:pt>
              </c:numCache>
            </c:numRef>
          </c:val>
        </c:ser>
        <c:ser>
          <c:idx val="4"/>
          <c:order val="4"/>
          <c:tx>
            <c:strRef>
              <c:f>PRECIO!$O$1:$O$2</c:f>
              <c:strCache>
                <c:ptCount val="2"/>
                <c:pt idx="0">
                  <c:v>#¡VALOR!</c:v>
                </c:pt>
                <c:pt idx="1">
                  <c:v>CREDITO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PRECIO!$A$3:$J$1802</c:f>
              <c:multiLvlStrCache>
                <c:ptCount val="1725"/>
                <c:lvl>
                  <c:pt idx="0">
                    <c:v>23/09/2024</c:v>
                  </c:pt>
                  <c:pt idx="1">
                    <c:v>16/03/2022</c:v>
                  </c:pt>
                  <c:pt idx="2">
                    <c:v>25/04/2025</c:v>
                  </c:pt>
                  <c:pt idx="3">
                    <c:v>03/03/2020</c:v>
                  </c:pt>
                  <c:pt idx="4">
                    <c:v>03/03/2020</c:v>
                  </c:pt>
                  <c:pt idx="5">
                    <c:v>14/08/2020</c:v>
                  </c:pt>
                  <c:pt idx="6">
                    <c:v>14/08/2020</c:v>
                  </c:pt>
                  <c:pt idx="7">
                    <c:v>14/08/2020</c:v>
                  </c:pt>
                  <c:pt idx="8">
                    <c:v>07/08/2021</c:v>
                  </c:pt>
                  <c:pt idx="9">
                    <c:v>25/04/2025</c:v>
                  </c:pt>
                  <c:pt idx="10">
                    <c:v>18/12/2025</c:v>
                  </c:pt>
                  <c:pt idx="11">
                    <c:v>10/12/2024</c:v>
                  </c:pt>
                  <c:pt idx="12">
                    <c:v>18/12/2025</c:v>
                  </c:pt>
                  <c:pt idx="13">
                    <c:v>07/03/2023</c:v>
                  </c:pt>
                  <c:pt idx="14">
                    <c:v>30/10/2025</c:v>
                  </c:pt>
                  <c:pt idx="15">
                    <c:v>21/11/2025</c:v>
                  </c:pt>
                  <c:pt idx="16">
                    <c:v>10/01/2025</c:v>
                  </c:pt>
                  <c:pt idx="17">
                    <c:v>13/02/2025</c:v>
                  </c:pt>
                  <c:pt idx="18">
                    <c:v>18/01/2023</c:v>
                  </c:pt>
                  <c:pt idx="19">
                    <c:v>18/01/2023</c:v>
                  </c:pt>
                  <c:pt idx="20">
                    <c:v>18/01/2023</c:v>
                  </c:pt>
                  <c:pt idx="21">
                    <c:v>18/01/2023</c:v>
                  </c:pt>
                  <c:pt idx="22">
                    <c:v>28/08/2024</c:v>
                  </c:pt>
                  <c:pt idx="24">
                    <c:v>06/12/2023</c:v>
                  </c:pt>
                  <c:pt idx="25">
                    <c:v>21/01/2025</c:v>
                  </c:pt>
                  <c:pt idx="26">
                    <c:v>10/09/2024</c:v>
                  </c:pt>
                  <c:pt idx="27">
                    <c:v>30/12/2025</c:v>
                  </c:pt>
                  <c:pt idx="28">
                    <c:v>15/01/2025</c:v>
                  </c:pt>
                  <c:pt idx="29">
                    <c:v>03/01/2023</c:v>
                  </c:pt>
                  <c:pt idx="30">
                    <c:v>09/10/2025</c:v>
                  </c:pt>
                  <c:pt idx="31">
                    <c:v>15/01/2025</c:v>
                  </c:pt>
                  <c:pt idx="32">
                    <c:v>26/09/2024</c:v>
                  </c:pt>
                  <c:pt idx="33">
                    <c:v>09/10/2025</c:v>
                  </c:pt>
                  <c:pt idx="34">
                    <c:v>12/12/2023</c:v>
                  </c:pt>
                  <c:pt idx="35">
                    <c:v>11/06/2025</c:v>
                  </c:pt>
                  <c:pt idx="36">
                    <c:v>12/03/2025</c:v>
                  </c:pt>
                  <c:pt idx="37">
                    <c:v>22/06/2022</c:v>
                  </c:pt>
                  <c:pt idx="38">
                    <c:v>21/11/2023</c:v>
                  </c:pt>
                  <c:pt idx="39">
                    <c:v>30/12/2025</c:v>
                  </c:pt>
                  <c:pt idx="40">
                    <c:v>30/12/2025</c:v>
                  </c:pt>
                  <c:pt idx="41">
                    <c:v>30/12/2025</c:v>
                  </c:pt>
                  <c:pt idx="42">
                    <c:v>30/12/2025</c:v>
                  </c:pt>
                  <c:pt idx="43">
                    <c:v>23/03/2025</c:v>
                  </c:pt>
                  <c:pt idx="44">
                    <c:v>30/12/2025</c:v>
                  </c:pt>
                  <c:pt idx="45">
                    <c:v>30/12/2025</c:v>
                  </c:pt>
                  <c:pt idx="46">
                    <c:v>19/06/2025</c:v>
                  </c:pt>
                  <c:pt idx="47">
                    <c:v>14/08/2025</c:v>
                  </c:pt>
                  <c:pt idx="48">
                    <c:v>09/10/2025</c:v>
                  </c:pt>
                  <c:pt idx="49">
                    <c:v>09/03/2023</c:v>
                  </c:pt>
                  <c:pt idx="50">
                    <c:v>09/10/2025</c:v>
                  </c:pt>
                  <c:pt idx="51">
                    <c:v>14/08/2025</c:v>
                  </c:pt>
                  <c:pt idx="52">
                    <c:v>14/08/2025</c:v>
                  </c:pt>
                  <c:pt idx="53">
                    <c:v>14/08/2025</c:v>
                  </c:pt>
                  <c:pt idx="54">
                    <c:v>09/03/2023</c:v>
                  </c:pt>
                  <c:pt idx="55">
                    <c:v>29/09/2022</c:v>
                  </c:pt>
                  <c:pt idx="56">
                    <c:v>02/01/2024</c:v>
                  </c:pt>
                  <c:pt idx="57">
                    <c:v>02/01/2024</c:v>
                  </c:pt>
                  <c:pt idx="58">
                    <c:v>02/01/2024</c:v>
                  </c:pt>
                  <c:pt idx="59">
                    <c:v>12/03/2025</c:v>
                  </c:pt>
                  <c:pt idx="60">
                    <c:v>02/09/2024</c:v>
                  </c:pt>
                  <c:pt idx="61">
                    <c:v>14/11/2024</c:v>
                  </c:pt>
                  <c:pt idx="62">
                    <c:v>31/07/2024</c:v>
                  </c:pt>
                  <c:pt idx="63">
                    <c:v>08/03/2022</c:v>
                  </c:pt>
                  <c:pt idx="64">
                    <c:v>08/06/2020</c:v>
                  </c:pt>
                  <c:pt idx="65">
                    <c:v>14/11/2024</c:v>
                  </c:pt>
                  <c:pt idx="66">
                    <c:v>29/04/2025</c:v>
                  </c:pt>
                  <c:pt idx="67">
                    <c:v>10/01/2025</c:v>
                  </c:pt>
                  <c:pt idx="68">
                    <c:v>10/01/2025</c:v>
                  </c:pt>
                  <c:pt idx="69">
                    <c:v>10/01/2025</c:v>
                  </c:pt>
                  <c:pt idx="70">
                    <c:v>10/01/2025</c:v>
                  </c:pt>
                  <c:pt idx="71">
                    <c:v>20/03/2023</c:v>
                  </c:pt>
                  <c:pt idx="72">
                    <c:v>22/12/2025</c:v>
                  </c:pt>
                  <c:pt idx="73">
                    <c:v>22/12/2025</c:v>
                  </c:pt>
                  <c:pt idx="74">
                    <c:v>11/10/2025</c:v>
                  </c:pt>
                  <c:pt idx="75">
                    <c:v>11/10/2025</c:v>
                  </c:pt>
                  <c:pt idx="76">
                    <c:v>18/01/2023</c:v>
                  </c:pt>
                  <c:pt idx="77">
                    <c:v>18/01/2023</c:v>
                  </c:pt>
                  <c:pt idx="78">
                    <c:v>07/10/2024</c:v>
                  </c:pt>
                  <c:pt idx="79">
                    <c:v>13/02/2025</c:v>
                  </c:pt>
                  <c:pt idx="80">
                    <c:v>16/10/2025</c:v>
                  </c:pt>
                  <c:pt idx="81">
                    <c:v>16/10/2025</c:v>
                  </c:pt>
                  <c:pt idx="82">
                    <c:v>16/10/2025</c:v>
                  </c:pt>
                  <c:pt idx="83">
                    <c:v>02/10/2024</c:v>
                  </c:pt>
                  <c:pt idx="84">
                    <c:v>02/10/2024</c:v>
                  </c:pt>
                  <c:pt idx="85">
                    <c:v>20/07/2024</c:v>
                  </c:pt>
                  <c:pt idx="86">
                    <c:v>20/07/2024</c:v>
                  </c:pt>
                  <c:pt idx="87">
                    <c:v>20/07/2024</c:v>
                  </c:pt>
                  <c:pt idx="88">
                    <c:v>03/07/2025</c:v>
                  </c:pt>
                  <c:pt idx="89">
                    <c:v>03/07/2025</c:v>
                  </c:pt>
                  <c:pt idx="90">
                    <c:v>07/10/2024</c:v>
                  </c:pt>
                  <c:pt idx="91">
                    <c:v>07/10/2024</c:v>
                  </c:pt>
                  <c:pt idx="93">
                    <c:v>02/10/2024</c:v>
                  </c:pt>
                  <c:pt idx="94">
                    <c:v>05/12/2023</c:v>
                  </c:pt>
                  <c:pt idx="95">
                    <c:v>12/03/2021</c:v>
                  </c:pt>
                  <c:pt idx="96">
                    <c:v>10/01/2024</c:v>
                  </c:pt>
                  <c:pt idx="97">
                    <c:v>23/10/2023</c:v>
                  </c:pt>
                  <c:pt idx="98">
                    <c:v>10/05/2025</c:v>
                  </c:pt>
                  <c:pt idx="99">
                    <c:v>10/05/2025</c:v>
                  </c:pt>
                  <c:pt idx="100">
                    <c:v>10/05/2023</c:v>
                  </c:pt>
                  <c:pt idx="101">
                    <c:v>09/12/2024</c:v>
                  </c:pt>
                  <c:pt idx="102">
                    <c:v>04/11/2025</c:v>
                  </c:pt>
                  <c:pt idx="103">
                    <c:v>08/12/2025</c:v>
                  </c:pt>
                  <c:pt idx="104">
                    <c:v>16/03/2020</c:v>
                  </c:pt>
                  <c:pt idx="105">
                    <c:v>30/09/2025</c:v>
                  </c:pt>
                  <c:pt idx="106">
                    <c:v>15/11/2023</c:v>
                  </c:pt>
                  <c:pt idx="107">
                    <c:v>10/08/2023</c:v>
                  </c:pt>
                  <c:pt idx="108">
                    <c:v>30/09/2025</c:v>
                  </c:pt>
                  <c:pt idx="109">
                    <c:v>19/09/2020</c:v>
                  </c:pt>
                  <c:pt idx="110">
                    <c:v>20/05/2025</c:v>
                  </c:pt>
                  <c:pt idx="111">
                    <c:v>21/11/2023</c:v>
                  </c:pt>
                  <c:pt idx="112">
                    <c:v>21/11/2025</c:v>
                  </c:pt>
                  <c:pt idx="113">
                    <c:v>21/11/2025</c:v>
                  </c:pt>
                  <c:pt idx="114">
                    <c:v>17/08/2025</c:v>
                  </c:pt>
                  <c:pt idx="115">
                    <c:v>17/08/2025</c:v>
                  </c:pt>
                  <c:pt idx="116">
                    <c:v>26/07/2024</c:v>
                  </c:pt>
                  <c:pt idx="117">
                    <c:v>21/08/2025</c:v>
                  </c:pt>
                  <c:pt idx="118">
                    <c:v>21/08/2025</c:v>
                  </c:pt>
                  <c:pt idx="119">
                    <c:v>30/04/2025</c:v>
                  </c:pt>
                  <c:pt idx="120">
                    <c:v>18/08/2025</c:v>
                  </c:pt>
                  <c:pt idx="121">
                    <c:v>20/02/2024</c:v>
                  </c:pt>
                  <c:pt idx="122">
                    <c:v>27/12/2024</c:v>
                  </c:pt>
                  <c:pt idx="123">
                    <c:v>27/12/2024</c:v>
                  </c:pt>
                  <c:pt idx="124">
                    <c:v>03/05/2024</c:v>
                  </c:pt>
                  <c:pt idx="125">
                    <c:v>08/08/2021</c:v>
                  </c:pt>
                  <c:pt idx="126">
                    <c:v>08/08/2021</c:v>
                  </c:pt>
                  <c:pt idx="127">
                    <c:v>08/08/2021</c:v>
                  </c:pt>
                  <c:pt idx="128">
                    <c:v>08/08/2021</c:v>
                  </c:pt>
                  <c:pt idx="129">
                    <c:v>07/06/2023</c:v>
                  </c:pt>
                  <c:pt idx="130">
                    <c:v>19/11/2025</c:v>
                  </c:pt>
                  <c:pt idx="131">
                    <c:v>19/11/2025</c:v>
                  </c:pt>
                  <c:pt idx="132">
                    <c:v>30/09/2025</c:v>
                  </c:pt>
                  <c:pt idx="133">
                    <c:v>27/07/2025</c:v>
                  </c:pt>
                  <c:pt idx="134">
                    <c:v>31/05/2025</c:v>
                  </c:pt>
                  <c:pt idx="135">
                    <c:v>31/05/2025</c:v>
                  </c:pt>
                  <c:pt idx="136">
                    <c:v>20/06/2024</c:v>
                  </c:pt>
                  <c:pt idx="137">
                    <c:v>27/03/2025</c:v>
                  </c:pt>
                  <c:pt idx="138">
                    <c:v>23/12/2024</c:v>
                  </c:pt>
                  <c:pt idx="139">
                    <c:v>21/11/2025</c:v>
                  </c:pt>
                  <c:pt idx="140">
                    <c:v>23/12/2024</c:v>
                  </c:pt>
                  <c:pt idx="141">
                    <c:v>21/11/2025</c:v>
                  </c:pt>
                  <c:pt idx="142">
                    <c:v>19/08/2024</c:v>
                  </c:pt>
                  <c:pt idx="143">
                    <c:v>23/12/2024</c:v>
                  </c:pt>
                  <c:pt idx="144">
                    <c:v>02/09/2023</c:v>
                  </c:pt>
                  <c:pt idx="145">
                    <c:v>02/09/2023</c:v>
                  </c:pt>
                  <c:pt idx="146">
                    <c:v>09/10/2025</c:v>
                  </c:pt>
                  <c:pt idx="147">
                    <c:v>30/10/2025</c:v>
                  </c:pt>
                  <c:pt idx="148">
                    <c:v>17/08/2025</c:v>
                  </c:pt>
                  <c:pt idx="149">
                    <c:v>09/01/2025</c:v>
                  </c:pt>
                  <c:pt idx="150">
                    <c:v>03/08/1900</c:v>
                  </c:pt>
                  <c:pt idx="151">
                    <c:v>23/12/2024</c:v>
                  </c:pt>
                  <c:pt idx="152">
                    <c:v>30/10/2025</c:v>
                  </c:pt>
                  <c:pt idx="153">
                    <c:v>29/09/2022</c:v>
                  </c:pt>
                  <c:pt idx="154">
                    <c:v>25/04/2023</c:v>
                  </c:pt>
                  <c:pt idx="155">
                    <c:v>29/09/2022</c:v>
                  </c:pt>
                  <c:pt idx="156">
                    <c:v>27/07/2024</c:v>
                  </c:pt>
                  <c:pt idx="157">
                    <c:v>09/10/2025</c:v>
                  </c:pt>
                  <c:pt idx="158">
                    <c:v>09/10/2025</c:v>
                  </c:pt>
                  <c:pt idx="159">
                    <c:v>20/06/2024</c:v>
                  </c:pt>
                  <c:pt idx="160">
                    <c:v>17/08/2025</c:v>
                  </c:pt>
                  <c:pt idx="161">
                    <c:v>16/09/2023</c:v>
                  </c:pt>
                  <c:pt idx="162">
                    <c:v>20/03/2023</c:v>
                  </c:pt>
                  <c:pt idx="163">
                    <c:v>20/03/2023</c:v>
                  </c:pt>
                  <c:pt idx="164">
                    <c:v>20/03/2023</c:v>
                  </c:pt>
                  <c:pt idx="165">
                    <c:v>10/03/2020</c:v>
                  </c:pt>
                  <c:pt idx="166">
                    <c:v>19/09/2020</c:v>
                  </c:pt>
                  <c:pt idx="167">
                    <c:v>27/12/2023</c:v>
                  </c:pt>
                  <c:pt idx="168">
                    <c:v>25/09/2025</c:v>
                  </c:pt>
                  <c:pt idx="169">
                    <c:v>27/07/2022</c:v>
                  </c:pt>
                  <c:pt idx="170">
                    <c:v>27/07/2022</c:v>
                  </c:pt>
                  <c:pt idx="171">
                    <c:v>27/07/2022</c:v>
                  </c:pt>
                  <c:pt idx="172">
                    <c:v>02/04/2024</c:v>
                  </c:pt>
                  <c:pt idx="173">
                    <c:v>05/05/2020</c:v>
                  </c:pt>
                  <c:pt idx="174">
                    <c:v>07/03/2023</c:v>
                  </c:pt>
                  <c:pt idx="175">
                    <c:v>30/08/2023</c:v>
                  </c:pt>
                  <c:pt idx="176">
                    <c:v>25/09/2025</c:v>
                  </c:pt>
                  <c:pt idx="177">
                    <c:v>15/11/2024</c:v>
                  </c:pt>
                  <c:pt idx="178">
                    <c:v>23/07/2025</c:v>
                  </c:pt>
                  <c:pt idx="179">
                    <c:v>18/09/2025</c:v>
                  </c:pt>
                  <c:pt idx="180">
                    <c:v>18/09/2025</c:v>
                  </c:pt>
                  <c:pt idx="181">
                    <c:v>30/10/2025</c:v>
                  </c:pt>
                  <c:pt idx="182">
                    <c:v>30/10/2025</c:v>
                  </c:pt>
                  <c:pt idx="183">
                    <c:v>30/10/2025</c:v>
                  </c:pt>
                  <c:pt idx="184">
                    <c:v>30/10/2025</c:v>
                  </c:pt>
                  <c:pt idx="185">
                    <c:v>25/04/2025</c:v>
                  </c:pt>
                  <c:pt idx="186">
                    <c:v>25/04/2024</c:v>
                  </c:pt>
                  <c:pt idx="187">
                    <c:v>25/04/2024</c:v>
                  </c:pt>
                  <c:pt idx="188">
                    <c:v>21/10/2023</c:v>
                  </c:pt>
                  <c:pt idx="189">
                    <c:v>10/05/2023</c:v>
                  </c:pt>
                  <c:pt idx="190">
                    <c:v>15/03/2024</c:v>
                  </c:pt>
                  <c:pt idx="191">
                    <c:v>15/03/2024</c:v>
                  </c:pt>
                  <c:pt idx="192">
                    <c:v>15/03/2024</c:v>
                  </c:pt>
                  <c:pt idx="193">
                    <c:v>09/09/2025</c:v>
                  </c:pt>
                  <c:pt idx="194">
                    <c:v>09/09/2025</c:v>
                  </c:pt>
                  <c:pt idx="195">
                    <c:v>30/10/2025</c:v>
                  </c:pt>
                  <c:pt idx="196">
                    <c:v>30/10/2025</c:v>
                  </c:pt>
                  <c:pt idx="197">
                    <c:v>30/10/2025</c:v>
                  </c:pt>
                  <c:pt idx="198">
                    <c:v>30/10/2025</c:v>
                  </c:pt>
                  <c:pt idx="199">
                    <c:v>30/10/2025</c:v>
                  </c:pt>
                  <c:pt idx="200">
                    <c:v>30/10/2025</c:v>
                  </c:pt>
                  <c:pt idx="201">
                    <c:v>04/06/2025</c:v>
                  </c:pt>
                  <c:pt idx="202">
                    <c:v>04/06/2025</c:v>
                  </c:pt>
                  <c:pt idx="203">
                    <c:v>04/12/2024</c:v>
                  </c:pt>
                  <c:pt idx="204">
                    <c:v>15/11/2024</c:v>
                  </c:pt>
                  <c:pt idx="205">
                    <c:v>15/11/2024</c:v>
                  </c:pt>
                  <c:pt idx="206">
                    <c:v>02/09/2022</c:v>
                  </c:pt>
                  <c:pt idx="207">
                    <c:v>19/12/2024</c:v>
                  </c:pt>
                  <c:pt idx="208">
                    <c:v>04/12/2024</c:v>
                  </c:pt>
                  <c:pt idx="209">
                    <c:v>04/12/2024</c:v>
                  </c:pt>
                  <c:pt idx="210">
                    <c:v>20/11/2025</c:v>
                  </c:pt>
                  <c:pt idx="211">
                    <c:v>20/05/2025</c:v>
                  </c:pt>
                  <c:pt idx="212">
                    <c:v>20/05/2025</c:v>
                  </c:pt>
                  <c:pt idx="213">
                    <c:v>08/07/2024</c:v>
                  </c:pt>
                  <c:pt idx="214">
                    <c:v>08/07/2024</c:v>
                  </c:pt>
                  <c:pt idx="215">
                    <c:v>08/07/2024</c:v>
                  </c:pt>
                  <c:pt idx="216">
                    <c:v>18/08/2025</c:v>
                  </c:pt>
                  <c:pt idx="217">
                    <c:v>08/05/2025</c:v>
                  </c:pt>
                  <c:pt idx="218">
                    <c:v>06/11/2024</c:v>
                  </c:pt>
                  <c:pt idx="219">
                    <c:v>18/10/2024</c:v>
                  </c:pt>
                  <c:pt idx="220">
                    <c:v>18/10/2024</c:v>
                  </c:pt>
                  <c:pt idx="221">
                    <c:v>19/06/2025</c:v>
                  </c:pt>
                  <c:pt idx="222">
                    <c:v>19/10/2022</c:v>
                  </c:pt>
                  <c:pt idx="223">
                    <c:v>03/12/2024</c:v>
                  </c:pt>
                  <c:pt idx="224">
                    <c:v>07/06/2023</c:v>
                  </c:pt>
                  <c:pt idx="225">
                    <c:v>19/06/2025</c:v>
                  </c:pt>
                  <c:pt idx="226">
                    <c:v>26/07/2024</c:v>
                  </c:pt>
                  <c:pt idx="227">
                    <c:v>20/11/2025</c:v>
                  </c:pt>
                  <c:pt idx="228">
                    <c:v>10/03/2020</c:v>
                  </c:pt>
                  <c:pt idx="229">
                    <c:v>31/05/2025</c:v>
                  </c:pt>
                  <c:pt idx="230">
                    <c:v>31/01/2021</c:v>
                  </c:pt>
                  <c:pt idx="231">
                    <c:v>31/01/2021</c:v>
                  </c:pt>
                  <c:pt idx="232">
                    <c:v>31/01/2021</c:v>
                  </c:pt>
                  <c:pt idx="233">
                    <c:v>29/09/2025</c:v>
                  </c:pt>
                  <c:pt idx="234">
                    <c:v>30/10/2025</c:v>
                  </c:pt>
                  <c:pt idx="235">
                    <c:v>20/07/2024</c:v>
                  </c:pt>
                  <c:pt idx="236">
                    <c:v>03/11/2020</c:v>
                  </c:pt>
                  <c:pt idx="237">
                    <c:v>07/03/2024</c:v>
                  </c:pt>
                  <c:pt idx="238">
                    <c:v>04/07/2024</c:v>
                  </c:pt>
                  <c:pt idx="239">
                    <c:v>27/12/2023</c:v>
                  </c:pt>
                  <c:pt idx="240">
                    <c:v>29/10/2021</c:v>
                  </c:pt>
                  <c:pt idx="241">
                    <c:v>05/12/2022</c:v>
                  </c:pt>
                  <c:pt idx="242">
                    <c:v>15/03/2022</c:v>
                  </c:pt>
                  <c:pt idx="243">
                    <c:v>05/12/2022</c:v>
                  </c:pt>
                  <c:pt idx="244">
                    <c:v>21/09/2023</c:v>
                  </c:pt>
                  <c:pt idx="245">
                    <c:v>21/09/2023</c:v>
                  </c:pt>
                  <c:pt idx="246">
                    <c:v>21/09/2023</c:v>
                  </c:pt>
                  <c:pt idx="247">
                    <c:v>10/03/2020</c:v>
                  </c:pt>
                  <c:pt idx="248">
                    <c:v>06/09/2024</c:v>
                  </c:pt>
                  <c:pt idx="249">
                    <c:v>15/03/2022</c:v>
                  </c:pt>
                  <c:pt idx="250">
                    <c:v>30/04/2025</c:v>
                  </c:pt>
                  <c:pt idx="251">
                    <c:v>10/07/2025</c:v>
                  </c:pt>
                  <c:pt idx="252">
                    <c:v>12/07/2024</c:v>
                  </c:pt>
                  <c:pt idx="253">
                    <c:v>03/04/2024</c:v>
                  </c:pt>
                  <c:pt idx="254">
                    <c:v>19/08/2024</c:v>
                  </c:pt>
                  <c:pt idx="255">
                    <c:v>12/07/2024</c:v>
                  </c:pt>
                  <c:pt idx="256">
                    <c:v>20/03/2023</c:v>
                  </c:pt>
                  <c:pt idx="257">
                    <c:v>20/03/2023</c:v>
                  </c:pt>
                  <c:pt idx="258">
                    <c:v>06/09/2024</c:v>
                  </c:pt>
                  <c:pt idx="259">
                    <c:v>21/09/2023</c:v>
                  </c:pt>
                  <c:pt idx="260">
                    <c:v>24/03/2025</c:v>
                  </c:pt>
                  <c:pt idx="261">
                    <c:v>23/10/2025</c:v>
                  </c:pt>
                  <c:pt idx="262">
                    <c:v>23/10/2025</c:v>
                  </c:pt>
                  <c:pt idx="263">
                    <c:v>09/12/2024</c:v>
                  </c:pt>
                  <c:pt idx="264">
                    <c:v>15/10/2025</c:v>
                  </c:pt>
                  <c:pt idx="265">
                    <c:v>26/11/2025</c:v>
                  </c:pt>
                  <c:pt idx="266">
                    <c:v>24/10/2024</c:v>
                  </c:pt>
                  <c:pt idx="267">
                    <c:v>24/10/2024</c:v>
                  </c:pt>
                  <c:pt idx="268">
                    <c:v>13/09/2022</c:v>
                  </c:pt>
                  <c:pt idx="269">
                    <c:v>26/07/2024</c:v>
                  </c:pt>
                  <c:pt idx="270">
                    <c:v>21/09/2023</c:v>
                  </c:pt>
                  <c:pt idx="271">
                    <c:v>16/09/2023</c:v>
                  </c:pt>
                  <c:pt idx="272">
                    <c:v>21/11/2025</c:v>
                  </c:pt>
                  <c:pt idx="273">
                    <c:v>03/10/2016</c:v>
                  </c:pt>
                  <c:pt idx="274">
                    <c:v>13/10/2022</c:v>
                  </c:pt>
                  <c:pt idx="275">
                    <c:v>30/12/2025</c:v>
                  </c:pt>
                  <c:pt idx="276">
                    <c:v>30/04/2025</c:v>
                  </c:pt>
                  <c:pt idx="277">
                    <c:v>20/11/2025</c:v>
                  </c:pt>
                  <c:pt idx="278">
                    <c:v>20/11/2025</c:v>
                  </c:pt>
                  <c:pt idx="279">
                    <c:v>06/06/2025</c:v>
                  </c:pt>
                  <c:pt idx="280">
                    <c:v>06/06/2025</c:v>
                  </c:pt>
                  <c:pt idx="281">
                    <c:v>10/09/2024</c:v>
                  </c:pt>
                  <c:pt idx="283">
                    <c:v>18/12/2025</c:v>
                  </c:pt>
                  <c:pt idx="284">
                    <c:v>18/12/2025</c:v>
                  </c:pt>
                  <c:pt idx="285">
                    <c:v>30/10/2025</c:v>
                  </c:pt>
                  <c:pt idx="286">
                    <c:v>21/12/2023</c:v>
                  </c:pt>
                  <c:pt idx="287">
                    <c:v>30/10/2025</c:v>
                  </c:pt>
                  <c:pt idx="288">
                    <c:v>01/11/2021</c:v>
                  </c:pt>
                  <c:pt idx="289">
                    <c:v>06/09/2023</c:v>
                  </c:pt>
                  <c:pt idx="290">
                    <c:v>30/10/2025</c:v>
                  </c:pt>
                  <c:pt idx="291">
                    <c:v>06/09/2023</c:v>
                  </c:pt>
                  <c:pt idx="292">
                    <c:v>16/06/2022</c:v>
                  </c:pt>
                  <c:pt idx="293">
                    <c:v>21/12/2023</c:v>
                  </c:pt>
                  <c:pt idx="294">
                    <c:v>06/09/2023</c:v>
                  </c:pt>
                  <c:pt idx="295">
                    <c:v>12/03/2025</c:v>
                  </c:pt>
                  <c:pt idx="296">
                    <c:v>01/11/2021</c:v>
                  </c:pt>
                  <c:pt idx="297">
                    <c:v>01/11/2021</c:v>
                  </c:pt>
                  <c:pt idx="298">
                    <c:v>01/11/2021</c:v>
                  </c:pt>
                  <c:pt idx="299">
                    <c:v>08/03/2024</c:v>
                  </c:pt>
                  <c:pt idx="300">
                    <c:v>08/03/2024</c:v>
                  </c:pt>
                  <c:pt idx="301">
                    <c:v>23/10/2024</c:v>
                  </c:pt>
                  <c:pt idx="302">
                    <c:v>23/10/2024</c:v>
                  </c:pt>
                  <c:pt idx="303">
                    <c:v>13/06/2024</c:v>
                  </c:pt>
                  <c:pt idx="304">
                    <c:v>23/12/2025</c:v>
                  </c:pt>
                  <c:pt idx="305">
                    <c:v>26/09/2025</c:v>
                  </c:pt>
                  <c:pt idx="306">
                    <c:v>30/04/2024</c:v>
                  </c:pt>
                  <c:pt idx="307">
                    <c:v>30/09/2025</c:v>
                  </c:pt>
                  <c:pt idx="308">
                    <c:v>15/08/2025</c:v>
                  </c:pt>
                  <c:pt idx="309">
                    <c:v>20/11/2025</c:v>
                  </c:pt>
                  <c:pt idx="310">
                    <c:v>25/04/2024</c:v>
                  </c:pt>
                  <c:pt idx="311">
                    <c:v>01/06/2020</c:v>
                  </c:pt>
                  <c:pt idx="312">
                    <c:v>18/12/2025</c:v>
                  </c:pt>
                  <c:pt idx="313">
                    <c:v>07/05/2021</c:v>
                  </c:pt>
                  <c:pt idx="314">
                    <c:v>17/06/2021</c:v>
                  </c:pt>
                  <c:pt idx="315">
                    <c:v>11/01/2025</c:v>
                  </c:pt>
                  <c:pt idx="316">
                    <c:v>04/10/2025</c:v>
                  </c:pt>
                  <c:pt idx="317">
                    <c:v>04/10/2025</c:v>
                  </c:pt>
                  <c:pt idx="318">
                    <c:v>12/04/2025</c:v>
                  </c:pt>
                  <c:pt idx="319">
                    <c:v>27/12/2024</c:v>
                  </c:pt>
                  <c:pt idx="320">
                    <c:v>01/11/2021</c:v>
                  </c:pt>
                  <c:pt idx="321">
                    <c:v>10/01/2024</c:v>
                  </c:pt>
                  <c:pt idx="322">
                    <c:v>19/06/2025</c:v>
                  </c:pt>
                  <c:pt idx="323">
                    <c:v>15/03/2024</c:v>
                  </c:pt>
                  <c:pt idx="324">
                    <c:v>27/12/2024</c:v>
                  </c:pt>
                  <c:pt idx="325">
                    <c:v>15/03/2024</c:v>
                  </c:pt>
                  <c:pt idx="326">
                    <c:v>15/03/2024</c:v>
                  </c:pt>
                  <c:pt idx="327">
                    <c:v>21/01/2025</c:v>
                  </c:pt>
                  <c:pt idx="328">
                    <c:v>28/08/2024</c:v>
                  </c:pt>
                  <c:pt idx="329">
                    <c:v>28/08/2024</c:v>
                  </c:pt>
                  <c:pt idx="330">
                    <c:v>28/08/2024</c:v>
                  </c:pt>
                  <c:pt idx="331">
                    <c:v>21/11/2024</c:v>
                  </c:pt>
                  <c:pt idx="332">
                    <c:v>02/06/2022</c:v>
                  </c:pt>
                  <c:pt idx="333">
                    <c:v>02/06/2022</c:v>
                  </c:pt>
                  <c:pt idx="334">
                    <c:v>02/06/2022</c:v>
                  </c:pt>
                  <c:pt idx="335">
                    <c:v>31/05/2025</c:v>
                  </c:pt>
                  <c:pt idx="336">
                    <c:v>05/05/2020</c:v>
                  </c:pt>
                  <c:pt idx="337">
                    <c:v>18/05/2022</c:v>
                  </c:pt>
                  <c:pt idx="338">
                    <c:v>29/09/2025</c:v>
                  </c:pt>
                  <c:pt idx="339">
                    <c:v>29/09/2025</c:v>
                  </c:pt>
                  <c:pt idx="340">
                    <c:v>21/11/2025</c:v>
                  </c:pt>
                  <c:pt idx="341">
                    <c:v>21/11/2025</c:v>
                  </c:pt>
                  <c:pt idx="342">
                    <c:v>21/11/2025</c:v>
                  </c:pt>
                  <c:pt idx="343">
                    <c:v>21/11/2025</c:v>
                  </c:pt>
                  <c:pt idx="344">
                    <c:v>09/05/2023</c:v>
                  </c:pt>
                  <c:pt idx="345">
                    <c:v>21/11/2025</c:v>
                  </c:pt>
                  <c:pt idx="346">
                    <c:v>21/11/2025</c:v>
                  </c:pt>
                  <c:pt idx="347">
                    <c:v>18/08/2024</c:v>
                  </c:pt>
                  <c:pt idx="348">
                    <c:v>30/09/2024</c:v>
                  </c:pt>
                  <c:pt idx="349">
                    <c:v>21/11/2025</c:v>
                  </c:pt>
                  <c:pt idx="350">
                    <c:v>30/05/2025</c:v>
                  </c:pt>
                  <c:pt idx="351">
                    <c:v>30/09/2024</c:v>
                  </c:pt>
                  <c:pt idx="352">
                    <c:v>30/09/2024</c:v>
                  </c:pt>
                  <c:pt idx="353">
                    <c:v>05/05/2020</c:v>
                  </c:pt>
                  <c:pt idx="354">
                    <c:v>05/03/2025</c:v>
                  </c:pt>
                  <c:pt idx="355">
                    <c:v>05/03/2025</c:v>
                  </c:pt>
                  <c:pt idx="356">
                    <c:v>05/03/2025</c:v>
                  </c:pt>
                  <c:pt idx="357">
                    <c:v>01/10/2020</c:v>
                  </c:pt>
                  <c:pt idx="358">
                    <c:v>06/04/2022</c:v>
                  </c:pt>
                  <c:pt idx="359">
                    <c:v>18/05/2022</c:v>
                  </c:pt>
                  <c:pt idx="360">
                    <c:v>18/05/2022</c:v>
                  </c:pt>
                  <c:pt idx="361">
                    <c:v>19/02/2025</c:v>
                  </c:pt>
                  <c:pt idx="362">
                    <c:v>10/09/2024</c:v>
                  </c:pt>
                  <c:pt idx="363">
                    <c:v>16/10/2025</c:v>
                  </c:pt>
                  <c:pt idx="364">
                    <c:v>19/02/2025</c:v>
                  </c:pt>
                  <c:pt idx="365">
                    <c:v>03/01/2024</c:v>
                  </c:pt>
                  <c:pt idx="366">
                    <c:v>10/12/2024</c:v>
                  </c:pt>
                  <c:pt idx="367">
                    <c:v>19/02/2025</c:v>
                  </c:pt>
                  <c:pt idx="368">
                    <c:v>03/01/2024</c:v>
                  </c:pt>
                  <c:pt idx="369">
                    <c:v>30/09/2024</c:v>
                  </c:pt>
                  <c:pt idx="370">
                    <c:v>31/05/2025</c:v>
                  </c:pt>
                  <c:pt idx="371">
                    <c:v>18/09/2025</c:v>
                  </c:pt>
                  <c:pt idx="372">
                    <c:v>30/10/2025</c:v>
                  </c:pt>
                  <c:pt idx="373">
                    <c:v>21/11/2025</c:v>
                  </c:pt>
                  <c:pt idx="374">
                    <c:v>06/04/2022</c:v>
                  </c:pt>
                  <c:pt idx="375">
                    <c:v>04/05/2020</c:v>
                  </c:pt>
                  <c:pt idx="376">
                    <c:v>30/10/2025</c:v>
                  </c:pt>
                  <c:pt idx="377">
                    <c:v>16/02/2022</c:v>
                  </c:pt>
                  <c:pt idx="378">
                    <c:v>29/08/2025</c:v>
                  </c:pt>
                  <c:pt idx="379">
                    <c:v>29/09/2025</c:v>
                  </c:pt>
                  <c:pt idx="380">
                    <c:v>30/09/2024</c:v>
                  </c:pt>
                  <c:pt idx="381">
                    <c:v>10/04/2023</c:v>
                  </c:pt>
                  <c:pt idx="382">
                    <c:v>30/09/2024</c:v>
                  </c:pt>
                  <c:pt idx="383">
                    <c:v>22/12/2025</c:v>
                  </c:pt>
                  <c:pt idx="384">
                    <c:v>22/12/2025</c:v>
                  </c:pt>
                  <c:pt idx="385">
                    <c:v>18/05/2022</c:v>
                  </c:pt>
                  <c:pt idx="386">
                    <c:v>27/12/2024</c:v>
                  </c:pt>
                  <c:pt idx="387">
                    <c:v>25/04/2022</c:v>
                  </c:pt>
                  <c:pt idx="388">
                    <c:v>30/12/2021</c:v>
                  </c:pt>
                  <c:pt idx="389">
                    <c:v>30/12/2021</c:v>
                  </c:pt>
                  <c:pt idx="390">
                    <c:v>23/10/2024</c:v>
                  </c:pt>
                  <c:pt idx="391">
                    <c:v>21/11/2023</c:v>
                  </c:pt>
                  <c:pt idx="392">
                    <c:v>30/05/2025</c:v>
                  </c:pt>
                  <c:pt idx="393">
                    <c:v>30/05/2025</c:v>
                  </c:pt>
                  <c:pt idx="394">
                    <c:v>21/02/2022</c:v>
                  </c:pt>
                  <c:pt idx="395">
                    <c:v>07/06/2024</c:v>
                  </c:pt>
                  <c:pt idx="396">
                    <c:v>07/06/2024</c:v>
                  </c:pt>
                  <c:pt idx="397">
                    <c:v>18/05/2022</c:v>
                  </c:pt>
                  <c:pt idx="398">
                    <c:v>07/06/2024</c:v>
                  </c:pt>
                  <c:pt idx="399">
                    <c:v>07/06/2024</c:v>
                  </c:pt>
                  <c:pt idx="401">
                    <c:v>21/11/2025</c:v>
                  </c:pt>
                  <c:pt idx="402">
                    <c:v>07/06/2024</c:v>
                  </c:pt>
                  <c:pt idx="403">
                    <c:v>30/12/2021</c:v>
                  </c:pt>
                  <c:pt idx="405">
                    <c:v>16/08/2021</c:v>
                  </c:pt>
                  <c:pt idx="406">
                    <c:v>26/09/2024</c:v>
                  </c:pt>
                  <c:pt idx="407">
                    <c:v>20/11/2025</c:v>
                  </c:pt>
                  <c:pt idx="408">
                    <c:v>01/10/2020</c:v>
                  </c:pt>
                  <c:pt idx="409">
                    <c:v>19/11/2025</c:v>
                  </c:pt>
                  <c:pt idx="410">
                    <c:v>12/10/2023</c:v>
                  </c:pt>
                  <c:pt idx="411">
                    <c:v>16/07/2022</c:v>
                  </c:pt>
                  <c:pt idx="412">
                    <c:v>26/06/2020</c:v>
                  </c:pt>
                  <c:pt idx="413">
                    <c:v>25/04/2020</c:v>
                  </c:pt>
                  <c:pt idx="415">
                    <c:v>21/1125</c:v>
                  </c:pt>
                  <c:pt idx="416">
                    <c:v>23/09/2025</c:v>
                  </c:pt>
                  <c:pt idx="417">
                    <c:v>23/09/2025</c:v>
                  </c:pt>
                  <c:pt idx="418">
                    <c:v>28/08/2024</c:v>
                  </c:pt>
                  <c:pt idx="419">
                    <c:v>10/03/2020</c:v>
                  </c:pt>
                  <c:pt idx="420">
                    <c:v>18/01/2023</c:v>
                  </c:pt>
                  <c:pt idx="422">
                    <c:v>18/08/2025</c:v>
                  </c:pt>
                  <c:pt idx="423">
                    <c:v>10/01/2024</c:v>
                  </c:pt>
                  <c:pt idx="424">
                    <c:v>23/09/2024</c:v>
                  </c:pt>
                  <c:pt idx="425">
                    <c:v>23/09/2024</c:v>
                  </c:pt>
                  <c:pt idx="426">
                    <c:v>23/09/2024</c:v>
                  </c:pt>
                  <c:pt idx="427">
                    <c:v>23/09/2024</c:v>
                  </c:pt>
                  <c:pt idx="428">
                    <c:v>02/06/2025</c:v>
                  </c:pt>
                  <c:pt idx="429">
                    <c:v>10/04/2023</c:v>
                  </c:pt>
                  <c:pt idx="430">
                    <c:v>21/11025</c:v>
                  </c:pt>
                  <c:pt idx="431">
                    <c:v>24/07/2024</c:v>
                  </c:pt>
                  <c:pt idx="432">
                    <c:v>18/09/2025</c:v>
                  </c:pt>
                  <c:pt idx="433">
                    <c:v>24/05/2021</c:v>
                  </c:pt>
                  <c:pt idx="434">
                    <c:v>02/06/2025</c:v>
                  </c:pt>
                  <c:pt idx="435">
                    <c:v>30/05/2025</c:v>
                  </c:pt>
                  <c:pt idx="436">
                    <c:v>21/09/2023</c:v>
                  </c:pt>
                  <c:pt idx="437">
                    <c:v>16/08/2023</c:v>
                  </c:pt>
                  <c:pt idx="438">
                    <c:v>30/10/2025</c:v>
                  </c:pt>
                  <c:pt idx="439">
                    <c:v>30/10/2025</c:v>
                  </c:pt>
                  <c:pt idx="440">
                    <c:v>12/03/2025</c:v>
                  </c:pt>
                  <c:pt idx="441">
                    <c:v>21/12/2023</c:v>
                  </c:pt>
                  <c:pt idx="442">
                    <c:v>20/11/2024</c:v>
                  </c:pt>
                  <c:pt idx="443">
                    <c:v>30/10/2025</c:v>
                  </c:pt>
                  <c:pt idx="444">
                    <c:v>20/11/2024</c:v>
                  </c:pt>
                  <c:pt idx="445">
                    <c:v>01/11/2021</c:v>
                  </c:pt>
                  <c:pt idx="446">
                    <c:v>20/11/2024</c:v>
                  </c:pt>
                  <c:pt idx="447">
                    <c:v>20/11/2024</c:v>
                  </c:pt>
                  <c:pt idx="448">
                    <c:v>12/03/2025</c:v>
                  </c:pt>
                  <c:pt idx="449">
                    <c:v>21/12/2023</c:v>
                  </c:pt>
                  <c:pt idx="450">
                    <c:v>20/11/2024</c:v>
                  </c:pt>
                  <c:pt idx="451">
                    <c:v>10/09/2024</c:v>
                  </c:pt>
                  <c:pt idx="452">
                    <c:v>18/11/2024</c:v>
                  </c:pt>
                  <c:pt idx="453">
                    <c:v>13/05/2025</c:v>
                  </c:pt>
                  <c:pt idx="454">
                    <c:v>13/05/2025</c:v>
                  </c:pt>
                  <c:pt idx="455">
                    <c:v>06/06/2024</c:v>
                  </c:pt>
                  <c:pt idx="456">
                    <c:v>06/06/2024</c:v>
                  </c:pt>
                  <c:pt idx="457">
                    <c:v>31/07/2024</c:v>
                  </c:pt>
                  <c:pt idx="458">
                    <c:v>18/11/2024</c:v>
                  </c:pt>
                  <c:pt idx="459">
                    <c:v>10/03/2020</c:v>
                  </c:pt>
                  <c:pt idx="460">
                    <c:v>21/01/2025</c:v>
                  </c:pt>
                  <c:pt idx="461">
                    <c:v>21/03/2023</c:v>
                  </c:pt>
                  <c:pt idx="462">
                    <c:v>10/09/2024</c:v>
                  </c:pt>
                  <c:pt idx="463">
                    <c:v>23/01/2025</c:v>
                  </c:pt>
                  <c:pt idx="464">
                    <c:v>05/05/2020</c:v>
                  </c:pt>
                  <c:pt idx="465">
                    <c:v>05/05/2020</c:v>
                  </c:pt>
                  <c:pt idx="466">
                    <c:v>09/05/2023</c:v>
                  </c:pt>
                  <c:pt idx="467">
                    <c:v>12/02/2021</c:v>
                  </c:pt>
                  <c:pt idx="468">
                    <c:v>09/05/2023</c:v>
                  </c:pt>
                  <c:pt idx="469">
                    <c:v>09/05/2023</c:v>
                  </c:pt>
                  <c:pt idx="470">
                    <c:v>09/05/2023</c:v>
                  </c:pt>
                  <c:pt idx="471">
                    <c:v>22/06/2022</c:v>
                  </c:pt>
                  <c:pt idx="472">
                    <c:v>07/06/2024</c:v>
                  </c:pt>
                  <c:pt idx="473">
                    <c:v>07/06/2024</c:v>
                  </c:pt>
                  <c:pt idx="474">
                    <c:v>10/03/2025</c:v>
                  </c:pt>
                  <c:pt idx="475">
                    <c:v>12/12/2025</c:v>
                  </c:pt>
                  <c:pt idx="476">
                    <c:v>10/03/2020</c:v>
                  </c:pt>
                  <c:pt idx="477">
                    <c:v>27/07/2023</c:v>
                  </c:pt>
                  <c:pt idx="478">
                    <c:v>18/02/2025</c:v>
                  </c:pt>
                  <c:pt idx="479">
                    <c:v>20/02/2020</c:v>
                  </c:pt>
                  <c:pt idx="480">
                    <c:v>20/11/2021</c:v>
                  </c:pt>
                  <c:pt idx="481">
                    <c:v>09/12/2024</c:v>
                  </c:pt>
                  <c:pt idx="482">
                    <c:v>12/12/2022</c:v>
                  </c:pt>
                  <c:pt idx="483">
                    <c:v>23/09/2021</c:v>
                  </c:pt>
                  <c:pt idx="484">
                    <c:v>12/12/2020</c:v>
                  </c:pt>
                  <c:pt idx="485">
                    <c:v>04/12/2024</c:v>
                  </c:pt>
                  <c:pt idx="486">
                    <c:v>20/03/2023</c:v>
                  </c:pt>
                  <c:pt idx="487">
                    <c:v>10/01/2024</c:v>
                  </c:pt>
                  <c:pt idx="488">
                    <c:v>15/03/2021</c:v>
                  </c:pt>
                  <c:pt idx="489">
                    <c:v>14/01/2021</c:v>
                  </c:pt>
                  <c:pt idx="490">
                    <c:v>20/03/2023</c:v>
                  </c:pt>
                  <c:pt idx="491">
                    <c:v>14/01/2021</c:v>
                  </c:pt>
                  <c:pt idx="492">
                    <c:v>02/04/2020</c:v>
                  </c:pt>
                  <c:pt idx="493">
                    <c:v>13/01/2023</c:v>
                  </c:pt>
                  <c:pt idx="495">
                    <c:v>13/11/2020</c:v>
                  </c:pt>
                  <c:pt idx="496">
                    <c:v>28/10/2023</c:v>
                  </c:pt>
                  <c:pt idx="497">
                    <c:v>05/05/2020</c:v>
                  </c:pt>
                  <c:pt idx="498">
                    <c:v>01/07/2021</c:v>
                  </c:pt>
                  <c:pt idx="499">
                    <c:v>22/02/2021</c:v>
                  </c:pt>
                  <c:pt idx="500">
                    <c:v>31/01/2021</c:v>
                  </c:pt>
                  <c:pt idx="501">
                    <c:v>10/03/2020</c:v>
                  </c:pt>
                  <c:pt idx="502">
                    <c:v>11/11/2023</c:v>
                  </c:pt>
                  <c:pt idx="503">
                    <c:v>19/10/2022</c:v>
                  </c:pt>
                  <c:pt idx="504">
                    <c:v>20/09/2021</c:v>
                  </c:pt>
                  <c:pt idx="505">
                    <c:v>21/10/2020</c:v>
                  </c:pt>
                  <c:pt idx="506">
                    <c:v>01/06/2020</c:v>
                  </c:pt>
                  <c:pt idx="507">
                    <c:v>18/01/2023</c:v>
                  </c:pt>
                  <c:pt idx="508">
                    <c:v>10/03/2020</c:v>
                  </c:pt>
                  <c:pt idx="509">
                    <c:v>19/09/2020</c:v>
                  </c:pt>
                  <c:pt idx="510">
                    <c:v>10/03/2020</c:v>
                  </c:pt>
                  <c:pt idx="511">
                    <c:v>16/08/2021</c:v>
                  </c:pt>
                  <c:pt idx="512">
                    <c:v>09/04/2021</c:v>
                  </c:pt>
                  <c:pt idx="513">
                    <c:v>16/08/2021</c:v>
                  </c:pt>
                  <c:pt idx="514">
                    <c:v>10/03/2020</c:v>
                  </c:pt>
                  <c:pt idx="515">
                    <c:v>10/03/2020</c:v>
                  </c:pt>
                  <c:pt idx="516">
                    <c:v>21/03/2023</c:v>
                  </c:pt>
                  <c:pt idx="517">
                    <c:v>23/11/2023</c:v>
                  </c:pt>
                  <c:pt idx="518">
                    <c:v>04/02/2021</c:v>
                  </c:pt>
                  <c:pt idx="519">
                    <c:v>09/12/2024</c:v>
                  </c:pt>
                  <c:pt idx="520">
                    <c:v>21/04/2021</c:v>
                  </c:pt>
                  <c:pt idx="521">
                    <c:v>10/09/2024</c:v>
                  </c:pt>
                  <c:pt idx="522">
                    <c:v>01/11/2021</c:v>
                  </c:pt>
                  <c:pt idx="526">
                    <c:v>19/12/2020</c:v>
                  </c:pt>
                  <c:pt idx="527">
                    <c:v>19/12/2020</c:v>
                  </c:pt>
                  <c:pt idx="528">
                    <c:v>19/12/2020</c:v>
                  </c:pt>
                  <c:pt idx="529">
                    <c:v>19/12/2020</c:v>
                  </c:pt>
                  <c:pt idx="530">
                    <c:v>11/05/2023</c:v>
                  </c:pt>
                  <c:pt idx="531">
                    <c:v>07/12/2021</c:v>
                  </c:pt>
                  <c:pt idx="532">
                    <c:v>05/05/2023</c:v>
                  </c:pt>
                  <c:pt idx="534">
                    <c:v>20/04/2022</c:v>
                  </c:pt>
                  <c:pt idx="535">
                    <c:v>13/07/2023</c:v>
                  </c:pt>
                  <c:pt idx="536">
                    <c:v>01/11/2021</c:v>
                  </c:pt>
                  <c:pt idx="537">
                    <c:v>01/11/2021</c:v>
                  </c:pt>
                  <c:pt idx="538">
                    <c:v>25/07/2020</c:v>
                  </c:pt>
                  <c:pt idx="539">
                    <c:v>13/07/2023</c:v>
                  </c:pt>
                  <c:pt idx="540">
                    <c:v>20/11/2024</c:v>
                  </c:pt>
                  <c:pt idx="541">
                    <c:v>13/07/2023</c:v>
                  </c:pt>
                  <c:pt idx="542">
                    <c:v>20/03/2023</c:v>
                  </c:pt>
                  <c:pt idx="543">
                    <c:v>18/01/2023</c:v>
                  </c:pt>
                  <c:pt idx="544">
                    <c:v>16/02/2022</c:v>
                  </c:pt>
                  <c:pt idx="545">
                    <c:v>24/12/2009</c:v>
                  </c:pt>
                  <c:pt idx="546">
                    <c:v>28/06/2014</c:v>
                  </c:pt>
                  <c:pt idx="547">
                    <c:v>28/06/2014</c:v>
                  </c:pt>
                  <c:pt idx="548">
                    <c:v>29/10/2016</c:v>
                  </c:pt>
                  <c:pt idx="549">
                    <c:v>16/06/2014</c:v>
                  </c:pt>
                  <c:pt idx="550">
                    <c:v>01/12/2021</c:v>
                  </c:pt>
                  <c:pt idx="551">
                    <c:v>01/12/2021</c:v>
                  </c:pt>
                  <c:pt idx="552">
                    <c:v>15/03/2022</c:v>
                  </c:pt>
                  <c:pt idx="553">
                    <c:v>15/03/2022</c:v>
                  </c:pt>
                  <c:pt idx="554">
                    <c:v>12/02/2025</c:v>
                  </c:pt>
                  <c:pt idx="555">
                    <c:v>17/11/2023</c:v>
                  </c:pt>
                  <c:pt idx="556">
                    <c:v>17/11/2023</c:v>
                  </c:pt>
                  <c:pt idx="557">
                    <c:v>15/03/2024</c:v>
                  </c:pt>
                  <c:pt idx="558">
                    <c:v>19/11/2025</c:v>
                  </c:pt>
                  <c:pt idx="559">
                    <c:v>12/12/2025</c:v>
                  </c:pt>
                  <c:pt idx="560">
                    <c:v>12/03/2025</c:v>
                  </c:pt>
                  <c:pt idx="561">
                    <c:v>19/03/2021</c:v>
                  </c:pt>
                  <c:pt idx="562">
                    <c:v>19/03/2021</c:v>
                  </c:pt>
                  <c:pt idx="563">
                    <c:v>02/10/2025</c:v>
                  </c:pt>
                  <c:pt idx="564">
                    <c:v>21/12/2023</c:v>
                  </c:pt>
                  <c:pt idx="565">
                    <c:v>30/10/2025</c:v>
                  </c:pt>
                  <c:pt idx="566">
                    <c:v>20/03/2023</c:v>
                  </c:pt>
                  <c:pt idx="567">
                    <c:v>17/05/2022</c:v>
                  </c:pt>
                  <c:pt idx="568">
                    <c:v>18/09/2025</c:v>
                  </c:pt>
                  <c:pt idx="569">
                    <c:v>13/01/2023</c:v>
                  </c:pt>
                  <c:pt idx="570">
                    <c:v>17/05/2022</c:v>
                  </c:pt>
                  <c:pt idx="571">
                    <c:v>24/11/2021</c:v>
                  </c:pt>
                  <c:pt idx="572">
                    <c:v>17/12/2024</c:v>
                  </c:pt>
                  <c:pt idx="573">
                    <c:v>31/07/2024</c:v>
                  </c:pt>
                  <c:pt idx="575">
                    <c:v>13/01/2023</c:v>
                  </c:pt>
                  <c:pt idx="576">
                    <c:v>10/03/2020</c:v>
                  </c:pt>
                  <c:pt idx="577">
                    <c:v>15/03/2021</c:v>
                  </c:pt>
                  <c:pt idx="579">
                    <c:v>30/12/2021</c:v>
                  </c:pt>
                  <c:pt idx="580">
                    <c:v>23/06/2021</c:v>
                  </c:pt>
                  <c:pt idx="581">
                    <c:v>29/09/2015</c:v>
                  </c:pt>
                  <c:pt idx="582">
                    <c:v>15/09/2025</c:v>
                  </c:pt>
                  <c:pt idx="583">
                    <c:v>25/04/2025</c:v>
                  </c:pt>
                  <c:pt idx="584">
                    <c:v>03/10/2016</c:v>
                  </c:pt>
                  <c:pt idx="585">
                    <c:v>30/04/2025</c:v>
                  </c:pt>
                  <c:pt idx="586">
                    <c:v>05/08/2025</c:v>
                  </c:pt>
                  <c:pt idx="587">
                    <c:v>05/08/2025</c:v>
                  </c:pt>
                  <c:pt idx="588">
                    <c:v>10/09/2024</c:v>
                  </c:pt>
                  <c:pt idx="589">
                    <c:v>17/05/2022</c:v>
                  </c:pt>
                  <c:pt idx="590">
                    <c:v>09/10/2025</c:v>
                  </c:pt>
                  <c:pt idx="591">
                    <c:v>09/10/2025</c:v>
                  </c:pt>
                  <c:pt idx="592">
                    <c:v>26/09/2025</c:v>
                  </c:pt>
                  <c:pt idx="593">
                    <c:v>11/09/2025</c:v>
                  </c:pt>
                  <c:pt idx="594">
                    <c:v>26/09/2025</c:v>
                  </c:pt>
                  <c:pt idx="595">
                    <c:v>08/12/2025</c:v>
                  </c:pt>
                  <c:pt idx="596">
                    <c:v>08/12/2025</c:v>
                  </c:pt>
                  <c:pt idx="597">
                    <c:v>11/09/2020</c:v>
                  </c:pt>
                  <c:pt idx="598">
                    <c:v>09/10/2025</c:v>
                  </c:pt>
                  <c:pt idx="599">
                    <c:v>09/10/2025</c:v>
                  </c:pt>
                  <c:pt idx="600">
                    <c:v>11/04/2023</c:v>
                  </c:pt>
                  <c:pt idx="601">
                    <c:v>11/04/2023</c:v>
                  </c:pt>
                  <c:pt idx="602">
                    <c:v>15/11/2023</c:v>
                  </c:pt>
                  <c:pt idx="603">
                    <c:v>15/11/2023</c:v>
                  </c:pt>
                  <c:pt idx="604">
                    <c:v>27/11/2021</c:v>
                  </c:pt>
                  <c:pt idx="605">
                    <c:v>05/06/2024</c:v>
                  </c:pt>
                  <c:pt idx="606">
                    <c:v>12/12/2024</c:v>
                  </c:pt>
                  <c:pt idx="607">
                    <c:v>15/09/2022</c:v>
                  </c:pt>
                  <c:pt idx="608">
                    <c:v>11/05/2023</c:v>
                  </c:pt>
                  <c:pt idx="609">
                    <c:v>12/12/2024</c:v>
                  </c:pt>
                  <c:pt idx="610">
                    <c:v>12/12/2024</c:v>
                  </c:pt>
                  <c:pt idx="611">
                    <c:v>12/12/2024</c:v>
                  </c:pt>
                  <c:pt idx="612">
                    <c:v>07/12/2023</c:v>
                  </c:pt>
                  <c:pt idx="613">
                    <c:v>12/12/2024</c:v>
                  </c:pt>
                  <c:pt idx="614">
                    <c:v>23/09/2025</c:v>
                  </c:pt>
                  <c:pt idx="615">
                    <c:v>14/11/2023</c:v>
                  </c:pt>
                  <c:pt idx="616">
                    <c:v>08/11/2022</c:v>
                  </c:pt>
                  <c:pt idx="617">
                    <c:v>10/10/2025</c:v>
                  </c:pt>
                  <c:pt idx="618">
                    <c:v>14/11/2023</c:v>
                  </c:pt>
                  <c:pt idx="619">
                    <c:v>31/05/2022</c:v>
                  </c:pt>
                  <c:pt idx="620">
                    <c:v>19/06/2025</c:v>
                  </c:pt>
                  <c:pt idx="621">
                    <c:v>27/11/2025</c:v>
                  </c:pt>
                  <c:pt idx="622">
                    <c:v>21/02/2022</c:v>
                  </c:pt>
                  <c:pt idx="623">
                    <c:v>17/08/2025</c:v>
                  </c:pt>
                  <c:pt idx="624">
                    <c:v>04/10/2021</c:v>
                  </c:pt>
                  <c:pt idx="625">
                    <c:v>12/02/2021</c:v>
                  </c:pt>
                  <c:pt idx="626">
                    <c:v>12/12/2022</c:v>
                  </c:pt>
                  <c:pt idx="627">
                    <c:v>12/12/2022</c:v>
                  </c:pt>
                  <c:pt idx="628">
                    <c:v>03/01/2023</c:v>
                  </c:pt>
                  <c:pt idx="629">
                    <c:v>03/01/2023</c:v>
                  </c:pt>
                  <c:pt idx="630">
                    <c:v>03/01/2023</c:v>
                  </c:pt>
                  <c:pt idx="631">
                    <c:v>31/05/2022</c:v>
                  </c:pt>
                  <c:pt idx="632">
                    <c:v>23/06/2021</c:v>
                  </c:pt>
                  <c:pt idx="633">
                    <c:v>17/02/2024</c:v>
                  </c:pt>
                  <c:pt idx="634">
                    <c:v>09/02/2023</c:v>
                  </c:pt>
                  <c:pt idx="635">
                    <c:v>09/02/2023</c:v>
                  </c:pt>
                  <c:pt idx="636">
                    <c:v>14/02/2024</c:v>
                  </c:pt>
                  <c:pt idx="637">
                    <c:v>18/01/2023</c:v>
                  </c:pt>
                  <c:pt idx="638">
                    <c:v>13/02/2025</c:v>
                  </c:pt>
                  <c:pt idx="639">
                    <c:v>14/06/2014</c:v>
                  </c:pt>
                  <c:pt idx="640">
                    <c:v>10/10/2020</c:v>
                  </c:pt>
                  <c:pt idx="641">
                    <c:v>10/03/2020</c:v>
                  </c:pt>
                  <c:pt idx="642">
                    <c:v>01/06/2020</c:v>
                  </c:pt>
                  <c:pt idx="643">
                    <c:v>01/06/2020</c:v>
                  </c:pt>
                  <c:pt idx="644">
                    <c:v>01/06/2020</c:v>
                  </c:pt>
                  <c:pt idx="645">
                    <c:v>16/09/2021</c:v>
                  </c:pt>
                  <c:pt idx="646">
                    <c:v>20/03/2023</c:v>
                  </c:pt>
                  <c:pt idx="647">
                    <c:v>11/01/2025</c:v>
                  </c:pt>
                  <c:pt idx="648">
                    <c:v>12/03/2021</c:v>
                  </c:pt>
                  <c:pt idx="649">
                    <c:v>12/03/2021</c:v>
                  </c:pt>
                  <c:pt idx="650">
                    <c:v>07/04/2021</c:v>
                  </c:pt>
                  <c:pt idx="651">
                    <c:v>20/03/2023</c:v>
                  </c:pt>
                  <c:pt idx="652">
                    <c:v>18/01/2023</c:v>
                  </c:pt>
                  <c:pt idx="653">
                    <c:v>18/01/2023</c:v>
                  </c:pt>
                  <c:pt idx="654">
                    <c:v>18/01/2023</c:v>
                  </c:pt>
                  <c:pt idx="655">
                    <c:v>18/01/2023</c:v>
                  </c:pt>
                  <c:pt idx="656">
                    <c:v>15/04/2025</c:v>
                  </c:pt>
                  <c:pt idx="657">
                    <c:v>19/08/2016</c:v>
                  </c:pt>
                  <c:pt idx="658">
                    <c:v>20/08/2013</c:v>
                  </c:pt>
                  <c:pt idx="659">
                    <c:v>20/08/2013</c:v>
                  </c:pt>
                  <c:pt idx="660">
                    <c:v>02/10/2024</c:v>
                  </c:pt>
                  <c:pt idx="661">
                    <c:v>02/10/2024</c:v>
                  </c:pt>
                  <c:pt idx="662">
                    <c:v>02/10/2024</c:v>
                  </c:pt>
                  <c:pt idx="663">
                    <c:v>02/10/2024</c:v>
                  </c:pt>
                  <c:pt idx="664">
                    <c:v>02/10/2024</c:v>
                  </c:pt>
                  <c:pt idx="665">
                    <c:v>02/10/2024</c:v>
                  </c:pt>
                  <c:pt idx="666">
                    <c:v>21/11/2025</c:v>
                  </c:pt>
                  <c:pt idx="667">
                    <c:v>15/11/2024</c:v>
                  </c:pt>
                  <c:pt idx="668">
                    <c:v>15/11/2024</c:v>
                  </c:pt>
                  <c:pt idx="670">
                    <c:v>05/12/2023</c:v>
                  </c:pt>
                  <c:pt idx="671">
                    <c:v>05/12/2023</c:v>
                  </c:pt>
                  <c:pt idx="672">
                    <c:v>27/04/2022</c:v>
                  </c:pt>
                  <c:pt idx="673">
                    <c:v>11/01/2022</c:v>
                  </c:pt>
                  <c:pt idx="674">
                    <c:v>13/10/2025</c:v>
                  </c:pt>
                  <c:pt idx="675">
                    <c:v>07/02/2024</c:v>
                  </c:pt>
                  <c:pt idx="676">
                    <c:v>07/02/2024</c:v>
                  </c:pt>
                  <c:pt idx="677">
                    <c:v>15/04/2025</c:v>
                  </c:pt>
                  <c:pt idx="678">
                    <c:v>09/09/2025</c:v>
                  </c:pt>
                  <c:pt idx="679">
                    <c:v>12/07/2025</c:v>
                  </c:pt>
                  <c:pt idx="680">
                    <c:v>23/09/2025</c:v>
                  </c:pt>
                  <c:pt idx="681">
                    <c:v>25/09/2025</c:v>
                  </c:pt>
                  <c:pt idx="682">
                    <c:v>25/09/2025</c:v>
                  </c:pt>
                  <c:pt idx="683">
                    <c:v>30/03/2023</c:v>
                  </c:pt>
                  <c:pt idx="684">
                    <c:v>30/03/2023</c:v>
                  </c:pt>
                  <c:pt idx="685">
                    <c:v>13/07/2023</c:v>
                  </c:pt>
                  <c:pt idx="686">
                    <c:v>13/07/2023</c:v>
                  </c:pt>
                  <c:pt idx="687">
                    <c:v>14/01/2021</c:v>
                  </c:pt>
                  <c:pt idx="688">
                    <c:v>feb-25</c:v>
                  </c:pt>
                  <c:pt idx="689">
                    <c:v>12/07/2025</c:v>
                  </c:pt>
                  <c:pt idx="690">
                    <c:v>29/03/2023</c:v>
                  </c:pt>
                  <c:pt idx="691">
                    <c:v>29/03/2023</c:v>
                  </c:pt>
                  <c:pt idx="692">
                    <c:v>29/03/2023</c:v>
                  </c:pt>
                  <c:pt idx="693">
                    <c:v>29/03/2023</c:v>
                  </c:pt>
                  <c:pt idx="694">
                    <c:v>10/09/2024</c:v>
                  </c:pt>
                  <c:pt idx="695">
                    <c:v>08/04/2024</c:v>
                  </c:pt>
                  <c:pt idx="696">
                    <c:v>08/04/2024</c:v>
                  </c:pt>
                  <c:pt idx="697">
                    <c:v>08/04/2024</c:v>
                  </c:pt>
                  <c:pt idx="698">
                    <c:v>08/04/2024</c:v>
                  </c:pt>
                  <c:pt idx="699">
                    <c:v>04/07/2025</c:v>
                  </c:pt>
                  <c:pt idx="700">
                    <c:v>04/07/2025</c:v>
                  </c:pt>
                  <c:pt idx="701">
                    <c:v>29/03/2023</c:v>
                  </c:pt>
                  <c:pt idx="702">
                    <c:v>29/03/2023</c:v>
                  </c:pt>
                  <c:pt idx="703">
                    <c:v>08/04/024</c:v>
                  </c:pt>
                  <c:pt idx="704">
                    <c:v>24/12/2025</c:v>
                  </c:pt>
                  <c:pt idx="705">
                    <c:v>24/12/2025</c:v>
                  </c:pt>
                  <c:pt idx="706">
                    <c:v>26/01/2023</c:v>
                  </c:pt>
                  <c:pt idx="707">
                    <c:v>07/10/2025</c:v>
                  </c:pt>
                  <c:pt idx="708">
                    <c:v>07/10/2025</c:v>
                  </c:pt>
                  <c:pt idx="709">
                    <c:v>10/12/20255</c:v>
                  </c:pt>
                  <c:pt idx="710">
                    <c:v>10/12/20255</c:v>
                  </c:pt>
                  <c:pt idx="711">
                    <c:v>22/04/2025</c:v>
                  </c:pt>
                  <c:pt idx="712">
                    <c:v>22/04/2025</c:v>
                  </c:pt>
                  <c:pt idx="713">
                    <c:v>01/11/2025</c:v>
                  </c:pt>
                  <c:pt idx="714">
                    <c:v>01/11/2025</c:v>
                  </c:pt>
                  <c:pt idx="715">
                    <c:v>01/02/2024</c:v>
                  </c:pt>
                  <c:pt idx="716">
                    <c:v>01/02/2024</c:v>
                  </c:pt>
                  <c:pt idx="717">
                    <c:v>07/01/2025</c:v>
                  </c:pt>
                  <c:pt idx="718">
                    <c:v>01/02/2024</c:v>
                  </c:pt>
                  <c:pt idx="719">
                    <c:v>12/07/2025</c:v>
                  </c:pt>
                  <c:pt idx="720">
                    <c:v>12/07/2025</c:v>
                  </c:pt>
                  <c:pt idx="721">
                    <c:v>15/11/2024</c:v>
                  </c:pt>
                  <c:pt idx="722">
                    <c:v>23/09/2025</c:v>
                  </c:pt>
                  <c:pt idx="723">
                    <c:v>03/10/2024</c:v>
                  </c:pt>
                  <c:pt idx="724">
                    <c:v>13/03/2025</c:v>
                  </c:pt>
                  <c:pt idx="725">
                    <c:v>13/03/2025</c:v>
                  </c:pt>
                  <c:pt idx="726">
                    <c:v>22/12/2025</c:v>
                  </c:pt>
                  <c:pt idx="727">
                    <c:v>22/12/2025</c:v>
                  </c:pt>
                  <c:pt idx="728">
                    <c:v>24/03/2020</c:v>
                  </c:pt>
                  <c:pt idx="729">
                    <c:v>24/03/2020</c:v>
                  </c:pt>
                  <c:pt idx="730">
                    <c:v>06/10/2025</c:v>
                  </c:pt>
                  <c:pt idx="731">
                    <c:v>06/10/2025</c:v>
                  </c:pt>
                  <c:pt idx="732">
                    <c:v>16/07/2022</c:v>
                  </c:pt>
                  <c:pt idx="733">
                    <c:v>06/09/2023</c:v>
                  </c:pt>
                  <c:pt idx="734">
                    <c:v>28/06/2024</c:v>
                  </c:pt>
                  <c:pt idx="735">
                    <c:v>23/11/2021</c:v>
                  </c:pt>
                  <c:pt idx="736">
                    <c:v>25/05/2025</c:v>
                  </c:pt>
                  <c:pt idx="739">
                    <c:v>27/07/2023</c:v>
                  </c:pt>
                  <c:pt idx="740">
                    <c:v>31/07/2024</c:v>
                  </c:pt>
                  <c:pt idx="741">
                    <c:v>27/07/2023</c:v>
                  </c:pt>
                  <c:pt idx="742">
                    <c:v>05/03/2025</c:v>
                  </c:pt>
                  <c:pt idx="743">
                    <c:v>12/03/2021</c:v>
                  </c:pt>
                  <c:pt idx="744">
                    <c:v>20/11/2025</c:v>
                  </c:pt>
                  <c:pt idx="749">
                    <c:v>16/08/2023</c:v>
                  </c:pt>
                  <c:pt idx="750">
                    <c:v>20/10/2023</c:v>
                  </c:pt>
                  <c:pt idx="751">
                    <c:v>04/10/2023</c:v>
                  </c:pt>
                  <c:pt idx="754">
                    <c:v>24/10/2024</c:v>
                  </c:pt>
                  <c:pt idx="755">
                    <c:v>03/11/2025</c:v>
                  </c:pt>
                  <c:pt idx="756">
                    <c:v>03/11/2025</c:v>
                  </c:pt>
                  <c:pt idx="757">
                    <c:v>03/11/2025</c:v>
                  </c:pt>
                  <c:pt idx="758">
                    <c:v>20/11/2025</c:v>
                  </c:pt>
                  <c:pt idx="759">
                    <c:v>20/11/2025</c:v>
                  </c:pt>
                  <c:pt idx="760">
                    <c:v>22/06/2022</c:v>
                  </c:pt>
                  <c:pt idx="761">
                    <c:v>09/01/2020</c:v>
                  </c:pt>
                  <c:pt idx="762">
                    <c:v>09/01/2020</c:v>
                  </c:pt>
                  <c:pt idx="763">
                    <c:v>10/01/2024</c:v>
                  </c:pt>
                  <c:pt idx="764">
                    <c:v>16/04/2025</c:v>
                  </c:pt>
                  <c:pt idx="765">
                    <c:v>09/09/2025</c:v>
                  </c:pt>
                  <c:pt idx="766">
                    <c:v>14/03/2025</c:v>
                  </c:pt>
                  <c:pt idx="767">
                    <c:v>21/10/2023</c:v>
                  </c:pt>
                  <c:pt idx="768">
                    <c:v>08/12/2025</c:v>
                  </c:pt>
                  <c:pt idx="769">
                    <c:v>27/03/2025</c:v>
                  </c:pt>
                  <c:pt idx="770">
                    <c:v>18/11/2025</c:v>
                  </c:pt>
                  <c:pt idx="771">
                    <c:v>28/02/2024</c:v>
                  </c:pt>
                  <c:pt idx="772">
                    <c:v>18/10/2025</c:v>
                  </c:pt>
                  <c:pt idx="773">
                    <c:v>14/10/2024</c:v>
                  </c:pt>
                  <c:pt idx="774">
                    <c:v>25/07/2024</c:v>
                  </c:pt>
                  <c:pt idx="775">
                    <c:v>10/03/2020</c:v>
                  </c:pt>
                  <c:pt idx="776">
                    <c:v>05/05/2020</c:v>
                  </c:pt>
                  <c:pt idx="777">
                    <c:v>15/03/2022</c:v>
                  </c:pt>
                  <c:pt idx="778">
                    <c:v>21/11/2025</c:v>
                  </c:pt>
                  <c:pt idx="779">
                    <c:v>26/07/2024</c:v>
                  </c:pt>
                  <c:pt idx="780">
                    <c:v>26/07/2024</c:v>
                  </c:pt>
                  <c:pt idx="781">
                    <c:v>26/05/2020</c:v>
                  </c:pt>
                  <c:pt idx="782">
                    <c:v>10/10/2020</c:v>
                  </c:pt>
                  <c:pt idx="783">
                    <c:v>31/07/2024</c:v>
                  </c:pt>
                  <c:pt idx="784">
                    <c:v>08/08/2021</c:v>
                  </c:pt>
                  <c:pt idx="785">
                    <c:v>08/08/2021</c:v>
                  </c:pt>
                  <c:pt idx="786">
                    <c:v>23/09/2021</c:v>
                  </c:pt>
                  <c:pt idx="787">
                    <c:v>25/07/2020</c:v>
                  </c:pt>
                  <c:pt idx="788">
                    <c:v>16/03/2022</c:v>
                  </c:pt>
                  <c:pt idx="789">
                    <c:v>07/06/2024</c:v>
                  </c:pt>
                  <c:pt idx="790">
                    <c:v>07/06/2024</c:v>
                  </c:pt>
                  <c:pt idx="791">
                    <c:v>07/06/2024</c:v>
                  </c:pt>
                  <c:pt idx="792">
                    <c:v>17/10/2024</c:v>
                  </c:pt>
                  <c:pt idx="793">
                    <c:v>01/03/2023</c:v>
                  </c:pt>
                  <c:pt idx="794">
                    <c:v>10/03/2020</c:v>
                  </c:pt>
                  <c:pt idx="796">
                    <c:v>29/07/2025</c:v>
                  </c:pt>
                  <c:pt idx="797">
                    <c:v>29/07/2025</c:v>
                  </c:pt>
                  <c:pt idx="798">
                    <c:v>30/01/2025</c:v>
                  </c:pt>
                  <c:pt idx="799">
                    <c:v>23/01/2023</c:v>
                  </c:pt>
                  <c:pt idx="800">
                    <c:v>28/09/2023</c:v>
                  </c:pt>
                  <c:pt idx="801">
                    <c:v>14/03/2023</c:v>
                  </c:pt>
                  <c:pt idx="802">
                    <c:v>14/03/2023</c:v>
                  </c:pt>
                  <c:pt idx="803">
                    <c:v>14/03/2023</c:v>
                  </c:pt>
                  <c:pt idx="804">
                    <c:v>22/06/2023</c:v>
                  </c:pt>
                  <c:pt idx="805">
                    <c:v>07/07/2022</c:v>
                  </c:pt>
                  <c:pt idx="806">
                    <c:v>06/04/2022</c:v>
                  </c:pt>
                  <c:pt idx="807">
                    <c:v>20/03/2023</c:v>
                  </c:pt>
                  <c:pt idx="808">
                    <c:v>20/03/2023</c:v>
                  </c:pt>
                  <c:pt idx="809">
                    <c:v>20/03/2023</c:v>
                  </c:pt>
                  <c:pt idx="810">
                    <c:v>05/05/2020</c:v>
                  </c:pt>
                  <c:pt idx="811">
                    <c:v>09/09/2022</c:v>
                  </c:pt>
                  <c:pt idx="812">
                    <c:v>09/09/2022</c:v>
                  </c:pt>
                  <c:pt idx="813">
                    <c:v>16/09/2021</c:v>
                  </c:pt>
                  <c:pt idx="814">
                    <c:v>30/09/2022</c:v>
                  </c:pt>
                  <c:pt idx="815">
                    <c:v>10/09/2024</c:v>
                  </c:pt>
                  <c:pt idx="816">
                    <c:v>10/09/2024</c:v>
                  </c:pt>
                  <c:pt idx="817">
                    <c:v>10/09/2024</c:v>
                  </c:pt>
                  <c:pt idx="818">
                    <c:v>19/05/2020</c:v>
                  </c:pt>
                  <c:pt idx="819">
                    <c:v>15/10/2025</c:v>
                  </c:pt>
                  <c:pt idx="820">
                    <c:v>15/10/2025</c:v>
                  </c:pt>
                  <c:pt idx="821">
                    <c:v>04/06/2025</c:v>
                  </c:pt>
                  <c:pt idx="822">
                    <c:v>04/06/2025</c:v>
                  </c:pt>
                  <c:pt idx="823">
                    <c:v>20/11/2025</c:v>
                  </c:pt>
                  <c:pt idx="824">
                    <c:v>20/11/2025</c:v>
                  </c:pt>
                  <c:pt idx="825">
                    <c:v>20/11/2025</c:v>
                  </c:pt>
                  <c:pt idx="826">
                    <c:v>20/11/2025</c:v>
                  </c:pt>
                  <c:pt idx="827">
                    <c:v>20/11/2025</c:v>
                  </c:pt>
                  <c:pt idx="828">
                    <c:v>24/04/2020</c:v>
                  </c:pt>
                  <c:pt idx="829">
                    <c:v>30/10/2025</c:v>
                  </c:pt>
                  <c:pt idx="830">
                    <c:v>20/11/2025</c:v>
                  </c:pt>
                  <c:pt idx="831">
                    <c:v>07/05/2021</c:v>
                  </c:pt>
                  <c:pt idx="832">
                    <c:v>11/05/2023</c:v>
                  </c:pt>
                  <c:pt idx="833">
                    <c:v>30/10/2025</c:v>
                  </c:pt>
                  <c:pt idx="834">
                    <c:v>30/10/2025</c:v>
                  </c:pt>
                  <c:pt idx="835">
                    <c:v>25/04/2024</c:v>
                  </c:pt>
                  <c:pt idx="836">
                    <c:v>16/08/2023</c:v>
                  </c:pt>
                  <c:pt idx="837">
                    <c:v>16/08/2023</c:v>
                  </c:pt>
                  <c:pt idx="838">
                    <c:v>13/07/2022</c:v>
                  </c:pt>
                  <c:pt idx="839">
                    <c:v>27/07/2023</c:v>
                  </c:pt>
                  <c:pt idx="840">
                    <c:v>16/11/2022</c:v>
                  </c:pt>
                  <c:pt idx="841">
                    <c:v>22/03/2022</c:v>
                  </c:pt>
                  <c:pt idx="842">
                    <c:v>12/08/2022</c:v>
                  </c:pt>
                  <c:pt idx="843">
                    <c:v>20/11/2025</c:v>
                  </c:pt>
                  <c:pt idx="844">
                    <c:v>20/11/2025</c:v>
                  </c:pt>
                  <c:pt idx="845">
                    <c:v>20/11/2025</c:v>
                  </c:pt>
                  <c:pt idx="846">
                    <c:v>09/04/2021</c:v>
                  </c:pt>
                  <c:pt idx="847">
                    <c:v>21/11/2023</c:v>
                  </c:pt>
                  <c:pt idx="848">
                    <c:v>21/02/2022</c:v>
                  </c:pt>
                  <c:pt idx="849">
                    <c:v>07/01/2026</c:v>
                  </c:pt>
                  <c:pt idx="850">
                    <c:v>30/11/2022</c:v>
                  </c:pt>
                  <c:pt idx="851">
                    <c:v>30/11/2022</c:v>
                  </c:pt>
                  <c:pt idx="852">
                    <c:v>12/02/2021</c:v>
                  </c:pt>
                  <c:pt idx="853">
                    <c:v>24/03/2025</c:v>
                  </c:pt>
                  <c:pt idx="854">
                    <c:v>23/12/2020</c:v>
                  </c:pt>
                  <c:pt idx="855">
                    <c:v>23/12/2020</c:v>
                  </c:pt>
                  <c:pt idx="856">
                    <c:v>16/08/2021</c:v>
                  </c:pt>
                  <c:pt idx="857">
                    <c:v>24/03/2025</c:v>
                  </c:pt>
                  <c:pt idx="858">
                    <c:v>24/03/2025</c:v>
                  </c:pt>
                  <c:pt idx="859">
                    <c:v>05/05/2020</c:v>
                  </c:pt>
                  <c:pt idx="860">
                    <c:v>24/03/2025</c:v>
                  </c:pt>
                  <c:pt idx="861">
                    <c:v>24/03/2025</c:v>
                  </c:pt>
                  <c:pt idx="862">
                    <c:v>30/11/2022</c:v>
                  </c:pt>
                  <c:pt idx="863">
                    <c:v>27/04/2022</c:v>
                  </c:pt>
                  <c:pt idx="864">
                    <c:v>18/03/2025</c:v>
                  </c:pt>
                  <c:pt idx="865">
                    <c:v>10/12/2024</c:v>
                  </c:pt>
                  <c:pt idx="866">
                    <c:v>02/03/2021</c:v>
                  </c:pt>
                  <c:pt idx="867">
                    <c:v>06/01/2026</c:v>
                  </c:pt>
                  <c:pt idx="868">
                    <c:v>10/12/2024</c:v>
                  </c:pt>
                  <c:pt idx="869">
                    <c:v>05/05/2020</c:v>
                  </c:pt>
                  <c:pt idx="870">
                    <c:v>15/11/2023</c:v>
                  </c:pt>
                  <c:pt idx="871">
                    <c:v>15/09/2025</c:v>
                  </c:pt>
                  <c:pt idx="872">
                    <c:v>23/04/2025</c:v>
                  </c:pt>
                  <c:pt idx="873">
                    <c:v>28/03/2022</c:v>
                  </c:pt>
                  <c:pt idx="874">
                    <c:v>28/03/2022</c:v>
                  </c:pt>
                  <c:pt idx="875">
                    <c:v>28/03/2022</c:v>
                  </c:pt>
                  <c:pt idx="876">
                    <c:v>25/04/2022</c:v>
                  </c:pt>
                  <c:pt idx="877">
                    <c:v>22/02/2021</c:v>
                  </c:pt>
                  <c:pt idx="878">
                    <c:v>29/10/2021</c:v>
                  </c:pt>
                  <c:pt idx="879">
                    <c:v>15/03/2022</c:v>
                  </c:pt>
                  <c:pt idx="880">
                    <c:v>07/10/2024</c:v>
                  </c:pt>
                  <c:pt idx="881">
                    <c:v>13/07/2022</c:v>
                  </c:pt>
                  <c:pt idx="882">
                    <c:v>28/10/2023</c:v>
                  </c:pt>
                  <c:pt idx="883">
                    <c:v>29/10/2025</c:v>
                  </c:pt>
                  <c:pt idx="884">
                    <c:v>15/03/2021</c:v>
                  </c:pt>
                  <c:pt idx="885">
                    <c:v>11/11/2021</c:v>
                  </c:pt>
                  <c:pt idx="886">
                    <c:v>29/09/2025</c:v>
                  </c:pt>
                  <c:pt idx="887">
                    <c:v>29/09/2025</c:v>
                  </c:pt>
                  <c:pt idx="888">
                    <c:v>29/09/2025</c:v>
                  </c:pt>
                  <c:pt idx="889">
                    <c:v>13/01/2023</c:v>
                  </c:pt>
                  <c:pt idx="890">
                    <c:v>15/04/2025</c:v>
                  </c:pt>
                  <c:pt idx="891">
                    <c:v>06/04/2022</c:v>
                  </c:pt>
                  <c:pt idx="892">
                    <c:v>06/04/2022</c:v>
                  </c:pt>
                  <c:pt idx="893">
                    <c:v>10/04/2023</c:v>
                  </c:pt>
                  <c:pt idx="894">
                    <c:v>07/10/2024</c:v>
                  </c:pt>
                  <c:pt idx="895">
                    <c:v>10/12/2024</c:v>
                  </c:pt>
                  <c:pt idx="896">
                    <c:v>10/12/2024</c:v>
                  </c:pt>
                  <c:pt idx="897">
                    <c:v>06/09/2023</c:v>
                  </c:pt>
                  <c:pt idx="898">
                    <c:v>22/02/2021</c:v>
                  </c:pt>
                  <c:pt idx="899">
                    <c:v>06/04/2022</c:v>
                  </c:pt>
                  <c:pt idx="900">
                    <c:v>06/04/2022</c:v>
                  </c:pt>
                  <c:pt idx="901">
                    <c:v>06/04/2022</c:v>
                  </c:pt>
                  <c:pt idx="902">
                    <c:v>05/05/2020</c:v>
                  </c:pt>
                  <c:pt idx="903">
                    <c:v>22/02/2021</c:v>
                  </c:pt>
                  <c:pt idx="904">
                    <c:v>07/06/2024</c:v>
                  </c:pt>
                  <c:pt idx="905">
                    <c:v>30/12/2024</c:v>
                  </c:pt>
                  <c:pt idx="906">
                    <c:v>29/09/2025</c:v>
                  </c:pt>
                  <c:pt idx="907">
                    <c:v>20/11/2025</c:v>
                  </c:pt>
                  <c:pt idx="908">
                    <c:v>12/02/2021</c:v>
                  </c:pt>
                  <c:pt idx="909">
                    <c:v>12/02/2021</c:v>
                  </c:pt>
                  <c:pt idx="910">
                    <c:v>02/12/2021</c:v>
                  </c:pt>
                  <c:pt idx="911">
                    <c:v>02/12/2021</c:v>
                  </c:pt>
                  <c:pt idx="912">
                    <c:v>16/01/2025</c:v>
                  </c:pt>
                  <c:pt idx="913">
                    <c:v>17/08/2025</c:v>
                  </c:pt>
                  <c:pt idx="914">
                    <c:v>19/02/2024</c:v>
                  </c:pt>
                  <c:pt idx="915">
                    <c:v>17/08/2025</c:v>
                  </c:pt>
                  <c:pt idx="916">
                    <c:v>30/04/2025</c:v>
                  </c:pt>
                  <c:pt idx="917">
                    <c:v>30/04/2025</c:v>
                  </c:pt>
                  <c:pt idx="918">
                    <c:v>07/07/2022</c:v>
                  </c:pt>
                  <c:pt idx="919">
                    <c:v>25/04/2024</c:v>
                  </c:pt>
                  <c:pt idx="920">
                    <c:v>28/11/2023</c:v>
                  </c:pt>
                  <c:pt idx="921">
                    <c:v>11/07/2025</c:v>
                  </c:pt>
                  <c:pt idx="922">
                    <c:v>11/01/2025</c:v>
                  </c:pt>
                  <c:pt idx="923">
                    <c:v>20/10/2023</c:v>
                  </c:pt>
                  <c:pt idx="924">
                    <c:v>28/11/2023</c:v>
                  </c:pt>
                  <c:pt idx="925">
                    <c:v>20/11/2025</c:v>
                  </c:pt>
                  <c:pt idx="926">
                    <c:v>21/10/2023</c:v>
                  </c:pt>
                  <c:pt idx="931">
                    <c:v>25/04/2025</c:v>
                  </c:pt>
                  <c:pt idx="932">
                    <c:v>25/04/2025</c:v>
                  </c:pt>
                  <c:pt idx="933">
                    <c:v>27/12/2024</c:v>
                  </c:pt>
                  <c:pt idx="934">
                    <c:v>27/12/2024</c:v>
                  </c:pt>
                  <c:pt idx="935">
                    <c:v>27/12/2024</c:v>
                  </c:pt>
                  <c:pt idx="936">
                    <c:v>27/12/2024</c:v>
                  </c:pt>
                  <c:pt idx="937">
                    <c:v>27/12/2024</c:v>
                  </c:pt>
                  <c:pt idx="938">
                    <c:v>27/12/2024</c:v>
                  </c:pt>
                  <c:pt idx="939">
                    <c:v>06/06/2024</c:v>
                  </c:pt>
                  <c:pt idx="940">
                    <c:v>31/07/2024</c:v>
                  </c:pt>
                  <c:pt idx="941">
                    <c:v>16/11/2022</c:v>
                  </c:pt>
                  <c:pt idx="942">
                    <c:v>06/10/2022</c:v>
                  </c:pt>
                  <c:pt idx="943">
                    <c:v>03/03/2021</c:v>
                  </c:pt>
                  <c:pt idx="944">
                    <c:v>25/04/2024</c:v>
                  </c:pt>
                  <c:pt idx="945">
                    <c:v>28/03/2022</c:v>
                  </c:pt>
                  <c:pt idx="946">
                    <c:v>27/12/2024</c:v>
                  </c:pt>
                  <c:pt idx="947">
                    <c:v>27/12/2024</c:v>
                  </c:pt>
                  <c:pt idx="948">
                    <c:v>27/12/2024</c:v>
                  </c:pt>
                  <c:pt idx="949">
                    <c:v>21/09/2021</c:v>
                  </c:pt>
                  <c:pt idx="950">
                    <c:v>25/04/2024</c:v>
                  </c:pt>
                  <c:pt idx="951">
                    <c:v>25/04/2024</c:v>
                  </c:pt>
                  <c:pt idx="952">
                    <c:v>25/04/2024</c:v>
                  </c:pt>
                  <c:pt idx="953">
                    <c:v>13/01/2023</c:v>
                  </c:pt>
                  <c:pt idx="954">
                    <c:v>25/04/2024</c:v>
                  </c:pt>
                  <c:pt idx="955">
                    <c:v>26/10/2023</c:v>
                  </c:pt>
                  <c:pt idx="956">
                    <c:v>04/06/2025</c:v>
                  </c:pt>
                  <c:pt idx="957">
                    <c:v>30/10/2025</c:v>
                  </c:pt>
                  <c:pt idx="958">
                    <c:v>30/10/2025</c:v>
                  </c:pt>
                  <c:pt idx="959">
                    <c:v>04/11/2025</c:v>
                  </c:pt>
                  <c:pt idx="960">
                    <c:v>16/03/2023</c:v>
                  </c:pt>
                  <c:pt idx="961">
                    <c:v>18/09/2025</c:v>
                  </c:pt>
                  <c:pt idx="962">
                    <c:v>07/07/2022</c:v>
                  </c:pt>
                  <c:pt idx="963">
                    <c:v>07/07/2022</c:v>
                  </c:pt>
                  <c:pt idx="964">
                    <c:v>07/07/2022</c:v>
                  </c:pt>
                  <c:pt idx="965">
                    <c:v>07/07/2022</c:v>
                  </c:pt>
                  <c:pt idx="966">
                    <c:v>14/11/2023</c:v>
                  </c:pt>
                  <c:pt idx="967">
                    <c:v>07/07/2022</c:v>
                  </c:pt>
                  <c:pt idx="968">
                    <c:v>21/09/2021</c:v>
                  </c:pt>
                  <c:pt idx="969">
                    <c:v>21/09/2021</c:v>
                  </c:pt>
                  <c:pt idx="971">
                    <c:v>20/11/2025</c:v>
                  </c:pt>
                  <c:pt idx="972">
                    <c:v>20/11/2025</c:v>
                  </c:pt>
                  <c:pt idx="973">
                    <c:v>20/11/2025</c:v>
                  </c:pt>
                  <c:pt idx="974">
                    <c:v>04/06/2025</c:v>
                  </c:pt>
                  <c:pt idx="975">
                    <c:v>15/07/2021</c:v>
                  </c:pt>
                  <c:pt idx="976">
                    <c:v>09/09/2025</c:v>
                  </c:pt>
                  <c:pt idx="977">
                    <c:v>04/06/2025</c:v>
                  </c:pt>
                  <c:pt idx="978">
                    <c:v>04/06/2025</c:v>
                  </c:pt>
                  <c:pt idx="979">
                    <c:v>20/11/2025</c:v>
                  </c:pt>
                  <c:pt idx="980">
                    <c:v>07/07/2022</c:v>
                  </c:pt>
                  <c:pt idx="981">
                    <c:v>07/07/2022</c:v>
                  </c:pt>
                  <c:pt idx="982">
                    <c:v>18/09/2025</c:v>
                  </c:pt>
                  <c:pt idx="983">
                    <c:v>16/03/2023</c:v>
                  </c:pt>
                  <c:pt idx="984">
                    <c:v>20/10/2023</c:v>
                  </c:pt>
                  <c:pt idx="985">
                    <c:v>20/10/2023</c:v>
                  </c:pt>
                  <c:pt idx="986">
                    <c:v>20/10/2023</c:v>
                  </c:pt>
                  <c:pt idx="987">
                    <c:v>20/10/2023</c:v>
                  </c:pt>
                  <c:pt idx="988">
                    <c:v>29/06/2020</c:v>
                  </c:pt>
                  <c:pt idx="989">
                    <c:v>20/10/2023</c:v>
                  </c:pt>
                  <c:pt idx="990">
                    <c:v>20/10/2023</c:v>
                  </c:pt>
                  <c:pt idx="991">
                    <c:v>20/07/2023</c:v>
                  </c:pt>
                  <c:pt idx="992">
                    <c:v>29/09/2025</c:v>
                  </c:pt>
                  <c:pt idx="993">
                    <c:v>20/03/2023</c:v>
                  </c:pt>
                  <c:pt idx="994">
                    <c:v>29/09/2025</c:v>
                  </c:pt>
                  <c:pt idx="995">
                    <c:v>29/09/2025</c:v>
                  </c:pt>
                  <c:pt idx="996">
                    <c:v>20/03/2023</c:v>
                  </c:pt>
                  <c:pt idx="997">
                    <c:v>22/03/2022</c:v>
                  </c:pt>
                  <c:pt idx="998">
                    <c:v>30/10/2025</c:v>
                  </c:pt>
                  <c:pt idx="999">
                    <c:v>30/10/2025</c:v>
                  </c:pt>
                  <c:pt idx="1000">
                    <c:v>30/10/2025</c:v>
                  </c:pt>
                  <c:pt idx="1001">
                    <c:v>30/10/2025</c:v>
                  </c:pt>
                  <c:pt idx="1002">
                    <c:v>30/10/2025</c:v>
                  </c:pt>
                  <c:pt idx="1003">
                    <c:v>28/03/2022</c:v>
                  </c:pt>
                  <c:pt idx="1004">
                    <c:v>30/10/2025</c:v>
                  </c:pt>
                  <c:pt idx="1005">
                    <c:v>30/10/2025</c:v>
                  </c:pt>
                  <c:pt idx="1006">
                    <c:v>30/10/2025</c:v>
                  </c:pt>
                  <c:pt idx="1007">
                    <c:v>30/10/2025</c:v>
                  </c:pt>
                  <c:pt idx="1008">
                    <c:v>15/03/2024</c:v>
                  </c:pt>
                  <c:pt idx="1009">
                    <c:v>15/03/2024</c:v>
                  </c:pt>
                  <c:pt idx="1010">
                    <c:v>15/03/2024</c:v>
                  </c:pt>
                  <c:pt idx="1011">
                    <c:v>28/03/2022</c:v>
                  </c:pt>
                  <c:pt idx="1012">
                    <c:v>29/09/2025</c:v>
                  </c:pt>
                  <c:pt idx="1013">
                    <c:v>16/06/2022</c:v>
                  </c:pt>
                  <c:pt idx="1014">
                    <c:v>16/06/2022</c:v>
                  </c:pt>
                  <c:pt idx="1015">
                    <c:v>16/09/2022</c:v>
                  </c:pt>
                  <c:pt idx="1016">
                    <c:v>16/06/2022</c:v>
                  </c:pt>
                  <c:pt idx="1017">
                    <c:v>16/06/2022</c:v>
                  </c:pt>
                  <c:pt idx="1018">
                    <c:v>04/06/2025</c:v>
                  </c:pt>
                  <c:pt idx="1019">
                    <c:v>04/06/2025</c:v>
                  </c:pt>
                  <c:pt idx="1020">
                    <c:v>04/06/2025</c:v>
                  </c:pt>
                  <c:pt idx="1021">
                    <c:v>04/06/2025</c:v>
                  </c:pt>
                  <c:pt idx="1022">
                    <c:v>14/11/2024</c:v>
                  </c:pt>
                  <c:pt idx="1023">
                    <c:v>27/01/2024</c:v>
                  </c:pt>
                  <c:pt idx="1024">
                    <c:v>14/11/2024</c:v>
                  </c:pt>
                  <c:pt idx="1025">
                    <c:v>10/09/2024</c:v>
                  </c:pt>
                  <c:pt idx="1026">
                    <c:v>25/04/2025</c:v>
                  </c:pt>
                  <c:pt idx="1027">
                    <c:v>25/04/2025</c:v>
                  </c:pt>
                  <c:pt idx="1028">
                    <c:v>25/04/2025</c:v>
                  </c:pt>
                  <c:pt idx="1029">
                    <c:v>25/04/2025</c:v>
                  </c:pt>
                  <c:pt idx="1030">
                    <c:v>04/06/2025</c:v>
                  </c:pt>
                  <c:pt idx="1031">
                    <c:v>04/06/2025</c:v>
                  </c:pt>
                  <c:pt idx="1032">
                    <c:v>04/06/2025</c:v>
                  </c:pt>
                  <c:pt idx="1033">
                    <c:v>15/10/2025</c:v>
                  </c:pt>
                  <c:pt idx="1034">
                    <c:v>15/10/2025</c:v>
                  </c:pt>
                  <c:pt idx="1035">
                    <c:v>15/10/2025</c:v>
                  </c:pt>
                  <c:pt idx="1036">
                    <c:v>09/09/2025</c:v>
                  </c:pt>
                  <c:pt idx="1037">
                    <c:v>09/09/2025</c:v>
                  </c:pt>
                  <c:pt idx="1038">
                    <c:v>09/09/2025</c:v>
                  </c:pt>
                  <c:pt idx="1039">
                    <c:v>09/09/2025</c:v>
                  </c:pt>
                  <c:pt idx="1040">
                    <c:v>30/10/2025</c:v>
                  </c:pt>
                  <c:pt idx="1041">
                    <c:v>09/09/2025</c:v>
                  </c:pt>
                  <c:pt idx="1042">
                    <c:v>09/09/2025</c:v>
                  </c:pt>
                  <c:pt idx="1043">
                    <c:v>09/09/2025</c:v>
                  </c:pt>
                  <c:pt idx="1044">
                    <c:v>30/10/2025</c:v>
                  </c:pt>
                  <c:pt idx="1045">
                    <c:v>09/09/2025</c:v>
                  </c:pt>
                  <c:pt idx="1046">
                    <c:v>09/09/2025</c:v>
                  </c:pt>
                  <c:pt idx="1047">
                    <c:v>08/03/2022</c:v>
                  </c:pt>
                  <c:pt idx="1048">
                    <c:v>08/03/2022</c:v>
                  </c:pt>
                  <c:pt idx="1049">
                    <c:v>08/03/2022</c:v>
                  </c:pt>
                  <c:pt idx="1050">
                    <c:v>15/10/2025</c:v>
                  </c:pt>
                  <c:pt idx="1051">
                    <c:v>15/10/2025</c:v>
                  </c:pt>
                  <c:pt idx="1052">
                    <c:v>18/01/2023</c:v>
                  </c:pt>
                  <c:pt idx="1053">
                    <c:v>13/03/2024</c:v>
                  </c:pt>
                  <c:pt idx="1054">
                    <c:v>07/02/2024</c:v>
                  </c:pt>
                  <c:pt idx="1055">
                    <c:v>07/02/2024</c:v>
                  </c:pt>
                  <c:pt idx="1056">
                    <c:v>26/02/2025</c:v>
                  </c:pt>
                  <c:pt idx="1057">
                    <c:v>15/04/2025</c:v>
                  </c:pt>
                  <c:pt idx="1058">
                    <c:v>15/04/2025</c:v>
                  </c:pt>
                  <c:pt idx="1059">
                    <c:v>30/10/2025</c:v>
                  </c:pt>
                  <c:pt idx="1060">
                    <c:v>11/06/2025</c:v>
                  </c:pt>
                  <c:pt idx="1061">
                    <c:v>18/12/2025</c:v>
                  </c:pt>
                  <c:pt idx="1062">
                    <c:v>11/06/2025</c:v>
                  </c:pt>
                  <c:pt idx="1063">
                    <c:v>13/04/2023</c:v>
                  </c:pt>
                  <c:pt idx="1064">
                    <c:v>13/04/2023</c:v>
                  </c:pt>
                  <c:pt idx="1065">
                    <c:v>15/04/2025</c:v>
                  </c:pt>
                  <c:pt idx="1066">
                    <c:v>15/04/2025</c:v>
                  </c:pt>
                  <c:pt idx="1067">
                    <c:v>05/12/2024</c:v>
                  </c:pt>
                  <c:pt idx="1068">
                    <c:v>01/11/2023</c:v>
                  </c:pt>
                  <c:pt idx="1069">
                    <c:v>28/05/2025</c:v>
                  </c:pt>
                  <c:pt idx="1070">
                    <c:v>28/05/2025</c:v>
                  </c:pt>
                  <c:pt idx="1071">
                    <c:v>30/10/2025</c:v>
                  </c:pt>
                  <c:pt idx="1072">
                    <c:v>07/05/2021</c:v>
                  </c:pt>
                  <c:pt idx="1073">
                    <c:v>07/05/2021</c:v>
                  </c:pt>
                  <c:pt idx="1074">
                    <c:v>07/05/2021</c:v>
                  </c:pt>
                  <c:pt idx="1075">
                    <c:v>07/05/2021</c:v>
                  </c:pt>
                  <c:pt idx="1076">
                    <c:v>07/05/2021</c:v>
                  </c:pt>
                  <c:pt idx="1078">
                    <c:v>07/03/2024</c:v>
                  </c:pt>
                  <c:pt idx="1079">
                    <c:v>07/03/2024</c:v>
                  </c:pt>
                  <c:pt idx="1080">
                    <c:v>09/09/2025</c:v>
                  </c:pt>
                  <c:pt idx="1081">
                    <c:v>04/06/2025</c:v>
                  </c:pt>
                  <c:pt idx="1082">
                    <c:v>04/06/2025</c:v>
                  </c:pt>
                  <c:pt idx="1083">
                    <c:v>04/06/2025</c:v>
                  </c:pt>
                  <c:pt idx="1084">
                    <c:v>04/06/2025</c:v>
                  </c:pt>
                  <c:pt idx="1085">
                    <c:v>15/10/2025</c:v>
                  </c:pt>
                  <c:pt idx="1086">
                    <c:v>15/10/2025</c:v>
                  </c:pt>
                  <c:pt idx="1087">
                    <c:v>20/10/2023</c:v>
                  </c:pt>
                  <c:pt idx="1088">
                    <c:v>20/10/2023</c:v>
                  </c:pt>
                  <c:pt idx="1089">
                    <c:v>20/10/2023</c:v>
                  </c:pt>
                  <c:pt idx="1090">
                    <c:v>20/10/2023</c:v>
                  </c:pt>
                  <c:pt idx="1091">
                    <c:v>09/09/2022</c:v>
                  </c:pt>
                  <c:pt idx="1092">
                    <c:v>16/03/2023</c:v>
                  </c:pt>
                  <c:pt idx="1093">
                    <c:v>16/03/2023</c:v>
                  </c:pt>
                  <c:pt idx="1094">
                    <c:v>07/07/2022</c:v>
                  </c:pt>
                  <c:pt idx="1095">
                    <c:v>18/09/2025</c:v>
                  </c:pt>
                  <c:pt idx="1096">
                    <c:v>13/05/2021</c:v>
                  </c:pt>
                  <c:pt idx="1097">
                    <c:v>06/10/2021</c:v>
                  </c:pt>
                  <c:pt idx="1098">
                    <c:v>01/11/2023</c:v>
                  </c:pt>
                  <c:pt idx="1099">
                    <c:v>16/11/2022</c:v>
                  </c:pt>
                  <c:pt idx="1100">
                    <c:v>07/03/2024</c:v>
                  </c:pt>
                  <c:pt idx="1101">
                    <c:v>30/10/2025</c:v>
                  </c:pt>
                  <c:pt idx="1102">
                    <c:v>10/12/2024</c:v>
                  </c:pt>
                  <c:pt idx="1103">
                    <c:v>18/12/2025</c:v>
                  </c:pt>
                  <c:pt idx="1104">
                    <c:v>16/11/2022</c:v>
                  </c:pt>
                  <c:pt idx="1105">
                    <c:v>03/03/2021</c:v>
                  </c:pt>
                  <c:pt idx="1106">
                    <c:v>02/06/2022</c:v>
                  </c:pt>
                  <c:pt idx="1107">
                    <c:v>01/11/2023</c:v>
                  </c:pt>
                  <c:pt idx="1108">
                    <c:v>28/08/2024</c:v>
                  </c:pt>
                  <c:pt idx="1109">
                    <c:v>14/11/2024</c:v>
                  </c:pt>
                  <c:pt idx="1110">
                    <c:v>10/12/2021</c:v>
                  </c:pt>
                  <c:pt idx="1111">
                    <c:v>11/12/2021</c:v>
                  </c:pt>
                  <c:pt idx="1112">
                    <c:v>13/12/2021</c:v>
                  </c:pt>
                  <c:pt idx="1113">
                    <c:v>14/12/2021</c:v>
                  </c:pt>
                  <c:pt idx="1114">
                    <c:v>15/12/2021</c:v>
                  </c:pt>
                  <c:pt idx="1115">
                    <c:v>10/09/2024</c:v>
                  </c:pt>
                  <c:pt idx="1116">
                    <c:v>28/10/2024</c:v>
                  </c:pt>
                  <c:pt idx="1117">
                    <c:v>28/10/2024</c:v>
                  </c:pt>
                  <c:pt idx="1118">
                    <c:v>17/12/2021</c:v>
                  </c:pt>
                  <c:pt idx="1119">
                    <c:v>14/07/2025</c:v>
                  </c:pt>
                  <c:pt idx="1120">
                    <c:v>14/07/2025</c:v>
                  </c:pt>
                  <c:pt idx="1121">
                    <c:v>28/03/2022</c:v>
                  </c:pt>
                  <c:pt idx="1122">
                    <c:v>05/06/2025</c:v>
                  </c:pt>
                  <c:pt idx="1123">
                    <c:v>05/06/2025</c:v>
                  </c:pt>
                  <c:pt idx="1124">
                    <c:v>25/04/2024</c:v>
                  </c:pt>
                  <c:pt idx="1125">
                    <c:v>25/04/2024</c:v>
                  </c:pt>
                  <c:pt idx="1126">
                    <c:v>25/04/2024</c:v>
                  </c:pt>
                  <c:pt idx="1127">
                    <c:v>02/09/2022</c:v>
                  </c:pt>
                  <c:pt idx="1128">
                    <c:v>30/10/2025</c:v>
                  </c:pt>
                  <c:pt idx="1129">
                    <c:v>30/10/2025</c:v>
                  </c:pt>
                  <c:pt idx="1130">
                    <c:v>30/10/2025</c:v>
                  </c:pt>
                  <c:pt idx="1131">
                    <c:v>30/10/2025</c:v>
                  </c:pt>
                  <c:pt idx="1132">
                    <c:v>30/10/2025</c:v>
                  </c:pt>
                  <c:pt idx="1133">
                    <c:v>30/10/2025</c:v>
                  </c:pt>
                  <c:pt idx="1134">
                    <c:v>30/10/2025</c:v>
                  </c:pt>
                  <c:pt idx="1135">
                    <c:v>30/10/2025</c:v>
                  </c:pt>
                  <c:pt idx="1136">
                    <c:v>24/03/2020</c:v>
                  </c:pt>
                  <c:pt idx="1137">
                    <c:v>24/03/2020</c:v>
                  </c:pt>
                  <c:pt idx="1138">
                    <c:v>24/03/2020</c:v>
                  </c:pt>
                  <c:pt idx="1139">
                    <c:v>24/03/2020</c:v>
                  </c:pt>
                  <c:pt idx="1140">
                    <c:v>24/03/2020</c:v>
                  </c:pt>
                  <c:pt idx="1141">
                    <c:v>24/03/2020</c:v>
                  </c:pt>
                  <c:pt idx="1142">
                    <c:v>09/09/2025</c:v>
                  </c:pt>
                  <c:pt idx="1143">
                    <c:v>16/02/2022</c:v>
                  </c:pt>
                  <c:pt idx="1144">
                    <c:v>26/02/2025</c:v>
                  </c:pt>
                  <c:pt idx="1145">
                    <c:v>20/03/2023</c:v>
                  </c:pt>
                  <c:pt idx="1146">
                    <c:v>26/02/2025</c:v>
                  </c:pt>
                  <c:pt idx="1147">
                    <c:v>14/04/2023</c:v>
                  </c:pt>
                  <c:pt idx="1148">
                    <c:v>24/10/2024</c:v>
                  </c:pt>
                  <c:pt idx="1149">
                    <c:v>11/06/2025</c:v>
                  </c:pt>
                  <c:pt idx="1150">
                    <c:v>01/11/2023</c:v>
                  </c:pt>
                  <c:pt idx="1151">
                    <c:v>03/03/2021</c:v>
                  </c:pt>
                  <c:pt idx="1152">
                    <c:v>18/12/2025</c:v>
                  </c:pt>
                  <c:pt idx="1153">
                    <c:v>10/12/2024</c:v>
                  </c:pt>
                  <c:pt idx="1154">
                    <c:v>10/12/2024</c:v>
                  </c:pt>
                  <c:pt idx="1155">
                    <c:v>25/04/2024</c:v>
                  </c:pt>
                  <c:pt idx="1156">
                    <c:v>14/01/2021</c:v>
                  </c:pt>
                  <c:pt idx="1157">
                    <c:v>22/07/2021</c:v>
                  </c:pt>
                  <c:pt idx="1158">
                    <c:v>16/11/2022</c:v>
                  </c:pt>
                  <c:pt idx="1159">
                    <c:v>06/09/2023</c:v>
                  </c:pt>
                  <c:pt idx="1160">
                    <c:v>18/12/2025</c:v>
                  </c:pt>
                  <c:pt idx="1161">
                    <c:v>30/10/2025</c:v>
                  </c:pt>
                  <c:pt idx="1162">
                    <c:v>01/11/2023</c:v>
                  </c:pt>
                  <c:pt idx="1163">
                    <c:v>18/12/2025</c:v>
                  </c:pt>
                  <c:pt idx="1164">
                    <c:v>30/10/2025</c:v>
                  </c:pt>
                  <c:pt idx="1165">
                    <c:v>30/10/2025</c:v>
                  </c:pt>
                  <c:pt idx="1166">
                    <c:v>26/10/2023</c:v>
                  </c:pt>
                  <c:pt idx="1167">
                    <c:v>21/09/2021</c:v>
                  </c:pt>
                  <c:pt idx="1168">
                    <c:v>28/03/2022</c:v>
                  </c:pt>
                  <c:pt idx="1169">
                    <c:v>21/10/2021</c:v>
                  </c:pt>
                  <c:pt idx="1170">
                    <c:v>15/03/2024</c:v>
                  </c:pt>
                  <c:pt idx="1171">
                    <c:v>15/03/2024</c:v>
                  </c:pt>
                  <c:pt idx="1172">
                    <c:v>15/03/2024</c:v>
                  </c:pt>
                  <c:pt idx="1173">
                    <c:v>10/09/2024</c:v>
                  </c:pt>
                  <c:pt idx="1174">
                    <c:v>15/03/2024</c:v>
                  </c:pt>
                  <c:pt idx="1175">
                    <c:v>15/03/2024</c:v>
                  </c:pt>
                  <c:pt idx="1176">
                    <c:v>15/03/2024</c:v>
                  </c:pt>
                  <c:pt idx="1177">
                    <c:v>15/03/2024</c:v>
                  </c:pt>
                  <c:pt idx="1178">
                    <c:v>20/11/2025</c:v>
                  </c:pt>
                  <c:pt idx="1179">
                    <c:v>20/11/2025</c:v>
                  </c:pt>
                  <c:pt idx="1180">
                    <c:v>20/11/2025</c:v>
                  </c:pt>
                  <c:pt idx="1181">
                    <c:v>20/11/2025</c:v>
                  </c:pt>
                  <c:pt idx="1182">
                    <c:v>16/06/2022</c:v>
                  </c:pt>
                  <c:pt idx="1183">
                    <c:v>16/06/2022</c:v>
                  </c:pt>
                  <c:pt idx="1184">
                    <c:v>30/10/2025</c:v>
                  </c:pt>
                  <c:pt idx="1185">
                    <c:v>27/01/2024</c:v>
                  </c:pt>
                  <c:pt idx="1186">
                    <c:v>27/01/2024</c:v>
                  </c:pt>
                  <c:pt idx="1187">
                    <c:v>14/01/2021</c:v>
                  </c:pt>
                  <c:pt idx="1188">
                    <c:v>24/04/2024</c:v>
                  </c:pt>
                  <c:pt idx="1189">
                    <c:v>16/11/2022</c:v>
                  </c:pt>
                  <c:pt idx="1190">
                    <c:v>16/11/2022</c:v>
                  </c:pt>
                  <c:pt idx="1191">
                    <c:v>16/11/2022</c:v>
                  </c:pt>
                  <c:pt idx="1192">
                    <c:v>16/02/2022</c:v>
                  </c:pt>
                  <c:pt idx="1193">
                    <c:v>06/09/2023</c:v>
                  </c:pt>
                  <c:pt idx="1194">
                    <c:v>24/04/2024</c:v>
                  </c:pt>
                  <c:pt idx="1195">
                    <c:v>13/04/2023</c:v>
                  </c:pt>
                  <c:pt idx="1196">
                    <c:v>01/06/2021</c:v>
                  </c:pt>
                  <c:pt idx="1197">
                    <c:v>16/06/2022</c:v>
                  </c:pt>
                  <c:pt idx="1198">
                    <c:v>10/10/2025</c:v>
                  </c:pt>
                  <c:pt idx="1199">
                    <c:v>15/03/2024</c:v>
                  </c:pt>
                  <c:pt idx="1200">
                    <c:v>15/03/2024</c:v>
                  </c:pt>
                  <c:pt idx="1201">
                    <c:v>05/05/2021</c:v>
                  </c:pt>
                  <c:pt idx="1202">
                    <c:v>10/03/2021</c:v>
                  </c:pt>
                  <c:pt idx="1203">
                    <c:v>14/11/2023</c:v>
                  </c:pt>
                  <c:pt idx="1204">
                    <c:v>04/06/2025</c:v>
                  </c:pt>
                  <c:pt idx="1205">
                    <c:v>20/11/2025</c:v>
                  </c:pt>
                  <c:pt idx="1206">
                    <c:v>27/12/2024</c:v>
                  </c:pt>
                  <c:pt idx="1207">
                    <c:v>24/04/2020</c:v>
                  </c:pt>
                  <c:pt idx="1208">
                    <c:v>25/04/2024</c:v>
                  </c:pt>
                  <c:pt idx="1209">
                    <c:v>21/01/1900</c:v>
                  </c:pt>
                  <c:pt idx="1210">
                    <c:v>04/06/2025</c:v>
                  </c:pt>
                  <c:pt idx="1211">
                    <c:v>20/11/2025</c:v>
                  </c:pt>
                  <c:pt idx="1212">
                    <c:v>20/11/2025</c:v>
                  </c:pt>
                  <c:pt idx="1213">
                    <c:v>18/12/2025</c:v>
                  </c:pt>
                  <c:pt idx="1214">
                    <c:v>18/12/2025</c:v>
                  </c:pt>
                  <c:pt idx="1215">
                    <c:v>09/09/2025</c:v>
                  </c:pt>
                  <c:pt idx="1216">
                    <c:v>09/09/2025</c:v>
                  </c:pt>
                  <c:pt idx="1217">
                    <c:v>09/09/2025</c:v>
                  </c:pt>
                  <c:pt idx="1218">
                    <c:v>17/05/2025</c:v>
                  </c:pt>
                  <c:pt idx="1219">
                    <c:v>17/05/2025</c:v>
                  </c:pt>
                  <c:pt idx="1220">
                    <c:v>08/04/2025</c:v>
                  </c:pt>
                  <c:pt idx="1221">
                    <c:v>17/05/2025</c:v>
                  </c:pt>
                  <c:pt idx="1222">
                    <c:v>17/05/2025</c:v>
                  </c:pt>
                  <c:pt idx="1223">
                    <c:v>29/06/2022</c:v>
                  </c:pt>
                  <c:pt idx="1224">
                    <c:v>01/11/2023</c:v>
                  </c:pt>
                  <c:pt idx="1225">
                    <c:v>21/12/2023</c:v>
                  </c:pt>
                  <c:pt idx="1226">
                    <c:v>07/03/2024</c:v>
                  </c:pt>
                  <c:pt idx="1227">
                    <c:v>24/10/2024</c:v>
                  </c:pt>
                  <c:pt idx="1228">
                    <c:v>18/12/2025</c:v>
                  </c:pt>
                  <c:pt idx="1229">
                    <c:v>24/10/2024</c:v>
                  </c:pt>
                  <c:pt idx="1230">
                    <c:v>24/10/2024</c:v>
                  </c:pt>
                  <c:pt idx="1231">
                    <c:v>17/09/2025</c:v>
                  </c:pt>
                  <c:pt idx="1232">
                    <c:v>24/10/2024</c:v>
                  </c:pt>
                  <c:pt idx="1233">
                    <c:v>17/09/2025</c:v>
                  </c:pt>
                  <c:pt idx="1234">
                    <c:v>25/04/2024</c:v>
                  </c:pt>
                  <c:pt idx="1235">
                    <c:v>08/06/2020</c:v>
                  </c:pt>
                  <c:pt idx="1236">
                    <c:v>08/06/2020</c:v>
                  </c:pt>
                  <c:pt idx="1237">
                    <c:v>25/04/2025</c:v>
                  </c:pt>
                  <c:pt idx="1238">
                    <c:v>25/04/2025</c:v>
                  </c:pt>
                  <c:pt idx="1239">
                    <c:v>25/04/2025</c:v>
                  </c:pt>
                  <c:pt idx="1240">
                    <c:v>25/04/2025</c:v>
                  </c:pt>
                  <c:pt idx="1241">
                    <c:v>25/04/2025</c:v>
                  </c:pt>
                  <c:pt idx="1242">
                    <c:v>25/04/2025</c:v>
                  </c:pt>
                  <c:pt idx="1243">
                    <c:v>25/04/2025</c:v>
                  </c:pt>
                  <c:pt idx="1244">
                    <c:v>25/04/2025</c:v>
                  </c:pt>
                  <c:pt idx="1245">
                    <c:v>28/08/2024</c:v>
                  </c:pt>
                  <c:pt idx="1246">
                    <c:v>25/04/2025</c:v>
                  </c:pt>
                  <c:pt idx="1247">
                    <c:v>28/11/2023</c:v>
                  </c:pt>
                  <c:pt idx="1249">
                    <c:v>29/09/2025</c:v>
                  </c:pt>
                  <c:pt idx="1250">
                    <c:v>29/09/2025</c:v>
                  </c:pt>
                  <c:pt idx="1251">
                    <c:v>13/03/2024</c:v>
                  </c:pt>
                  <c:pt idx="1252">
                    <c:v>29/09/2025</c:v>
                  </c:pt>
                  <c:pt idx="1253">
                    <c:v>11/06/2025</c:v>
                  </c:pt>
                  <c:pt idx="1254">
                    <c:v>11/01/2025</c:v>
                  </c:pt>
                  <c:pt idx="1255">
                    <c:v>29/01/2024</c:v>
                  </c:pt>
                  <c:pt idx="1256">
                    <c:v>07/12/2021</c:v>
                  </c:pt>
                  <c:pt idx="1257">
                    <c:v>03/03/2023</c:v>
                  </c:pt>
                  <c:pt idx="1258">
                    <c:v>27/07/2023</c:v>
                  </c:pt>
                  <c:pt idx="1259">
                    <c:v>29/01/2024</c:v>
                  </c:pt>
                  <c:pt idx="1260">
                    <c:v>29/01/2024</c:v>
                  </c:pt>
                  <c:pt idx="1262">
                    <c:v>31/07/2024</c:v>
                  </c:pt>
                  <c:pt idx="1263">
                    <c:v>31/07/2024</c:v>
                  </c:pt>
                  <c:pt idx="1264">
                    <c:v>13/10/2022</c:v>
                  </c:pt>
                  <c:pt idx="1265">
                    <c:v>02/06/2022</c:v>
                  </c:pt>
                  <c:pt idx="1266">
                    <c:v>25/04/2024</c:v>
                  </c:pt>
                  <c:pt idx="1267">
                    <c:v>27/12/2024</c:v>
                  </c:pt>
                  <c:pt idx="1268">
                    <c:v>15/03/2024</c:v>
                  </c:pt>
                  <c:pt idx="1269">
                    <c:v>27/12/2024</c:v>
                  </c:pt>
                  <c:pt idx="1270">
                    <c:v>15/03/2024</c:v>
                  </c:pt>
                  <c:pt idx="1271">
                    <c:v>15/03/2024</c:v>
                  </c:pt>
                  <c:pt idx="1272">
                    <c:v>10/05/2023</c:v>
                  </c:pt>
                  <c:pt idx="1273">
                    <c:v>07/05/2021</c:v>
                  </c:pt>
                  <c:pt idx="1274">
                    <c:v>07/05/2021</c:v>
                  </c:pt>
                  <c:pt idx="1275">
                    <c:v>07/05/2021</c:v>
                  </c:pt>
                  <c:pt idx="1276">
                    <c:v>07/05/2021</c:v>
                  </c:pt>
                  <c:pt idx="1277">
                    <c:v>07/05/2021</c:v>
                  </c:pt>
                  <c:pt idx="1278">
                    <c:v>18/12/2024</c:v>
                  </c:pt>
                  <c:pt idx="1279">
                    <c:v>07/03/2024</c:v>
                  </c:pt>
                  <c:pt idx="1280">
                    <c:v>07/03/2024</c:v>
                  </c:pt>
                  <c:pt idx="1281">
                    <c:v>07/03/2024</c:v>
                  </c:pt>
                  <c:pt idx="1282">
                    <c:v>07/03/2024</c:v>
                  </c:pt>
                  <c:pt idx="1283">
                    <c:v>06/06/2024</c:v>
                  </c:pt>
                  <c:pt idx="1284">
                    <c:v>28/05/2025</c:v>
                  </c:pt>
                  <c:pt idx="1285">
                    <c:v>28/05/2025</c:v>
                  </c:pt>
                  <c:pt idx="1286">
                    <c:v>28/05/2025</c:v>
                  </c:pt>
                  <c:pt idx="1287">
                    <c:v>28/05/2025</c:v>
                  </c:pt>
                  <c:pt idx="1288">
                    <c:v>08/06/2020</c:v>
                  </c:pt>
                  <c:pt idx="1289">
                    <c:v>10/03/2020</c:v>
                  </c:pt>
                  <c:pt idx="1290">
                    <c:v>22/04/2024</c:v>
                  </c:pt>
                  <c:pt idx="1291">
                    <c:v>22/04/2024</c:v>
                  </c:pt>
                  <c:pt idx="1292">
                    <c:v>25/04/2024</c:v>
                  </c:pt>
                  <c:pt idx="1293">
                    <c:v>25/04/2024</c:v>
                  </c:pt>
                  <c:pt idx="1294">
                    <c:v>15/03/2024</c:v>
                  </c:pt>
                  <c:pt idx="1295">
                    <c:v>15/03/2024</c:v>
                  </c:pt>
                  <c:pt idx="1296">
                    <c:v>15/03/2024</c:v>
                  </c:pt>
                  <c:pt idx="1297">
                    <c:v>04/06/2025</c:v>
                  </c:pt>
                  <c:pt idx="1298">
                    <c:v>04/06/2025</c:v>
                  </c:pt>
                  <c:pt idx="1299">
                    <c:v>04/06/2025</c:v>
                  </c:pt>
                  <c:pt idx="1300">
                    <c:v>04/06/2025</c:v>
                  </c:pt>
                  <c:pt idx="1301">
                    <c:v>27/12/2023</c:v>
                  </c:pt>
                  <c:pt idx="1302">
                    <c:v>04/05/2024</c:v>
                  </c:pt>
                  <c:pt idx="1303">
                    <c:v>04/05/2024</c:v>
                  </c:pt>
                  <c:pt idx="1304">
                    <c:v>04/05/2024</c:v>
                  </c:pt>
                  <c:pt idx="1305">
                    <c:v>04/05/2024</c:v>
                  </c:pt>
                  <c:pt idx="1306">
                    <c:v>04/05/2024</c:v>
                  </c:pt>
                  <c:pt idx="1307">
                    <c:v>04/05/2024</c:v>
                  </c:pt>
                  <c:pt idx="1308">
                    <c:v>04/05/2024</c:v>
                  </c:pt>
                  <c:pt idx="1309">
                    <c:v>04/05/2024</c:v>
                  </c:pt>
                  <c:pt idx="1310">
                    <c:v>04/05/2024</c:v>
                  </c:pt>
                  <c:pt idx="1311">
                    <c:v>04/05/2024</c:v>
                  </c:pt>
                  <c:pt idx="1312">
                    <c:v>04/05/2024</c:v>
                  </c:pt>
                  <c:pt idx="1313">
                    <c:v>04/05/2024</c:v>
                  </c:pt>
                  <c:pt idx="1314">
                    <c:v>04/05/2024</c:v>
                  </c:pt>
                  <c:pt idx="1315">
                    <c:v>31/10/2025</c:v>
                  </c:pt>
                  <c:pt idx="1316">
                    <c:v>31/10/2025</c:v>
                  </c:pt>
                  <c:pt idx="1317">
                    <c:v>11/07/2025</c:v>
                  </c:pt>
                  <c:pt idx="1318">
                    <c:v>09/09/2025</c:v>
                  </c:pt>
                  <c:pt idx="1319">
                    <c:v>16/08/2023</c:v>
                  </c:pt>
                  <c:pt idx="1320">
                    <c:v>11/05/2023</c:v>
                  </c:pt>
                  <c:pt idx="1321">
                    <c:v>15/05/2021</c:v>
                  </c:pt>
                  <c:pt idx="1322">
                    <c:v>15/03/2024</c:v>
                  </c:pt>
                  <c:pt idx="1323">
                    <c:v>25/09/2025</c:v>
                  </c:pt>
                  <c:pt idx="1324">
                    <c:v>15/03/2024</c:v>
                  </c:pt>
                  <c:pt idx="1325">
                    <c:v>02/10/2026</c:v>
                  </c:pt>
                  <c:pt idx="1326">
                    <c:v>27/01/2024</c:v>
                  </c:pt>
                  <c:pt idx="1327">
                    <c:v>10/09/2024</c:v>
                  </c:pt>
                  <c:pt idx="1328">
                    <c:v>20/11/2025</c:v>
                  </c:pt>
                  <c:pt idx="1329">
                    <c:v>08/06/2020</c:v>
                  </c:pt>
                  <c:pt idx="1330">
                    <c:v>15/07/2021</c:v>
                  </c:pt>
                  <c:pt idx="1331">
                    <c:v>08/06/2020</c:v>
                  </c:pt>
                  <c:pt idx="1332">
                    <c:v>08/06/2020</c:v>
                  </c:pt>
                  <c:pt idx="1333">
                    <c:v>09/09/2025</c:v>
                  </c:pt>
                  <c:pt idx="1334">
                    <c:v>25/04/2025</c:v>
                  </c:pt>
                  <c:pt idx="1335">
                    <c:v>27/12/2023</c:v>
                  </c:pt>
                  <c:pt idx="1336">
                    <c:v>25/04/2025</c:v>
                  </c:pt>
                  <c:pt idx="1337">
                    <c:v>11/07/2025</c:v>
                  </c:pt>
                  <c:pt idx="1338">
                    <c:v>25/04/2025</c:v>
                  </c:pt>
                  <c:pt idx="1339">
                    <c:v>25/04/2024</c:v>
                  </c:pt>
                  <c:pt idx="1340">
                    <c:v>25/04/2024</c:v>
                  </c:pt>
                  <c:pt idx="1341">
                    <c:v>25/04/2024</c:v>
                  </c:pt>
                  <c:pt idx="1342">
                    <c:v>27/12/2024</c:v>
                  </c:pt>
                  <c:pt idx="1343">
                    <c:v>04/06/2025</c:v>
                  </c:pt>
                  <c:pt idx="1344">
                    <c:v>20/11/2025</c:v>
                  </c:pt>
                  <c:pt idx="1345">
                    <c:v>30/10/2025</c:v>
                  </c:pt>
                  <c:pt idx="1346">
                    <c:v>10/09/2024</c:v>
                  </c:pt>
                  <c:pt idx="1347">
                    <c:v>20/11/2025</c:v>
                  </c:pt>
                  <c:pt idx="1348">
                    <c:v>08/06/2020</c:v>
                  </c:pt>
                  <c:pt idx="1349">
                    <c:v>20/11/2025</c:v>
                  </c:pt>
                  <c:pt idx="1350">
                    <c:v>10/09/2024</c:v>
                  </c:pt>
                  <c:pt idx="1351">
                    <c:v>10/09/2024</c:v>
                  </c:pt>
                  <c:pt idx="1352">
                    <c:v>10/09/2024</c:v>
                  </c:pt>
                  <c:pt idx="1353">
                    <c:v>27/12/2024</c:v>
                  </c:pt>
                  <c:pt idx="1354">
                    <c:v>30/10/2025</c:v>
                  </c:pt>
                  <c:pt idx="1355">
                    <c:v>19/08/2020</c:v>
                  </c:pt>
                  <c:pt idx="1356">
                    <c:v>19/08/2020</c:v>
                  </c:pt>
                  <c:pt idx="1357">
                    <c:v>10/09/2023</c:v>
                  </c:pt>
                  <c:pt idx="1358">
                    <c:v>27/12/2023</c:v>
                  </c:pt>
                  <c:pt idx="1359">
                    <c:v>04/11/2025</c:v>
                  </c:pt>
                  <c:pt idx="1360">
                    <c:v>07/05/2021</c:v>
                  </c:pt>
                  <c:pt idx="1361">
                    <c:v>10/09/2024</c:v>
                  </c:pt>
                  <c:pt idx="1362">
                    <c:v>10/09/2024</c:v>
                  </c:pt>
                  <c:pt idx="1363">
                    <c:v>10/09/2024</c:v>
                  </c:pt>
                  <c:pt idx="1364">
                    <c:v>06/06/2025</c:v>
                  </c:pt>
                  <c:pt idx="1365">
                    <c:v>09/09/2025</c:v>
                  </c:pt>
                  <c:pt idx="1366">
                    <c:v>09/09/2025</c:v>
                  </c:pt>
                  <c:pt idx="1367">
                    <c:v>09/09/2025</c:v>
                  </c:pt>
                  <c:pt idx="1368">
                    <c:v>09/09/2025</c:v>
                  </c:pt>
                  <c:pt idx="1369">
                    <c:v>09/09/2025</c:v>
                  </c:pt>
                  <c:pt idx="1370">
                    <c:v>07/05/2021</c:v>
                  </c:pt>
                  <c:pt idx="1371">
                    <c:v>16/08/2022</c:v>
                  </c:pt>
                  <c:pt idx="1372">
                    <c:v>16/08/2022</c:v>
                  </c:pt>
                  <c:pt idx="1373">
                    <c:v>09/05/2022</c:v>
                  </c:pt>
                  <c:pt idx="1374">
                    <c:v>22/04/2024</c:v>
                  </c:pt>
                  <c:pt idx="1375">
                    <c:v>18/12/2025</c:v>
                  </c:pt>
                  <c:pt idx="1376">
                    <c:v>26/02/2025</c:v>
                  </c:pt>
                  <c:pt idx="1377">
                    <c:v>26/02/2025</c:v>
                  </c:pt>
                  <c:pt idx="1378">
                    <c:v>26/02/2025</c:v>
                  </c:pt>
                  <c:pt idx="1379">
                    <c:v>30/10/2025</c:v>
                  </c:pt>
                  <c:pt idx="1380">
                    <c:v>30/10/2025</c:v>
                  </c:pt>
                  <c:pt idx="1381">
                    <c:v>08/03/2022</c:v>
                  </c:pt>
                  <c:pt idx="1382">
                    <c:v>15/06/2021</c:v>
                  </c:pt>
                  <c:pt idx="1383">
                    <c:v>08/06/2020</c:v>
                  </c:pt>
                  <c:pt idx="1384">
                    <c:v>07/05/2021</c:v>
                  </c:pt>
                  <c:pt idx="1385">
                    <c:v>08/06/2020</c:v>
                  </c:pt>
                  <c:pt idx="1386">
                    <c:v>26/02/2025</c:v>
                  </c:pt>
                  <c:pt idx="1388">
                    <c:v>07/07/2022</c:v>
                  </c:pt>
                  <c:pt idx="1389">
                    <c:v>07/07/2022</c:v>
                  </c:pt>
                  <c:pt idx="1390">
                    <c:v>07/07/2022</c:v>
                  </c:pt>
                  <c:pt idx="1391">
                    <c:v>07/07/2022</c:v>
                  </c:pt>
                  <c:pt idx="1392">
                    <c:v>16/03/2023</c:v>
                  </c:pt>
                  <c:pt idx="1393">
                    <c:v>16/03/2023</c:v>
                  </c:pt>
                  <c:pt idx="1394">
                    <c:v>04/11/2025</c:v>
                  </c:pt>
                  <c:pt idx="1395">
                    <c:v>04/11/2025</c:v>
                  </c:pt>
                  <c:pt idx="1396">
                    <c:v>04/11/2025</c:v>
                  </c:pt>
                  <c:pt idx="1397">
                    <c:v>04/11/2025</c:v>
                  </c:pt>
                  <c:pt idx="1398">
                    <c:v>04/11/2025</c:v>
                  </c:pt>
                  <c:pt idx="1399">
                    <c:v>24/05/2021</c:v>
                  </c:pt>
                  <c:pt idx="1400">
                    <c:v>20/03/2023</c:v>
                  </c:pt>
                  <c:pt idx="1401">
                    <c:v>13/01/2023</c:v>
                  </c:pt>
                  <c:pt idx="1402">
                    <c:v>17/10/2025</c:v>
                  </c:pt>
                  <c:pt idx="1403">
                    <c:v>30/10/2025</c:v>
                  </c:pt>
                  <c:pt idx="1404">
                    <c:v>30/10/2025</c:v>
                  </c:pt>
                  <c:pt idx="1405">
                    <c:v>16/03/2023</c:v>
                  </c:pt>
                  <c:pt idx="1406">
                    <c:v>16/03/2023</c:v>
                  </c:pt>
                  <c:pt idx="1407">
                    <c:v>21/10/2020</c:v>
                  </c:pt>
                  <c:pt idx="1408">
                    <c:v>15/03/2024</c:v>
                  </c:pt>
                  <c:pt idx="1409">
                    <c:v>15/03/2024</c:v>
                  </c:pt>
                  <c:pt idx="1410">
                    <c:v>15/03/2024</c:v>
                  </c:pt>
                  <c:pt idx="1411">
                    <c:v>15/03/2024</c:v>
                  </c:pt>
                  <c:pt idx="1412">
                    <c:v>15/03/2024</c:v>
                  </c:pt>
                  <c:pt idx="1413">
                    <c:v>15/03/2024</c:v>
                  </c:pt>
                  <c:pt idx="1414">
                    <c:v>15/03/2024</c:v>
                  </c:pt>
                  <c:pt idx="1415">
                    <c:v>15/03/2024</c:v>
                  </c:pt>
                  <c:pt idx="1416">
                    <c:v>15/03/2024</c:v>
                  </c:pt>
                  <c:pt idx="1417">
                    <c:v>15/03/2024</c:v>
                  </c:pt>
                  <c:pt idx="1418">
                    <c:v>15/03/2024</c:v>
                  </c:pt>
                  <c:pt idx="1419">
                    <c:v>15/10/2025</c:v>
                  </c:pt>
                  <c:pt idx="1420">
                    <c:v>12/12/2025</c:v>
                  </c:pt>
                  <c:pt idx="1421">
                    <c:v>10/10/2025</c:v>
                  </c:pt>
                  <c:pt idx="1422">
                    <c:v>29/04/2025</c:v>
                  </c:pt>
                  <c:pt idx="1423">
                    <c:v>12/12/2025</c:v>
                  </c:pt>
                  <c:pt idx="1424">
                    <c:v>12/12/2025</c:v>
                  </c:pt>
                  <c:pt idx="1425">
                    <c:v>12/12/2025</c:v>
                  </c:pt>
                  <c:pt idx="1426">
                    <c:v>10/10/2025</c:v>
                  </c:pt>
                  <c:pt idx="1427">
                    <c:v>10/10/2025</c:v>
                  </c:pt>
                  <c:pt idx="1428">
                    <c:v>01/11/2023</c:v>
                  </c:pt>
                  <c:pt idx="1429">
                    <c:v>10/10/2025</c:v>
                  </c:pt>
                  <c:pt idx="1430">
                    <c:v>10/03/2020</c:v>
                  </c:pt>
                  <c:pt idx="1431">
                    <c:v>10/03/2020</c:v>
                  </c:pt>
                  <c:pt idx="1432">
                    <c:v>10/03/2020</c:v>
                  </c:pt>
                  <c:pt idx="1433">
                    <c:v>17/09/2025</c:v>
                  </c:pt>
                  <c:pt idx="1434">
                    <c:v>17/09/2025</c:v>
                  </c:pt>
                  <c:pt idx="1436">
                    <c:v>11/11/2025</c:v>
                  </c:pt>
                  <c:pt idx="1437">
                    <c:v>11/11/2025</c:v>
                  </c:pt>
                  <c:pt idx="1438">
                    <c:v>18/11/2025</c:v>
                  </c:pt>
                  <c:pt idx="1439">
                    <c:v>18/11/2025</c:v>
                  </c:pt>
                  <c:pt idx="1440">
                    <c:v>10/12/2021</c:v>
                  </c:pt>
                  <c:pt idx="1441">
                    <c:v>14/11/2023</c:v>
                  </c:pt>
                  <c:pt idx="1442">
                    <c:v>30/12/2022</c:v>
                  </c:pt>
                  <c:pt idx="1443">
                    <c:v>05/05/2025</c:v>
                  </c:pt>
                  <c:pt idx="1444">
                    <c:v>30/12/2022</c:v>
                  </c:pt>
                  <c:pt idx="1446">
                    <c:v>10/12/2025</c:v>
                  </c:pt>
                  <c:pt idx="1447">
                    <c:v>10/12/2025</c:v>
                  </c:pt>
                  <c:pt idx="1448">
                    <c:v>10/12/2025</c:v>
                  </c:pt>
                  <c:pt idx="1449">
                    <c:v>12-nov</c:v>
                  </c:pt>
                  <c:pt idx="1450">
                    <c:v>09/12/2024</c:v>
                  </c:pt>
                  <c:pt idx="1451">
                    <c:v>21/10/2023</c:v>
                  </c:pt>
                  <c:pt idx="1452">
                    <c:v>20/11/2025</c:v>
                  </c:pt>
                  <c:pt idx="1453">
                    <c:v>20/11/2025</c:v>
                  </c:pt>
                  <c:pt idx="1454">
                    <c:v>07/10/2024</c:v>
                  </c:pt>
                  <c:pt idx="1456">
                    <c:v>25/10/2023</c:v>
                  </c:pt>
                  <c:pt idx="1457">
                    <c:v>20/10/2023</c:v>
                  </c:pt>
                  <c:pt idx="1458">
                    <c:v>11/01/2025</c:v>
                  </c:pt>
                  <c:pt idx="1459">
                    <c:v>30/10/2025</c:v>
                  </c:pt>
                  <c:pt idx="1460">
                    <c:v>30/10/2025</c:v>
                  </c:pt>
                  <c:pt idx="1461">
                    <c:v>02/11/2023</c:v>
                  </c:pt>
                  <c:pt idx="1462">
                    <c:v>10/03/2020</c:v>
                  </c:pt>
                  <c:pt idx="1463">
                    <c:v>16/06/2025</c:v>
                  </c:pt>
                  <c:pt idx="1464">
                    <c:v>16/06/2025</c:v>
                  </c:pt>
                  <c:pt idx="1465">
                    <c:v>18/01/2023</c:v>
                  </c:pt>
                  <c:pt idx="1466">
                    <c:v>09/05/2023</c:v>
                  </c:pt>
                  <c:pt idx="1467">
                    <c:v>26/07/2022</c:v>
                  </c:pt>
                  <c:pt idx="1468">
                    <c:v>30/01/2025</c:v>
                  </c:pt>
                  <c:pt idx="1469">
                    <c:v>06/09/2024</c:v>
                  </c:pt>
                  <c:pt idx="1470">
                    <c:v>13/03/2024</c:v>
                  </c:pt>
                  <c:pt idx="1471">
                    <c:v>13/08/2020</c:v>
                  </c:pt>
                  <c:pt idx="1472">
                    <c:v>13/08/2020</c:v>
                  </c:pt>
                  <c:pt idx="1473">
                    <c:v>13/08/2020</c:v>
                  </c:pt>
                  <c:pt idx="1474">
                    <c:v>21/06/2023</c:v>
                  </c:pt>
                  <c:pt idx="1475">
                    <c:v>21/06/2023</c:v>
                  </c:pt>
                  <c:pt idx="1476">
                    <c:v>27/02/2025</c:v>
                  </c:pt>
                  <c:pt idx="1477">
                    <c:v>02/10/2024</c:v>
                  </c:pt>
                  <c:pt idx="1478">
                    <c:v>09/10/2025</c:v>
                  </c:pt>
                  <c:pt idx="1479">
                    <c:v>05/05/2020</c:v>
                  </c:pt>
                  <c:pt idx="1480">
                    <c:v>10/03/2020</c:v>
                  </c:pt>
                  <c:pt idx="1481">
                    <c:v>28/06/2022</c:v>
                  </c:pt>
                  <c:pt idx="1483">
                    <c:v>25/04/2022</c:v>
                  </c:pt>
                  <c:pt idx="1484">
                    <c:v>20/11/2025</c:v>
                  </c:pt>
                  <c:pt idx="1485">
                    <c:v>25/10/2024</c:v>
                  </c:pt>
                  <c:pt idx="1486">
                    <c:v>07/10/2025</c:v>
                  </c:pt>
                  <c:pt idx="1487">
                    <c:v>07/10/2025</c:v>
                  </c:pt>
                  <c:pt idx="1488">
                    <c:v>02/10/2024</c:v>
                  </c:pt>
                  <c:pt idx="1489">
                    <c:v>10/03/2020</c:v>
                  </c:pt>
                  <c:pt idx="1490">
                    <c:v>02/10/2024</c:v>
                  </c:pt>
                  <c:pt idx="1491">
                    <c:v>20/11/2025</c:v>
                  </c:pt>
                  <c:pt idx="1492">
                    <c:v>20/11/2025</c:v>
                  </c:pt>
                  <c:pt idx="1493">
                    <c:v>21/11/2025</c:v>
                  </c:pt>
                  <c:pt idx="1494">
                    <c:v>21/11/2025</c:v>
                  </c:pt>
                  <c:pt idx="1495">
                    <c:v>21/11/2025</c:v>
                  </c:pt>
                  <c:pt idx="1496">
                    <c:v>24/11/2021</c:v>
                  </c:pt>
                  <c:pt idx="1497">
                    <c:v>16/03/2020</c:v>
                  </c:pt>
                  <c:pt idx="1498">
                    <c:v>22/03/2022</c:v>
                  </c:pt>
                  <c:pt idx="1499">
                    <c:v>01/10/2020</c:v>
                  </c:pt>
                  <c:pt idx="1500">
                    <c:v>01/10/2020</c:v>
                  </c:pt>
                  <c:pt idx="1501">
                    <c:v>01/10/2020</c:v>
                  </c:pt>
                  <c:pt idx="1502">
                    <c:v>01/10/2020</c:v>
                  </c:pt>
                  <c:pt idx="1503">
                    <c:v>23/04/2025</c:v>
                  </c:pt>
                  <c:pt idx="1504">
                    <c:v>14/07/2021</c:v>
                  </c:pt>
                  <c:pt idx="1505">
                    <c:v>10/12/2024</c:v>
                  </c:pt>
                  <c:pt idx="1506">
                    <c:v>22/04/2025</c:v>
                  </c:pt>
                  <c:pt idx="1507">
                    <c:v>01/07/2020</c:v>
                  </c:pt>
                  <c:pt idx="1508">
                    <c:v>12/02/2025</c:v>
                  </c:pt>
                  <c:pt idx="1509">
                    <c:v>12/02/2025</c:v>
                  </c:pt>
                  <c:pt idx="1510">
                    <c:v>04/07/2025</c:v>
                  </c:pt>
                  <c:pt idx="1511">
                    <c:v>27/11/2025</c:v>
                  </c:pt>
                  <c:pt idx="1512">
                    <c:v>31/05/2025</c:v>
                  </c:pt>
                  <c:pt idx="1513">
                    <c:v>10/10/2022</c:v>
                  </c:pt>
                  <c:pt idx="1514">
                    <c:v>27/11/2025</c:v>
                  </c:pt>
                  <c:pt idx="1515">
                    <c:v>23/12/2024</c:v>
                  </c:pt>
                  <c:pt idx="1516">
                    <c:v>23/12/2024</c:v>
                  </c:pt>
                  <c:pt idx="1517">
                    <c:v>23/12/2024</c:v>
                  </c:pt>
                  <c:pt idx="1518">
                    <c:v>23/12/2024</c:v>
                  </c:pt>
                  <c:pt idx="1519">
                    <c:v>01/03/2023</c:v>
                  </c:pt>
                  <c:pt idx="1520">
                    <c:v>01/03/2023</c:v>
                  </c:pt>
                  <c:pt idx="1522">
                    <c:v>26/05/2020</c:v>
                  </c:pt>
                  <c:pt idx="1523">
                    <c:v>30/04/2025</c:v>
                  </c:pt>
                  <c:pt idx="1524">
                    <c:v>30/04/2025</c:v>
                  </c:pt>
                  <c:pt idx="1525">
                    <c:v>26/09/2024</c:v>
                  </c:pt>
                  <c:pt idx="1526">
                    <c:v>10/05/2023</c:v>
                  </c:pt>
                  <c:pt idx="1527">
                    <c:v>12/11/2023</c:v>
                  </c:pt>
                  <c:pt idx="1528">
                    <c:v>10/10/2024</c:v>
                  </c:pt>
                  <c:pt idx="1529">
                    <c:v>03/09/2024</c:v>
                  </c:pt>
                  <c:pt idx="1530">
                    <c:v>28/10/2025</c:v>
                  </c:pt>
                  <c:pt idx="1531">
                    <c:v>28/10/2025</c:v>
                  </c:pt>
                  <c:pt idx="1532">
                    <c:v>15/10/2025</c:v>
                  </c:pt>
                  <c:pt idx="1533">
                    <c:v>17/05/2022</c:v>
                  </c:pt>
                  <c:pt idx="1534">
                    <c:v>06/04/2022</c:v>
                  </c:pt>
                  <c:pt idx="1535">
                    <c:v>11/08/2025</c:v>
                  </c:pt>
                  <c:pt idx="1536">
                    <c:v>18/12/2025</c:v>
                  </c:pt>
                  <c:pt idx="1537">
                    <c:v>26/05/2021</c:v>
                  </c:pt>
                  <c:pt idx="1538">
                    <c:v>10/09/2024</c:v>
                  </c:pt>
                  <c:pt idx="1539">
                    <c:v>28/10/2023</c:v>
                  </c:pt>
                  <c:pt idx="1540">
                    <c:v>09/07/2021</c:v>
                  </c:pt>
                  <c:pt idx="1541">
                    <c:v>15/05/2024</c:v>
                  </c:pt>
                  <c:pt idx="1542">
                    <c:v>18/05/2022</c:v>
                  </c:pt>
                  <c:pt idx="1543">
                    <c:v>10/03/2020</c:v>
                  </c:pt>
                  <c:pt idx="1544">
                    <c:v>12/03/2021</c:v>
                  </c:pt>
                  <c:pt idx="1545">
                    <c:v>12/03/2021</c:v>
                  </c:pt>
                  <c:pt idx="1546">
                    <c:v>07/10/2024</c:v>
                  </c:pt>
                  <c:pt idx="1547">
                    <c:v>07/10/2024</c:v>
                  </c:pt>
                  <c:pt idx="1548">
                    <c:v>07/12/2023</c:v>
                  </c:pt>
                  <c:pt idx="1549">
                    <c:v>27/11/2025</c:v>
                  </c:pt>
                  <c:pt idx="1550">
                    <c:v>27/11/2025</c:v>
                  </c:pt>
                  <c:pt idx="1551">
                    <c:v>27/11/2025</c:v>
                  </c:pt>
                  <c:pt idx="1552">
                    <c:v>26/06/2024</c:v>
                  </c:pt>
                  <c:pt idx="1553">
                    <c:v>06/11/2024</c:v>
                  </c:pt>
                  <c:pt idx="1554">
                    <c:v>06/11/2024</c:v>
                  </c:pt>
                  <c:pt idx="1555">
                    <c:v>28/06/2022</c:v>
                  </c:pt>
                  <c:pt idx="1556">
                    <c:v>20/03/2025</c:v>
                  </c:pt>
                  <c:pt idx="1557">
                    <c:v>20/03/2025</c:v>
                  </c:pt>
                  <c:pt idx="1558">
                    <c:v>19/03/2020</c:v>
                  </c:pt>
                  <c:pt idx="1559">
                    <c:v>20/03/2025</c:v>
                  </c:pt>
                  <c:pt idx="1560">
                    <c:v>30/03/2023</c:v>
                  </c:pt>
                  <c:pt idx="1561">
                    <c:v>25/03/2023</c:v>
                  </c:pt>
                  <c:pt idx="1562">
                    <c:v>25/03/2025</c:v>
                  </c:pt>
                  <c:pt idx="1563">
                    <c:v>30/12/2020</c:v>
                  </c:pt>
                  <c:pt idx="1564">
                    <c:v>30/12/2020</c:v>
                  </c:pt>
                  <c:pt idx="1565">
                    <c:v>30/12/2020</c:v>
                  </c:pt>
                  <c:pt idx="1566">
                    <c:v>09/04/2021</c:v>
                  </c:pt>
                  <c:pt idx="1567">
                    <c:v>20/06/2020</c:v>
                  </c:pt>
                  <c:pt idx="1568">
                    <c:v>20/06/2020</c:v>
                  </c:pt>
                  <c:pt idx="1569">
                    <c:v>02/04/2022</c:v>
                  </c:pt>
                  <c:pt idx="1570">
                    <c:v>13/03/2023</c:v>
                  </c:pt>
                  <c:pt idx="1571">
                    <c:v>11/04/2022</c:v>
                  </c:pt>
                  <c:pt idx="1572">
                    <c:v>18/01/2023</c:v>
                  </c:pt>
                  <c:pt idx="1574">
                    <c:v>21/11/2025</c:v>
                  </c:pt>
                  <c:pt idx="1575">
                    <c:v>09/05/2023</c:v>
                  </c:pt>
                  <c:pt idx="1576">
                    <c:v>13/01/2023</c:v>
                  </c:pt>
                  <c:pt idx="1577">
                    <c:v>11/06/2025</c:v>
                  </c:pt>
                  <c:pt idx="1578">
                    <c:v>01/10/2020</c:v>
                  </c:pt>
                  <c:pt idx="1579">
                    <c:v>25/11/2023</c:v>
                  </c:pt>
                  <c:pt idx="1580">
                    <c:v>25/11/2023</c:v>
                  </c:pt>
                  <c:pt idx="1581">
                    <c:v>18/01/2023</c:v>
                  </c:pt>
                  <c:pt idx="1582">
                    <c:v>25/11/2023</c:v>
                  </c:pt>
                  <c:pt idx="1583">
                    <c:v>07/02/2024</c:v>
                  </c:pt>
                  <c:pt idx="1584">
                    <c:v>13/10/2022</c:v>
                  </c:pt>
                  <c:pt idx="1585">
                    <c:v>27/07/2022</c:v>
                  </c:pt>
                  <c:pt idx="1586">
                    <c:v>27/07/2022</c:v>
                  </c:pt>
                  <c:pt idx="1587">
                    <c:v>21/04/2025</c:v>
                  </c:pt>
                  <c:pt idx="1588">
                    <c:v>23/09/2025</c:v>
                  </c:pt>
                  <c:pt idx="1589">
                    <c:v>23/09/2025</c:v>
                  </c:pt>
                  <c:pt idx="1590">
                    <c:v>01/01/2025</c:v>
                  </c:pt>
                  <c:pt idx="1591">
                    <c:v>30/01/2025</c:v>
                  </c:pt>
                  <c:pt idx="1592">
                    <c:v>30/01/2025</c:v>
                  </c:pt>
                  <c:pt idx="1593">
                    <c:v>14/03/2024</c:v>
                  </c:pt>
                  <c:pt idx="1594">
                    <c:v>13/07/2023</c:v>
                  </c:pt>
                  <c:pt idx="1595">
                    <c:v>13/07/2023</c:v>
                  </c:pt>
                  <c:pt idx="1596">
                    <c:v>08/04/2024</c:v>
                  </c:pt>
                  <c:pt idx="1597">
                    <c:v>08/04/2024</c:v>
                  </c:pt>
                  <c:pt idx="1598">
                    <c:v>28/09/2022</c:v>
                  </c:pt>
                  <c:pt idx="1599">
                    <c:v>11/03/2025</c:v>
                  </c:pt>
                  <c:pt idx="1600">
                    <c:v>11/03/2025</c:v>
                  </c:pt>
                  <c:pt idx="1601">
                    <c:v>01/07/2025</c:v>
                  </c:pt>
                  <c:pt idx="1602">
                    <c:v>11/03/2025</c:v>
                  </c:pt>
                  <c:pt idx="1603">
                    <c:v>11/03/2025</c:v>
                  </c:pt>
                  <c:pt idx="1604">
                    <c:v>02/07/2024</c:v>
                  </c:pt>
                  <c:pt idx="1605">
                    <c:v>23/11/2023</c:v>
                  </c:pt>
                  <c:pt idx="1606">
                    <c:v>23/11/2023</c:v>
                  </c:pt>
                  <c:pt idx="1607">
                    <c:v>08/04/2024</c:v>
                  </c:pt>
                  <c:pt idx="1608">
                    <c:v>20/10/2022</c:v>
                  </c:pt>
                  <c:pt idx="1609">
                    <c:v>08/04/2024</c:v>
                  </c:pt>
                  <c:pt idx="1610">
                    <c:v>29/03/2023</c:v>
                  </c:pt>
                  <c:pt idx="1611">
                    <c:v>29/03/2023</c:v>
                  </c:pt>
                  <c:pt idx="1612">
                    <c:v>29/03/2023</c:v>
                  </c:pt>
                  <c:pt idx="1613">
                    <c:v>29/03/2023</c:v>
                  </c:pt>
                  <c:pt idx="1614">
                    <c:v>29/03/2023</c:v>
                  </c:pt>
                  <c:pt idx="1615">
                    <c:v>16/07/2024</c:v>
                  </c:pt>
                  <c:pt idx="1616">
                    <c:v>16/07/2024</c:v>
                  </c:pt>
                  <c:pt idx="1617">
                    <c:v>14/03/2024</c:v>
                  </c:pt>
                  <c:pt idx="1618">
                    <c:v>23/09/2025</c:v>
                  </c:pt>
                  <c:pt idx="1619">
                    <c:v>23/09/2025</c:v>
                  </c:pt>
                  <c:pt idx="1620">
                    <c:v>30/01/2023</c:v>
                  </c:pt>
                  <c:pt idx="1621">
                    <c:v>29/07/2022</c:v>
                  </c:pt>
                  <c:pt idx="1622">
                    <c:v>29/07/2022</c:v>
                  </c:pt>
                  <c:pt idx="1623">
                    <c:v>29/07/2022</c:v>
                  </c:pt>
                  <c:pt idx="1624">
                    <c:v>30/01/2023</c:v>
                  </c:pt>
                  <c:pt idx="1625">
                    <c:v>23/09/2025</c:v>
                  </c:pt>
                  <c:pt idx="1626">
                    <c:v>23/09/2025</c:v>
                  </c:pt>
                  <c:pt idx="1627">
                    <c:v>01/02/2024</c:v>
                  </c:pt>
                  <c:pt idx="1628">
                    <c:v>13/03/2023</c:v>
                  </c:pt>
                  <c:pt idx="1629">
                    <c:v>01/02/2024</c:v>
                  </c:pt>
                  <c:pt idx="1630">
                    <c:v>01/02/2024</c:v>
                  </c:pt>
                  <c:pt idx="1631">
                    <c:v>12/07/2025</c:v>
                  </c:pt>
                  <c:pt idx="1632">
                    <c:v>12/07/2025</c:v>
                  </c:pt>
                  <c:pt idx="1633">
                    <c:v>03/10/2016</c:v>
                  </c:pt>
                  <c:pt idx="1634">
                    <c:v>19/06/2024</c:v>
                  </c:pt>
                  <c:pt idx="1635">
                    <c:v>30/01/2025</c:v>
                  </c:pt>
                  <c:pt idx="1636">
                    <c:v>10/12/2025</c:v>
                  </c:pt>
                  <c:pt idx="1637">
                    <c:v>10/12/2025</c:v>
                  </c:pt>
                  <c:pt idx="1638">
                    <c:v>23/07/2025</c:v>
                  </c:pt>
                  <c:pt idx="1639">
                    <c:v>23/07/2025</c:v>
                  </c:pt>
                  <c:pt idx="1640">
                    <c:v>06/01/2023</c:v>
                  </c:pt>
                  <c:pt idx="1641">
                    <c:v>03/11/2025</c:v>
                  </c:pt>
                  <c:pt idx="1642">
                    <c:v>09/11/2025</c:v>
                  </c:pt>
                  <c:pt idx="1643">
                    <c:v>01/07/2025</c:v>
                  </c:pt>
                  <c:pt idx="1644">
                    <c:v>01/07/2025</c:v>
                  </c:pt>
                  <c:pt idx="1645">
                    <c:v>01/07/2025</c:v>
                  </c:pt>
                  <c:pt idx="1646">
                    <c:v>01/01/2025</c:v>
                  </c:pt>
                  <c:pt idx="1647">
                    <c:v>01/01/2025</c:v>
                  </c:pt>
                  <c:pt idx="1648">
                    <c:v>20/10/2022</c:v>
                  </c:pt>
                  <c:pt idx="1649">
                    <c:v>30/04/2025</c:v>
                  </c:pt>
                  <c:pt idx="1650">
                    <c:v>20/11/2025</c:v>
                  </c:pt>
                  <c:pt idx="1651">
                    <c:v>02/10/2024</c:v>
                  </c:pt>
                  <c:pt idx="1652">
                    <c:v>30/12/2025</c:v>
                  </c:pt>
                  <c:pt idx="1653">
                    <c:v>23/09/2024</c:v>
                  </c:pt>
                  <c:pt idx="1654">
                    <c:v>30/12/2025</c:v>
                  </c:pt>
                  <c:pt idx="1655">
                    <c:v>25/05/2023</c:v>
                  </c:pt>
                  <c:pt idx="1656">
                    <c:v>21/08/2025</c:v>
                  </c:pt>
                  <c:pt idx="1657">
                    <c:v>21/09/2023</c:v>
                  </c:pt>
                  <c:pt idx="1658">
                    <c:v>20/06/2024</c:v>
                  </c:pt>
                  <c:pt idx="1659">
                    <c:v>20/06/2024</c:v>
                  </c:pt>
                  <c:pt idx="1660">
                    <c:v>30/12/2025</c:v>
                  </c:pt>
                  <c:pt idx="1661">
                    <c:v>17/08/2025</c:v>
                  </c:pt>
                  <c:pt idx="1662">
                    <c:v>08/04/2025</c:v>
                  </c:pt>
                  <c:pt idx="1663">
                    <c:v>07/07/2025</c:v>
                  </c:pt>
                  <c:pt idx="1664">
                    <c:v>03/06/2024</c:v>
                  </c:pt>
                  <c:pt idx="1665">
                    <c:v>14/06/2023</c:v>
                  </c:pt>
                  <c:pt idx="1666">
                    <c:v>14/08/2024</c:v>
                  </c:pt>
                  <c:pt idx="1667">
                    <c:v>14/08/2024</c:v>
                  </c:pt>
                  <c:pt idx="1668">
                    <c:v>18/01/2023</c:v>
                  </c:pt>
                  <c:pt idx="1669">
                    <c:v>15/05/2024</c:v>
                  </c:pt>
                  <c:pt idx="1670">
                    <c:v>30/10/2025</c:v>
                  </c:pt>
                  <c:pt idx="1671">
                    <c:v>13/07/2022</c:v>
                  </c:pt>
                  <c:pt idx="1672">
                    <c:v>20/02/2020</c:v>
                  </c:pt>
                  <c:pt idx="1673">
                    <c:v>07/04/2021</c:v>
                  </c:pt>
                  <c:pt idx="1674">
                    <c:v>19/06/2025</c:v>
                  </c:pt>
                  <c:pt idx="1675">
                    <c:v>20/03/2025</c:v>
                  </c:pt>
                  <c:pt idx="1676">
                    <c:v>20/11/2025</c:v>
                  </c:pt>
                  <c:pt idx="1677">
                    <c:v>20/11/2025</c:v>
                  </c:pt>
                  <c:pt idx="1678">
                    <c:v>10/12/2024</c:v>
                  </c:pt>
                  <c:pt idx="1679">
                    <c:v>10/12/2024</c:v>
                  </c:pt>
                  <c:pt idx="1680">
                    <c:v>07/10/2024</c:v>
                  </c:pt>
                  <c:pt idx="1681">
                    <c:v>16/07/2024</c:v>
                  </c:pt>
                  <c:pt idx="1682">
                    <c:v>10/12/2024</c:v>
                  </c:pt>
                  <c:pt idx="1683">
                    <c:v>10/12/2024</c:v>
                  </c:pt>
                  <c:pt idx="1684">
                    <c:v>07/10/2024</c:v>
                  </c:pt>
                  <c:pt idx="1685">
                    <c:v>05/08/2025</c:v>
                  </c:pt>
                  <c:pt idx="1686">
                    <c:v>05/08/2025</c:v>
                  </c:pt>
                  <c:pt idx="1687">
                    <c:v>19/06/2025</c:v>
                  </c:pt>
                  <c:pt idx="1688">
                    <c:v>20/11/2025</c:v>
                  </c:pt>
                  <c:pt idx="1689">
                    <c:v>20/11/2025</c:v>
                  </c:pt>
                  <c:pt idx="1690">
                    <c:v>13/11/2021</c:v>
                  </c:pt>
                  <c:pt idx="1691">
                    <c:v>19/02/2024</c:v>
                  </c:pt>
                  <c:pt idx="1693">
                    <c:v>30/04/2025</c:v>
                  </c:pt>
                  <c:pt idx="1694">
                    <c:v>30/04/2025</c:v>
                  </c:pt>
                  <c:pt idx="1695">
                    <c:v>30/04/2025</c:v>
                  </c:pt>
                  <c:pt idx="1696">
                    <c:v>12/07/2024</c:v>
                  </c:pt>
                  <c:pt idx="1697">
                    <c:v>12/07/2024</c:v>
                  </c:pt>
                  <c:pt idx="1698">
                    <c:v>12/07/2004</c:v>
                  </c:pt>
                  <c:pt idx="1699">
                    <c:v>20/11/2025</c:v>
                  </c:pt>
                  <c:pt idx="1700">
                    <c:v>05/05/2020</c:v>
                  </c:pt>
                  <c:pt idx="1701">
                    <c:v>05/05/2020</c:v>
                  </c:pt>
                  <c:pt idx="1702">
                    <c:v>09/04/2021</c:v>
                  </c:pt>
                  <c:pt idx="1703">
                    <c:v>30/04/2025</c:v>
                  </c:pt>
                  <c:pt idx="1704">
                    <c:v>20/11/2025</c:v>
                  </c:pt>
                  <c:pt idx="1705">
                    <c:v>20/11/2025</c:v>
                  </c:pt>
                  <c:pt idx="1706">
                    <c:v>10/03/2020</c:v>
                  </c:pt>
                  <c:pt idx="1707">
                    <c:v>02/10/2024</c:v>
                  </c:pt>
                  <c:pt idx="1708">
                    <c:v>10/03/2020</c:v>
                  </c:pt>
                  <c:pt idx="1709">
                    <c:v>12/07/2024</c:v>
                  </c:pt>
                  <c:pt idx="1710">
                    <c:v>17/08/2025</c:v>
                  </c:pt>
                  <c:pt idx="1711">
                    <c:v>17/08/2025</c:v>
                  </c:pt>
                  <c:pt idx="1712">
                    <c:v>12/07/2024</c:v>
                  </c:pt>
                  <c:pt idx="1713">
                    <c:v>30/04/2025</c:v>
                  </c:pt>
                  <c:pt idx="1714">
                    <c:v>09/12/2024</c:v>
                  </c:pt>
                  <c:pt idx="1715">
                    <c:v>28/03/2022</c:v>
                  </c:pt>
                  <c:pt idx="1716">
                    <c:v>13/10/2025</c:v>
                  </c:pt>
                  <c:pt idx="1717">
                    <c:v>14/11/2023</c:v>
                  </c:pt>
                  <c:pt idx="1718">
                    <c:v>14/11/2023</c:v>
                  </c:pt>
                  <c:pt idx="1719">
                    <c:v>14/11/2023</c:v>
                  </c:pt>
                  <c:pt idx="1720">
                    <c:v>27/07/2023</c:v>
                  </c:pt>
                  <c:pt idx="1721">
                    <c:v>27/07/2023</c:v>
                  </c:pt>
                  <c:pt idx="1722">
                    <c:v>07/12/2021</c:v>
                  </c:pt>
                  <c:pt idx="1723">
                    <c:v>07/07/2022</c:v>
                  </c:pt>
                  <c:pt idx="1724">
                    <c:v>07/07/2022</c:v>
                  </c:pt>
                </c:lvl>
                <c:lvl>
                  <c:pt idx="7">
                    <c:v>0</c:v>
                  </c:pt>
                  <c:pt idx="72">
                    <c:v>0</c:v>
                  </c:pt>
                  <c:pt idx="88">
                    <c:v>0</c:v>
                  </c:pt>
                  <c:pt idx="103">
                    <c:v>46</c:v>
                  </c:pt>
                  <c:pt idx="121">
                    <c:v>45</c:v>
                  </c:pt>
                  <c:pt idx="130">
                    <c:v>45</c:v>
                  </c:pt>
                  <c:pt idx="131">
                    <c:v>45</c:v>
                  </c:pt>
                  <c:pt idx="132">
                    <c:v>45</c:v>
                  </c:pt>
                  <c:pt idx="133">
                    <c:v>45</c:v>
                  </c:pt>
                  <c:pt idx="163">
                    <c:v>u</c:v>
                  </c:pt>
                  <c:pt idx="167">
                    <c:v>25</c:v>
                  </c:pt>
                  <c:pt idx="168">
                    <c:v>2055</c:v>
                  </c:pt>
                  <c:pt idx="172">
                    <c:v>44</c:v>
                  </c:pt>
                  <c:pt idx="176">
                    <c:v>1</c:v>
                  </c:pt>
                  <c:pt idx="218">
                    <c:v>45</c:v>
                  </c:pt>
                  <c:pt idx="248">
                    <c:v>41</c:v>
                  </c:pt>
                  <c:pt idx="251">
                    <c:v>1</c:v>
                  </c:pt>
                  <c:pt idx="260">
                    <c:v>0</c:v>
                  </c:pt>
                  <c:pt idx="263">
                    <c:v>42</c:v>
                  </c:pt>
                  <c:pt idx="264">
                    <c:v>42</c:v>
                  </c:pt>
                  <c:pt idx="266">
                    <c:v>42</c:v>
                  </c:pt>
                  <c:pt idx="267">
                    <c:v>42</c:v>
                  </c:pt>
                  <c:pt idx="299">
                    <c:v>45</c:v>
                  </c:pt>
                  <c:pt idx="300">
                    <c:v>45</c:v>
                  </c:pt>
                  <c:pt idx="303">
                    <c:v>0</c:v>
                  </c:pt>
                  <c:pt idx="304">
                    <c:v>42</c:v>
                  </c:pt>
                  <c:pt idx="305">
                    <c:v>42</c:v>
                  </c:pt>
                  <c:pt idx="306">
                    <c:v>45</c:v>
                  </c:pt>
                  <c:pt idx="307">
                    <c:v>42</c:v>
                  </c:pt>
                  <c:pt idx="317">
                    <c:v>44</c:v>
                  </c:pt>
                  <c:pt idx="333">
                    <c:v>0</c:v>
                  </c:pt>
                  <c:pt idx="386">
                    <c:v>0</c:v>
                  </c:pt>
                  <c:pt idx="410">
                    <c:v>44</c:v>
                  </c:pt>
                  <c:pt idx="413">
                    <c:v>34</c:v>
                  </c:pt>
                  <c:pt idx="460">
                    <c:v>0</c:v>
                  </c:pt>
                  <c:pt idx="482">
                    <c:v>1</c:v>
                  </c:pt>
                  <c:pt idx="493">
                    <c:v>45</c:v>
                  </c:pt>
                  <c:pt idx="496">
                    <c:v>44</c:v>
                  </c:pt>
                  <c:pt idx="540">
                    <c:v>45</c:v>
                  </c:pt>
                  <c:pt idx="544">
                    <c:v>45</c:v>
                  </c:pt>
                  <c:pt idx="567">
                    <c:v>am</c:v>
                  </c:pt>
                  <c:pt idx="572">
                    <c:v>47</c:v>
                  </c:pt>
                  <c:pt idx="574">
                    <c:v>45</c:v>
                  </c:pt>
                  <c:pt idx="590">
                    <c:v>41</c:v>
                  </c:pt>
                  <c:pt idx="591">
                    <c:v>41</c:v>
                  </c:pt>
                  <c:pt idx="592">
                    <c:v>42</c:v>
                  </c:pt>
                  <c:pt idx="593">
                    <c:v>0</c:v>
                  </c:pt>
                  <c:pt idx="596">
                    <c:v>41</c:v>
                  </c:pt>
                  <c:pt idx="598">
                    <c:v>44</c:v>
                  </c:pt>
                  <c:pt idx="599">
                    <c:v>44</c:v>
                  </c:pt>
                  <c:pt idx="622">
                    <c:v>0</c:v>
                  </c:pt>
                  <c:pt idx="633">
                    <c:v>0</c:v>
                  </c:pt>
                  <c:pt idx="636">
                    <c:v>0</c:v>
                  </c:pt>
                  <c:pt idx="694">
                    <c:v>0</c:v>
                  </c:pt>
                  <c:pt idx="702">
                    <c:v>0</c:v>
                  </c:pt>
                  <c:pt idx="706">
                    <c:v>0</c:v>
                  </c:pt>
                  <c:pt idx="722">
                    <c:v>0</c:v>
                  </c:pt>
                  <c:pt idx="751">
                    <c:v>0</c:v>
                  </c:pt>
                  <c:pt idx="754">
                    <c:v>42</c:v>
                  </c:pt>
                  <c:pt idx="762">
                    <c:v>0</c:v>
                  </c:pt>
                  <c:pt idx="765">
                    <c:v>44</c:v>
                  </c:pt>
                  <c:pt idx="766">
                    <c:v>45</c:v>
                  </c:pt>
                  <c:pt idx="767">
                    <c:v>42</c:v>
                  </c:pt>
                  <c:pt idx="768">
                    <c:v>42</c:v>
                  </c:pt>
                  <c:pt idx="769">
                    <c:v>42</c:v>
                  </c:pt>
                  <c:pt idx="773">
                    <c:v>42</c:v>
                  </c:pt>
                  <c:pt idx="848">
                    <c:v>0</c:v>
                  </c:pt>
                  <c:pt idx="855">
                    <c:v>0</c:v>
                  </c:pt>
                  <c:pt idx="881">
                    <c:v>0</c:v>
                  </c:pt>
                  <c:pt idx="882">
                    <c:v>42</c:v>
                  </c:pt>
                  <c:pt idx="883">
                    <c:v>45</c:v>
                  </c:pt>
                  <c:pt idx="907">
                    <c:v>1</c:v>
                  </c:pt>
                  <c:pt idx="921">
                    <c:v>45</c:v>
                  </c:pt>
                  <c:pt idx="959">
                    <c:v>41</c:v>
                  </c:pt>
                  <c:pt idx="961">
                    <c:v>41</c:v>
                  </c:pt>
                  <c:pt idx="982">
                    <c:v>41</c:v>
                  </c:pt>
                  <c:pt idx="987">
                    <c:v>0</c:v>
                  </c:pt>
                  <c:pt idx="1013">
                    <c:v>0</c:v>
                  </c:pt>
                  <c:pt idx="1048">
                    <c:v>0</c:v>
                  </c:pt>
                  <c:pt idx="1087">
                    <c:v>41</c:v>
                  </c:pt>
                  <c:pt idx="1088">
                    <c:v>41</c:v>
                  </c:pt>
                  <c:pt idx="1089">
                    <c:v>41</c:v>
                  </c:pt>
                  <c:pt idx="1090">
                    <c:v>41</c:v>
                  </c:pt>
                  <c:pt idx="1095">
                    <c:v>41</c:v>
                  </c:pt>
                  <c:pt idx="1096">
                    <c:v>45</c:v>
                  </c:pt>
                  <c:pt idx="1097">
                    <c:v>45</c:v>
                  </c:pt>
                  <c:pt idx="1115">
                    <c:v>42</c:v>
                  </c:pt>
                  <c:pt idx="1120">
                    <c:v>0</c:v>
                  </c:pt>
                  <c:pt idx="1218">
                    <c:v>46</c:v>
                  </c:pt>
                  <c:pt idx="1219">
                    <c:v>45</c:v>
                  </c:pt>
                  <c:pt idx="1220">
                    <c:v>45</c:v>
                  </c:pt>
                  <c:pt idx="1221">
                    <c:v>45</c:v>
                  </c:pt>
                  <c:pt idx="1222">
                    <c:v>45</c:v>
                  </c:pt>
                  <c:pt idx="1302">
                    <c:v>40</c:v>
                  </c:pt>
                  <c:pt idx="1303">
                    <c:v>40</c:v>
                  </c:pt>
                  <c:pt idx="1304">
                    <c:v>40</c:v>
                  </c:pt>
                  <c:pt idx="1305">
                    <c:v>40</c:v>
                  </c:pt>
                  <c:pt idx="1306">
                    <c:v>40</c:v>
                  </c:pt>
                  <c:pt idx="1307">
                    <c:v>40</c:v>
                  </c:pt>
                  <c:pt idx="1308">
                    <c:v>40</c:v>
                  </c:pt>
                  <c:pt idx="1309">
                    <c:v>40</c:v>
                  </c:pt>
                  <c:pt idx="1310">
                    <c:v>40</c:v>
                  </c:pt>
                  <c:pt idx="1311">
                    <c:v>40</c:v>
                  </c:pt>
                  <c:pt idx="1312">
                    <c:v>40</c:v>
                  </c:pt>
                  <c:pt idx="1313">
                    <c:v>40</c:v>
                  </c:pt>
                  <c:pt idx="1314">
                    <c:v>40</c:v>
                  </c:pt>
                  <c:pt idx="1315">
                    <c:v>45</c:v>
                  </c:pt>
                  <c:pt idx="1316">
                    <c:v>45</c:v>
                  </c:pt>
                  <c:pt idx="1317">
                    <c:v>45</c:v>
                  </c:pt>
                  <c:pt idx="1318">
                    <c:v>45</c:v>
                  </c:pt>
                  <c:pt idx="1319">
                    <c:v>11/02/1900</c:v>
                  </c:pt>
                  <c:pt idx="1324">
                    <c:v>42</c:v>
                  </c:pt>
                  <c:pt idx="1325">
                    <c:v>42</c:v>
                  </c:pt>
                  <c:pt idx="1326">
                    <c:v>45</c:v>
                  </c:pt>
                  <c:pt idx="1327">
                    <c:v>41</c:v>
                  </c:pt>
                  <c:pt idx="1328">
                    <c:v>45</c:v>
                  </c:pt>
                  <c:pt idx="1333">
                    <c:v>45</c:v>
                  </c:pt>
                  <c:pt idx="1334">
                    <c:v>45</c:v>
                  </c:pt>
                  <c:pt idx="1336">
                    <c:v>45</c:v>
                  </c:pt>
                  <c:pt idx="1337">
                    <c:v>45</c:v>
                  </c:pt>
                  <c:pt idx="1338">
                    <c:v>45</c:v>
                  </c:pt>
                  <c:pt idx="1342">
                    <c:v>45</c:v>
                  </c:pt>
                  <c:pt idx="1343">
                    <c:v>45</c:v>
                  </c:pt>
                  <c:pt idx="1344">
                    <c:v>45</c:v>
                  </c:pt>
                  <c:pt idx="1345">
                    <c:v>45</c:v>
                  </c:pt>
                  <c:pt idx="1346">
                    <c:v>41</c:v>
                  </c:pt>
                  <c:pt idx="1347">
                    <c:v>45</c:v>
                  </c:pt>
                  <c:pt idx="1350">
                    <c:v>41</c:v>
                  </c:pt>
                  <c:pt idx="1351">
                    <c:v>41</c:v>
                  </c:pt>
                  <c:pt idx="1352">
                    <c:v>41</c:v>
                  </c:pt>
                  <c:pt idx="1353">
                    <c:v>45</c:v>
                  </c:pt>
                  <c:pt idx="1354">
                    <c:v>45</c:v>
                  </c:pt>
                  <c:pt idx="1356">
                    <c:v>45</c:v>
                  </c:pt>
                  <c:pt idx="1381">
                    <c:v>45</c:v>
                  </c:pt>
                  <c:pt idx="1390">
                    <c:v>0</c:v>
                  </c:pt>
                  <c:pt idx="1394">
                    <c:v>42</c:v>
                  </c:pt>
                  <c:pt idx="1396">
                    <c:v>42</c:v>
                  </c:pt>
                  <c:pt idx="1397">
                    <c:v>42</c:v>
                  </c:pt>
                  <c:pt idx="1438">
                    <c:v>0</c:v>
                  </c:pt>
                  <c:pt idx="1441">
                    <c:v>0</c:v>
                  </c:pt>
                  <c:pt idx="1442">
                    <c:v>0</c:v>
                  </c:pt>
                  <c:pt idx="1444">
                    <c:v>45</c:v>
                  </c:pt>
                  <c:pt idx="1446">
                    <c:v>45</c:v>
                  </c:pt>
                  <c:pt idx="1447">
                    <c:v>45</c:v>
                  </c:pt>
                  <c:pt idx="1448">
                    <c:v>45</c:v>
                  </c:pt>
                  <c:pt idx="1477">
                    <c:v>42</c:v>
                  </c:pt>
                  <c:pt idx="1493">
                    <c:v>44</c:v>
                  </c:pt>
                  <c:pt idx="1504">
                    <c:v>0</c:v>
                  </c:pt>
                  <c:pt idx="1507">
                    <c:v>45</c:v>
                  </c:pt>
                  <c:pt idx="1508">
                    <c:v>0</c:v>
                  </c:pt>
                  <c:pt idx="1529">
                    <c:v>42</c:v>
                  </c:pt>
                  <c:pt idx="1530">
                    <c:v>45</c:v>
                  </c:pt>
                  <c:pt idx="1531">
                    <c:v>45</c:v>
                  </c:pt>
                  <c:pt idx="1534">
                    <c:v>0</c:v>
                  </c:pt>
                  <c:pt idx="1539">
                    <c:v>45</c:v>
                  </c:pt>
                  <c:pt idx="1547">
                    <c:v>45</c:v>
                  </c:pt>
                  <c:pt idx="1552">
                    <c:v>43</c:v>
                  </c:pt>
                  <c:pt idx="1553">
                    <c:v>0</c:v>
                  </c:pt>
                  <c:pt idx="1598">
                    <c:v>1,2</c:v>
                  </c:pt>
                  <c:pt idx="1600">
                    <c:v>0</c:v>
                  </c:pt>
                  <c:pt idx="1603">
                    <c:v>0</c:v>
                  </c:pt>
                  <c:pt idx="1610">
                    <c:v>0</c:v>
                  </c:pt>
                  <c:pt idx="1618">
                    <c:v>0</c:v>
                  </c:pt>
                  <c:pt idx="1639">
                    <c:v>0</c:v>
                  </c:pt>
                  <c:pt idx="1640">
                    <c:v>0</c:v>
                  </c:pt>
                  <c:pt idx="1643">
                    <c:v>0</c:v>
                  </c:pt>
                  <c:pt idx="1651">
                    <c:v>44</c:v>
                  </c:pt>
                  <c:pt idx="1716">
                    <c:v>0</c:v>
                  </c:pt>
                </c:lvl>
                <c:lvl>
                  <c:pt idx="0">
                    <c:v>1,5</c:v>
                  </c:pt>
                  <c:pt idx="1">
                    <c:v>1,5</c:v>
                  </c:pt>
                  <c:pt idx="2">
                    <c:v>1,5</c:v>
                  </c:pt>
                  <c:pt idx="3">
                    <c:v>1,3</c:v>
                  </c:pt>
                  <c:pt idx="4">
                    <c:v>3</c:v>
                  </c:pt>
                  <c:pt idx="5">
                    <c:v>1,8</c:v>
                  </c:pt>
                  <c:pt idx="6">
                    <c:v>5</c:v>
                  </c:pt>
                  <c:pt idx="7">
                    <c:v>1,6</c:v>
                  </c:pt>
                  <c:pt idx="8">
                    <c:v>1,5</c:v>
                  </c:pt>
                  <c:pt idx="9">
                    <c:v>1,5</c:v>
                  </c:pt>
                  <c:pt idx="10">
                    <c:v>1,8</c:v>
                  </c:pt>
                  <c:pt idx="11">
                    <c:v>2</c:v>
                  </c:pt>
                  <c:pt idx="12">
                    <c:v>1,6</c:v>
                  </c:pt>
                  <c:pt idx="13">
                    <c:v>1,6</c:v>
                  </c:pt>
                  <c:pt idx="14">
                    <c:v>1,6</c:v>
                  </c:pt>
                  <c:pt idx="15">
                    <c:v>1,8</c:v>
                  </c:pt>
                  <c:pt idx="16">
                    <c:v>2</c:v>
                  </c:pt>
                  <c:pt idx="17">
                    <c:v>1,8</c:v>
                  </c:pt>
                  <c:pt idx="18">
                    <c:v>1,6</c:v>
                  </c:pt>
                  <c:pt idx="19">
                    <c:v>3</c:v>
                  </c:pt>
                  <c:pt idx="20">
                    <c:v>3</c:v>
                  </c:pt>
                  <c:pt idx="21">
                    <c:v>3</c:v>
                  </c:pt>
                  <c:pt idx="22">
                    <c:v>3</c:v>
                  </c:pt>
                  <c:pt idx="23">
                    <c:v>2,5</c:v>
                  </c:pt>
                  <c:pt idx="24">
                    <c:v>1,6</c:v>
                  </c:pt>
                  <c:pt idx="25">
                    <c:v>1,4</c:v>
                  </c:pt>
                  <c:pt idx="26">
                    <c:v>1,6</c:v>
                  </c:pt>
                  <c:pt idx="27">
                    <c:v>1,7</c:v>
                  </c:pt>
                  <c:pt idx="28">
                    <c:v>1,7</c:v>
                  </c:pt>
                  <c:pt idx="29">
                    <c:v>1,6</c:v>
                  </c:pt>
                  <c:pt idx="30">
                    <c:v>1,7</c:v>
                  </c:pt>
                  <c:pt idx="31">
                    <c:v>1,6</c:v>
                  </c:pt>
                  <c:pt idx="32">
                    <c:v>1,5</c:v>
                  </c:pt>
                  <c:pt idx="33">
                    <c:v>2</c:v>
                  </c:pt>
                  <c:pt idx="34">
                    <c:v>1,6</c:v>
                  </c:pt>
                  <c:pt idx="35">
                    <c:v>1,5</c:v>
                  </c:pt>
                  <c:pt idx="36">
                    <c:v>1,8</c:v>
                  </c:pt>
                  <c:pt idx="37">
                    <c:v>1,3</c:v>
                  </c:pt>
                  <c:pt idx="38">
                    <c:v>1,2</c:v>
                  </c:pt>
                  <c:pt idx="39">
                    <c:v>2</c:v>
                  </c:pt>
                  <c:pt idx="40">
                    <c:v>1,2</c:v>
                  </c:pt>
                  <c:pt idx="41">
                    <c:v>1,2</c:v>
                  </c:pt>
                  <c:pt idx="42">
                    <c:v>2</c:v>
                  </c:pt>
                  <c:pt idx="43">
                    <c:v>1,8</c:v>
                  </c:pt>
                  <c:pt idx="44">
                    <c:v>1,6</c:v>
                  </c:pt>
                  <c:pt idx="45">
                    <c:v>1,1</c:v>
                  </c:pt>
                  <c:pt idx="46">
                    <c:v>2</c:v>
                  </c:pt>
                  <c:pt idx="47">
                    <c:v>1,8</c:v>
                  </c:pt>
                  <c:pt idx="48">
                    <c:v>1,7</c:v>
                  </c:pt>
                  <c:pt idx="49">
                    <c:v>1,6</c:v>
                  </c:pt>
                  <c:pt idx="50">
                    <c:v>1,8</c:v>
                  </c:pt>
                  <c:pt idx="51">
                    <c:v>1,5</c:v>
                  </c:pt>
                  <c:pt idx="52">
                    <c:v>1,2</c:v>
                  </c:pt>
                  <c:pt idx="53">
                    <c:v>4,5</c:v>
                  </c:pt>
                  <c:pt idx="54">
                    <c:v>1,5</c:v>
                  </c:pt>
                  <c:pt idx="55">
                    <c:v>1,6</c:v>
                  </c:pt>
                  <c:pt idx="56">
                    <c:v>1,8</c:v>
                  </c:pt>
                  <c:pt idx="57">
                    <c:v>1,4</c:v>
                  </c:pt>
                  <c:pt idx="58">
                    <c:v>1,1</c:v>
                  </c:pt>
                  <c:pt idx="59">
                    <c:v>1,6</c:v>
                  </c:pt>
                  <c:pt idx="60">
                    <c:v>1,6</c:v>
                  </c:pt>
                  <c:pt idx="61">
                    <c:v>1,6</c:v>
                  </c:pt>
                  <c:pt idx="62">
                    <c:v>1,5</c:v>
                  </c:pt>
                  <c:pt idx="63">
                    <c:v>1,6</c:v>
                  </c:pt>
                  <c:pt idx="64">
                    <c:v>1,6</c:v>
                  </c:pt>
                  <c:pt idx="65">
                    <c:v>1,6</c:v>
                  </c:pt>
                  <c:pt idx="66">
                    <c:v>1,5</c:v>
                  </c:pt>
                  <c:pt idx="67">
                    <c:v>2</c:v>
                  </c:pt>
                  <c:pt idx="68">
                    <c:v>2</c:v>
                  </c:pt>
                  <c:pt idx="69">
                    <c:v>2</c:v>
                  </c:pt>
                  <c:pt idx="70">
                    <c:v>2</c:v>
                  </c:pt>
                  <c:pt idx="71">
                    <c:v>1,8</c:v>
                  </c:pt>
                  <c:pt idx="72">
                    <c:v>1,3</c:v>
                  </c:pt>
                  <c:pt idx="73">
                    <c:v>1,5</c:v>
                  </c:pt>
                  <c:pt idx="74">
                    <c:v>1,3</c:v>
                  </c:pt>
                  <c:pt idx="75">
                    <c:v>1,5</c:v>
                  </c:pt>
                  <c:pt idx="76">
                    <c:v>2</c:v>
                  </c:pt>
                  <c:pt idx="77">
                    <c:v>2</c:v>
                  </c:pt>
                  <c:pt idx="78">
                    <c:v>1,85</c:v>
                  </c:pt>
                  <c:pt idx="79">
                    <c:v>1,85</c:v>
                  </c:pt>
                  <c:pt idx="80">
                    <c:v>2</c:v>
                  </c:pt>
                  <c:pt idx="81">
                    <c:v>1,62</c:v>
                  </c:pt>
                  <c:pt idx="82">
                    <c:v>1,3</c:v>
                  </c:pt>
                  <c:pt idx="83">
                    <c:v>1,8</c:v>
                  </c:pt>
                  <c:pt idx="84">
                    <c:v>1,8</c:v>
                  </c:pt>
                  <c:pt idx="85">
                    <c:v>3</c:v>
                  </c:pt>
                  <c:pt idx="86">
                    <c:v>3</c:v>
                  </c:pt>
                  <c:pt idx="87">
                    <c:v>3</c:v>
                  </c:pt>
                  <c:pt idx="88">
                    <c:v>1,3</c:v>
                  </c:pt>
                  <c:pt idx="89">
                    <c:v>1,4</c:v>
                  </c:pt>
                  <c:pt idx="90">
                    <c:v>1,6</c:v>
                  </c:pt>
                  <c:pt idx="91">
                    <c:v>1,8</c:v>
                  </c:pt>
                  <c:pt idx="92">
                    <c:v>1,7</c:v>
                  </c:pt>
                  <c:pt idx="93">
                    <c:v>1,8</c:v>
                  </c:pt>
                  <c:pt idx="94">
                    <c:v>1,8</c:v>
                  </c:pt>
                  <c:pt idx="95">
                    <c:v>1,8</c:v>
                  </c:pt>
                  <c:pt idx="96">
                    <c:v>1,8</c:v>
                  </c:pt>
                  <c:pt idx="97">
                    <c:v>1,6</c:v>
                  </c:pt>
                  <c:pt idx="98">
                    <c:v>1,8</c:v>
                  </c:pt>
                  <c:pt idx="99">
                    <c:v>2</c:v>
                  </c:pt>
                  <c:pt idx="100">
                    <c:v>1,3</c:v>
                  </c:pt>
                  <c:pt idx="101">
                    <c:v>1,5</c:v>
                  </c:pt>
                  <c:pt idx="102">
                    <c:v>1,8</c:v>
                  </c:pt>
                  <c:pt idx="103">
                    <c:v>1,5</c:v>
                  </c:pt>
                  <c:pt idx="104">
                    <c:v>1,4</c:v>
                  </c:pt>
                  <c:pt idx="105">
                    <c:v>1,5</c:v>
                  </c:pt>
                  <c:pt idx="106">
                    <c:v>1,35</c:v>
                  </c:pt>
                  <c:pt idx="107">
                    <c:v>1,35</c:v>
                  </c:pt>
                  <c:pt idx="108">
                    <c:v>1,5</c:v>
                  </c:pt>
                  <c:pt idx="109">
                    <c:v>1,4</c:v>
                  </c:pt>
                  <c:pt idx="110">
                    <c:v>1</c:v>
                  </c:pt>
                  <c:pt idx="111">
                    <c:v>1,4</c:v>
                  </c:pt>
                  <c:pt idx="112">
                    <c:v>1,6</c:v>
                  </c:pt>
                  <c:pt idx="113">
                    <c:v>1,8</c:v>
                  </c:pt>
                  <c:pt idx="114">
                    <c:v>2</c:v>
                  </c:pt>
                  <c:pt idx="115">
                    <c:v>2</c:v>
                  </c:pt>
                  <c:pt idx="116">
                    <c:v>1,8</c:v>
                  </c:pt>
                  <c:pt idx="117">
                    <c:v>1,6</c:v>
                  </c:pt>
                  <c:pt idx="118">
                    <c:v>1,6</c:v>
                  </c:pt>
                  <c:pt idx="119">
                    <c:v>1,6</c:v>
                  </c:pt>
                  <c:pt idx="120">
                    <c:v>2</c:v>
                  </c:pt>
                  <c:pt idx="121">
                    <c:v>1,4</c:v>
                  </c:pt>
                  <c:pt idx="122">
                    <c:v>1,2</c:v>
                  </c:pt>
                  <c:pt idx="123">
                    <c:v>1,3</c:v>
                  </c:pt>
                  <c:pt idx="124">
                    <c:v>1,4</c:v>
                  </c:pt>
                  <c:pt idx="125">
                    <c:v>1,5</c:v>
                  </c:pt>
                  <c:pt idx="126">
                    <c:v>2</c:v>
                  </c:pt>
                  <c:pt idx="127">
                    <c:v>1,6</c:v>
                  </c:pt>
                  <c:pt idx="128">
                    <c:v>1,6</c:v>
                  </c:pt>
                  <c:pt idx="129">
                    <c:v>1,3</c:v>
                  </c:pt>
                  <c:pt idx="130">
                    <c:v>1,5</c:v>
                  </c:pt>
                  <c:pt idx="131">
                    <c:v>1,5</c:v>
                  </c:pt>
                  <c:pt idx="132">
                    <c:v>1,45</c:v>
                  </c:pt>
                  <c:pt idx="133">
                    <c:v>1,45</c:v>
                  </c:pt>
                  <c:pt idx="134">
                    <c:v>1,3</c:v>
                  </c:pt>
                  <c:pt idx="135">
                    <c:v>1,5</c:v>
                  </c:pt>
                  <c:pt idx="136">
                    <c:v>1,8</c:v>
                  </c:pt>
                  <c:pt idx="137">
                    <c:v>1,5</c:v>
                  </c:pt>
                  <c:pt idx="138">
                    <c:v>1,6</c:v>
                  </c:pt>
                  <c:pt idx="139">
                    <c:v>1,8</c:v>
                  </c:pt>
                  <c:pt idx="140">
                    <c:v>1,6</c:v>
                  </c:pt>
                  <c:pt idx="141">
                    <c:v>1,8</c:v>
                  </c:pt>
                  <c:pt idx="142">
                    <c:v>1,6</c:v>
                  </c:pt>
                  <c:pt idx="143">
                    <c:v>1,4</c:v>
                  </c:pt>
                  <c:pt idx="144">
                    <c:v>1,8</c:v>
                  </c:pt>
                  <c:pt idx="145">
                    <c:v>1,8</c:v>
                  </c:pt>
                  <c:pt idx="146">
                    <c:v>1,8</c:v>
                  </c:pt>
                  <c:pt idx="147">
                    <c:v>1,6</c:v>
                  </c:pt>
                  <c:pt idx="148">
                    <c:v>1,8</c:v>
                  </c:pt>
                  <c:pt idx="149">
                    <c:v>1,8</c:v>
                  </c:pt>
                  <c:pt idx="150">
                    <c:v>1,8</c:v>
                  </c:pt>
                  <c:pt idx="151">
                    <c:v>1,6</c:v>
                  </c:pt>
                  <c:pt idx="152">
                    <c:v>1,5</c:v>
                  </c:pt>
                  <c:pt idx="153">
                    <c:v>1,8</c:v>
                  </c:pt>
                  <c:pt idx="154">
                    <c:v>1,6</c:v>
                  </c:pt>
                  <c:pt idx="155">
                    <c:v>1,6</c:v>
                  </c:pt>
                  <c:pt idx="156">
                    <c:v>1,6</c:v>
                  </c:pt>
                  <c:pt idx="157">
                    <c:v>1,6</c:v>
                  </c:pt>
                  <c:pt idx="158">
                    <c:v>1,6</c:v>
                  </c:pt>
                  <c:pt idx="159">
                    <c:v>1,6</c:v>
                  </c:pt>
                  <c:pt idx="160">
                    <c:v>1,6</c:v>
                  </c:pt>
                  <c:pt idx="161">
                    <c:v>1,8</c:v>
                  </c:pt>
                  <c:pt idx="162">
                    <c:v>1,8</c:v>
                  </c:pt>
                  <c:pt idx="163">
                    <c:v>1,5</c:v>
                  </c:pt>
                  <c:pt idx="164">
                    <c:v>1,8</c:v>
                  </c:pt>
                  <c:pt idx="165">
                    <c:v>2</c:v>
                  </c:pt>
                  <c:pt idx="166">
                    <c:v>1,4</c:v>
                  </c:pt>
                  <c:pt idx="167">
                    <c:v>1,6</c:v>
                  </c:pt>
                  <c:pt idx="168">
                    <c:v>1,6</c:v>
                  </c:pt>
                  <c:pt idx="169">
                    <c:v>1,3</c:v>
                  </c:pt>
                  <c:pt idx="170">
                    <c:v>1,3</c:v>
                  </c:pt>
                  <c:pt idx="171">
                    <c:v>1,6</c:v>
                  </c:pt>
                  <c:pt idx="172">
                    <c:v>1,6</c:v>
                  </c:pt>
                  <c:pt idx="173">
                    <c:v>1,6</c:v>
                  </c:pt>
                  <c:pt idx="174">
                    <c:v>1,6</c:v>
                  </c:pt>
                  <c:pt idx="175">
                    <c:v>1,6</c:v>
                  </c:pt>
                  <c:pt idx="176">
                    <c:v>1,6</c:v>
                  </c:pt>
                  <c:pt idx="177">
                    <c:v>1,45</c:v>
                  </c:pt>
                  <c:pt idx="178">
                    <c:v>1,45</c:v>
                  </c:pt>
                  <c:pt idx="179">
                    <c:v>1,8</c:v>
                  </c:pt>
                  <c:pt idx="180">
                    <c:v>1,8</c:v>
                  </c:pt>
                  <c:pt idx="181">
                    <c:v>1,6</c:v>
                  </c:pt>
                  <c:pt idx="182">
                    <c:v>1,6</c:v>
                  </c:pt>
                  <c:pt idx="183">
                    <c:v>1,6</c:v>
                  </c:pt>
                  <c:pt idx="184">
                    <c:v>1,6</c:v>
                  </c:pt>
                  <c:pt idx="185">
                    <c:v>1,6</c:v>
                  </c:pt>
                  <c:pt idx="186">
                    <c:v>1,4</c:v>
                  </c:pt>
                  <c:pt idx="187">
                    <c:v>1,4</c:v>
                  </c:pt>
                  <c:pt idx="188">
                    <c:v>1,6</c:v>
                  </c:pt>
                  <c:pt idx="189">
                    <c:v>1,6</c:v>
                  </c:pt>
                  <c:pt idx="190">
                    <c:v>1,6</c:v>
                  </c:pt>
                  <c:pt idx="191">
                    <c:v>1,6</c:v>
                  </c:pt>
                  <c:pt idx="192">
                    <c:v>1,6</c:v>
                  </c:pt>
                  <c:pt idx="193">
                    <c:v>1,8</c:v>
                  </c:pt>
                  <c:pt idx="194">
                    <c:v>1,8</c:v>
                  </c:pt>
                  <c:pt idx="195">
                    <c:v>1,8</c:v>
                  </c:pt>
                  <c:pt idx="196">
                    <c:v>1,6</c:v>
                  </c:pt>
                  <c:pt idx="197">
                    <c:v>1,6</c:v>
                  </c:pt>
                  <c:pt idx="198">
                    <c:v>1,6</c:v>
                  </c:pt>
                  <c:pt idx="199">
                    <c:v>1,6</c:v>
                  </c:pt>
                  <c:pt idx="200">
                    <c:v>1,6</c:v>
                  </c:pt>
                  <c:pt idx="201">
                    <c:v>1,8</c:v>
                  </c:pt>
                  <c:pt idx="202">
                    <c:v>1,8</c:v>
                  </c:pt>
                  <c:pt idx="203">
                    <c:v>1,46</c:v>
                  </c:pt>
                  <c:pt idx="204">
                    <c:v>2</c:v>
                  </c:pt>
                  <c:pt idx="205">
                    <c:v>1,6</c:v>
                  </c:pt>
                  <c:pt idx="206">
                    <c:v>1</c:v>
                  </c:pt>
                  <c:pt idx="208">
                    <c:v>1,4</c:v>
                  </c:pt>
                  <c:pt idx="209">
                    <c:v>1,4</c:v>
                  </c:pt>
                  <c:pt idx="210">
                    <c:v>1,8</c:v>
                  </c:pt>
                  <c:pt idx="211">
                    <c:v>1,3</c:v>
                  </c:pt>
                  <c:pt idx="212">
                    <c:v>1,6</c:v>
                  </c:pt>
                  <c:pt idx="213">
                    <c:v>1,6</c:v>
                  </c:pt>
                  <c:pt idx="214">
                    <c:v>1,6</c:v>
                  </c:pt>
                  <c:pt idx="215">
                    <c:v>1,6</c:v>
                  </c:pt>
                  <c:pt idx="216">
                    <c:v>1,8</c:v>
                  </c:pt>
                  <c:pt idx="217">
                    <c:v>1,8</c:v>
                  </c:pt>
                  <c:pt idx="218">
                    <c:v>1,3</c:v>
                  </c:pt>
                  <c:pt idx="219">
                    <c:v>2,6</c:v>
                  </c:pt>
                  <c:pt idx="220">
                    <c:v>3,2</c:v>
                  </c:pt>
                  <c:pt idx="221">
                    <c:v>1,8</c:v>
                  </c:pt>
                  <c:pt idx="222">
                    <c:v>1,8</c:v>
                  </c:pt>
                  <c:pt idx="223">
                    <c:v>1,6</c:v>
                  </c:pt>
                  <c:pt idx="224">
                    <c:v>1,6</c:v>
                  </c:pt>
                  <c:pt idx="225">
                    <c:v>1,6</c:v>
                  </c:pt>
                  <c:pt idx="226">
                    <c:v>1,7</c:v>
                  </c:pt>
                  <c:pt idx="227">
                    <c:v>1,8</c:v>
                  </c:pt>
                  <c:pt idx="228">
                    <c:v>2</c:v>
                  </c:pt>
                  <c:pt idx="229">
                    <c:v>1,4</c:v>
                  </c:pt>
                  <c:pt idx="230">
                    <c:v>1,6</c:v>
                  </c:pt>
                  <c:pt idx="231">
                    <c:v>1,6</c:v>
                  </c:pt>
                  <c:pt idx="232">
                    <c:v>1,6</c:v>
                  </c:pt>
                  <c:pt idx="233">
                    <c:v>1,6</c:v>
                  </c:pt>
                  <c:pt idx="234">
                    <c:v>1,6</c:v>
                  </c:pt>
                  <c:pt idx="235">
                    <c:v>3</c:v>
                  </c:pt>
                  <c:pt idx="236">
                    <c:v>1,3</c:v>
                  </c:pt>
                  <c:pt idx="237">
                    <c:v>1,6</c:v>
                  </c:pt>
                  <c:pt idx="238">
                    <c:v>1,6</c:v>
                  </c:pt>
                  <c:pt idx="239">
                    <c:v>1,6</c:v>
                  </c:pt>
                  <c:pt idx="240">
                    <c:v>1,4</c:v>
                  </c:pt>
                  <c:pt idx="241">
                    <c:v>1,4</c:v>
                  </c:pt>
                  <c:pt idx="242">
                    <c:v>1,6</c:v>
                  </c:pt>
                  <c:pt idx="243">
                    <c:v>1,4</c:v>
                  </c:pt>
                  <c:pt idx="244">
                    <c:v>1,45</c:v>
                  </c:pt>
                  <c:pt idx="245">
                    <c:v>1,45</c:v>
                  </c:pt>
                  <c:pt idx="246">
                    <c:v>1,45</c:v>
                  </c:pt>
                  <c:pt idx="247">
                    <c:v>2</c:v>
                  </c:pt>
                  <c:pt idx="248">
                    <c:v>1,5</c:v>
                  </c:pt>
                  <c:pt idx="249">
                    <c:v>1,6</c:v>
                  </c:pt>
                  <c:pt idx="250">
                    <c:v>1,6</c:v>
                  </c:pt>
                  <c:pt idx="251">
                    <c:v>1,3</c:v>
                  </c:pt>
                  <c:pt idx="252">
                    <c:v>1,6</c:v>
                  </c:pt>
                  <c:pt idx="253">
                    <c:v>1,6</c:v>
                  </c:pt>
                  <c:pt idx="254">
                    <c:v>1,6</c:v>
                  </c:pt>
                  <c:pt idx="255">
                    <c:v>1,8</c:v>
                  </c:pt>
                  <c:pt idx="256">
                    <c:v>1,8</c:v>
                  </c:pt>
                  <c:pt idx="257">
                    <c:v>1,8</c:v>
                  </c:pt>
                  <c:pt idx="258">
                    <c:v>1,5</c:v>
                  </c:pt>
                  <c:pt idx="259">
                    <c:v>1,8</c:v>
                  </c:pt>
                  <c:pt idx="260">
                    <c:v>2</c:v>
                  </c:pt>
                  <c:pt idx="261">
                    <c:v>1,3</c:v>
                  </c:pt>
                  <c:pt idx="262">
                    <c:v>1,45</c:v>
                  </c:pt>
                  <c:pt idx="263">
                    <c:v>1,5</c:v>
                  </c:pt>
                  <c:pt idx="264">
                    <c:v>1,4</c:v>
                  </c:pt>
                  <c:pt idx="265">
                    <c:v>1,6</c:v>
                  </c:pt>
                  <c:pt idx="266">
                    <c:v>1,6</c:v>
                  </c:pt>
                  <c:pt idx="267">
                    <c:v>1,6</c:v>
                  </c:pt>
                  <c:pt idx="268">
                    <c:v>1,3</c:v>
                  </c:pt>
                  <c:pt idx="269">
                    <c:v>1,5</c:v>
                  </c:pt>
                  <c:pt idx="270">
                    <c:v>1,45</c:v>
                  </c:pt>
                  <c:pt idx="271">
                    <c:v>1,5</c:v>
                  </c:pt>
                  <c:pt idx="272">
                    <c:v>1,6</c:v>
                  </c:pt>
                  <c:pt idx="273">
                    <c:v>1,6</c:v>
                  </c:pt>
                  <c:pt idx="274">
                    <c:v>1,7</c:v>
                  </c:pt>
                  <c:pt idx="275">
                    <c:v>1,3</c:v>
                  </c:pt>
                  <c:pt idx="276">
                    <c:v>1,6</c:v>
                  </c:pt>
                  <c:pt idx="277">
                    <c:v>1,8</c:v>
                  </c:pt>
                  <c:pt idx="278">
                    <c:v>1,8</c:v>
                  </c:pt>
                  <c:pt idx="279">
                    <c:v>1,8</c:v>
                  </c:pt>
                  <c:pt idx="280">
                    <c:v>1,8</c:v>
                  </c:pt>
                  <c:pt idx="281">
                    <c:v>1,8</c:v>
                  </c:pt>
                  <c:pt idx="282">
                    <c:v>1,5</c:v>
                  </c:pt>
                  <c:pt idx="283">
                    <c:v>1,8</c:v>
                  </c:pt>
                  <c:pt idx="284">
                    <c:v>1,8</c:v>
                  </c:pt>
                  <c:pt idx="285">
                    <c:v>1,6</c:v>
                  </c:pt>
                  <c:pt idx="286">
                    <c:v>1,5</c:v>
                  </c:pt>
                  <c:pt idx="287">
                    <c:v>1,4</c:v>
                  </c:pt>
                  <c:pt idx="288">
                    <c:v>1,45</c:v>
                  </c:pt>
                  <c:pt idx="289">
                    <c:v>1,45</c:v>
                  </c:pt>
                  <c:pt idx="290">
                    <c:v>1,6</c:v>
                  </c:pt>
                  <c:pt idx="291">
                    <c:v>1,45</c:v>
                  </c:pt>
                  <c:pt idx="292">
                    <c:v>1,5</c:v>
                  </c:pt>
                  <c:pt idx="293">
                    <c:v>1,6</c:v>
                  </c:pt>
                  <c:pt idx="294">
                    <c:v>1,5</c:v>
                  </c:pt>
                  <c:pt idx="295">
                    <c:v>1,6</c:v>
                  </c:pt>
                  <c:pt idx="296">
                    <c:v>1,6</c:v>
                  </c:pt>
                  <c:pt idx="297">
                    <c:v>1,4</c:v>
                  </c:pt>
                  <c:pt idx="298">
                    <c:v>1,5</c:v>
                  </c:pt>
                  <c:pt idx="299">
                    <c:v>1,5</c:v>
                  </c:pt>
                  <c:pt idx="300">
                    <c:v>1,5</c:v>
                  </c:pt>
                  <c:pt idx="301">
                    <c:v>1,3</c:v>
                  </c:pt>
                  <c:pt idx="302">
                    <c:v>1,3</c:v>
                  </c:pt>
                  <c:pt idx="303">
                    <c:v>1,45</c:v>
                  </c:pt>
                  <c:pt idx="304">
                    <c:v>1,5</c:v>
                  </c:pt>
                  <c:pt idx="305">
                    <c:v>1,5</c:v>
                  </c:pt>
                  <c:pt idx="306">
                    <c:v>1,5</c:v>
                  </c:pt>
                  <c:pt idx="307">
                    <c:v>1,45</c:v>
                  </c:pt>
                  <c:pt idx="308">
                    <c:v>1,5</c:v>
                  </c:pt>
                  <c:pt idx="309">
                    <c:v>1,5</c:v>
                  </c:pt>
                  <c:pt idx="310">
                    <c:v>1,7</c:v>
                  </c:pt>
                  <c:pt idx="311">
                    <c:v>1,8</c:v>
                  </c:pt>
                  <c:pt idx="312">
                    <c:v>1,8</c:v>
                  </c:pt>
                  <c:pt idx="313">
                    <c:v>1,7</c:v>
                  </c:pt>
                  <c:pt idx="314">
                    <c:v>2</c:v>
                  </c:pt>
                  <c:pt idx="315">
                    <c:v>2,5</c:v>
                  </c:pt>
                  <c:pt idx="316">
                    <c:v>1,6</c:v>
                  </c:pt>
                  <c:pt idx="317">
                    <c:v>1,35</c:v>
                  </c:pt>
                  <c:pt idx="318">
                    <c:v>1,3</c:v>
                  </c:pt>
                  <c:pt idx="319">
                    <c:v>1,3</c:v>
                  </c:pt>
                  <c:pt idx="320">
                    <c:v>1,45</c:v>
                  </c:pt>
                  <c:pt idx="321">
                    <c:v>2,5</c:v>
                  </c:pt>
                  <c:pt idx="322">
                    <c:v>2</c:v>
                  </c:pt>
                  <c:pt idx="323">
                    <c:v>1,6</c:v>
                  </c:pt>
                  <c:pt idx="324">
                    <c:v>1,6</c:v>
                  </c:pt>
                  <c:pt idx="325">
                    <c:v>1,6</c:v>
                  </c:pt>
                  <c:pt idx="326">
                    <c:v>1,6</c:v>
                  </c:pt>
                  <c:pt idx="327">
                    <c:v>2</c:v>
                  </c:pt>
                  <c:pt idx="328">
                    <c:v>1,4</c:v>
                  </c:pt>
                  <c:pt idx="329">
                    <c:v>1,4</c:v>
                  </c:pt>
                  <c:pt idx="330">
                    <c:v>1,4</c:v>
                  </c:pt>
                  <c:pt idx="331">
                    <c:v>1,8</c:v>
                  </c:pt>
                  <c:pt idx="332">
                    <c:v>1,4</c:v>
                  </c:pt>
                  <c:pt idx="333">
                    <c:v>1,4</c:v>
                  </c:pt>
                  <c:pt idx="334">
                    <c:v>1,4</c:v>
                  </c:pt>
                  <c:pt idx="335">
                    <c:v>1,4</c:v>
                  </c:pt>
                  <c:pt idx="336">
                    <c:v>1,4</c:v>
                  </c:pt>
                  <c:pt idx="337">
                    <c:v>1,3</c:v>
                  </c:pt>
                  <c:pt idx="338">
                    <c:v>1,4</c:v>
                  </c:pt>
                  <c:pt idx="339">
                    <c:v>1,6</c:v>
                  </c:pt>
                  <c:pt idx="340">
                    <c:v>1,5</c:v>
                  </c:pt>
                  <c:pt idx="341">
                    <c:v>1,8</c:v>
                  </c:pt>
                  <c:pt idx="342">
                    <c:v>1,5</c:v>
                  </c:pt>
                  <c:pt idx="343">
                    <c:v>1,6</c:v>
                  </c:pt>
                  <c:pt idx="344">
                    <c:v>1,5</c:v>
                  </c:pt>
                  <c:pt idx="345">
                    <c:v>1,8</c:v>
                  </c:pt>
                  <c:pt idx="346">
                    <c:v>1,3</c:v>
                  </c:pt>
                  <c:pt idx="347">
                    <c:v>1,6</c:v>
                  </c:pt>
                  <c:pt idx="348">
                    <c:v>1,45</c:v>
                  </c:pt>
                  <c:pt idx="349">
                    <c:v>1,8</c:v>
                  </c:pt>
                  <c:pt idx="350">
                    <c:v>1,4</c:v>
                  </c:pt>
                  <c:pt idx="351">
                    <c:v>1,5</c:v>
                  </c:pt>
                  <c:pt idx="352">
                    <c:v>1,6</c:v>
                  </c:pt>
                  <c:pt idx="353">
                    <c:v>1,4</c:v>
                  </c:pt>
                  <c:pt idx="354">
                    <c:v>1,5</c:v>
                  </c:pt>
                  <c:pt idx="355">
                    <c:v>1,5</c:v>
                  </c:pt>
                  <c:pt idx="356">
                    <c:v>1,6</c:v>
                  </c:pt>
                  <c:pt idx="357">
                    <c:v>1,6</c:v>
                  </c:pt>
                  <c:pt idx="358">
                    <c:v>1,6</c:v>
                  </c:pt>
                  <c:pt idx="359">
                    <c:v>1,3</c:v>
                  </c:pt>
                  <c:pt idx="360">
                    <c:v>1,3</c:v>
                  </c:pt>
                  <c:pt idx="361">
                    <c:v>1,35</c:v>
                  </c:pt>
                  <c:pt idx="362">
                    <c:v>1,35</c:v>
                  </c:pt>
                  <c:pt idx="363">
                    <c:v>1,6</c:v>
                  </c:pt>
                  <c:pt idx="364">
                    <c:v>1,35</c:v>
                  </c:pt>
                  <c:pt idx="365">
                    <c:v>1,3</c:v>
                  </c:pt>
                  <c:pt idx="366">
                    <c:v>1,35</c:v>
                  </c:pt>
                  <c:pt idx="367">
                    <c:v>1,35</c:v>
                  </c:pt>
                  <c:pt idx="368">
                    <c:v>1,3</c:v>
                  </c:pt>
                  <c:pt idx="369">
                    <c:v>1,8</c:v>
                  </c:pt>
                  <c:pt idx="370">
                    <c:v>1,4</c:v>
                  </c:pt>
                  <c:pt idx="371">
                    <c:v>1,8</c:v>
                  </c:pt>
                  <c:pt idx="372">
                    <c:v>1,8</c:v>
                  </c:pt>
                  <c:pt idx="373">
                    <c:v>1,8</c:v>
                  </c:pt>
                  <c:pt idx="374">
                    <c:v>1,6</c:v>
                  </c:pt>
                  <c:pt idx="375">
                    <c:v>1,6</c:v>
                  </c:pt>
                  <c:pt idx="376">
                    <c:v>1,8</c:v>
                  </c:pt>
                  <c:pt idx="377">
                    <c:v>1,6</c:v>
                  </c:pt>
                  <c:pt idx="378">
                    <c:v>1,4</c:v>
                  </c:pt>
                  <c:pt idx="379">
                    <c:v>1,4</c:v>
                  </c:pt>
                  <c:pt idx="380">
                    <c:v>1,8</c:v>
                  </c:pt>
                  <c:pt idx="381">
                    <c:v>1,8</c:v>
                  </c:pt>
                  <c:pt idx="382">
                    <c:v>1,6</c:v>
                  </c:pt>
                  <c:pt idx="383">
                    <c:v>1,8</c:v>
                  </c:pt>
                  <c:pt idx="384">
                    <c:v>1,6</c:v>
                  </c:pt>
                  <c:pt idx="385">
                    <c:v>1,6</c:v>
                  </c:pt>
                  <c:pt idx="386">
                    <c:v>1,4</c:v>
                  </c:pt>
                  <c:pt idx="387">
                    <c:v>1,4</c:v>
                  </c:pt>
                  <c:pt idx="388">
                    <c:v>1,6</c:v>
                  </c:pt>
                  <c:pt idx="389">
                    <c:v>1,6</c:v>
                  </c:pt>
                  <c:pt idx="390">
                    <c:v>1,6</c:v>
                  </c:pt>
                  <c:pt idx="391">
                    <c:v>1,3</c:v>
                  </c:pt>
                  <c:pt idx="392">
                    <c:v>1,3</c:v>
                  </c:pt>
                  <c:pt idx="393">
                    <c:v>1,3</c:v>
                  </c:pt>
                  <c:pt idx="394">
                    <c:v>1,6</c:v>
                  </c:pt>
                  <c:pt idx="395">
                    <c:v>1,8</c:v>
                  </c:pt>
                  <c:pt idx="396">
                    <c:v>1,8</c:v>
                  </c:pt>
                  <c:pt idx="397">
                    <c:v>1,3</c:v>
                  </c:pt>
                  <c:pt idx="398">
                    <c:v>2</c:v>
                  </c:pt>
                  <c:pt idx="399">
                    <c:v>1,8</c:v>
                  </c:pt>
                  <c:pt idx="400">
                    <c:v>1,8</c:v>
                  </c:pt>
                  <c:pt idx="401">
                    <c:v>1,6</c:v>
                  </c:pt>
                  <c:pt idx="402">
                    <c:v>2</c:v>
                  </c:pt>
                  <c:pt idx="403">
                    <c:v>1,6</c:v>
                  </c:pt>
                  <c:pt idx="404">
                    <c:v>1,8</c:v>
                  </c:pt>
                  <c:pt idx="405">
                    <c:v>1,6</c:v>
                  </c:pt>
                  <c:pt idx="406">
                    <c:v>1,8</c:v>
                  </c:pt>
                  <c:pt idx="407">
                    <c:v>1,5</c:v>
                  </c:pt>
                  <c:pt idx="408">
                    <c:v>1,6</c:v>
                  </c:pt>
                  <c:pt idx="409">
                    <c:v>1,6</c:v>
                  </c:pt>
                  <c:pt idx="410">
                    <c:v>1,45</c:v>
                  </c:pt>
                  <c:pt idx="411">
                    <c:v>1,4</c:v>
                  </c:pt>
                  <c:pt idx="412">
                    <c:v>1,67</c:v>
                  </c:pt>
                  <c:pt idx="413">
                    <c:v>1,2</c:v>
                  </c:pt>
                  <c:pt idx="414">
                    <c:v>1,8</c:v>
                  </c:pt>
                  <c:pt idx="415">
                    <c:v>1,6</c:v>
                  </c:pt>
                  <c:pt idx="416">
                    <c:v>1,8</c:v>
                  </c:pt>
                  <c:pt idx="417">
                    <c:v>1,8</c:v>
                  </c:pt>
                  <c:pt idx="418">
                    <c:v>2,5</c:v>
                  </c:pt>
                  <c:pt idx="419">
                    <c:v>2</c:v>
                  </c:pt>
                  <c:pt idx="420">
                    <c:v>3</c:v>
                  </c:pt>
                  <c:pt idx="421">
                    <c:v>3</c:v>
                  </c:pt>
                  <c:pt idx="422">
                    <c:v>2</c:v>
                  </c:pt>
                  <c:pt idx="423">
                    <c:v>2,5</c:v>
                  </c:pt>
                  <c:pt idx="424">
                    <c:v>2</c:v>
                  </c:pt>
                  <c:pt idx="425">
                    <c:v>2</c:v>
                  </c:pt>
                  <c:pt idx="426">
                    <c:v>2</c:v>
                  </c:pt>
                  <c:pt idx="427">
                    <c:v>2</c:v>
                  </c:pt>
                  <c:pt idx="428">
                    <c:v>1,5</c:v>
                  </c:pt>
                  <c:pt idx="429">
                    <c:v>1,5</c:v>
                  </c:pt>
                  <c:pt idx="430">
                    <c:v>1,8</c:v>
                  </c:pt>
                  <c:pt idx="431">
                    <c:v>1,5</c:v>
                  </c:pt>
                  <c:pt idx="432">
                    <c:v>1,8</c:v>
                  </c:pt>
                  <c:pt idx="433">
                    <c:v>1,4</c:v>
                  </c:pt>
                  <c:pt idx="434">
                    <c:v>1,5</c:v>
                  </c:pt>
                  <c:pt idx="435">
                    <c:v>1,4</c:v>
                  </c:pt>
                  <c:pt idx="436">
                    <c:v>1,45</c:v>
                  </c:pt>
                  <c:pt idx="437">
                    <c:v>1,4</c:v>
                  </c:pt>
                  <c:pt idx="438">
                    <c:v>1,8</c:v>
                  </c:pt>
                  <c:pt idx="439">
                    <c:v>1,8</c:v>
                  </c:pt>
                  <c:pt idx="440">
                    <c:v>1,7</c:v>
                  </c:pt>
                  <c:pt idx="441">
                    <c:v>1,6</c:v>
                  </c:pt>
                  <c:pt idx="442">
                    <c:v>1,6</c:v>
                  </c:pt>
                  <c:pt idx="443">
                    <c:v>1,7</c:v>
                  </c:pt>
                  <c:pt idx="444">
                    <c:v>1,5</c:v>
                  </c:pt>
                  <c:pt idx="445">
                    <c:v>1,6</c:v>
                  </c:pt>
                  <c:pt idx="446">
                    <c:v>1,6</c:v>
                  </c:pt>
                  <c:pt idx="447">
                    <c:v>1,6</c:v>
                  </c:pt>
                  <c:pt idx="448">
                    <c:v>1,5</c:v>
                  </c:pt>
                  <c:pt idx="449">
                    <c:v>1,7</c:v>
                  </c:pt>
                  <c:pt idx="450">
                    <c:v>1,6</c:v>
                  </c:pt>
                  <c:pt idx="451">
                    <c:v>1,5</c:v>
                  </c:pt>
                  <c:pt idx="452">
                    <c:v>1,6</c:v>
                  </c:pt>
                  <c:pt idx="453">
                    <c:v>1,35</c:v>
                  </c:pt>
                  <c:pt idx="454">
                    <c:v>1,35</c:v>
                  </c:pt>
                  <c:pt idx="455">
                    <c:v>1,4</c:v>
                  </c:pt>
                  <c:pt idx="456">
                    <c:v>1,4</c:v>
                  </c:pt>
                  <c:pt idx="457">
                    <c:v>1,4</c:v>
                  </c:pt>
                  <c:pt idx="458">
                    <c:v>1,6</c:v>
                  </c:pt>
                  <c:pt idx="459">
                    <c:v>2</c:v>
                  </c:pt>
                  <c:pt idx="460">
                    <c:v>1,45</c:v>
                  </c:pt>
                  <c:pt idx="461">
                    <c:v>1,45</c:v>
                  </c:pt>
                  <c:pt idx="462">
                    <c:v>1,8</c:v>
                  </c:pt>
                  <c:pt idx="463">
                    <c:v>1,6</c:v>
                  </c:pt>
                  <c:pt idx="464">
                    <c:v>1,4</c:v>
                  </c:pt>
                  <c:pt idx="465">
                    <c:v>1,4</c:v>
                  </c:pt>
                  <c:pt idx="466">
                    <c:v>1,4</c:v>
                  </c:pt>
                  <c:pt idx="467">
                    <c:v>1,3</c:v>
                  </c:pt>
                  <c:pt idx="468">
                    <c:v>1,3</c:v>
                  </c:pt>
                  <c:pt idx="469">
                    <c:v>1,3</c:v>
                  </c:pt>
                  <c:pt idx="470">
                    <c:v>1,3</c:v>
                  </c:pt>
                  <c:pt idx="471">
                    <c:v>1,3</c:v>
                  </c:pt>
                  <c:pt idx="472">
                    <c:v>1,6</c:v>
                  </c:pt>
                  <c:pt idx="473">
                    <c:v>1,6</c:v>
                  </c:pt>
                  <c:pt idx="474">
                    <c:v>1,3</c:v>
                  </c:pt>
                  <c:pt idx="475">
                    <c:v>1,8</c:v>
                  </c:pt>
                  <c:pt idx="476">
                    <c:v>2</c:v>
                  </c:pt>
                  <c:pt idx="477">
                    <c:v>1,5</c:v>
                  </c:pt>
                  <c:pt idx="478">
                    <c:v>1,6</c:v>
                  </c:pt>
                  <c:pt idx="479">
                    <c:v>1,6</c:v>
                  </c:pt>
                  <c:pt idx="480">
                    <c:v>1,6</c:v>
                  </c:pt>
                  <c:pt idx="481">
                    <c:v>1,5</c:v>
                  </c:pt>
                  <c:pt idx="482">
                    <c:v>1,1</c:v>
                  </c:pt>
                  <c:pt idx="483">
                    <c:v>1,4</c:v>
                  </c:pt>
                  <c:pt idx="484">
                    <c:v>1,35</c:v>
                  </c:pt>
                  <c:pt idx="486">
                    <c:v>1,8</c:v>
                  </c:pt>
                  <c:pt idx="487">
                    <c:v>1,8</c:v>
                  </c:pt>
                  <c:pt idx="488">
                    <c:v>1,6</c:v>
                  </c:pt>
                  <c:pt idx="489">
                    <c:v>1,5</c:v>
                  </c:pt>
                  <c:pt idx="490">
                    <c:v>1,8</c:v>
                  </c:pt>
                  <c:pt idx="491">
                    <c:v>1,5</c:v>
                  </c:pt>
                  <c:pt idx="492">
                    <c:v>1,3</c:v>
                  </c:pt>
                  <c:pt idx="493">
                    <c:v>1,4</c:v>
                  </c:pt>
                  <c:pt idx="495">
                    <c:v>1,6</c:v>
                  </c:pt>
                  <c:pt idx="496">
                    <c:v>1,4</c:v>
                  </c:pt>
                  <c:pt idx="497">
                    <c:v>1,6</c:v>
                  </c:pt>
                  <c:pt idx="498">
                    <c:v>1,6</c:v>
                  </c:pt>
                  <c:pt idx="499">
                    <c:v>1,4</c:v>
                  </c:pt>
                  <c:pt idx="500">
                    <c:v>1,4</c:v>
                  </c:pt>
                  <c:pt idx="501">
                    <c:v>2</c:v>
                  </c:pt>
                  <c:pt idx="502">
                    <c:v>1,6</c:v>
                  </c:pt>
                  <c:pt idx="503">
                    <c:v>2,4</c:v>
                  </c:pt>
                  <c:pt idx="504">
                    <c:v>1,6</c:v>
                  </c:pt>
                  <c:pt idx="505">
                    <c:v>1,6</c:v>
                  </c:pt>
                  <c:pt idx="506">
                    <c:v>1,8</c:v>
                  </c:pt>
                  <c:pt idx="507">
                    <c:v>2</c:v>
                  </c:pt>
                  <c:pt idx="508">
                    <c:v>2</c:v>
                  </c:pt>
                  <c:pt idx="509">
                    <c:v>1,6</c:v>
                  </c:pt>
                  <c:pt idx="510">
                    <c:v>2</c:v>
                  </c:pt>
                  <c:pt idx="511">
                    <c:v>1,7</c:v>
                  </c:pt>
                  <c:pt idx="512">
                    <c:v>1,6</c:v>
                  </c:pt>
                  <c:pt idx="513">
                    <c:v>1,6</c:v>
                  </c:pt>
                  <c:pt idx="514">
                    <c:v>2</c:v>
                  </c:pt>
                  <c:pt idx="515">
                    <c:v>2</c:v>
                  </c:pt>
                  <c:pt idx="516">
                    <c:v>1,45</c:v>
                  </c:pt>
                  <c:pt idx="517">
                    <c:v>1,25</c:v>
                  </c:pt>
                  <c:pt idx="518">
                    <c:v>1,3</c:v>
                  </c:pt>
                  <c:pt idx="519">
                    <c:v>1,5</c:v>
                  </c:pt>
                  <c:pt idx="520">
                    <c:v>1,4</c:v>
                  </c:pt>
                  <c:pt idx="521">
                    <c:v>1</c:v>
                  </c:pt>
                  <c:pt idx="522">
                    <c:v>1,6</c:v>
                  </c:pt>
                  <c:pt idx="524">
                    <c:v>1,3</c:v>
                  </c:pt>
                  <c:pt idx="525">
                    <c:v>1,6</c:v>
                  </c:pt>
                  <c:pt idx="526">
                    <c:v>1,1</c:v>
                  </c:pt>
                  <c:pt idx="527">
                    <c:v>1,1</c:v>
                  </c:pt>
                  <c:pt idx="528">
                    <c:v>1,1</c:v>
                  </c:pt>
                  <c:pt idx="529">
                    <c:v>1,1</c:v>
                  </c:pt>
                  <c:pt idx="530">
                    <c:v>1,6</c:v>
                  </c:pt>
                  <c:pt idx="531">
                    <c:v>1,3</c:v>
                  </c:pt>
                  <c:pt idx="532">
                    <c:v>1,6</c:v>
                  </c:pt>
                  <c:pt idx="534">
                    <c:v>1,6</c:v>
                  </c:pt>
                  <c:pt idx="535">
                    <c:v>1,3</c:v>
                  </c:pt>
                  <c:pt idx="536">
                    <c:v>1,6</c:v>
                  </c:pt>
                  <c:pt idx="537">
                    <c:v>1,8</c:v>
                  </c:pt>
                  <c:pt idx="538">
                    <c:v>1,6</c:v>
                  </c:pt>
                  <c:pt idx="539">
                    <c:v>1,3</c:v>
                  </c:pt>
                  <c:pt idx="540">
                    <c:v>1,35</c:v>
                  </c:pt>
                  <c:pt idx="541">
                    <c:v>1,2</c:v>
                  </c:pt>
                  <c:pt idx="542">
                    <c:v>1,8</c:v>
                  </c:pt>
                  <c:pt idx="543">
                    <c:v>1,6</c:v>
                  </c:pt>
                  <c:pt idx="544">
                    <c:v>1,6</c:v>
                  </c:pt>
                  <c:pt idx="545">
                    <c:v>1,45</c:v>
                  </c:pt>
                  <c:pt idx="546">
                    <c:v>1,7</c:v>
                  </c:pt>
                  <c:pt idx="547">
                    <c:v>1,5</c:v>
                  </c:pt>
                  <c:pt idx="548">
                    <c:v>1,5</c:v>
                  </c:pt>
                  <c:pt idx="549">
                    <c:v>1,6</c:v>
                  </c:pt>
                  <c:pt idx="550">
                    <c:v>1,6</c:v>
                  </c:pt>
                  <c:pt idx="551">
                    <c:v>1,6</c:v>
                  </c:pt>
                  <c:pt idx="552">
                    <c:v>1,6</c:v>
                  </c:pt>
                  <c:pt idx="553">
                    <c:v>1,6</c:v>
                  </c:pt>
                  <c:pt idx="554">
                    <c:v>1,3</c:v>
                  </c:pt>
                  <c:pt idx="555">
                    <c:v>1,6</c:v>
                  </c:pt>
                  <c:pt idx="556">
                    <c:v>1,8</c:v>
                  </c:pt>
                  <c:pt idx="557">
                    <c:v>1,6</c:v>
                  </c:pt>
                  <c:pt idx="558">
                    <c:v>1,3</c:v>
                  </c:pt>
                  <c:pt idx="559">
                    <c:v>1,3</c:v>
                  </c:pt>
                  <c:pt idx="560">
                    <c:v>1,6</c:v>
                  </c:pt>
                  <c:pt idx="561">
                    <c:v>1,6</c:v>
                  </c:pt>
                  <c:pt idx="562">
                    <c:v>1,6</c:v>
                  </c:pt>
                  <c:pt idx="563">
                    <c:v>1,4</c:v>
                  </c:pt>
                  <c:pt idx="564">
                    <c:v>1,6</c:v>
                  </c:pt>
                  <c:pt idx="565">
                    <c:v>1,6</c:v>
                  </c:pt>
                  <c:pt idx="566">
                    <c:v>1,4</c:v>
                  </c:pt>
                  <c:pt idx="567">
                    <c:v>1,5</c:v>
                  </c:pt>
                  <c:pt idx="568">
                    <c:v>1,5</c:v>
                  </c:pt>
                  <c:pt idx="569">
                    <c:v>2</c:v>
                  </c:pt>
                  <c:pt idx="570">
                    <c:v>1,6</c:v>
                  </c:pt>
                  <c:pt idx="571">
                    <c:v>1,6</c:v>
                  </c:pt>
                  <c:pt idx="572">
                    <c:v>1,4</c:v>
                  </c:pt>
                  <c:pt idx="573">
                    <c:v>1,35</c:v>
                  </c:pt>
                  <c:pt idx="574">
                    <c:v>1,7</c:v>
                  </c:pt>
                  <c:pt idx="575">
                    <c:v>1,6</c:v>
                  </c:pt>
                  <c:pt idx="576">
                    <c:v>1,6</c:v>
                  </c:pt>
                  <c:pt idx="577">
                    <c:v>1,4</c:v>
                  </c:pt>
                  <c:pt idx="579">
                    <c:v>1,6</c:v>
                  </c:pt>
                  <c:pt idx="580">
                    <c:v>1,6</c:v>
                  </c:pt>
                  <c:pt idx="582">
                    <c:v>1,5</c:v>
                  </c:pt>
                  <c:pt idx="583">
                    <c:v>1,6</c:v>
                  </c:pt>
                  <c:pt idx="584">
                    <c:v>1,1</c:v>
                  </c:pt>
                  <c:pt idx="585">
                    <c:v>2</c:v>
                  </c:pt>
                  <c:pt idx="586">
                    <c:v>3</c:v>
                  </c:pt>
                  <c:pt idx="587">
                    <c:v>1,7</c:v>
                  </c:pt>
                  <c:pt idx="588">
                    <c:v>1,6</c:v>
                  </c:pt>
                  <c:pt idx="589">
                    <c:v>1,6</c:v>
                  </c:pt>
                  <c:pt idx="590">
                    <c:v>1,5</c:v>
                  </c:pt>
                  <c:pt idx="591">
                    <c:v>1,8</c:v>
                  </c:pt>
                  <c:pt idx="592">
                    <c:v>1,6</c:v>
                  </c:pt>
                  <c:pt idx="593">
                    <c:v>1,4</c:v>
                  </c:pt>
                  <c:pt idx="594">
                    <c:v>2,25</c:v>
                  </c:pt>
                  <c:pt idx="595">
                    <c:v>2,3</c:v>
                  </c:pt>
                  <c:pt idx="596">
                    <c:v>1,6</c:v>
                  </c:pt>
                  <c:pt idx="597">
                    <c:v>2</c:v>
                  </c:pt>
                  <c:pt idx="598">
                    <c:v>1,5</c:v>
                  </c:pt>
                  <c:pt idx="599">
                    <c:v>2,6</c:v>
                  </c:pt>
                  <c:pt idx="600">
                    <c:v>1,3</c:v>
                  </c:pt>
                  <c:pt idx="601">
                    <c:v>1,6</c:v>
                  </c:pt>
                  <c:pt idx="602">
                    <c:v>1,6</c:v>
                  </c:pt>
                  <c:pt idx="603">
                    <c:v>1,3</c:v>
                  </c:pt>
                  <c:pt idx="604">
                    <c:v>3</c:v>
                  </c:pt>
                  <c:pt idx="605">
                    <c:v>1,6</c:v>
                  </c:pt>
                  <c:pt idx="606">
                    <c:v>1,6</c:v>
                  </c:pt>
                  <c:pt idx="607">
                    <c:v>1,8</c:v>
                  </c:pt>
                  <c:pt idx="608">
                    <c:v>1,8</c:v>
                  </c:pt>
                  <c:pt idx="609">
                    <c:v>1,6</c:v>
                  </c:pt>
                  <c:pt idx="610">
                    <c:v>1,4</c:v>
                  </c:pt>
                  <c:pt idx="611">
                    <c:v>1,6</c:v>
                  </c:pt>
                  <c:pt idx="612">
                    <c:v>1,8</c:v>
                  </c:pt>
                  <c:pt idx="613">
                    <c:v>1,6</c:v>
                  </c:pt>
                  <c:pt idx="614">
                    <c:v>1,8</c:v>
                  </c:pt>
                  <c:pt idx="615">
                    <c:v>1,6</c:v>
                  </c:pt>
                  <c:pt idx="616">
                    <c:v>2</c:v>
                  </c:pt>
                  <c:pt idx="617">
                    <c:v>1,8</c:v>
                  </c:pt>
                  <c:pt idx="618">
                    <c:v>1,8</c:v>
                  </c:pt>
                  <c:pt idx="619">
                    <c:v>1,6</c:v>
                  </c:pt>
                  <c:pt idx="620">
                    <c:v>1,7</c:v>
                  </c:pt>
                  <c:pt idx="621">
                    <c:v>1,7</c:v>
                  </c:pt>
                  <c:pt idx="622">
                    <c:v>1,7</c:v>
                  </c:pt>
                  <c:pt idx="623">
                    <c:v>1,7</c:v>
                  </c:pt>
                  <c:pt idx="624">
                    <c:v>1,7</c:v>
                  </c:pt>
                  <c:pt idx="625">
                    <c:v>1,6</c:v>
                  </c:pt>
                  <c:pt idx="626">
                    <c:v>1,7</c:v>
                  </c:pt>
                  <c:pt idx="627">
                    <c:v>1,7</c:v>
                  </c:pt>
                  <c:pt idx="628">
                    <c:v>1,7</c:v>
                  </c:pt>
                  <c:pt idx="629">
                    <c:v>1,7</c:v>
                  </c:pt>
                  <c:pt idx="630">
                    <c:v>1,7</c:v>
                  </c:pt>
                  <c:pt idx="631">
                    <c:v>1,6</c:v>
                  </c:pt>
                  <c:pt idx="632">
                    <c:v>1,4</c:v>
                  </c:pt>
                  <c:pt idx="633">
                    <c:v>1,6</c:v>
                  </c:pt>
                  <c:pt idx="634">
                    <c:v>1,3</c:v>
                  </c:pt>
                  <c:pt idx="635">
                    <c:v>1,2</c:v>
                  </c:pt>
                  <c:pt idx="636">
                    <c:v>1,4</c:v>
                  </c:pt>
                  <c:pt idx="637">
                    <c:v>2</c:v>
                  </c:pt>
                  <c:pt idx="638">
                    <c:v>1,8</c:v>
                  </c:pt>
                  <c:pt idx="639">
                    <c:v>2</c:v>
                  </c:pt>
                  <c:pt idx="640">
                    <c:v>1,6</c:v>
                  </c:pt>
                  <c:pt idx="641">
                    <c:v>2</c:v>
                  </c:pt>
                  <c:pt idx="642">
                    <c:v>1,8</c:v>
                  </c:pt>
                  <c:pt idx="643">
                    <c:v>1,8</c:v>
                  </c:pt>
                  <c:pt idx="644">
                    <c:v>1,8</c:v>
                  </c:pt>
                  <c:pt idx="645">
                    <c:v>1,6</c:v>
                  </c:pt>
                  <c:pt idx="646">
                    <c:v>1,8</c:v>
                  </c:pt>
                  <c:pt idx="647">
                    <c:v>2</c:v>
                  </c:pt>
                  <c:pt idx="648">
                    <c:v>1,8</c:v>
                  </c:pt>
                  <c:pt idx="649">
                    <c:v>1,8</c:v>
                  </c:pt>
                  <c:pt idx="650">
                    <c:v>1,8</c:v>
                  </c:pt>
                  <c:pt idx="651">
                    <c:v>2</c:v>
                  </c:pt>
                  <c:pt idx="652">
                    <c:v>2</c:v>
                  </c:pt>
                  <c:pt idx="653">
                    <c:v>2</c:v>
                  </c:pt>
                  <c:pt idx="654">
                    <c:v>2</c:v>
                  </c:pt>
                  <c:pt idx="655">
                    <c:v>2</c:v>
                  </c:pt>
                  <c:pt idx="656">
                    <c:v>1,5</c:v>
                  </c:pt>
                  <c:pt idx="657">
                    <c:v>1,8</c:v>
                  </c:pt>
                  <c:pt idx="658">
                    <c:v>1,8</c:v>
                  </c:pt>
                  <c:pt idx="659">
                    <c:v>1,8</c:v>
                  </c:pt>
                  <c:pt idx="660">
                    <c:v>1,8</c:v>
                  </c:pt>
                  <c:pt idx="661">
                    <c:v>1,8</c:v>
                  </c:pt>
                  <c:pt idx="662">
                    <c:v>1,8</c:v>
                  </c:pt>
                  <c:pt idx="663">
                    <c:v>1,8</c:v>
                  </c:pt>
                  <c:pt idx="664">
                    <c:v>1,8</c:v>
                  </c:pt>
                  <c:pt idx="665">
                    <c:v>1,8</c:v>
                  </c:pt>
                  <c:pt idx="666">
                    <c:v>1,8</c:v>
                  </c:pt>
                  <c:pt idx="667">
                    <c:v>1</c:v>
                  </c:pt>
                  <c:pt idx="668">
                    <c:v>1</c:v>
                  </c:pt>
                  <c:pt idx="670">
                    <c:v>1,6</c:v>
                  </c:pt>
                  <c:pt idx="671">
                    <c:v>1,6</c:v>
                  </c:pt>
                  <c:pt idx="672">
                    <c:v>1,2</c:v>
                  </c:pt>
                  <c:pt idx="673">
                    <c:v>1,3</c:v>
                  </c:pt>
                  <c:pt idx="674">
                    <c:v>1,3</c:v>
                  </c:pt>
                  <c:pt idx="675">
                    <c:v>1,3</c:v>
                  </c:pt>
                  <c:pt idx="676">
                    <c:v>1,5</c:v>
                  </c:pt>
                  <c:pt idx="677">
                    <c:v>1,5</c:v>
                  </c:pt>
                  <c:pt idx="678">
                    <c:v>2</c:v>
                  </c:pt>
                  <c:pt idx="679">
                    <c:v>1,3</c:v>
                  </c:pt>
                  <c:pt idx="680">
                    <c:v>1,4</c:v>
                  </c:pt>
                  <c:pt idx="681">
                    <c:v>1,3</c:v>
                  </c:pt>
                  <c:pt idx="682">
                    <c:v>1,45</c:v>
                  </c:pt>
                  <c:pt idx="683">
                    <c:v>1,2</c:v>
                  </c:pt>
                  <c:pt idx="684">
                    <c:v>1,4</c:v>
                  </c:pt>
                  <c:pt idx="685">
                    <c:v>1,3</c:v>
                  </c:pt>
                  <c:pt idx="687">
                    <c:v>1,8</c:v>
                  </c:pt>
                  <c:pt idx="688">
                    <c:v>1,45</c:v>
                  </c:pt>
                  <c:pt idx="689">
                    <c:v>1,6</c:v>
                  </c:pt>
                  <c:pt idx="690">
                    <c:v>1,25</c:v>
                  </c:pt>
                  <c:pt idx="691">
                    <c:v>1,3</c:v>
                  </c:pt>
                  <c:pt idx="692">
                    <c:v>1,3</c:v>
                  </c:pt>
                  <c:pt idx="693">
                    <c:v>1,4</c:v>
                  </c:pt>
                  <c:pt idx="694">
                    <c:v>1,6</c:v>
                  </c:pt>
                  <c:pt idx="695">
                    <c:v>1,4</c:v>
                  </c:pt>
                  <c:pt idx="696">
                    <c:v>1,4</c:v>
                  </c:pt>
                  <c:pt idx="697">
                    <c:v>1,4</c:v>
                  </c:pt>
                  <c:pt idx="698">
                    <c:v>1,4</c:v>
                  </c:pt>
                  <c:pt idx="699">
                    <c:v>1,4</c:v>
                  </c:pt>
                  <c:pt idx="700">
                    <c:v>1,3</c:v>
                  </c:pt>
                  <c:pt idx="701">
                    <c:v>1,3</c:v>
                  </c:pt>
                  <c:pt idx="702">
                    <c:v>1,5</c:v>
                  </c:pt>
                  <c:pt idx="703">
                    <c:v>1,4</c:v>
                  </c:pt>
                  <c:pt idx="704">
                    <c:v>1,4</c:v>
                  </c:pt>
                  <c:pt idx="705">
                    <c:v>1,6</c:v>
                  </c:pt>
                  <c:pt idx="706">
                    <c:v>1,2</c:v>
                  </c:pt>
                  <c:pt idx="707">
                    <c:v>1,4</c:v>
                  </c:pt>
                  <c:pt idx="708">
                    <c:v>1,5</c:v>
                  </c:pt>
                  <c:pt idx="709">
                    <c:v>1,4</c:v>
                  </c:pt>
                  <c:pt idx="710">
                    <c:v>1,5</c:v>
                  </c:pt>
                  <c:pt idx="711">
                    <c:v>1,45</c:v>
                  </c:pt>
                  <c:pt idx="712">
                    <c:v>1,3</c:v>
                  </c:pt>
                  <c:pt idx="713">
                    <c:v>1,5</c:v>
                  </c:pt>
                  <c:pt idx="714">
                    <c:v>1,5</c:v>
                  </c:pt>
                  <c:pt idx="715">
                    <c:v>1,6</c:v>
                  </c:pt>
                  <c:pt idx="716">
                    <c:v>1,6</c:v>
                  </c:pt>
                  <c:pt idx="717">
                    <c:v>1,6</c:v>
                  </c:pt>
                  <c:pt idx="718">
                    <c:v>1,6</c:v>
                  </c:pt>
                  <c:pt idx="719">
                    <c:v>1,6</c:v>
                  </c:pt>
                  <c:pt idx="720">
                    <c:v>1,3</c:v>
                  </c:pt>
                  <c:pt idx="721">
                    <c:v>1,3</c:v>
                  </c:pt>
                  <c:pt idx="722">
                    <c:v>1,4</c:v>
                  </c:pt>
                  <c:pt idx="723">
                    <c:v>1,6</c:v>
                  </c:pt>
                  <c:pt idx="724">
                    <c:v>1,3</c:v>
                  </c:pt>
                  <c:pt idx="725">
                    <c:v>1,8</c:v>
                  </c:pt>
                  <c:pt idx="726">
                    <c:v>1,5</c:v>
                  </c:pt>
                  <c:pt idx="727">
                    <c:v>1,8</c:v>
                  </c:pt>
                  <c:pt idx="728">
                    <c:v>1,8</c:v>
                  </c:pt>
                  <c:pt idx="729">
                    <c:v>3</c:v>
                  </c:pt>
                  <c:pt idx="730">
                    <c:v>1,6</c:v>
                  </c:pt>
                  <c:pt idx="731">
                    <c:v>1,6</c:v>
                  </c:pt>
                  <c:pt idx="732">
                    <c:v>1,4</c:v>
                  </c:pt>
                  <c:pt idx="733">
                    <c:v>1,6</c:v>
                  </c:pt>
                  <c:pt idx="734">
                    <c:v>1,5</c:v>
                  </c:pt>
                  <c:pt idx="735">
                    <c:v>1,4</c:v>
                  </c:pt>
                  <c:pt idx="736">
                    <c:v>2,5</c:v>
                  </c:pt>
                  <c:pt idx="737">
                    <c:v>3</c:v>
                  </c:pt>
                  <c:pt idx="738">
                    <c:v>2</c:v>
                  </c:pt>
                  <c:pt idx="739">
                    <c:v>1,5</c:v>
                  </c:pt>
                  <c:pt idx="740">
                    <c:v>1,6</c:v>
                  </c:pt>
                  <c:pt idx="741">
                    <c:v>1,5</c:v>
                  </c:pt>
                  <c:pt idx="742">
                    <c:v>1,6</c:v>
                  </c:pt>
                  <c:pt idx="743">
                    <c:v>1,6</c:v>
                  </c:pt>
                  <c:pt idx="744">
                    <c:v>1,8</c:v>
                  </c:pt>
                  <c:pt idx="747">
                    <c:v>1,7</c:v>
                  </c:pt>
                  <c:pt idx="748">
                    <c:v>1,7</c:v>
                  </c:pt>
                  <c:pt idx="749">
                    <c:v>1,2</c:v>
                  </c:pt>
                  <c:pt idx="750">
                    <c:v>1,4</c:v>
                  </c:pt>
                  <c:pt idx="751">
                    <c:v>5</c:v>
                  </c:pt>
                  <c:pt idx="754">
                    <c:v>1,7</c:v>
                  </c:pt>
                  <c:pt idx="755">
                    <c:v>1,6</c:v>
                  </c:pt>
                  <c:pt idx="756">
                    <c:v>2,1</c:v>
                  </c:pt>
                  <c:pt idx="757">
                    <c:v>1,4</c:v>
                  </c:pt>
                  <c:pt idx="758">
                    <c:v>1,8</c:v>
                  </c:pt>
                  <c:pt idx="759">
                    <c:v>2</c:v>
                  </c:pt>
                  <c:pt idx="760">
                    <c:v>1,4</c:v>
                  </c:pt>
                  <c:pt idx="761">
                    <c:v>1,6</c:v>
                  </c:pt>
                  <c:pt idx="762">
                    <c:v>1,3</c:v>
                  </c:pt>
                  <c:pt idx="763">
                    <c:v>2,5</c:v>
                  </c:pt>
                  <c:pt idx="764">
                    <c:v>1,2</c:v>
                  </c:pt>
                  <c:pt idx="765">
                    <c:v>1,6</c:v>
                  </c:pt>
                  <c:pt idx="766">
                    <c:v>1,5</c:v>
                  </c:pt>
                  <c:pt idx="767">
                    <c:v>1,7</c:v>
                  </c:pt>
                  <c:pt idx="768">
                    <c:v>1,4</c:v>
                  </c:pt>
                  <c:pt idx="769">
                    <c:v>1,5</c:v>
                  </c:pt>
                  <c:pt idx="770">
                    <c:v>1,5</c:v>
                  </c:pt>
                  <c:pt idx="771">
                    <c:v>1,8</c:v>
                  </c:pt>
                  <c:pt idx="772">
                    <c:v>1,5</c:v>
                  </c:pt>
                  <c:pt idx="773">
                    <c:v>1,6</c:v>
                  </c:pt>
                  <c:pt idx="774">
                    <c:v>1,3</c:v>
                  </c:pt>
                  <c:pt idx="775">
                    <c:v>1,8</c:v>
                  </c:pt>
                  <c:pt idx="776">
                    <c:v>1,4</c:v>
                  </c:pt>
                  <c:pt idx="777">
                    <c:v>1,6</c:v>
                  </c:pt>
                  <c:pt idx="778">
                    <c:v>1,8</c:v>
                  </c:pt>
                  <c:pt idx="779">
                    <c:v>1,6</c:v>
                  </c:pt>
                  <c:pt idx="780">
                    <c:v>1</c:v>
                  </c:pt>
                  <c:pt idx="781">
                    <c:v>1,6</c:v>
                  </c:pt>
                  <c:pt idx="782">
                    <c:v>1,6</c:v>
                  </c:pt>
                  <c:pt idx="783">
                    <c:v>2</c:v>
                  </c:pt>
                  <c:pt idx="784">
                    <c:v>1,5</c:v>
                  </c:pt>
                  <c:pt idx="785">
                    <c:v>1,5</c:v>
                  </c:pt>
                  <c:pt idx="786">
                    <c:v>1,4</c:v>
                  </c:pt>
                  <c:pt idx="787">
                    <c:v>1,6</c:v>
                  </c:pt>
                  <c:pt idx="788">
                    <c:v>1,6</c:v>
                  </c:pt>
                  <c:pt idx="789">
                    <c:v>1,6</c:v>
                  </c:pt>
                  <c:pt idx="790">
                    <c:v>1,6</c:v>
                  </c:pt>
                  <c:pt idx="791">
                    <c:v>1,6</c:v>
                  </c:pt>
                  <c:pt idx="792">
                    <c:v>1,3</c:v>
                  </c:pt>
                  <c:pt idx="793">
                    <c:v>1,2</c:v>
                  </c:pt>
                  <c:pt idx="794">
                    <c:v>1,8</c:v>
                  </c:pt>
                  <c:pt idx="796">
                    <c:v>1,5</c:v>
                  </c:pt>
                  <c:pt idx="797">
                    <c:v>1,4</c:v>
                  </c:pt>
                  <c:pt idx="798">
                    <c:v>1,55</c:v>
                  </c:pt>
                  <c:pt idx="799">
                    <c:v>1,2</c:v>
                  </c:pt>
                  <c:pt idx="800">
                    <c:v>1,2</c:v>
                  </c:pt>
                  <c:pt idx="801">
                    <c:v>1,5</c:v>
                  </c:pt>
                  <c:pt idx="802">
                    <c:v>1,5</c:v>
                  </c:pt>
                  <c:pt idx="803">
                    <c:v>1,5</c:v>
                  </c:pt>
                  <c:pt idx="804">
                    <c:v>1,4</c:v>
                  </c:pt>
                  <c:pt idx="805">
                    <c:v>1,4</c:v>
                  </c:pt>
                  <c:pt idx="806">
                    <c:v>1,5</c:v>
                  </c:pt>
                  <c:pt idx="807">
                    <c:v>1,8</c:v>
                  </c:pt>
                  <c:pt idx="808">
                    <c:v>1,8</c:v>
                  </c:pt>
                  <c:pt idx="809">
                    <c:v>1,8</c:v>
                  </c:pt>
                  <c:pt idx="810">
                    <c:v>1,6</c:v>
                  </c:pt>
                  <c:pt idx="811">
                    <c:v>1,4</c:v>
                  </c:pt>
                  <c:pt idx="812">
                    <c:v>1,4</c:v>
                  </c:pt>
                  <c:pt idx="813">
                    <c:v>1,7</c:v>
                  </c:pt>
                  <c:pt idx="814">
                    <c:v>1,6</c:v>
                  </c:pt>
                  <c:pt idx="815">
                    <c:v>1,6</c:v>
                  </c:pt>
                  <c:pt idx="816">
                    <c:v>1,6</c:v>
                  </c:pt>
                  <c:pt idx="817">
                    <c:v>1,6</c:v>
                  </c:pt>
                  <c:pt idx="818">
                    <c:v>1,7</c:v>
                  </c:pt>
                  <c:pt idx="819">
                    <c:v>1,7</c:v>
                  </c:pt>
                  <c:pt idx="820">
                    <c:v>1,7</c:v>
                  </c:pt>
                  <c:pt idx="821">
                    <c:v>1,7</c:v>
                  </c:pt>
                  <c:pt idx="822">
                    <c:v>1,7</c:v>
                  </c:pt>
                  <c:pt idx="823">
                    <c:v>1,6</c:v>
                  </c:pt>
                  <c:pt idx="824">
                    <c:v>1,6</c:v>
                  </c:pt>
                  <c:pt idx="825">
                    <c:v>1,6</c:v>
                  </c:pt>
                  <c:pt idx="826">
                    <c:v>1,6</c:v>
                  </c:pt>
                  <c:pt idx="827">
                    <c:v>1,4</c:v>
                  </c:pt>
                  <c:pt idx="828">
                    <c:v>1,4</c:v>
                  </c:pt>
                  <c:pt idx="829">
                    <c:v>1,8</c:v>
                  </c:pt>
                  <c:pt idx="830">
                    <c:v>1,7</c:v>
                  </c:pt>
                  <c:pt idx="831">
                    <c:v>1,6</c:v>
                  </c:pt>
                  <c:pt idx="832">
                    <c:v>1,4</c:v>
                  </c:pt>
                  <c:pt idx="833">
                    <c:v>1,6</c:v>
                  </c:pt>
                  <c:pt idx="834">
                    <c:v>1,6</c:v>
                  </c:pt>
                  <c:pt idx="835">
                    <c:v>1,6</c:v>
                  </c:pt>
                  <c:pt idx="836">
                    <c:v>1,6</c:v>
                  </c:pt>
                  <c:pt idx="837">
                    <c:v>1,6</c:v>
                  </c:pt>
                  <c:pt idx="838">
                    <c:v>1,6</c:v>
                  </c:pt>
                  <c:pt idx="839">
                    <c:v>1,7</c:v>
                  </c:pt>
                  <c:pt idx="840">
                    <c:v>1,4</c:v>
                  </c:pt>
                  <c:pt idx="841">
                    <c:v>1,6</c:v>
                  </c:pt>
                  <c:pt idx="842">
                    <c:v>1,6</c:v>
                  </c:pt>
                  <c:pt idx="843">
                    <c:v>1,6</c:v>
                  </c:pt>
                  <c:pt idx="844">
                    <c:v>1,6</c:v>
                  </c:pt>
                  <c:pt idx="845">
                    <c:v>1,6</c:v>
                  </c:pt>
                  <c:pt idx="846">
                    <c:v>1,6</c:v>
                  </c:pt>
                  <c:pt idx="847">
                    <c:v>1,6</c:v>
                  </c:pt>
                  <c:pt idx="848">
                    <c:v>1,6</c:v>
                  </c:pt>
                  <c:pt idx="849">
                    <c:v>1,3</c:v>
                  </c:pt>
                  <c:pt idx="850">
                    <c:v>1,2</c:v>
                  </c:pt>
                  <c:pt idx="851">
                    <c:v>1,3</c:v>
                  </c:pt>
                  <c:pt idx="852">
                    <c:v>1,3</c:v>
                  </c:pt>
                  <c:pt idx="853">
                    <c:v>1,6</c:v>
                  </c:pt>
                  <c:pt idx="854">
                    <c:v>1,6</c:v>
                  </c:pt>
                  <c:pt idx="855">
                    <c:v>1,6</c:v>
                  </c:pt>
                  <c:pt idx="856">
                    <c:v>1,5</c:v>
                  </c:pt>
                  <c:pt idx="857">
                    <c:v>1,6</c:v>
                  </c:pt>
                  <c:pt idx="858">
                    <c:v>1,6</c:v>
                  </c:pt>
                  <c:pt idx="859">
                    <c:v>1,4</c:v>
                  </c:pt>
                  <c:pt idx="860">
                    <c:v>1,6</c:v>
                  </c:pt>
                  <c:pt idx="861">
                    <c:v>1,6</c:v>
                  </c:pt>
                  <c:pt idx="862">
                    <c:v>1,3</c:v>
                  </c:pt>
                  <c:pt idx="863">
                    <c:v>1,3</c:v>
                  </c:pt>
                  <c:pt idx="864">
                    <c:v>1,45</c:v>
                  </c:pt>
                  <c:pt idx="865">
                    <c:v>1,45</c:v>
                  </c:pt>
                  <c:pt idx="866">
                    <c:v>1,4</c:v>
                  </c:pt>
                  <c:pt idx="867">
                    <c:v>1,5</c:v>
                  </c:pt>
                  <c:pt idx="868">
                    <c:v>1,4</c:v>
                  </c:pt>
                  <c:pt idx="869">
                    <c:v>1,4</c:v>
                  </c:pt>
                  <c:pt idx="870">
                    <c:v>1,45</c:v>
                  </c:pt>
                  <c:pt idx="871">
                    <c:v>1,5</c:v>
                  </c:pt>
                  <c:pt idx="872">
                    <c:v>1,45</c:v>
                  </c:pt>
                  <c:pt idx="873">
                    <c:v>1,7</c:v>
                  </c:pt>
                  <c:pt idx="874">
                    <c:v>1,7</c:v>
                  </c:pt>
                  <c:pt idx="875">
                    <c:v>1,7</c:v>
                  </c:pt>
                  <c:pt idx="876">
                    <c:v>1,4</c:v>
                  </c:pt>
                  <c:pt idx="877">
                    <c:v>1,4</c:v>
                  </c:pt>
                  <c:pt idx="878">
                    <c:v>1,4</c:v>
                  </c:pt>
                  <c:pt idx="879">
                    <c:v>1,6</c:v>
                  </c:pt>
                  <c:pt idx="880">
                    <c:v>1,9</c:v>
                  </c:pt>
                  <c:pt idx="881">
                    <c:v>1,4</c:v>
                  </c:pt>
                  <c:pt idx="882">
                    <c:v>1,2</c:v>
                  </c:pt>
                  <c:pt idx="883">
                    <c:v>1,2</c:v>
                  </c:pt>
                  <c:pt idx="884">
                    <c:v>1,6</c:v>
                  </c:pt>
                  <c:pt idx="885">
                    <c:v>1,6</c:v>
                  </c:pt>
                  <c:pt idx="886">
                    <c:v>1,4</c:v>
                  </c:pt>
                  <c:pt idx="887">
                    <c:v>1,4</c:v>
                  </c:pt>
                  <c:pt idx="888">
                    <c:v>1,5</c:v>
                  </c:pt>
                  <c:pt idx="889">
                    <c:v>1,6</c:v>
                  </c:pt>
                  <c:pt idx="890">
                    <c:v>1,8</c:v>
                  </c:pt>
                  <c:pt idx="891">
                    <c:v>1,6</c:v>
                  </c:pt>
                  <c:pt idx="892">
                    <c:v>1,6</c:v>
                  </c:pt>
                  <c:pt idx="893">
                    <c:v>1,5</c:v>
                  </c:pt>
                  <c:pt idx="894">
                    <c:v>1,9</c:v>
                  </c:pt>
                  <c:pt idx="895">
                    <c:v>1,8</c:v>
                  </c:pt>
                  <c:pt idx="896">
                    <c:v>2</c:v>
                  </c:pt>
                  <c:pt idx="897">
                    <c:v>1,6</c:v>
                  </c:pt>
                  <c:pt idx="898">
                    <c:v>1,4</c:v>
                  </c:pt>
                  <c:pt idx="899">
                    <c:v>1,6</c:v>
                  </c:pt>
                  <c:pt idx="900">
                    <c:v>1,6</c:v>
                  </c:pt>
                  <c:pt idx="901">
                    <c:v>1,6</c:v>
                  </c:pt>
                  <c:pt idx="902">
                    <c:v>1,4</c:v>
                  </c:pt>
                  <c:pt idx="903">
                    <c:v>1,4</c:v>
                  </c:pt>
                  <c:pt idx="904">
                    <c:v>2</c:v>
                  </c:pt>
                  <c:pt idx="905">
                    <c:v>1,4</c:v>
                  </c:pt>
                  <c:pt idx="906">
                    <c:v>1,4</c:v>
                  </c:pt>
                  <c:pt idx="907">
                    <c:v>1,8</c:v>
                  </c:pt>
                  <c:pt idx="908">
                    <c:v>1,4</c:v>
                  </c:pt>
                  <c:pt idx="909">
                    <c:v>1,8</c:v>
                  </c:pt>
                  <c:pt idx="910">
                    <c:v>1,6</c:v>
                  </c:pt>
                  <c:pt idx="911">
                    <c:v>2</c:v>
                  </c:pt>
                  <c:pt idx="912">
                    <c:v>3,3</c:v>
                  </c:pt>
                  <c:pt idx="913">
                    <c:v>1,6</c:v>
                  </c:pt>
                  <c:pt idx="914">
                    <c:v>1,6</c:v>
                  </c:pt>
                  <c:pt idx="915">
                    <c:v>1,6</c:v>
                  </c:pt>
                  <c:pt idx="916">
                    <c:v>1,6</c:v>
                  </c:pt>
                  <c:pt idx="917">
                    <c:v>1,6</c:v>
                  </c:pt>
                  <c:pt idx="918">
                    <c:v>1,3</c:v>
                  </c:pt>
                  <c:pt idx="919">
                    <c:v>1,6</c:v>
                  </c:pt>
                  <c:pt idx="920">
                    <c:v>1,8</c:v>
                  </c:pt>
                  <c:pt idx="921">
                    <c:v>1,5</c:v>
                  </c:pt>
                  <c:pt idx="922">
                    <c:v>2</c:v>
                  </c:pt>
                  <c:pt idx="923">
                    <c:v>1,8</c:v>
                  </c:pt>
                  <c:pt idx="924">
                    <c:v>2</c:v>
                  </c:pt>
                  <c:pt idx="925">
                    <c:v>1,8</c:v>
                  </c:pt>
                  <c:pt idx="926">
                    <c:v>1,6</c:v>
                  </c:pt>
                  <c:pt idx="927">
                    <c:v>1,4</c:v>
                  </c:pt>
                  <c:pt idx="928">
                    <c:v>1,4</c:v>
                  </c:pt>
                  <c:pt idx="929">
                    <c:v>1,4</c:v>
                  </c:pt>
                  <c:pt idx="930">
                    <c:v>1,4</c:v>
                  </c:pt>
                  <c:pt idx="931">
                    <c:v>1,6</c:v>
                  </c:pt>
                  <c:pt idx="932">
                    <c:v>1,6</c:v>
                  </c:pt>
                  <c:pt idx="933">
                    <c:v>1,6</c:v>
                  </c:pt>
                  <c:pt idx="934">
                    <c:v>1,6</c:v>
                  </c:pt>
                  <c:pt idx="935">
                    <c:v>1,4</c:v>
                  </c:pt>
                  <c:pt idx="936">
                    <c:v>1,6</c:v>
                  </c:pt>
                  <c:pt idx="937">
                    <c:v>1,6</c:v>
                  </c:pt>
                  <c:pt idx="938">
                    <c:v>1,6</c:v>
                  </c:pt>
                  <c:pt idx="939">
                    <c:v>1,6</c:v>
                  </c:pt>
                  <c:pt idx="940">
                    <c:v>1,6</c:v>
                  </c:pt>
                  <c:pt idx="941">
                    <c:v>1,4</c:v>
                  </c:pt>
                  <c:pt idx="942">
                    <c:v>1,4</c:v>
                  </c:pt>
                  <c:pt idx="943">
                    <c:v>1,4</c:v>
                  </c:pt>
                  <c:pt idx="944">
                    <c:v>1,6</c:v>
                  </c:pt>
                  <c:pt idx="945">
                    <c:v>1,6</c:v>
                  </c:pt>
                  <c:pt idx="946">
                    <c:v>1,6</c:v>
                  </c:pt>
                  <c:pt idx="947">
                    <c:v>1,6</c:v>
                  </c:pt>
                  <c:pt idx="948">
                    <c:v>1,6</c:v>
                  </c:pt>
                  <c:pt idx="949">
                    <c:v>1,6</c:v>
                  </c:pt>
                  <c:pt idx="950">
                    <c:v>1,6</c:v>
                  </c:pt>
                  <c:pt idx="951">
                    <c:v>1,6</c:v>
                  </c:pt>
                  <c:pt idx="952">
                    <c:v>1,6</c:v>
                  </c:pt>
                  <c:pt idx="953">
                    <c:v>1,6</c:v>
                  </c:pt>
                  <c:pt idx="954">
                    <c:v>1,6</c:v>
                  </c:pt>
                  <c:pt idx="955">
                    <c:v>1,7</c:v>
                  </c:pt>
                  <c:pt idx="956">
                    <c:v>1,5</c:v>
                  </c:pt>
                  <c:pt idx="957">
                    <c:v>1,5</c:v>
                  </c:pt>
                  <c:pt idx="958">
                    <c:v>1,5</c:v>
                  </c:pt>
                  <c:pt idx="959">
                    <c:v>1,5</c:v>
                  </c:pt>
                  <c:pt idx="960">
                    <c:v>1,4</c:v>
                  </c:pt>
                  <c:pt idx="961">
                    <c:v>1,5</c:v>
                  </c:pt>
                  <c:pt idx="962">
                    <c:v>1,3</c:v>
                  </c:pt>
                  <c:pt idx="963">
                    <c:v>1,3</c:v>
                  </c:pt>
                  <c:pt idx="964">
                    <c:v>1,3</c:v>
                  </c:pt>
                  <c:pt idx="965">
                    <c:v>1,3</c:v>
                  </c:pt>
                  <c:pt idx="966">
                    <c:v>1,4</c:v>
                  </c:pt>
                  <c:pt idx="967">
                    <c:v>1,3</c:v>
                  </c:pt>
                  <c:pt idx="968">
                    <c:v>1,6</c:v>
                  </c:pt>
                  <c:pt idx="969">
                    <c:v>1,6</c:v>
                  </c:pt>
                  <c:pt idx="971">
                    <c:v>1,6</c:v>
                  </c:pt>
                  <c:pt idx="972">
                    <c:v>1,6</c:v>
                  </c:pt>
                  <c:pt idx="973">
                    <c:v>1,6</c:v>
                  </c:pt>
                  <c:pt idx="974">
                    <c:v>1,5</c:v>
                  </c:pt>
                  <c:pt idx="975">
                    <c:v>1,6</c:v>
                  </c:pt>
                  <c:pt idx="976">
                    <c:v>1,6</c:v>
                  </c:pt>
                  <c:pt idx="977">
                    <c:v>1,5</c:v>
                  </c:pt>
                  <c:pt idx="978">
                    <c:v>1,5</c:v>
                  </c:pt>
                  <c:pt idx="979">
                    <c:v>1,6</c:v>
                  </c:pt>
                  <c:pt idx="980">
                    <c:v>1,3</c:v>
                  </c:pt>
                  <c:pt idx="981">
                    <c:v>1,3</c:v>
                  </c:pt>
                  <c:pt idx="982">
                    <c:v>1,5</c:v>
                  </c:pt>
                  <c:pt idx="983">
                    <c:v>1,4</c:v>
                  </c:pt>
                  <c:pt idx="984">
                    <c:v>1,2</c:v>
                  </c:pt>
                  <c:pt idx="985">
                    <c:v>1,4</c:v>
                  </c:pt>
                  <c:pt idx="986">
                    <c:v>2</c:v>
                  </c:pt>
                  <c:pt idx="987">
                    <c:v>1,6</c:v>
                  </c:pt>
                  <c:pt idx="988">
                    <c:v>2</c:v>
                  </c:pt>
                  <c:pt idx="989">
                    <c:v>2</c:v>
                  </c:pt>
                  <c:pt idx="990">
                    <c:v>2</c:v>
                  </c:pt>
                  <c:pt idx="991">
                    <c:v>2</c:v>
                  </c:pt>
                  <c:pt idx="992">
                    <c:v>1,45</c:v>
                  </c:pt>
                  <c:pt idx="993">
                    <c:v>1,8</c:v>
                  </c:pt>
                  <c:pt idx="994">
                    <c:v>1,45</c:v>
                  </c:pt>
                  <c:pt idx="995">
                    <c:v>1,45</c:v>
                  </c:pt>
                  <c:pt idx="996">
                    <c:v>1,8</c:v>
                  </c:pt>
                  <c:pt idx="997">
                    <c:v>1,6</c:v>
                  </c:pt>
                  <c:pt idx="998">
                    <c:v>1,7</c:v>
                  </c:pt>
                  <c:pt idx="999">
                    <c:v>1,7</c:v>
                  </c:pt>
                  <c:pt idx="1000">
                    <c:v>1,7</c:v>
                  </c:pt>
                  <c:pt idx="1001">
                    <c:v>1,7</c:v>
                  </c:pt>
                  <c:pt idx="1002">
                    <c:v>1,6</c:v>
                  </c:pt>
                  <c:pt idx="1003">
                    <c:v>1,45</c:v>
                  </c:pt>
                  <c:pt idx="1004">
                    <c:v>1,6</c:v>
                  </c:pt>
                  <c:pt idx="1005">
                    <c:v>1,6</c:v>
                  </c:pt>
                  <c:pt idx="1006">
                    <c:v>1,6</c:v>
                  </c:pt>
                  <c:pt idx="1007">
                    <c:v>1,6</c:v>
                  </c:pt>
                  <c:pt idx="1008">
                    <c:v>1,6</c:v>
                  </c:pt>
                  <c:pt idx="1009">
                    <c:v>1,6</c:v>
                  </c:pt>
                  <c:pt idx="1010">
                    <c:v>1,6</c:v>
                  </c:pt>
                  <c:pt idx="1011">
                    <c:v>1,6</c:v>
                  </c:pt>
                  <c:pt idx="1012">
                    <c:v>1,6</c:v>
                  </c:pt>
                  <c:pt idx="1013">
                    <c:v>1,6</c:v>
                  </c:pt>
                  <c:pt idx="1014">
                    <c:v>1,6</c:v>
                  </c:pt>
                  <c:pt idx="1015">
                    <c:v>1,6</c:v>
                  </c:pt>
                  <c:pt idx="1016">
                    <c:v>1,6</c:v>
                  </c:pt>
                  <c:pt idx="1017">
                    <c:v>1,4</c:v>
                  </c:pt>
                  <c:pt idx="1018">
                    <c:v>1,5</c:v>
                  </c:pt>
                  <c:pt idx="1019">
                    <c:v>1,5</c:v>
                  </c:pt>
                  <c:pt idx="1020">
                    <c:v>1,5</c:v>
                  </c:pt>
                  <c:pt idx="1021">
                    <c:v>1,5</c:v>
                  </c:pt>
                  <c:pt idx="1022">
                    <c:v>1,6</c:v>
                  </c:pt>
                  <c:pt idx="1023">
                    <c:v>1,7</c:v>
                  </c:pt>
                  <c:pt idx="1024">
                    <c:v>1,7</c:v>
                  </c:pt>
                  <c:pt idx="1025">
                    <c:v>1,6</c:v>
                  </c:pt>
                  <c:pt idx="1026">
                    <c:v>1,6</c:v>
                  </c:pt>
                  <c:pt idx="1027">
                    <c:v>1,6</c:v>
                  </c:pt>
                  <c:pt idx="1028">
                    <c:v>1,6</c:v>
                  </c:pt>
                  <c:pt idx="1029">
                    <c:v>1,6</c:v>
                  </c:pt>
                  <c:pt idx="1030">
                    <c:v>1,6</c:v>
                  </c:pt>
                  <c:pt idx="1031">
                    <c:v>1,5</c:v>
                  </c:pt>
                  <c:pt idx="1032">
                    <c:v>1,5</c:v>
                  </c:pt>
                  <c:pt idx="1033">
                    <c:v>1,8</c:v>
                  </c:pt>
                  <c:pt idx="1034">
                    <c:v>1,7</c:v>
                  </c:pt>
                  <c:pt idx="1035">
                    <c:v>1,7</c:v>
                  </c:pt>
                  <c:pt idx="1036">
                    <c:v>1,6</c:v>
                  </c:pt>
                  <c:pt idx="1037">
                    <c:v>1,6</c:v>
                  </c:pt>
                  <c:pt idx="1038">
                    <c:v>1,7</c:v>
                  </c:pt>
                  <c:pt idx="1039">
                    <c:v>1,5</c:v>
                  </c:pt>
                  <c:pt idx="1040">
                    <c:v>1,5</c:v>
                  </c:pt>
                  <c:pt idx="1041">
                    <c:v>1,5</c:v>
                  </c:pt>
                  <c:pt idx="1042">
                    <c:v>1,5</c:v>
                  </c:pt>
                  <c:pt idx="1043">
                    <c:v>1,5</c:v>
                  </c:pt>
                  <c:pt idx="1044">
                    <c:v>1,5</c:v>
                  </c:pt>
                  <c:pt idx="1045">
                    <c:v>1,5</c:v>
                  </c:pt>
                  <c:pt idx="1046">
                    <c:v>1,5</c:v>
                  </c:pt>
                  <c:pt idx="1047">
                    <c:v>1,7</c:v>
                  </c:pt>
                  <c:pt idx="1048">
                    <c:v>1,7</c:v>
                  </c:pt>
                  <c:pt idx="1049">
                    <c:v>1,7</c:v>
                  </c:pt>
                  <c:pt idx="1050">
                    <c:v>1,7</c:v>
                  </c:pt>
                  <c:pt idx="1051">
                    <c:v>1,7</c:v>
                  </c:pt>
                  <c:pt idx="1052">
                    <c:v>1,9</c:v>
                  </c:pt>
                  <c:pt idx="1053">
                    <c:v>1,6</c:v>
                  </c:pt>
                  <c:pt idx="1054">
                    <c:v>1,8</c:v>
                  </c:pt>
                  <c:pt idx="1055">
                    <c:v>1,8</c:v>
                  </c:pt>
                  <c:pt idx="1056">
                    <c:v>1,8</c:v>
                  </c:pt>
                  <c:pt idx="1057">
                    <c:v>1,5</c:v>
                  </c:pt>
                  <c:pt idx="1058">
                    <c:v>1,5</c:v>
                  </c:pt>
                  <c:pt idx="1059">
                    <c:v>1,8</c:v>
                  </c:pt>
                  <c:pt idx="1060">
                    <c:v>1,8</c:v>
                  </c:pt>
                  <c:pt idx="1061">
                    <c:v>1,5</c:v>
                  </c:pt>
                  <c:pt idx="1062">
                    <c:v>1,5</c:v>
                  </c:pt>
                  <c:pt idx="1063">
                    <c:v>1,5</c:v>
                  </c:pt>
                  <c:pt idx="1064">
                    <c:v>1,5</c:v>
                  </c:pt>
                  <c:pt idx="1065">
                    <c:v>1,5</c:v>
                  </c:pt>
                  <c:pt idx="1066">
                    <c:v>1,5</c:v>
                  </c:pt>
                  <c:pt idx="1067">
                    <c:v>1,8</c:v>
                  </c:pt>
                  <c:pt idx="1068">
                    <c:v>1,5</c:v>
                  </c:pt>
                  <c:pt idx="1069">
                    <c:v>1,6</c:v>
                  </c:pt>
                  <c:pt idx="1070">
                    <c:v>1,6</c:v>
                  </c:pt>
                  <c:pt idx="1071">
                    <c:v>1,8</c:v>
                  </c:pt>
                  <c:pt idx="1072">
                    <c:v>1,7</c:v>
                  </c:pt>
                  <c:pt idx="1073">
                    <c:v>1,7</c:v>
                  </c:pt>
                  <c:pt idx="1074">
                    <c:v>1,7</c:v>
                  </c:pt>
                  <c:pt idx="1075">
                    <c:v>1,7</c:v>
                  </c:pt>
                  <c:pt idx="1076">
                    <c:v>1,7</c:v>
                  </c:pt>
                  <c:pt idx="1078">
                    <c:v>1,6</c:v>
                  </c:pt>
                  <c:pt idx="1079">
                    <c:v>1,6</c:v>
                  </c:pt>
                  <c:pt idx="1080">
                    <c:v>2</c:v>
                  </c:pt>
                  <c:pt idx="1081">
                    <c:v>1,7</c:v>
                  </c:pt>
                  <c:pt idx="1082">
                    <c:v>1,7</c:v>
                  </c:pt>
                  <c:pt idx="1083">
                    <c:v>1,6</c:v>
                  </c:pt>
                  <c:pt idx="1084">
                    <c:v>1,7</c:v>
                  </c:pt>
                  <c:pt idx="1085">
                    <c:v>1,6</c:v>
                  </c:pt>
                  <c:pt idx="1086">
                    <c:v>1,6</c:v>
                  </c:pt>
                  <c:pt idx="1087">
                    <c:v>1,7</c:v>
                  </c:pt>
                  <c:pt idx="1088">
                    <c:v>1,7</c:v>
                  </c:pt>
                  <c:pt idx="1089">
                    <c:v>1,7</c:v>
                  </c:pt>
                  <c:pt idx="1090">
                    <c:v>1,7</c:v>
                  </c:pt>
                  <c:pt idx="1091">
                    <c:v>1,4</c:v>
                  </c:pt>
                  <c:pt idx="1092">
                    <c:v>1,4</c:v>
                  </c:pt>
                  <c:pt idx="1093">
                    <c:v>1,4</c:v>
                  </c:pt>
                  <c:pt idx="1094">
                    <c:v>1,3</c:v>
                  </c:pt>
                  <c:pt idx="1095">
                    <c:v>1,5</c:v>
                  </c:pt>
                  <c:pt idx="1096">
                    <c:v>1,4</c:v>
                  </c:pt>
                  <c:pt idx="1097">
                    <c:v>1,4</c:v>
                  </c:pt>
                  <c:pt idx="1098">
                    <c:v>1,6</c:v>
                  </c:pt>
                  <c:pt idx="1099">
                    <c:v>1,4</c:v>
                  </c:pt>
                  <c:pt idx="1100">
                    <c:v>1,6</c:v>
                  </c:pt>
                  <c:pt idx="1101">
                    <c:v>1,6</c:v>
                  </c:pt>
                  <c:pt idx="1102">
                    <c:v>1,6</c:v>
                  </c:pt>
                  <c:pt idx="1103">
                    <c:v>1,6</c:v>
                  </c:pt>
                  <c:pt idx="1104">
                    <c:v>1,4</c:v>
                  </c:pt>
                  <c:pt idx="1105">
                    <c:v>1,4</c:v>
                  </c:pt>
                  <c:pt idx="1106">
                    <c:v>1,6</c:v>
                  </c:pt>
                  <c:pt idx="1107">
                    <c:v>1,6</c:v>
                  </c:pt>
                  <c:pt idx="1108">
                    <c:v>1,8</c:v>
                  </c:pt>
                  <c:pt idx="1109">
                    <c:v>1,6</c:v>
                  </c:pt>
                  <c:pt idx="1110">
                    <c:v>1</c:v>
                  </c:pt>
                  <c:pt idx="1111">
                    <c:v>1,3</c:v>
                  </c:pt>
                  <c:pt idx="1112">
                    <c:v>1,3</c:v>
                  </c:pt>
                  <c:pt idx="1113">
                    <c:v>1,3</c:v>
                  </c:pt>
                  <c:pt idx="1114">
                    <c:v>1,3</c:v>
                  </c:pt>
                  <c:pt idx="1115">
                    <c:v>1,5</c:v>
                  </c:pt>
                  <c:pt idx="1116">
                    <c:v>1,6</c:v>
                  </c:pt>
                  <c:pt idx="1117">
                    <c:v>1,6</c:v>
                  </c:pt>
                  <c:pt idx="1118">
                    <c:v>1,3</c:v>
                  </c:pt>
                  <c:pt idx="1119">
                    <c:v>1,6</c:v>
                  </c:pt>
                  <c:pt idx="1120">
                    <c:v>1,6</c:v>
                  </c:pt>
                  <c:pt idx="1121">
                    <c:v>1,6</c:v>
                  </c:pt>
                  <c:pt idx="1122">
                    <c:v>1,7</c:v>
                  </c:pt>
                  <c:pt idx="1123">
                    <c:v>1,7</c:v>
                  </c:pt>
                  <c:pt idx="1124">
                    <c:v>1,6</c:v>
                  </c:pt>
                  <c:pt idx="1125">
                    <c:v>1,6</c:v>
                  </c:pt>
                  <c:pt idx="1126">
                    <c:v>1,6</c:v>
                  </c:pt>
                  <c:pt idx="1127">
                    <c:v>1,4</c:v>
                  </c:pt>
                  <c:pt idx="1128">
                    <c:v>1,6</c:v>
                  </c:pt>
                  <c:pt idx="1129">
                    <c:v>1,6</c:v>
                  </c:pt>
                  <c:pt idx="1130">
                    <c:v>1,6</c:v>
                  </c:pt>
                  <c:pt idx="1131">
                    <c:v>1,6</c:v>
                  </c:pt>
                  <c:pt idx="1132">
                    <c:v>1,6</c:v>
                  </c:pt>
                  <c:pt idx="1133">
                    <c:v>1,6</c:v>
                  </c:pt>
                  <c:pt idx="1134">
                    <c:v>1,6</c:v>
                  </c:pt>
                  <c:pt idx="1135">
                    <c:v>1,6</c:v>
                  </c:pt>
                  <c:pt idx="1136">
                    <c:v>1,6</c:v>
                  </c:pt>
                  <c:pt idx="1137">
                    <c:v>1,6</c:v>
                  </c:pt>
                  <c:pt idx="1138">
                    <c:v>1,6</c:v>
                  </c:pt>
                  <c:pt idx="1139">
                    <c:v>1,6</c:v>
                  </c:pt>
                  <c:pt idx="1140">
                    <c:v>1,6</c:v>
                  </c:pt>
                  <c:pt idx="1141">
                    <c:v>1,6</c:v>
                  </c:pt>
                  <c:pt idx="1142">
                    <c:v>1,6</c:v>
                  </c:pt>
                  <c:pt idx="1143">
                    <c:v>1,6</c:v>
                  </c:pt>
                  <c:pt idx="1144">
                    <c:v>1,7</c:v>
                  </c:pt>
                  <c:pt idx="1145">
                    <c:v>1,8</c:v>
                  </c:pt>
                  <c:pt idx="1146">
                    <c:v>1,7</c:v>
                  </c:pt>
                  <c:pt idx="1147">
                    <c:v>1,5</c:v>
                  </c:pt>
                  <c:pt idx="1148">
                    <c:v>1,6</c:v>
                  </c:pt>
                  <c:pt idx="1149">
                    <c:v>1,8</c:v>
                  </c:pt>
                  <c:pt idx="1150">
                    <c:v>1,6</c:v>
                  </c:pt>
                  <c:pt idx="1151">
                    <c:v>1,4</c:v>
                  </c:pt>
                  <c:pt idx="1152">
                    <c:v>1,4</c:v>
                  </c:pt>
                  <c:pt idx="1153">
                    <c:v>1,5</c:v>
                  </c:pt>
                  <c:pt idx="1154">
                    <c:v>1,5</c:v>
                  </c:pt>
                  <c:pt idx="1155">
                    <c:v>1,6</c:v>
                  </c:pt>
                  <c:pt idx="1156">
                    <c:v>1,5</c:v>
                  </c:pt>
                  <c:pt idx="1157">
                    <c:v>1,5</c:v>
                  </c:pt>
                  <c:pt idx="1158">
                    <c:v>1,4</c:v>
                  </c:pt>
                  <c:pt idx="1159">
                    <c:v>1,5</c:v>
                  </c:pt>
                  <c:pt idx="1160">
                    <c:v>1,5</c:v>
                  </c:pt>
                  <c:pt idx="1161">
                    <c:v>1,8</c:v>
                  </c:pt>
                  <c:pt idx="1162">
                    <c:v>1,5</c:v>
                  </c:pt>
                  <c:pt idx="1163">
                    <c:v>1,6</c:v>
                  </c:pt>
                  <c:pt idx="1164">
                    <c:v>1,7</c:v>
                  </c:pt>
                  <c:pt idx="1165">
                    <c:v>1,7</c:v>
                  </c:pt>
                  <c:pt idx="1166">
                    <c:v>1,6</c:v>
                  </c:pt>
                  <c:pt idx="1167">
                    <c:v>1,6</c:v>
                  </c:pt>
                  <c:pt idx="1168">
                    <c:v>1,6</c:v>
                  </c:pt>
                  <c:pt idx="1169">
                    <c:v>1,6</c:v>
                  </c:pt>
                  <c:pt idx="1170">
                    <c:v>1,6</c:v>
                  </c:pt>
                  <c:pt idx="1171">
                    <c:v>1,6</c:v>
                  </c:pt>
                  <c:pt idx="1172">
                    <c:v>1,6</c:v>
                  </c:pt>
                  <c:pt idx="1173">
                    <c:v>1,6</c:v>
                  </c:pt>
                  <c:pt idx="1174">
                    <c:v>1,6</c:v>
                  </c:pt>
                  <c:pt idx="1175">
                    <c:v>1,6</c:v>
                  </c:pt>
                  <c:pt idx="1176">
                    <c:v>1,6</c:v>
                  </c:pt>
                  <c:pt idx="1177">
                    <c:v>1,6</c:v>
                  </c:pt>
                  <c:pt idx="1178">
                    <c:v>1,7</c:v>
                  </c:pt>
                  <c:pt idx="1179">
                    <c:v>1,7</c:v>
                  </c:pt>
                  <c:pt idx="1180">
                    <c:v>1,7</c:v>
                  </c:pt>
                  <c:pt idx="1181">
                    <c:v>1,7</c:v>
                  </c:pt>
                  <c:pt idx="1182">
                    <c:v>1,6</c:v>
                  </c:pt>
                  <c:pt idx="1183">
                    <c:v>1,6</c:v>
                  </c:pt>
                  <c:pt idx="1184">
                    <c:v>1,5</c:v>
                  </c:pt>
                  <c:pt idx="1185">
                    <c:v>1,6</c:v>
                  </c:pt>
                  <c:pt idx="1186">
                    <c:v>1,6</c:v>
                  </c:pt>
                  <c:pt idx="1187">
                    <c:v>1,4</c:v>
                  </c:pt>
                  <c:pt idx="1188">
                    <c:v>1,4</c:v>
                  </c:pt>
                  <c:pt idx="1189">
                    <c:v>1,4</c:v>
                  </c:pt>
                  <c:pt idx="1190">
                    <c:v>1,4</c:v>
                  </c:pt>
                  <c:pt idx="1191">
                    <c:v>1,5</c:v>
                  </c:pt>
                  <c:pt idx="1192">
                    <c:v>1,4</c:v>
                  </c:pt>
                  <c:pt idx="1193">
                    <c:v>1,4</c:v>
                  </c:pt>
                  <c:pt idx="1194">
                    <c:v>1,6</c:v>
                  </c:pt>
                  <c:pt idx="1195">
                    <c:v>1,5</c:v>
                  </c:pt>
                  <c:pt idx="1196">
                    <c:v>1,5</c:v>
                  </c:pt>
                  <c:pt idx="1197">
                    <c:v>1,6</c:v>
                  </c:pt>
                  <c:pt idx="1198">
                    <c:v>1,5</c:v>
                  </c:pt>
                  <c:pt idx="1199">
                    <c:v>1,6</c:v>
                  </c:pt>
                  <c:pt idx="1200">
                    <c:v>1,6</c:v>
                  </c:pt>
                  <c:pt idx="1201">
                    <c:v>1,5</c:v>
                  </c:pt>
                  <c:pt idx="1202">
                    <c:v>1,8</c:v>
                  </c:pt>
                  <c:pt idx="1203">
                    <c:v>1,7</c:v>
                  </c:pt>
                  <c:pt idx="1204">
                    <c:v>1,6</c:v>
                  </c:pt>
                  <c:pt idx="1205">
                    <c:v>1,6</c:v>
                  </c:pt>
                  <c:pt idx="1206">
                    <c:v>1,6</c:v>
                  </c:pt>
                  <c:pt idx="1207">
                    <c:v>1,6</c:v>
                  </c:pt>
                  <c:pt idx="1208">
                    <c:v>1,6</c:v>
                  </c:pt>
                  <c:pt idx="1209">
                    <c:v>1,5</c:v>
                  </c:pt>
                  <c:pt idx="1210">
                    <c:v>1,8</c:v>
                  </c:pt>
                  <c:pt idx="1211">
                    <c:v>1,8</c:v>
                  </c:pt>
                  <c:pt idx="1212">
                    <c:v>1,8</c:v>
                  </c:pt>
                  <c:pt idx="1213">
                    <c:v>1,5</c:v>
                  </c:pt>
                  <c:pt idx="1214">
                    <c:v>1,6</c:v>
                  </c:pt>
                  <c:pt idx="1215">
                    <c:v>1,8</c:v>
                  </c:pt>
                  <c:pt idx="1216">
                    <c:v>1,8</c:v>
                  </c:pt>
                  <c:pt idx="1217">
                    <c:v>1,8</c:v>
                  </c:pt>
                  <c:pt idx="1218">
                    <c:v>1,6</c:v>
                  </c:pt>
                  <c:pt idx="1219">
                    <c:v>1,6</c:v>
                  </c:pt>
                  <c:pt idx="1220">
                    <c:v>1,4</c:v>
                  </c:pt>
                  <c:pt idx="1221">
                    <c:v>1,6</c:v>
                  </c:pt>
                  <c:pt idx="1222">
                    <c:v>1,4</c:v>
                  </c:pt>
                  <c:pt idx="1223">
                    <c:v>1,3</c:v>
                  </c:pt>
                  <c:pt idx="1224">
                    <c:v>1,5</c:v>
                  </c:pt>
                  <c:pt idx="1225">
                    <c:v>1,5</c:v>
                  </c:pt>
                  <c:pt idx="1226">
                    <c:v>1,5</c:v>
                  </c:pt>
                  <c:pt idx="1227">
                    <c:v>1,5</c:v>
                  </c:pt>
                  <c:pt idx="1228">
                    <c:v>1,5</c:v>
                  </c:pt>
                  <c:pt idx="1229">
                    <c:v>1,5</c:v>
                  </c:pt>
                  <c:pt idx="1230">
                    <c:v>1,5</c:v>
                  </c:pt>
                  <c:pt idx="1231">
                    <c:v>1,5</c:v>
                  </c:pt>
                  <c:pt idx="1232">
                    <c:v>1,5</c:v>
                  </c:pt>
                  <c:pt idx="1233">
                    <c:v>1,5</c:v>
                  </c:pt>
                  <c:pt idx="1234">
                    <c:v>1,6</c:v>
                  </c:pt>
                  <c:pt idx="1235">
                    <c:v>1,4</c:v>
                  </c:pt>
                  <c:pt idx="1236">
                    <c:v>1,4</c:v>
                  </c:pt>
                  <c:pt idx="1237">
                    <c:v>1,6</c:v>
                  </c:pt>
                  <c:pt idx="1238">
                    <c:v>1,6</c:v>
                  </c:pt>
                  <c:pt idx="1239">
                    <c:v>1,6</c:v>
                  </c:pt>
                  <c:pt idx="1240">
                    <c:v>1,6</c:v>
                  </c:pt>
                  <c:pt idx="1241">
                    <c:v>1,6</c:v>
                  </c:pt>
                  <c:pt idx="1242">
                    <c:v>1,6</c:v>
                  </c:pt>
                  <c:pt idx="1243">
                    <c:v>1,6</c:v>
                  </c:pt>
                  <c:pt idx="1244">
                    <c:v>1,6</c:v>
                  </c:pt>
                  <c:pt idx="1245">
                    <c:v>2</c:v>
                  </c:pt>
                  <c:pt idx="1246">
                    <c:v>2,5</c:v>
                  </c:pt>
                  <c:pt idx="1247">
                    <c:v>1,8</c:v>
                  </c:pt>
                  <c:pt idx="1248">
                    <c:v>1,8</c:v>
                  </c:pt>
                  <c:pt idx="1249">
                    <c:v>1,45</c:v>
                  </c:pt>
                  <c:pt idx="1250">
                    <c:v>1,45</c:v>
                  </c:pt>
                  <c:pt idx="1251">
                    <c:v>1,6</c:v>
                  </c:pt>
                  <c:pt idx="1252">
                    <c:v>1,45</c:v>
                  </c:pt>
                  <c:pt idx="1253">
                    <c:v>1,5</c:v>
                  </c:pt>
                  <c:pt idx="1254">
                    <c:v>2</c:v>
                  </c:pt>
                  <c:pt idx="1255">
                    <c:v>1,25</c:v>
                  </c:pt>
                  <c:pt idx="1256">
                    <c:v>1,25</c:v>
                  </c:pt>
                  <c:pt idx="1257">
                    <c:v>1,6</c:v>
                  </c:pt>
                  <c:pt idx="1258">
                    <c:v>1,25</c:v>
                  </c:pt>
                  <c:pt idx="1259">
                    <c:v>1,25</c:v>
                  </c:pt>
                  <c:pt idx="1260">
                    <c:v>1,25</c:v>
                  </c:pt>
                  <c:pt idx="1261">
                    <c:v>1,8</c:v>
                  </c:pt>
                  <c:pt idx="1262">
                    <c:v>1,6</c:v>
                  </c:pt>
                  <c:pt idx="1263">
                    <c:v>1,6</c:v>
                  </c:pt>
                  <c:pt idx="1264">
                    <c:v>1,6</c:v>
                  </c:pt>
                  <c:pt idx="1265">
                    <c:v>1,6</c:v>
                  </c:pt>
                  <c:pt idx="1266">
                    <c:v>1,6</c:v>
                  </c:pt>
                  <c:pt idx="1267">
                    <c:v>1,6</c:v>
                  </c:pt>
                  <c:pt idx="1268">
                    <c:v>1,6</c:v>
                  </c:pt>
                  <c:pt idx="1269">
                    <c:v>1,6</c:v>
                  </c:pt>
                  <c:pt idx="1270">
                    <c:v>1,6</c:v>
                  </c:pt>
                  <c:pt idx="1271">
                    <c:v>1,6</c:v>
                  </c:pt>
                  <c:pt idx="1272">
                    <c:v>1,6</c:v>
                  </c:pt>
                  <c:pt idx="1273">
                    <c:v>1,7</c:v>
                  </c:pt>
                  <c:pt idx="1274">
                    <c:v>1,6</c:v>
                  </c:pt>
                  <c:pt idx="1275">
                    <c:v>1,6</c:v>
                  </c:pt>
                  <c:pt idx="1276">
                    <c:v>1,6</c:v>
                  </c:pt>
                  <c:pt idx="1277">
                    <c:v>1,6</c:v>
                  </c:pt>
                  <c:pt idx="1278">
                    <c:v>1,5</c:v>
                  </c:pt>
                  <c:pt idx="1279">
                    <c:v>1,5</c:v>
                  </c:pt>
                  <c:pt idx="1280">
                    <c:v>1,5</c:v>
                  </c:pt>
                  <c:pt idx="1281">
                    <c:v>1,5</c:v>
                  </c:pt>
                  <c:pt idx="1282">
                    <c:v>1,5</c:v>
                  </c:pt>
                  <c:pt idx="1283">
                    <c:v>1,6</c:v>
                  </c:pt>
                  <c:pt idx="1284">
                    <c:v>1,6</c:v>
                  </c:pt>
                  <c:pt idx="1285">
                    <c:v>1,6</c:v>
                  </c:pt>
                  <c:pt idx="1286">
                    <c:v>1,6</c:v>
                  </c:pt>
                  <c:pt idx="1287">
                    <c:v>1,6</c:v>
                  </c:pt>
                  <c:pt idx="1288">
                    <c:v>1,6</c:v>
                  </c:pt>
                  <c:pt idx="1289">
                    <c:v>2</c:v>
                  </c:pt>
                  <c:pt idx="1290">
                    <c:v>1,4</c:v>
                  </c:pt>
                  <c:pt idx="1291">
                    <c:v>1,4</c:v>
                  </c:pt>
                  <c:pt idx="1292">
                    <c:v>1,6</c:v>
                  </c:pt>
                  <c:pt idx="1293">
                    <c:v>1,6</c:v>
                  </c:pt>
                  <c:pt idx="1294">
                    <c:v>1,6</c:v>
                  </c:pt>
                  <c:pt idx="1295">
                    <c:v>1,6</c:v>
                  </c:pt>
                  <c:pt idx="1296">
                    <c:v>1,6</c:v>
                  </c:pt>
                  <c:pt idx="1297">
                    <c:v>1,7</c:v>
                  </c:pt>
                  <c:pt idx="1298">
                    <c:v>1,7</c:v>
                  </c:pt>
                  <c:pt idx="1299">
                    <c:v>1,7</c:v>
                  </c:pt>
                  <c:pt idx="1300">
                    <c:v>1,7</c:v>
                  </c:pt>
                  <c:pt idx="1302">
                    <c:v>1,5</c:v>
                  </c:pt>
                  <c:pt idx="1303">
                    <c:v>1,5</c:v>
                  </c:pt>
                  <c:pt idx="1304">
                    <c:v>1,5</c:v>
                  </c:pt>
                  <c:pt idx="1305">
                    <c:v>1,5</c:v>
                  </c:pt>
                  <c:pt idx="1306">
                    <c:v>1,5</c:v>
                  </c:pt>
                  <c:pt idx="1307">
                    <c:v>1,5</c:v>
                  </c:pt>
                  <c:pt idx="1308">
                    <c:v>1,5</c:v>
                  </c:pt>
                  <c:pt idx="1309">
                    <c:v>1,5</c:v>
                  </c:pt>
                  <c:pt idx="1310">
                    <c:v>1,5</c:v>
                  </c:pt>
                  <c:pt idx="1311">
                    <c:v>1,5</c:v>
                  </c:pt>
                  <c:pt idx="1312">
                    <c:v>1,5</c:v>
                  </c:pt>
                  <c:pt idx="1313">
                    <c:v>1,4</c:v>
                  </c:pt>
                  <c:pt idx="1314">
                    <c:v>1,5</c:v>
                  </c:pt>
                  <c:pt idx="1315">
                    <c:v>1,6</c:v>
                  </c:pt>
                  <c:pt idx="1316">
                    <c:v>1,6</c:v>
                  </c:pt>
                  <c:pt idx="1317">
                    <c:v>1,6</c:v>
                  </c:pt>
                  <c:pt idx="1318">
                    <c:v>1,6</c:v>
                  </c:pt>
                  <c:pt idx="1319">
                    <c:v>1,4</c:v>
                  </c:pt>
                  <c:pt idx="1320">
                    <c:v>1,5</c:v>
                  </c:pt>
                  <c:pt idx="1321">
                    <c:v>1,6</c:v>
                  </c:pt>
                  <c:pt idx="1322">
                    <c:v>1,6</c:v>
                  </c:pt>
                  <c:pt idx="1323">
                    <c:v>1,6</c:v>
                  </c:pt>
                  <c:pt idx="1324">
                    <c:v>1,6</c:v>
                  </c:pt>
                  <c:pt idx="1325">
                    <c:v>1,6</c:v>
                  </c:pt>
                  <c:pt idx="1326">
                    <c:v>1,6</c:v>
                  </c:pt>
                  <c:pt idx="1327">
                    <c:v>1,6</c:v>
                  </c:pt>
                  <c:pt idx="1328">
                    <c:v>1,6</c:v>
                  </c:pt>
                  <c:pt idx="1329">
                    <c:v>1,55</c:v>
                  </c:pt>
                  <c:pt idx="1330">
                    <c:v>1,6</c:v>
                  </c:pt>
                  <c:pt idx="1331">
                    <c:v>1,5</c:v>
                  </c:pt>
                  <c:pt idx="1332">
                    <c:v>1,5</c:v>
                  </c:pt>
                  <c:pt idx="1333">
                    <c:v>1,6</c:v>
                  </c:pt>
                  <c:pt idx="1334">
                    <c:v>1,6</c:v>
                  </c:pt>
                  <c:pt idx="1335">
                    <c:v>1,6</c:v>
                  </c:pt>
                  <c:pt idx="1336">
                    <c:v>1,6</c:v>
                  </c:pt>
                  <c:pt idx="1337">
                    <c:v>1,5</c:v>
                  </c:pt>
                  <c:pt idx="1338">
                    <c:v>1,6</c:v>
                  </c:pt>
                  <c:pt idx="1339">
                    <c:v>1,5</c:v>
                  </c:pt>
                  <c:pt idx="1340">
                    <c:v>1,5</c:v>
                  </c:pt>
                  <c:pt idx="1341">
                    <c:v>1,4</c:v>
                  </c:pt>
                  <c:pt idx="1342">
                    <c:v>1,6</c:v>
                  </c:pt>
                  <c:pt idx="1343">
                    <c:v>1,6</c:v>
                  </c:pt>
                  <c:pt idx="1344">
                    <c:v>1,6</c:v>
                  </c:pt>
                  <c:pt idx="1345">
                    <c:v>1,5</c:v>
                  </c:pt>
                  <c:pt idx="1346">
                    <c:v>1,6</c:v>
                  </c:pt>
                  <c:pt idx="1347">
                    <c:v>1,6</c:v>
                  </c:pt>
                  <c:pt idx="1348">
                    <c:v>1,6</c:v>
                  </c:pt>
                  <c:pt idx="1349">
                    <c:v>1,6</c:v>
                  </c:pt>
                  <c:pt idx="1350">
                    <c:v>1,6</c:v>
                  </c:pt>
                  <c:pt idx="1351">
                    <c:v>1,6</c:v>
                  </c:pt>
                  <c:pt idx="1352">
                    <c:v>1,6</c:v>
                  </c:pt>
                  <c:pt idx="1353">
                    <c:v>1,6</c:v>
                  </c:pt>
                  <c:pt idx="1354">
                    <c:v>1,6</c:v>
                  </c:pt>
                  <c:pt idx="1355">
                    <c:v>1,5</c:v>
                  </c:pt>
                  <c:pt idx="1356">
                    <c:v>1,5</c:v>
                  </c:pt>
                  <c:pt idx="1357">
                    <c:v>1,6</c:v>
                  </c:pt>
                  <c:pt idx="1358">
                    <c:v>1,6</c:v>
                  </c:pt>
                  <c:pt idx="1359">
                    <c:v>1,7</c:v>
                  </c:pt>
                  <c:pt idx="1360">
                    <c:v>1,6</c:v>
                  </c:pt>
                  <c:pt idx="1361">
                    <c:v>1,6</c:v>
                  </c:pt>
                  <c:pt idx="1362">
                    <c:v>1,6</c:v>
                  </c:pt>
                  <c:pt idx="1363">
                    <c:v>1,6</c:v>
                  </c:pt>
                  <c:pt idx="1364">
                    <c:v>1,6</c:v>
                  </c:pt>
                  <c:pt idx="1365">
                    <c:v>1,8</c:v>
                  </c:pt>
                  <c:pt idx="1366">
                    <c:v>1,8</c:v>
                  </c:pt>
                  <c:pt idx="1367">
                    <c:v>1,8</c:v>
                  </c:pt>
                  <c:pt idx="1368">
                    <c:v>1,8</c:v>
                  </c:pt>
                  <c:pt idx="1369">
                    <c:v>1,8</c:v>
                  </c:pt>
                  <c:pt idx="1370">
                    <c:v>1,5</c:v>
                  </c:pt>
                  <c:pt idx="1371">
                    <c:v>1,5</c:v>
                  </c:pt>
                  <c:pt idx="1372">
                    <c:v>1,6</c:v>
                  </c:pt>
                  <c:pt idx="1373">
                    <c:v>1,6</c:v>
                  </c:pt>
                  <c:pt idx="1374">
                    <c:v>1,4</c:v>
                  </c:pt>
                  <c:pt idx="1375">
                    <c:v>1,5</c:v>
                  </c:pt>
                  <c:pt idx="1376">
                    <c:v>1,7</c:v>
                  </c:pt>
                  <c:pt idx="1377">
                    <c:v>1,7</c:v>
                  </c:pt>
                  <c:pt idx="1378">
                    <c:v>1,7</c:v>
                  </c:pt>
                  <c:pt idx="1379">
                    <c:v>1,4</c:v>
                  </c:pt>
                  <c:pt idx="1380">
                    <c:v>1,7</c:v>
                  </c:pt>
                  <c:pt idx="1381">
                    <c:v>1,7</c:v>
                  </c:pt>
                  <c:pt idx="1382">
                    <c:v>2</c:v>
                  </c:pt>
                  <c:pt idx="1383">
                    <c:v>2</c:v>
                  </c:pt>
                  <c:pt idx="1384">
                    <c:v>2</c:v>
                  </c:pt>
                  <c:pt idx="1385">
                    <c:v>2</c:v>
                  </c:pt>
                  <c:pt idx="1386">
                    <c:v>1,7</c:v>
                  </c:pt>
                  <c:pt idx="1388">
                    <c:v>1,3</c:v>
                  </c:pt>
                  <c:pt idx="1389">
                    <c:v>1,3</c:v>
                  </c:pt>
                  <c:pt idx="1390">
                    <c:v>1,3</c:v>
                  </c:pt>
                  <c:pt idx="1391">
                    <c:v>1,3</c:v>
                  </c:pt>
                  <c:pt idx="1392">
                    <c:v>1,4</c:v>
                  </c:pt>
                  <c:pt idx="1393">
                    <c:v>1,4</c:v>
                  </c:pt>
                  <c:pt idx="1394">
                    <c:v>1,6</c:v>
                  </c:pt>
                  <c:pt idx="1395">
                    <c:v>1,6</c:v>
                  </c:pt>
                  <c:pt idx="1396">
                    <c:v>1,36</c:v>
                  </c:pt>
                  <c:pt idx="1397">
                    <c:v>1,6</c:v>
                  </c:pt>
                  <c:pt idx="1398">
                    <c:v>1,6</c:v>
                  </c:pt>
                  <c:pt idx="1399">
                    <c:v>1,5</c:v>
                  </c:pt>
                  <c:pt idx="1400">
                    <c:v>1,6</c:v>
                  </c:pt>
                  <c:pt idx="1401">
                    <c:v>1,6</c:v>
                  </c:pt>
                  <c:pt idx="1402">
                    <c:v>1,8</c:v>
                  </c:pt>
                  <c:pt idx="1403">
                    <c:v>1,6</c:v>
                  </c:pt>
                  <c:pt idx="1404">
                    <c:v>1,6</c:v>
                  </c:pt>
                  <c:pt idx="1405">
                    <c:v>1,4</c:v>
                  </c:pt>
                  <c:pt idx="1406">
                    <c:v>1,4</c:v>
                  </c:pt>
                  <c:pt idx="1407">
                    <c:v>1,6</c:v>
                  </c:pt>
                  <c:pt idx="1408">
                    <c:v>1,6</c:v>
                  </c:pt>
                  <c:pt idx="1409">
                    <c:v>1,6</c:v>
                  </c:pt>
                  <c:pt idx="1410">
                    <c:v>1,6</c:v>
                  </c:pt>
                  <c:pt idx="1411">
                    <c:v>1,6</c:v>
                  </c:pt>
                  <c:pt idx="1412">
                    <c:v>1,6</c:v>
                  </c:pt>
                  <c:pt idx="1413">
                    <c:v>1,6</c:v>
                  </c:pt>
                  <c:pt idx="1414">
                    <c:v>1,6</c:v>
                  </c:pt>
                  <c:pt idx="1415">
                    <c:v>1,6</c:v>
                  </c:pt>
                  <c:pt idx="1416">
                    <c:v>1,6</c:v>
                  </c:pt>
                  <c:pt idx="1417">
                    <c:v>1,6</c:v>
                  </c:pt>
                  <c:pt idx="1418">
                    <c:v>1,6</c:v>
                  </c:pt>
                  <c:pt idx="1419">
                    <c:v>1,5</c:v>
                  </c:pt>
                  <c:pt idx="1420">
                    <c:v>1,5</c:v>
                  </c:pt>
                  <c:pt idx="1421">
                    <c:v>1,5</c:v>
                  </c:pt>
                  <c:pt idx="1422">
                    <c:v>1,5</c:v>
                  </c:pt>
                  <c:pt idx="1423">
                    <c:v>1,5</c:v>
                  </c:pt>
                  <c:pt idx="1424">
                    <c:v>1,6</c:v>
                  </c:pt>
                  <c:pt idx="1425">
                    <c:v>1,5</c:v>
                  </c:pt>
                  <c:pt idx="1426">
                    <c:v>1,5</c:v>
                  </c:pt>
                  <c:pt idx="1427">
                    <c:v>1,5</c:v>
                  </c:pt>
                  <c:pt idx="1428">
                    <c:v>1,5</c:v>
                  </c:pt>
                  <c:pt idx="1429">
                    <c:v>1,5</c:v>
                  </c:pt>
                  <c:pt idx="1430">
                    <c:v>2</c:v>
                  </c:pt>
                  <c:pt idx="1431">
                    <c:v>2</c:v>
                  </c:pt>
                  <c:pt idx="1432">
                    <c:v>2</c:v>
                  </c:pt>
                  <c:pt idx="1433">
                    <c:v>1,5</c:v>
                  </c:pt>
                  <c:pt idx="1434">
                    <c:v>1,5</c:v>
                  </c:pt>
                  <c:pt idx="1435">
                    <c:v>1,7</c:v>
                  </c:pt>
                  <c:pt idx="1436">
                    <c:v>1,6</c:v>
                  </c:pt>
                  <c:pt idx="1437">
                    <c:v>1,3</c:v>
                  </c:pt>
                  <c:pt idx="1438">
                    <c:v>1,35</c:v>
                  </c:pt>
                  <c:pt idx="1439">
                    <c:v>1,65</c:v>
                  </c:pt>
                  <c:pt idx="1440">
                    <c:v>1,5</c:v>
                  </c:pt>
                  <c:pt idx="1441">
                    <c:v>2</c:v>
                  </c:pt>
                  <c:pt idx="1442">
                    <c:v>2</c:v>
                  </c:pt>
                  <c:pt idx="1443">
                    <c:v>2,5</c:v>
                  </c:pt>
                  <c:pt idx="1444">
                    <c:v>1,5</c:v>
                  </c:pt>
                  <c:pt idx="1446">
                    <c:v>1,5</c:v>
                  </c:pt>
                  <c:pt idx="1447">
                    <c:v>1,8</c:v>
                  </c:pt>
                  <c:pt idx="1448">
                    <c:v>1,8</c:v>
                  </c:pt>
                  <c:pt idx="1449">
                    <c:v>1,6</c:v>
                  </c:pt>
                  <c:pt idx="1450">
                    <c:v>1,5</c:v>
                  </c:pt>
                  <c:pt idx="1451">
                    <c:v>1,4</c:v>
                  </c:pt>
                  <c:pt idx="1452">
                    <c:v>1,8</c:v>
                  </c:pt>
                  <c:pt idx="1453">
                    <c:v>1,8</c:v>
                  </c:pt>
                  <c:pt idx="1454">
                    <c:v>1,8</c:v>
                  </c:pt>
                  <c:pt idx="1455">
                    <c:v>1,7</c:v>
                  </c:pt>
                  <c:pt idx="1456">
                    <c:v>1,8</c:v>
                  </c:pt>
                  <c:pt idx="1457">
                    <c:v>1,7</c:v>
                  </c:pt>
                  <c:pt idx="1458">
                    <c:v>1,8</c:v>
                  </c:pt>
                  <c:pt idx="1459">
                    <c:v>1,8</c:v>
                  </c:pt>
                  <c:pt idx="1460">
                    <c:v>1,2</c:v>
                  </c:pt>
                  <c:pt idx="1461">
                    <c:v>1,8</c:v>
                  </c:pt>
                  <c:pt idx="1462">
                    <c:v>2</c:v>
                  </c:pt>
                  <c:pt idx="1463">
                    <c:v>1,3</c:v>
                  </c:pt>
                  <c:pt idx="1464">
                    <c:v>1,6</c:v>
                  </c:pt>
                  <c:pt idx="1465">
                    <c:v>3</c:v>
                  </c:pt>
                  <c:pt idx="1466">
                    <c:v>1,4</c:v>
                  </c:pt>
                  <c:pt idx="1467">
                    <c:v>1,6</c:v>
                  </c:pt>
                  <c:pt idx="1468">
                    <c:v>1,5</c:v>
                  </c:pt>
                  <c:pt idx="1469">
                    <c:v>1,5</c:v>
                  </c:pt>
                  <c:pt idx="1470">
                    <c:v>1,6</c:v>
                  </c:pt>
                  <c:pt idx="1471">
                    <c:v>1,2</c:v>
                  </c:pt>
                  <c:pt idx="1472">
                    <c:v>1,2</c:v>
                  </c:pt>
                  <c:pt idx="1473">
                    <c:v>1,3</c:v>
                  </c:pt>
                  <c:pt idx="1474">
                    <c:v>1,4</c:v>
                  </c:pt>
                  <c:pt idx="1475">
                    <c:v>1,5</c:v>
                  </c:pt>
                  <c:pt idx="1476">
                    <c:v>1,4</c:v>
                  </c:pt>
                  <c:pt idx="1477">
                    <c:v>1,6</c:v>
                  </c:pt>
                  <c:pt idx="1478">
                    <c:v>2</c:v>
                  </c:pt>
                  <c:pt idx="1479">
                    <c:v>1,4</c:v>
                  </c:pt>
                  <c:pt idx="1480">
                    <c:v>1,8</c:v>
                  </c:pt>
                  <c:pt idx="1481">
                    <c:v>1,6</c:v>
                  </c:pt>
                  <c:pt idx="1482">
                    <c:v>1,8</c:v>
                  </c:pt>
                  <c:pt idx="1483">
                    <c:v>1,4</c:v>
                  </c:pt>
                  <c:pt idx="1484">
                    <c:v>1,6</c:v>
                  </c:pt>
                  <c:pt idx="1485">
                    <c:v>1,3</c:v>
                  </c:pt>
                  <c:pt idx="1486">
                    <c:v>1,4</c:v>
                  </c:pt>
                  <c:pt idx="1487">
                    <c:v>1,4</c:v>
                  </c:pt>
                  <c:pt idx="1488">
                    <c:v>1,8</c:v>
                  </c:pt>
                  <c:pt idx="1489">
                    <c:v>2</c:v>
                  </c:pt>
                  <c:pt idx="1490">
                    <c:v>1,8</c:v>
                  </c:pt>
                  <c:pt idx="1491">
                    <c:v>1,8</c:v>
                  </c:pt>
                  <c:pt idx="1492">
                    <c:v>1,8</c:v>
                  </c:pt>
                  <c:pt idx="1493">
                    <c:v>1,8</c:v>
                  </c:pt>
                  <c:pt idx="1494">
                    <c:v>1,8</c:v>
                  </c:pt>
                  <c:pt idx="1495">
                    <c:v>1,8</c:v>
                  </c:pt>
                  <c:pt idx="1496">
                    <c:v>1,6</c:v>
                  </c:pt>
                  <c:pt idx="1497">
                    <c:v>1,4</c:v>
                  </c:pt>
                  <c:pt idx="1498">
                    <c:v>1,25</c:v>
                  </c:pt>
                  <c:pt idx="1499">
                    <c:v>1,6</c:v>
                  </c:pt>
                  <c:pt idx="1500">
                    <c:v>1,6</c:v>
                  </c:pt>
                  <c:pt idx="1501">
                    <c:v>1,6</c:v>
                  </c:pt>
                  <c:pt idx="1502">
                    <c:v>1,6</c:v>
                  </c:pt>
                  <c:pt idx="1503">
                    <c:v>1,7</c:v>
                  </c:pt>
                  <c:pt idx="1504">
                    <c:v>1,6</c:v>
                  </c:pt>
                  <c:pt idx="1505">
                    <c:v>1,7</c:v>
                  </c:pt>
                  <c:pt idx="1506">
                    <c:v>1,75</c:v>
                  </c:pt>
                  <c:pt idx="1507">
                    <c:v>1,3</c:v>
                  </c:pt>
                  <c:pt idx="1508">
                    <c:v>1,3</c:v>
                  </c:pt>
                  <c:pt idx="1509">
                    <c:v>1,1</c:v>
                  </c:pt>
                  <c:pt idx="1510">
                    <c:v>1,6</c:v>
                  </c:pt>
                  <c:pt idx="1511">
                    <c:v>1,6</c:v>
                  </c:pt>
                  <c:pt idx="1512">
                    <c:v>1,3</c:v>
                  </c:pt>
                  <c:pt idx="1513">
                    <c:v>1,3</c:v>
                  </c:pt>
                  <c:pt idx="1514">
                    <c:v>1,6</c:v>
                  </c:pt>
                  <c:pt idx="1515">
                    <c:v>1,6</c:v>
                  </c:pt>
                  <c:pt idx="1516">
                    <c:v>1,5</c:v>
                  </c:pt>
                  <c:pt idx="1517">
                    <c:v>1,6</c:v>
                  </c:pt>
                  <c:pt idx="1518">
                    <c:v>1,6</c:v>
                  </c:pt>
                  <c:pt idx="1519">
                    <c:v>1,3</c:v>
                  </c:pt>
                  <c:pt idx="1520">
                    <c:v>1,6</c:v>
                  </c:pt>
                  <c:pt idx="1521">
                    <c:v>1,6</c:v>
                  </c:pt>
                  <c:pt idx="1522">
                    <c:v>1,6</c:v>
                  </c:pt>
                  <c:pt idx="1523">
                    <c:v>1,7</c:v>
                  </c:pt>
                  <c:pt idx="1524">
                    <c:v>2</c:v>
                  </c:pt>
                  <c:pt idx="1525">
                    <c:v>1,3</c:v>
                  </c:pt>
                  <c:pt idx="1526">
                    <c:v>2</c:v>
                  </c:pt>
                  <c:pt idx="1527">
                    <c:v>2</c:v>
                  </c:pt>
                  <c:pt idx="1528">
                    <c:v>1,6</c:v>
                  </c:pt>
                  <c:pt idx="1529">
                    <c:v>1,9</c:v>
                  </c:pt>
                  <c:pt idx="1530">
                    <c:v>1,5</c:v>
                  </c:pt>
                  <c:pt idx="1531">
                    <c:v>1,5</c:v>
                  </c:pt>
                  <c:pt idx="1532">
                    <c:v>1,8</c:v>
                  </c:pt>
                  <c:pt idx="1533">
                    <c:v>1,5</c:v>
                  </c:pt>
                  <c:pt idx="1534">
                    <c:v>1,6</c:v>
                  </c:pt>
                  <c:pt idx="1535">
                    <c:v>1,6</c:v>
                  </c:pt>
                  <c:pt idx="1536">
                    <c:v>1,8</c:v>
                  </c:pt>
                  <c:pt idx="1537">
                    <c:v>1,6</c:v>
                  </c:pt>
                  <c:pt idx="1538">
                    <c:v>1,6</c:v>
                  </c:pt>
                  <c:pt idx="1539">
                    <c:v>1,4</c:v>
                  </c:pt>
                  <c:pt idx="1540">
                    <c:v>1,4</c:v>
                  </c:pt>
                  <c:pt idx="1541">
                    <c:v>1,6</c:v>
                  </c:pt>
                  <c:pt idx="1542">
                    <c:v>1,3</c:v>
                  </c:pt>
                  <c:pt idx="1543">
                    <c:v>1,6</c:v>
                  </c:pt>
                  <c:pt idx="1544">
                    <c:v>1,6</c:v>
                  </c:pt>
                  <c:pt idx="1545">
                    <c:v>1,6</c:v>
                  </c:pt>
                  <c:pt idx="1546">
                    <c:v>2</c:v>
                  </c:pt>
                  <c:pt idx="1547">
                    <c:v>2</c:v>
                  </c:pt>
                  <c:pt idx="1548">
                    <c:v>1</c:v>
                  </c:pt>
                  <c:pt idx="1549">
                    <c:v>1,6</c:v>
                  </c:pt>
                  <c:pt idx="1550">
                    <c:v>1,8</c:v>
                  </c:pt>
                  <c:pt idx="1551">
                    <c:v>1,7</c:v>
                  </c:pt>
                  <c:pt idx="1552">
                    <c:v>1,5</c:v>
                  </c:pt>
                  <c:pt idx="1553">
                    <c:v>1,5</c:v>
                  </c:pt>
                  <c:pt idx="1554">
                    <c:v>1,7</c:v>
                  </c:pt>
                  <c:pt idx="1555">
                    <c:v>1,6</c:v>
                  </c:pt>
                  <c:pt idx="1556">
                    <c:v>1,5</c:v>
                  </c:pt>
                  <c:pt idx="1557">
                    <c:v>1,5</c:v>
                  </c:pt>
                  <c:pt idx="1558">
                    <c:v>1,5</c:v>
                  </c:pt>
                  <c:pt idx="1559">
                    <c:v>1,5</c:v>
                  </c:pt>
                  <c:pt idx="1560">
                    <c:v>1,3</c:v>
                  </c:pt>
                  <c:pt idx="1561">
                    <c:v>1,5</c:v>
                  </c:pt>
                  <c:pt idx="1562">
                    <c:v>1,4</c:v>
                  </c:pt>
                  <c:pt idx="1563">
                    <c:v>1,3</c:v>
                  </c:pt>
                  <c:pt idx="1564">
                    <c:v>1,3</c:v>
                  </c:pt>
                  <c:pt idx="1565">
                    <c:v>1,3</c:v>
                  </c:pt>
                  <c:pt idx="1566">
                    <c:v>1,7</c:v>
                  </c:pt>
                  <c:pt idx="1567">
                    <c:v>1,5</c:v>
                  </c:pt>
                  <c:pt idx="1568">
                    <c:v>1,5</c:v>
                  </c:pt>
                  <c:pt idx="1569">
                    <c:v>1,4</c:v>
                  </c:pt>
                  <c:pt idx="1570">
                    <c:v>1,25</c:v>
                  </c:pt>
                  <c:pt idx="1571">
                    <c:v>1,25</c:v>
                  </c:pt>
                  <c:pt idx="1572">
                    <c:v>2</c:v>
                  </c:pt>
                  <c:pt idx="1573">
                    <c:v>2</c:v>
                  </c:pt>
                  <c:pt idx="1574">
                    <c:v>1,6</c:v>
                  </c:pt>
                  <c:pt idx="1575">
                    <c:v>1,4</c:v>
                  </c:pt>
                  <c:pt idx="1576">
                    <c:v>1,8</c:v>
                  </c:pt>
                  <c:pt idx="1577">
                    <c:v>1,5</c:v>
                  </c:pt>
                  <c:pt idx="1578">
                    <c:v>1,6</c:v>
                  </c:pt>
                  <c:pt idx="1579">
                    <c:v>1,6</c:v>
                  </c:pt>
                  <c:pt idx="1580">
                    <c:v>1,6</c:v>
                  </c:pt>
                  <c:pt idx="1581">
                    <c:v>1,6</c:v>
                  </c:pt>
                  <c:pt idx="1582">
                    <c:v>1,6</c:v>
                  </c:pt>
                  <c:pt idx="1583">
                    <c:v>1,8</c:v>
                  </c:pt>
                  <c:pt idx="1584">
                    <c:v>1,6</c:v>
                  </c:pt>
                  <c:pt idx="1585">
                    <c:v>1,6</c:v>
                  </c:pt>
                  <c:pt idx="1586">
                    <c:v>1,6</c:v>
                  </c:pt>
                  <c:pt idx="1587">
                    <c:v>1,9</c:v>
                  </c:pt>
                  <c:pt idx="1588">
                    <c:v>1,4</c:v>
                  </c:pt>
                  <c:pt idx="1589">
                    <c:v>1,4</c:v>
                  </c:pt>
                  <c:pt idx="1590">
                    <c:v>1,25</c:v>
                  </c:pt>
                  <c:pt idx="1591">
                    <c:v>1,25</c:v>
                  </c:pt>
                  <c:pt idx="1592">
                    <c:v>1,25</c:v>
                  </c:pt>
                  <c:pt idx="1593">
                    <c:v>1,2</c:v>
                  </c:pt>
                  <c:pt idx="1594">
                    <c:v>1,6</c:v>
                  </c:pt>
                  <c:pt idx="1595">
                    <c:v>1,3</c:v>
                  </c:pt>
                  <c:pt idx="1596">
                    <c:v>1,4</c:v>
                  </c:pt>
                  <c:pt idx="1597">
                    <c:v>1,4</c:v>
                  </c:pt>
                  <c:pt idx="1598">
                    <c:v>1,3</c:v>
                  </c:pt>
                  <c:pt idx="1599">
                    <c:v>1,3</c:v>
                  </c:pt>
                  <c:pt idx="1600">
                    <c:v>1,45</c:v>
                  </c:pt>
                  <c:pt idx="1601">
                    <c:v>1,37</c:v>
                  </c:pt>
                  <c:pt idx="1602">
                    <c:v>1,3</c:v>
                  </c:pt>
                  <c:pt idx="1603">
                    <c:v>1,45</c:v>
                  </c:pt>
                  <c:pt idx="1604">
                    <c:v>1,3</c:v>
                  </c:pt>
                  <c:pt idx="1605">
                    <c:v>1,4</c:v>
                  </c:pt>
                  <c:pt idx="1606">
                    <c:v>1,8</c:v>
                  </c:pt>
                  <c:pt idx="1607">
                    <c:v>1,4</c:v>
                  </c:pt>
                  <c:pt idx="1608">
                    <c:v>1,2</c:v>
                  </c:pt>
                  <c:pt idx="1609">
                    <c:v>1,4</c:v>
                  </c:pt>
                  <c:pt idx="1610">
                    <c:v>1,3</c:v>
                  </c:pt>
                  <c:pt idx="1611">
                    <c:v>1,2</c:v>
                  </c:pt>
                  <c:pt idx="1612">
                    <c:v>1,5</c:v>
                  </c:pt>
                  <c:pt idx="1613">
                    <c:v>1,2</c:v>
                  </c:pt>
                  <c:pt idx="1614">
                    <c:v>1,5</c:v>
                  </c:pt>
                  <c:pt idx="1615">
                    <c:v>1,6</c:v>
                  </c:pt>
                  <c:pt idx="1616">
                    <c:v>1,6</c:v>
                  </c:pt>
                  <c:pt idx="1617">
                    <c:v>1,35</c:v>
                  </c:pt>
                  <c:pt idx="1618">
                    <c:v>1,4</c:v>
                  </c:pt>
                  <c:pt idx="1619">
                    <c:v>1,4</c:v>
                  </c:pt>
                  <c:pt idx="1620">
                    <c:v>1,3</c:v>
                  </c:pt>
                  <c:pt idx="1621">
                    <c:v>1,3</c:v>
                  </c:pt>
                  <c:pt idx="1622">
                    <c:v>1,3</c:v>
                  </c:pt>
                  <c:pt idx="1623">
                    <c:v>1,6</c:v>
                  </c:pt>
                  <c:pt idx="1624">
                    <c:v>1</c:v>
                  </c:pt>
                  <c:pt idx="1625">
                    <c:v>1,4</c:v>
                  </c:pt>
                  <c:pt idx="1626">
                    <c:v>1,4</c:v>
                  </c:pt>
                  <c:pt idx="1627">
                    <c:v>1,35</c:v>
                  </c:pt>
                  <c:pt idx="1628">
                    <c:v>1,2</c:v>
                  </c:pt>
                  <c:pt idx="1629">
                    <c:v>1,25</c:v>
                  </c:pt>
                  <c:pt idx="1630">
                    <c:v>1,25</c:v>
                  </c:pt>
                  <c:pt idx="1631">
                    <c:v>1,4</c:v>
                  </c:pt>
                  <c:pt idx="1632">
                    <c:v>1,3</c:v>
                  </c:pt>
                  <c:pt idx="1633">
                    <c:v>1,4</c:v>
                  </c:pt>
                  <c:pt idx="1634">
                    <c:v>1,5</c:v>
                  </c:pt>
                  <c:pt idx="1635">
                    <c:v>1,4</c:v>
                  </c:pt>
                  <c:pt idx="1636">
                    <c:v>1,4</c:v>
                  </c:pt>
                  <c:pt idx="1637">
                    <c:v>1,5</c:v>
                  </c:pt>
                  <c:pt idx="1638">
                    <c:v>1,4</c:v>
                  </c:pt>
                  <c:pt idx="1639">
                    <c:v>1,3</c:v>
                  </c:pt>
                  <c:pt idx="1640">
                    <c:v>1,3</c:v>
                  </c:pt>
                  <c:pt idx="1641">
                    <c:v>1,59</c:v>
                  </c:pt>
                  <c:pt idx="1642">
                    <c:v>1,5</c:v>
                  </c:pt>
                  <c:pt idx="1643">
                    <c:v>1,5</c:v>
                  </c:pt>
                  <c:pt idx="1644">
                    <c:v>1,5</c:v>
                  </c:pt>
                  <c:pt idx="1645">
                    <c:v>1,5</c:v>
                  </c:pt>
                  <c:pt idx="1646">
                    <c:v>1,5</c:v>
                  </c:pt>
                  <c:pt idx="1647">
                    <c:v>1,25</c:v>
                  </c:pt>
                  <c:pt idx="1648">
                    <c:v>1,2</c:v>
                  </c:pt>
                  <c:pt idx="1649">
                    <c:v>1,7</c:v>
                  </c:pt>
                  <c:pt idx="1650">
                    <c:v>1,8</c:v>
                  </c:pt>
                  <c:pt idx="1651">
                    <c:v>1,4</c:v>
                  </c:pt>
                  <c:pt idx="1652">
                    <c:v>2</c:v>
                  </c:pt>
                  <c:pt idx="1653">
                    <c:v>1,5</c:v>
                  </c:pt>
                  <c:pt idx="1654">
                    <c:v>2</c:v>
                  </c:pt>
                  <c:pt idx="1655">
                    <c:v>1,3</c:v>
                  </c:pt>
                  <c:pt idx="1656">
                    <c:v>1,8</c:v>
                  </c:pt>
                  <c:pt idx="1657">
                    <c:v>1,8</c:v>
                  </c:pt>
                  <c:pt idx="1658">
                    <c:v>1,7</c:v>
                  </c:pt>
                  <c:pt idx="1659">
                    <c:v>2</c:v>
                  </c:pt>
                  <c:pt idx="1660">
                    <c:v>2</c:v>
                  </c:pt>
                  <c:pt idx="1661">
                    <c:v>2,5</c:v>
                  </c:pt>
                  <c:pt idx="1662">
                    <c:v>1,6</c:v>
                  </c:pt>
                  <c:pt idx="1663">
                    <c:v>1,6</c:v>
                  </c:pt>
                  <c:pt idx="1664">
                    <c:v>1,6</c:v>
                  </c:pt>
                  <c:pt idx="1665">
                    <c:v>1,2</c:v>
                  </c:pt>
                  <c:pt idx="1666">
                    <c:v>1,6</c:v>
                  </c:pt>
                  <c:pt idx="1667">
                    <c:v>2,5</c:v>
                  </c:pt>
                  <c:pt idx="1668">
                    <c:v>2</c:v>
                  </c:pt>
                  <c:pt idx="1669">
                    <c:v>2</c:v>
                  </c:pt>
                  <c:pt idx="1670">
                    <c:v>1,8</c:v>
                  </c:pt>
                  <c:pt idx="1671">
                    <c:v>1,6</c:v>
                  </c:pt>
                  <c:pt idx="1672">
                    <c:v>1,4</c:v>
                  </c:pt>
                  <c:pt idx="1673">
                    <c:v>1,35</c:v>
                  </c:pt>
                  <c:pt idx="1674">
                    <c:v>1,6</c:v>
                  </c:pt>
                  <c:pt idx="1675">
                    <c:v>1,6</c:v>
                  </c:pt>
                  <c:pt idx="1676">
                    <c:v>1,6</c:v>
                  </c:pt>
                  <c:pt idx="1677">
                    <c:v>1,6</c:v>
                  </c:pt>
                  <c:pt idx="1678">
                    <c:v>1,6</c:v>
                  </c:pt>
                  <c:pt idx="1679">
                    <c:v>1,6</c:v>
                  </c:pt>
                  <c:pt idx="1680">
                    <c:v>1,5</c:v>
                  </c:pt>
                  <c:pt idx="1681">
                    <c:v>1,6</c:v>
                  </c:pt>
                  <c:pt idx="1682">
                    <c:v>1,6</c:v>
                  </c:pt>
                  <c:pt idx="1683">
                    <c:v>1,6</c:v>
                  </c:pt>
                  <c:pt idx="1684">
                    <c:v>1,5</c:v>
                  </c:pt>
                  <c:pt idx="1685">
                    <c:v>1,8</c:v>
                  </c:pt>
                  <c:pt idx="1686">
                    <c:v>1,8</c:v>
                  </c:pt>
                  <c:pt idx="1687">
                    <c:v>1,6</c:v>
                  </c:pt>
                  <c:pt idx="1688">
                    <c:v>1,6</c:v>
                  </c:pt>
                  <c:pt idx="1689">
                    <c:v>1,6</c:v>
                  </c:pt>
                  <c:pt idx="1690">
                    <c:v>1,6</c:v>
                  </c:pt>
                  <c:pt idx="1691">
                    <c:v>1,6</c:v>
                  </c:pt>
                  <c:pt idx="1692">
                    <c:v>1,9</c:v>
                  </c:pt>
                  <c:pt idx="1693">
                    <c:v>1,6</c:v>
                  </c:pt>
                  <c:pt idx="1694">
                    <c:v>1,6</c:v>
                  </c:pt>
                  <c:pt idx="1695">
                    <c:v>1,6</c:v>
                  </c:pt>
                  <c:pt idx="1696">
                    <c:v>2</c:v>
                  </c:pt>
                  <c:pt idx="1697">
                    <c:v>2</c:v>
                  </c:pt>
                  <c:pt idx="1698">
                    <c:v>2</c:v>
                  </c:pt>
                  <c:pt idx="1699">
                    <c:v>1,8</c:v>
                  </c:pt>
                  <c:pt idx="1700">
                    <c:v>1,7</c:v>
                  </c:pt>
                  <c:pt idx="1701">
                    <c:v>1,7</c:v>
                  </c:pt>
                  <c:pt idx="1702">
                    <c:v>1,7</c:v>
                  </c:pt>
                  <c:pt idx="1703">
                    <c:v>1,7</c:v>
                  </c:pt>
                  <c:pt idx="1704">
                    <c:v>2</c:v>
                  </c:pt>
                  <c:pt idx="1705">
                    <c:v>2</c:v>
                  </c:pt>
                  <c:pt idx="1706">
                    <c:v>2</c:v>
                  </c:pt>
                  <c:pt idx="1707">
                    <c:v>1,8</c:v>
                  </c:pt>
                  <c:pt idx="1708">
                    <c:v>1,8</c:v>
                  </c:pt>
                  <c:pt idx="1709">
                    <c:v>1,6</c:v>
                  </c:pt>
                  <c:pt idx="1710">
                    <c:v>2</c:v>
                  </c:pt>
                  <c:pt idx="1711">
                    <c:v>2</c:v>
                  </c:pt>
                  <c:pt idx="1712">
                    <c:v>2</c:v>
                  </c:pt>
                  <c:pt idx="1713">
                    <c:v>2</c:v>
                  </c:pt>
                  <c:pt idx="1714">
                    <c:v>1,5</c:v>
                  </c:pt>
                  <c:pt idx="1715">
                    <c:v>1,6</c:v>
                  </c:pt>
                  <c:pt idx="1716">
                    <c:v>1,35</c:v>
                  </c:pt>
                  <c:pt idx="1717">
                    <c:v>1,7</c:v>
                  </c:pt>
                  <c:pt idx="1718">
                    <c:v>1,7</c:v>
                  </c:pt>
                  <c:pt idx="1719">
                    <c:v>1,7</c:v>
                  </c:pt>
                  <c:pt idx="1720">
                    <c:v>1,2</c:v>
                  </c:pt>
                  <c:pt idx="1721">
                    <c:v>1,2</c:v>
                  </c:pt>
                  <c:pt idx="1722">
                    <c:v>1,2</c:v>
                  </c:pt>
                  <c:pt idx="1723">
                    <c:v>1,3</c:v>
                  </c:pt>
                  <c:pt idx="1724">
                    <c:v>1,3</c:v>
                  </c:pt>
                </c:lvl>
                <c:lvl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15">
                    <c:v>0</c:v>
                  </c:pt>
                  <c:pt idx="18">
                    <c:v>0</c:v>
                  </c:pt>
                  <c:pt idx="24">
                    <c:v>0</c:v>
                  </c:pt>
                  <c:pt idx="25">
                    <c:v>0</c:v>
                  </c:pt>
                  <c:pt idx="37">
                    <c:v>0</c:v>
                  </c:pt>
                  <c:pt idx="72">
                    <c:v>0</c:v>
                  </c:pt>
                  <c:pt idx="73">
                    <c:v>0</c:v>
                  </c:pt>
                  <c:pt idx="74">
                    <c:v>0</c:v>
                  </c:pt>
                  <c:pt idx="88">
                    <c:v>0</c:v>
                  </c:pt>
                  <c:pt idx="99">
                    <c:v>s</c:v>
                  </c:pt>
                  <c:pt idx="103">
                    <c:v>2,79</c:v>
                  </c:pt>
                  <c:pt idx="121">
                    <c:v>3,64</c:v>
                  </c:pt>
                  <c:pt idx="130">
                    <c:v>5</c:v>
                  </c:pt>
                  <c:pt idx="131">
                    <c:v>3,05</c:v>
                  </c:pt>
                  <c:pt idx="132">
                    <c:v>3,05</c:v>
                  </c:pt>
                  <c:pt idx="133">
                    <c:v>5</c:v>
                  </c:pt>
                  <c:pt idx="172">
                    <c:v>15,1</c:v>
                  </c:pt>
                  <c:pt idx="199">
                    <c:v>q</c:v>
                  </c:pt>
                  <c:pt idx="203">
                    <c:v>0</c:v>
                  </c:pt>
                  <c:pt idx="218">
                    <c:v>0</c:v>
                  </c:pt>
                  <c:pt idx="248">
                    <c:v>5,1</c:v>
                  </c:pt>
                  <c:pt idx="251">
                    <c:v>0</c:v>
                  </c:pt>
                  <c:pt idx="261">
                    <c:v>1,1</c:v>
                  </c:pt>
                  <c:pt idx="263">
                    <c:v>0</c:v>
                  </c:pt>
                  <c:pt idx="266">
                    <c:v>5</c:v>
                  </c:pt>
                  <c:pt idx="267">
                    <c:v>3</c:v>
                  </c:pt>
                  <c:pt idx="299">
                    <c:v>23,65</c:v>
                  </c:pt>
                  <c:pt idx="300">
                    <c:v>6,4</c:v>
                  </c:pt>
                  <c:pt idx="303">
                    <c:v>55,65</c:v>
                  </c:pt>
                  <c:pt idx="304">
                    <c:v>7,3</c:v>
                  </c:pt>
                  <c:pt idx="305">
                    <c:v>4,7</c:v>
                  </c:pt>
                  <c:pt idx="306">
                    <c:v>8</c:v>
                  </c:pt>
                  <c:pt idx="307">
                    <c:v>135</c:v>
                  </c:pt>
                  <c:pt idx="317">
                    <c:v>0</c:v>
                  </c:pt>
                  <c:pt idx="333">
                    <c:v>0</c:v>
                  </c:pt>
                  <c:pt idx="386">
                    <c:v>0</c:v>
                  </c:pt>
                  <c:pt idx="413">
                    <c:v>0</c:v>
                  </c:pt>
                  <c:pt idx="460">
                    <c:v>1,1</c:v>
                  </c:pt>
                  <c:pt idx="461">
                    <c:v>1,1</c:v>
                  </c:pt>
                  <c:pt idx="493">
                    <c:v>0</c:v>
                  </c:pt>
                  <c:pt idx="495">
                    <c:v>1</c:v>
                  </c:pt>
                  <c:pt idx="496">
                    <c:v>0</c:v>
                  </c:pt>
                  <c:pt idx="516">
                    <c:v>1,1</c:v>
                  </c:pt>
                  <c:pt idx="517">
                    <c:v>1,1</c:v>
                  </c:pt>
                  <c:pt idx="525">
                    <c:v>12</c:v>
                  </c:pt>
                  <c:pt idx="540">
                    <c:v>11,45</c:v>
                  </c:pt>
                  <c:pt idx="544">
                    <c:v>0</c:v>
                  </c:pt>
                  <c:pt idx="554">
                    <c:v>45</c:v>
                  </c:pt>
                  <c:pt idx="572">
                    <c:v>6,18</c:v>
                  </c:pt>
                  <c:pt idx="574">
                    <c:v>5</c:v>
                  </c:pt>
                  <c:pt idx="590">
                    <c:v>82</c:v>
                  </c:pt>
                  <c:pt idx="591">
                    <c:v>3,28</c:v>
                  </c:pt>
                  <c:pt idx="592">
                    <c:v>0</c:v>
                  </c:pt>
                  <c:pt idx="593">
                    <c:v>0</c:v>
                  </c:pt>
                  <c:pt idx="596">
                    <c:v>18,2</c:v>
                  </c:pt>
                  <c:pt idx="598">
                    <c:v>41</c:v>
                  </c:pt>
                  <c:pt idx="599">
                    <c:v>0</c:v>
                  </c:pt>
                  <c:pt idx="606">
                    <c:v>0</c:v>
                  </c:pt>
                  <c:pt idx="607">
                    <c:v>c</c:v>
                  </c:pt>
                  <c:pt idx="622">
                    <c:v>0</c:v>
                  </c:pt>
                  <c:pt idx="633">
                    <c:v>1</c:v>
                  </c:pt>
                  <c:pt idx="694">
                    <c:v>0</c:v>
                  </c:pt>
                  <c:pt idx="705">
                    <c:v>36,32</c:v>
                  </c:pt>
                  <c:pt idx="706">
                    <c:v>1</c:v>
                  </c:pt>
                  <c:pt idx="751">
                    <c:v>0</c:v>
                  </c:pt>
                  <c:pt idx="754">
                    <c:v>3</c:v>
                  </c:pt>
                  <c:pt idx="755">
                    <c:v>0</c:v>
                  </c:pt>
                  <c:pt idx="757">
                    <c:v>0</c:v>
                  </c:pt>
                  <c:pt idx="762">
                    <c:v>0</c:v>
                  </c:pt>
                  <c:pt idx="766">
                    <c:v>2,4</c:v>
                  </c:pt>
                  <c:pt idx="767">
                    <c:v>2,99</c:v>
                  </c:pt>
                  <c:pt idx="768">
                    <c:v>2,78</c:v>
                  </c:pt>
                  <c:pt idx="769">
                    <c:v>1,55</c:v>
                  </c:pt>
                  <c:pt idx="773">
                    <c:v>1,52</c:v>
                  </c:pt>
                  <c:pt idx="852">
                    <c:v>0</c:v>
                  </c:pt>
                  <c:pt idx="855">
                    <c:v>0</c:v>
                  </c:pt>
                  <c:pt idx="880">
                    <c:v>1</c:v>
                  </c:pt>
                  <c:pt idx="881">
                    <c:v>0</c:v>
                  </c:pt>
                  <c:pt idx="900">
                    <c:v>0</c:v>
                  </c:pt>
                  <c:pt idx="921">
                    <c:v>37</c:v>
                  </c:pt>
                  <c:pt idx="959">
                    <c:v>11,45</c:v>
                  </c:pt>
                  <c:pt idx="961">
                    <c:v>36</c:v>
                  </c:pt>
                  <c:pt idx="964">
                    <c:v>0</c:v>
                  </c:pt>
                  <c:pt idx="965">
                    <c:v>0</c:v>
                  </c:pt>
                  <c:pt idx="982">
                    <c:v>15,6</c:v>
                  </c:pt>
                  <c:pt idx="987">
                    <c:v>0</c:v>
                  </c:pt>
                  <c:pt idx="1013">
                    <c:v>0</c:v>
                  </c:pt>
                  <c:pt idx="1087">
                    <c:v>1,95</c:v>
                  </c:pt>
                  <c:pt idx="1088">
                    <c:v>2</c:v>
                  </c:pt>
                  <c:pt idx="1089">
                    <c:v>3,1</c:v>
                  </c:pt>
                  <c:pt idx="1090">
                    <c:v>4,65</c:v>
                  </c:pt>
                  <c:pt idx="1095">
                    <c:v>15,4</c:v>
                  </c:pt>
                  <c:pt idx="1115">
                    <c:v>0,16</c:v>
                  </c:pt>
                  <c:pt idx="1120">
                    <c:v>0</c:v>
                  </c:pt>
                  <c:pt idx="1146">
                    <c:v>1,05</c:v>
                  </c:pt>
                  <c:pt idx="1218">
                    <c:v>5,12</c:v>
                  </c:pt>
                  <c:pt idx="1220">
                    <c:v>1,5</c:v>
                  </c:pt>
                  <c:pt idx="1221">
                    <c:v>1,81</c:v>
                  </c:pt>
                  <c:pt idx="1315">
                    <c:v>12</c:v>
                  </c:pt>
                  <c:pt idx="1316">
                    <c:v>19</c:v>
                  </c:pt>
                  <c:pt idx="1317">
                    <c:v>23</c:v>
                  </c:pt>
                  <c:pt idx="1318">
                    <c:v>20</c:v>
                  </c:pt>
                  <c:pt idx="1319">
                    <c:v>29</c:v>
                  </c:pt>
                  <c:pt idx="1324">
                    <c:v>23</c:v>
                  </c:pt>
                  <c:pt idx="1325">
                    <c:v>24</c:v>
                  </c:pt>
                  <c:pt idx="1326">
                    <c:v>26</c:v>
                  </c:pt>
                  <c:pt idx="1327">
                    <c:v>37</c:v>
                  </c:pt>
                  <c:pt idx="1328">
                    <c:v>23</c:v>
                  </c:pt>
                  <c:pt idx="1333">
                    <c:v>13</c:v>
                  </c:pt>
                  <c:pt idx="1334">
                    <c:v>30</c:v>
                  </c:pt>
                  <c:pt idx="1336">
                    <c:v>9</c:v>
                  </c:pt>
                  <c:pt idx="1337">
                    <c:v>21</c:v>
                  </c:pt>
                  <c:pt idx="1338">
                    <c:v>29</c:v>
                  </c:pt>
                  <c:pt idx="1342">
                    <c:v>21</c:v>
                  </c:pt>
                  <c:pt idx="1343">
                    <c:v>21</c:v>
                  </c:pt>
                  <c:pt idx="1344">
                    <c:v>30</c:v>
                  </c:pt>
                  <c:pt idx="1345">
                    <c:v>14,5</c:v>
                  </c:pt>
                  <c:pt idx="1346">
                    <c:v>22</c:v>
                  </c:pt>
                  <c:pt idx="1347">
                    <c:v>28</c:v>
                  </c:pt>
                  <c:pt idx="1350">
                    <c:v>72</c:v>
                  </c:pt>
                  <c:pt idx="1351">
                    <c:v>75</c:v>
                  </c:pt>
                  <c:pt idx="1352">
                    <c:v>51</c:v>
                  </c:pt>
                  <c:pt idx="1354">
                    <c:v>41</c:v>
                  </c:pt>
                  <c:pt idx="1356">
                    <c:v>28</c:v>
                  </c:pt>
                  <c:pt idx="1378">
                    <c:v>1</c:v>
                  </c:pt>
                  <c:pt idx="1381">
                    <c:v>0</c:v>
                  </c:pt>
                  <c:pt idx="1390">
                    <c:v>0</c:v>
                  </c:pt>
                  <c:pt idx="1394">
                    <c:v>6,8</c:v>
                  </c:pt>
                  <c:pt idx="1395">
                    <c:v>17,6</c:v>
                  </c:pt>
                  <c:pt idx="1396">
                    <c:v>7,45</c:v>
                  </c:pt>
                  <c:pt idx="1397">
                    <c:v>5,35</c:v>
                  </c:pt>
                  <c:pt idx="1436">
                    <c:v>0,3</c:v>
                  </c:pt>
                  <c:pt idx="1437">
                    <c:v>7,5</c:v>
                  </c:pt>
                  <c:pt idx="1438">
                    <c:v>7,13</c:v>
                  </c:pt>
                  <c:pt idx="1439">
                    <c:v>0,31</c:v>
                  </c:pt>
                  <c:pt idx="1441">
                    <c:v>0</c:v>
                  </c:pt>
                  <c:pt idx="1444">
                    <c:v>70</c:v>
                  </c:pt>
                  <c:pt idx="1446">
                    <c:v>112,04</c:v>
                  </c:pt>
                  <c:pt idx="1447">
                    <c:v>1,12</c:v>
                  </c:pt>
                  <c:pt idx="1448">
                    <c:v>1,12</c:v>
                  </c:pt>
                  <c:pt idx="1464">
                    <c:v>0</c:v>
                  </c:pt>
                  <c:pt idx="1477">
                    <c:v>3,73</c:v>
                  </c:pt>
                  <c:pt idx="1493">
                    <c:v>1,78</c:v>
                  </c:pt>
                  <c:pt idx="1508">
                    <c:v>0</c:v>
                  </c:pt>
                  <c:pt idx="1529">
                    <c:v>7,18</c:v>
                  </c:pt>
                  <c:pt idx="1530">
                    <c:v>17,9</c:v>
                  </c:pt>
                  <c:pt idx="1531">
                    <c:v>1,79</c:v>
                  </c:pt>
                  <c:pt idx="1534">
                    <c:v>0</c:v>
                  </c:pt>
                  <c:pt idx="1547">
                    <c:v>0</c:v>
                  </c:pt>
                  <c:pt idx="1552">
                    <c:v>1,65</c:v>
                  </c:pt>
                  <c:pt idx="1554">
                    <c:v>0</c:v>
                  </c:pt>
                  <c:pt idx="1558">
                    <c:v>0</c:v>
                  </c:pt>
                  <c:pt idx="1599">
                    <c:v>1</c:v>
                  </c:pt>
                  <c:pt idx="1600">
                    <c:v>1</c:v>
                  </c:pt>
                  <c:pt idx="1601">
                    <c:v>1</c:v>
                  </c:pt>
                  <c:pt idx="1602">
                    <c:v>1</c:v>
                  </c:pt>
                  <c:pt idx="1603">
                    <c:v>1</c:v>
                  </c:pt>
                  <c:pt idx="1604">
                    <c:v>1</c:v>
                  </c:pt>
                  <c:pt idx="1620">
                    <c:v>1,05</c:v>
                  </c:pt>
                  <c:pt idx="1624">
                    <c:v>1</c:v>
                  </c:pt>
                  <c:pt idx="1639">
                    <c:v>0</c:v>
                  </c:pt>
                  <c:pt idx="1651">
                    <c:v>0</c:v>
                  </c:pt>
                  <c:pt idx="1674">
                    <c:v>1</c:v>
                  </c:pt>
                  <c:pt idx="1716">
                    <c:v>0</c:v>
                  </c:pt>
                </c:lvl>
                <c:lvl>
                  <c:pt idx="0">
                    <c:v>1800</c:v>
                  </c:pt>
                  <c:pt idx="1">
                    <c:v>264,17</c:v>
                  </c:pt>
                  <c:pt idx="2">
                    <c:v>168</c:v>
                  </c:pt>
                  <c:pt idx="3">
                    <c:v>260</c:v>
                  </c:pt>
                  <c:pt idx="4">
                    <c:v>13</c:v>
                  </c:pt>
                  <c:pt idx="5">
                    <c:v>93,5</c:v>
                  </c:pt>
                  <c:pt idx="6">
                    <c:v>9,35</c:v>
                  </c:pt>
                  <c:pt idx="7">
                    <c:v>1070</c:v>
                  </c:pt>
                  <c:pt idx="8">
                    <c:v>0</c:v>
                  </c:pt>
                  <c:pt idx="9">
                    <c:v>906</c:v>
                  </c:pt>
                  <c:pt idx="10">
                    <c:v>72</c:v>
                  </c:pt>
                  <c:pt idx="11">
                    <c:v>72</c:v>
                  </c:pt>
                  <c:pt idx="12">
                    <c:v>72</c:v>
                  </c:pt>
                  <c:pt idx="13">
                    <c:v>160</c:v>
                  </c:pt>
                  <c:pt idx="14">
                    <c:v>363</c:v>
                  </c:pt>
                  <c:pt idx="15">
                    <c:v>19,9</c:v>
                  </c:pt>
                  <c:pt idx="16">
                    <c:v>19,9</c:v>
                  </c:pt>
                  <c:pt idx="17">
                    <c:v>8</c:v>
                  </c:pt>
                  <c:pt idx="18">
                    <c:v>109,9</c:v>
                  </c:pt>
                  <c:pt idx="19">
                    <c:v>24,9</c:v>
                  </c:pt>
                  <c:pt idx="20">
                    <c:v>34,9</c:v>
                  </c:pt>
                  <c:pt idx="21">
                    <c:v>24,9</c:v>
                  </c:pt>
                  <c:pt idx="22">
                    <c:v>39,9</c:v>
                  </c:pt>
                  <c:pt idx="23">
                    <c:v>34,9</c:v>
                  </c:pt>
                  <c:pt idx="24">
                    <c:v>0</c:v>
                  </c:pt>
                  <c:pt idx="25">
                    <c:v>0</c:v>
                  </c:pt>
                  <c:pt idx="26">
                    <c:v>175,41</c:v>
                  </c:pt>
                  <c:pt idx="27">
                    <c:v>182,95</c:v>
                  </c:pt>
                  <c:pt idx="28">
                    <c:v>199,8</c:v>
                  </c:pt>
                  <c:pt idx="29">
                    <c:v>198,77</c:v>
                  </c:pt>
                  <c:pt idx="30">
                    <c:v>254</c:v>
                  </c:pt>
                  <c:pt idx="31">
                    <c:v>411</c:v>
                  </c:pt>
                  <c:pt idx="32">
                    <c:v>307,359</c:v>
                  </c:pt>
                  <c:pt idx="33">
                    <c:v>127</c:v>
                  </c:pt>
                  <c:pt idx="34">
                    <c:v>159</c:v>
                  </c:pt>
                  <c:pt idx="35">
                    <c:v>97</c:v>
                  </c:pt>
                  <c:pt idx="36">
                    <c:v>44</c:v>
                  </c:pt>
                  <c:pt idx="37">
                    <c:v>800</c:v>
                  </c:pt>
                  <c:pt idx="38">
                    <c:v>148</c:v>
                  </c:pt>
                  <c:pt idx="39">
                    <c:v>1135</c:v>
                  </c:pt>
                  <c:pt idx="40">
                    <c:v>110</c:v>
                  </c:pt>
                  <c:pt idx="41">
                    <c:v>1107</c:v>
                  </c:pt>
                  <c:pt idx="42">
                    <c:v>644</c:v>
                  </c:pt>
                  <c:pt idx="43">
                    <c:v>262</c:v>
                  </c:pt>
                  <c:pt idx="44">
                    <c:v>314</c:v>
                  </c:pt>
                  <c:pt idx="45">
                    <c:v>100</c:v>
                  </c:pt>
                  <c:pt idx="46">
                    <c:v>675,85</c:v>
                  </c:pt>
                  <c:pt idx="47">
                    <c:v>430,5</c:v>
                  </c:pt>
                  <c:pt idx="48">
                    <c:v>533</c:v>
                  </c:pt>
                  <c:pt idx="49">
                    <c:v>150</c:v>
                  </c:pt>
                  <c:pt idx="50">
                    <c:v>430,5</c:v>
                  </c:pt>
                  <c:pt idx="51">
                    <c:v>200</c:v>
                  </c:pt>
                  <c:pt idx="52">
                    <c:v>150</c:v>
                  </c:pt>
                  <c:pt idx="53">
                    <c:v>10</c:v>
                  </c:pt>
                  <c:pt idx="54">
                    <c:v>1702,8</c:v>
                  </c:pt>
                  <c:pt idx="55">
                    <c:v>187,98</c:v>
                  </c:pt>
                  <c:pt idx="56">
                    <c:v>1179</c:v>
                  </c:pt>
                  <c:pt idx="57">
                    <c:v>258</c:v>
                  </c:pt>
                  <c:pt idx="58">
                    <c:v>44</c:v>
                  </c:pt>
                  <c:pt idx="59">
                    <c:v>179</c:v>
                  </c:pt>
                  <c:pt idx="60">
                    <c:v>49,2</c:v>
                  </c:pt>
                  <c:pt idx="61">
                    <c:v>99</c:v>
                  </c:pt>
                  <c:pt idx="62">
                    <c:v>98</c:v>
                  </c:pt>
                  <c:pt idx="63">
                    <c:v>57</c:v>
                  </c:pt>
                  <c:pt idx="64">
                    <c:v>57</c:v>
                  </c:pt>
                  <c:pt idx="65">
                    <c:v>67</c:v>
                  </c:pt>
                  <c:pt idx="66">
                    <c:v>69</c:v>
                  </c:pt>
                  <c:pt idx="67">
                    <c:v>14,9</c:v>
                  </c:pt>
                  <c:pt idx="68">
                    <c:v>14,9</c:v>
                  </c:pt>
                  <c:pt idx="69">
                    <c:v>29,9</c:v>
                  </c:pt>
                  <c:pt idx="70">
                    <c:v>29,9</c:v>
                  </c:pt>
                  <c:pt idx="71">
                    <c:v>275</c:v>
                  </c:pt>
                  <c:pt idx="72">
                    <c:v>1490</c:v>
                  </c:pt>
                  <c:pt idx="73">
                    <c:v>59,6</c:v>
                  </c:pt>
                  <c:pt idx="74">
                    <c:v>1739,49</c:v>
                  </c:pt>
                  <c:pt idx="75">
                    <c:v>59,9</c:v>
                  </c:pt>
                  <c:pt idx="76">
                    <c:v>89,9</c:v>
                  </c:pt>
                  <c:pt idx="77">
                    <c:v>109,9</c:v>
                  </c:pt>
                  <c:pt idx="78">
                    <c:v>89,9</c:v>
                  </c:pt>
                  <c:pt idx="79">
                    <c:v>109,9</c:v>
                  </c:pt>
                  <c:pt idx="80">
                    <c:v>9</c:v>
                  </c:pt>
                  <c:pt idx="81">
                    <c:v>81</c:v>
                  </c:pt>
                  <c:pt idx="82">
                    <c:v>1941,8</c:v>
                  </c:pt>
                  <c:pt idx="83">
                    <c:v>80</c:v>
                  </c:pt>
                  <c:pt idx="84">
                    <c:v>110</c:v>
                  </c:pt>
                  <c:pt idx="85">
                    <c:v>50</c:v>
                  </c:pt>
                  <c:pt idx="86">
                    <c:v>60</c:v>
                  </c:pt>
                  <c:pt idx="87">
                    <c:v>90</c:v>
                  </c:pt>
                  <c:pt idx="88">
                    <c:v>695</c:v>
                  </c:pt>
                  <c:pt idx="89">
                    <c:v>27</c:v>
                  </c:pt>
                  <c:pt idx="90">
                    <c:v>299,9</c:v>
                  </c:pt>
                  <c:pt idx="91">
                    <c:v>299,9</c:v>
                  </c:pt>
                  <c:pt idx="92">
                    <c:v>299,9</c:v>
                  </c:pt>
                  <c:pt idx="93">
                    <c:v>79</c:v>
                  </c:pt>
                  <c:pt idx="94">
                    <c:v>79</c:v>
                  </c:pt>
                  <c:pt idx="95">
                    <c:v>119</c:v>
                  </c:pt>
                  <c:pt idx="96">
                    <c:v>189</c:v>
                  </c:pt>
                  <c:pt idx="97">
                    <c:v>198</c:v>
                  </c:pt>
                  <c:pt idx="98">
                    <c:v>220</c:v>
                  </c:pt>
                  <c:pt idx="99">
                    <c:v>22</c:v>
                  </c:pt>
                  <c:pt idx="100">
                    <c:v>167,5</c:v>
                  </c:pt>
                  <c:pt idx="101">
                    <c:v>176</c:v>
                  </c:pt>
                  <c:pt idx="102">
                    <c:v>221</c:v>
                  </c:pt>
                  <c:pt idx="104">
                    <c:v>62,88</c:v>
                  </c:pt>
                  <c:pt idx="105">
                    <c:v>89</c:v>
                  </c:pt>
                  <c:pt idx="106">
                    <c:v>387</c:v>
                  </c:pt>
                  <c:pt idx="107">
                    <c:v>299,25</c:v>
                  </c:pt>
                  <c:pt idx="108">
                    <c:v>84</c:v>
                  </c:pt>
                  <c:pt idx="109">
                    <c:v>269</c:v>
                  </c:pt>
                  <c:pt idx="110">
                    <c:v>6,5</c:v>
                  </c:pt>
                  <c:pt idx="111">
                    <c:v>246</c:v>
                  </c:pt>
                  <c:pt idx="112">
                    <c:v>206</c:v>
                  </c:pt>
                  <c:pt idx="113">
                    <c:v>247</c:v>
                  </c:pt>
                  <c:pt idx="114">
                    <c:v>43</c:v>
                  </c:pt>
                  <c:pt idx="115">
                    <c:v>26</c:v>
                  </c:pt>
                  <c:pt idx="116">
                    <c:v>48</c:v>
                  </c:pt>
                  <c:pt idx="117">
                    <c:v>46,81</c:v>
                  </c:pt>
                  <c:pt idx="118">
                    <c:v>40,81</c:v>
                  </c:pt>
                  <c:pt idx="119">
                    <c:v>326</c:v>
                  </c:pt>
                  <c:pt idx="120">
                    <c:v>225</c:v>
                  </c:pt>
                  <c:pt idx="121">
                    <c:v>0</c:v>
                  </c:pt>
                  <c:pt idx="122">
                    <c:v>82,9</c:v>
                  </c:pt>
                  <c:pt idx="123">
                    <c:v>2984,18</c:v>
                  </c:pt>
                  <c:pt idx="124">
                    <c:v>160</c:v>
                  </c:pt>
                  <c:pt idx="125">
                    <c:v>210</c:v>
                  </c:pt>
                  <c:pt idx="126">
                    <c:v>40</c:v>
                  </c:pt>
                  <c:pt idx="127">
                    <c:v>390</c:v>
                  </c:pt>
                  <c:pt idx="128">
                    <c:v>600</c:v>
                  </c:pt>
                  <c:pt idx="129">
                    <c:v>644,79</c:v>
                  </c:pt>
                  <c:pt idx="134">
                    <c:v>129</c:v>
                  </c:pt>
                  <c:pt idx="135">
                    <c:v>103</c:v>
                  </c:pt>
                  <c:pt idx="136">
                    <c:v>20</c:v>
                  </c:pt>
                  <c:pt idx="137">
                    <c:v>280</c:v>
                  </c:pt>
                  <c:pt idx="138">
                    <c:v>125</c:v>
                  </c:pt>
                  <c:pt idx="139">
                    <c:v>116</c:v>
                  </c:pt>
                  <c:pt idx="140">
                    <c:v>40</c:v>
                  </c:pt>
                  <c:pt idx="141">
                    <c:v>63</c:v>
                  </c:pt>
                  <c:pt idx="142">
                    <c:v>110,59</c:v>
                  </c:pt>
                  <c:pt idx="143">
                    <c:v>128,8</c:v>
                  </c:pt>
                  <c:pt idx="144">
                    <c:v>157,95</c:v>
                  </c:pt>
                  <c:pt idx="145">
                    <c:v>101,4</c:v>
                  </c:pt>
                  <c:pt idx="146">
                    <c:v>90,2</c:v>
                  </c:pt>
                  <c:pt idx="147">
                    <c:v>100</c:v>
                  </c:pt>
                  <c:pt idx="148">
                    <c:v>160</c:v>
                  </c:pt>
                  <c:pt idx="149">
                    <c:v>114,8</c:v>
                  </c:pt>
                  <c:pt idx="150">
                    <c:v>98,4</c:v>
                  </c:pt>
                  <c:pt idx="151">
                    <c:v>350</c:v>
                  </c:pt>
                  <c:pt idx="152">
                    <c:v>185</c:v>
                  </c:pt>
                  <c:pt idx="153">
                    <c:v>20,43</c:v>
                  </c:pt>
                  <c:pt idx="154">
                    <c:v>39,52</c:v>
                  </c:pt>
                  <c:pt idx="155">
                    <c:v>65,38</c:v>
                  </c:pt>
                  <c:pt idx="156">
                    <c:v>81,4</c:v>
                  </c:pt>
                  <c:pt idx="157">
                    <c:v>184,5</c:v>
                  </c:pt>
                  <c:pt idx="158">
                    <c:v>123</c:v>
                  </c:pt>
                  <c:pt idx="159">
                    <c:v>241,56</c:v>
                  </c:pt>
                  <c:pt idx="160">
                    <c:v>246</c:v>
                  </c:pt>
                  <c:pt idx="161">
                    <c:v>86,31</c:v>
                  </c:pt>
                  <c:pt idx="162">
                    <c:v>109</c:v>
                  </c:pt>
                  <c:pt idx="163">
                    <c:v>1900</c:v>
                  </c:pt>
                  <c:pt idx="164">
                    <c:v>49</c:v>
                  </c:pt>
                  <c:pt idx="165">
                    <c:v>95</c:v>
                  </c:pt>
                  <c:pt idx="166">
                    <c:v>594</c:v>
                  </c:pt>
                  <c:pt idx="167">
                    <c:v>160</c:v>
                  </c:pt>
                  <c:pt idx="168">
                    <c:v>388</c:v>
                  </c:pt>
                  <c:pt idx="169">
                    <c:v>1383</c:v>
                  </c:pt>
                  <c:pt idx="170">
                    <c:v>138,3</c:v>
                  </c:pt>
                  <c:pt idx="171">
                    <c:v>138</c:v>
                  </c:pt>
                  <c:pt idx="172">
                    <c:v>350</c:v>
                  </c:pt>
                  <c:pt idx="173">
                    <c:v>101</c:v>
                  </c:pt>
                  <c:pt idx="174">
                    <c:v>160</c:v>
                  </c:pt>
                  <c:pt idx="175">
                    <c:v>116</c:v>
                  </c:pt>
                  <c:pt idx="176">
                    <c:v>249</c:v>
                  </c:pt>
                  <c:pt idx="177">
                    <c:v>50,88</c:v>
                  </c:pt>
                  <c:pt idx="178">
                    <c:v>192,2</c:v>
                  </c:pt>
                  <c:pt idx="179">
                    <c:v>247</c:v>
                  </c:pt>
                  <c:pt idx="180">
                    <c:v>289</c:v>
                  </c:pt>
                  <c:pt idx="181">
                    <c:v>154</c:v>
                  </c:pt>
                  <c:pt idx="182">
                    <c:v>187</c:v>
                  </c:pt>
                  <c:pt idx="183">
                    <c:v>242</c:v>
                  </c:pt>
                  <c:pt idx="184">
                    <c:v>297</c:v>
                  </c:pt>
                  <c:pt idx="185">
                    <c:v>324</c:v>
                  </c:pt>
                  <c:pt idx="186">
                    <c:v>550</c:v>
                  </c:pt>
                  <c:pt idx="187">
                    <c:v>650</c:v>
                  </c:pt>
                  <c:pt idx="188">
                    <c:v>61</c:v>
                  </c:pt>
                  <c:pt idx="189">
                    <c:v>85</c:v>
                  </c:pt>
                  <c:pt idx="190">
                    <c:v>198</c:v>
                  </c:pt>
                  <c:pt idx="191">
                    <c:v>276</c:v>
                  </c:pt>
                  <c:pt idx="192">
                    <c:v>130</c:v>
                  </c:pt>
                  <c:pt idx="193">
                    <c:v>75</c:v>
                  </c:pt>
                  <c:pt idx="194">
                    <c:v>95</c:v>
                  </c:pt>
                  <c:pt idx="195">
                    <c:v>230</c:v>
                  </c:pt>
                  <c:pt idx="196">
                    <c:v>51</c:v>
                  </c:pt>
                  <c:pt idx="197">
                    <c:v>61</c:v>
                  </c:pt>
                  <c:pt idx="198">
                    <c:v>72</c:v>
                  </c:pt>
                  <c:pt idx="199">
                    <c:v>81</c:v>
                  </c:pt>
                  <c:pt idx="200">
                    <c:v>107</c:v>
                  </c:pt>
                  <c:pt idx="201">
                    <c:v>100</c:v>
                  </c:pt>
                  <c:pt idx="202">
                    <c:v>120</c:v>
                  </c:pt>
                  <c:pt idx="203">
                    <c:v>180</c:v>
                  </c:pt>
                  <c:pt idx="204">
                    <c:v>180</c:v>
                  </c:pt>
                  <c:pt idx="205">
                    <c:v>180</c:v>
                  </c:pt>
                  <c:pt idx="206">
                    <c:v>2459,02</c:v>
                  </c:pt>
                  <c:pt idx="207">
                    <c:v>0</c:v>
                  </c:pt>
                  <c:pt idx="208">
                    <c:v>600</c:v>
                  </c:pt>
                  <c:pt idx="209">
                    <c:v>600</c:v>
                  </c:pt>
                  <c:pt idx="210">
                    <c:v>39,9</c:v>
                  </c:pt>
                  <c:pt idx="211">
                    <c:v>290</c:v>
                  </c:pt>
                  <c:pt idx="212">
                    <c:v>130</c:v>
                  </c:pt>
                  <c:pt idx="213">
                    <c:v>220,5</c:v>
                  </c:pt>
                  <c:pt idx="214">
                    <c:v>173,25</c:v>
                  </c:pt>
                  <c:pt idx="215">
                    <c:v>141,75</c:v>
                  </c:pt>
                  <c:pt idx="216">
                    <c:v>267,75</c:v>
                  </c:pt>
                  <c:pt idx="217">
                    <c:v>233,25</c:v>
                  </c:pt>
                  <c:pt idx="218">
                    <c:v>98,6</c:v>
                  </c:pt>
                  <c:pt idx="219">
                    <c:v>25</c:v>
                  </c:pt>
                  <c:pt idx="220">
                    <c:v>30</c:v>
                  </c:pt>
                  <c:pt idx="221">
                    <c:v>266,4</c:v>
                  </c:pt>
                  <c:pt idx="222">
                    <c:v>420,24</c:v>
                  </c:pt>
                  <c:pt idx="223">
                    <c:v>469,8</c:v>
                  </c:pt>
                  <c:pt idx="224">
                    <c:v>742,6</c:v>
                  </c:pt>
                  <c:pt idx="225">
                    <c:v>284,92</c:v>
                  </c:pt>
                  <c:pt idx="226">
                    <c:v>366,3</c:v>
                  </c:pt>
                  <c:pt idx="227">
                    <c:v>99,9</c:v>
                  </c:pt>
                  <c:pt idx="228">
                    <c:v>72</c:v>
                  </c:pt>
                  <c:pt idx="229">
                    <c:v>483</c:v>
                  </c:pt>
                  <c:pt idx="230">
                    <c:v>239</c:v>
                  </c:pt>
                  <c:pt idx="231">
                    <c:v>260</c:v>
                  </c:pt>
                  <c:pt idx="232">
                    <c:v>295</c:v>
                  </c:pt>
                  <c:pt idx="233">
                    <c:v>51</c:v>
                  </c:pt>
                  <c:pt idx="234">
                    <c:v>185</c:v>
                  </c:pt>
                  <c:pt idx="235">
                    <c:v>50</c:v>
                  </c:pt>
                  <c:pt idx="236">
                    <c:v>1128</c:v>
                  </c:pt>
                  <c:pt idx="237">
                    <c:v>76</c:v>
                  </c:pt>
                  <c:pt idx="238">
                    <c:v>48</c:v>
                  </c:pt>
                  <c:pt idx="239">
                    <c:v>163</c:v>
                  </c:pt>
                  <c:pt idx="240">
                    <c:v>140</c:v>
                  </c:pt>
                  <c:pt idx="241">
                    <c:v>202,01</c:v>
                  </c:pt>
                  <c:pt idx="242">
                    <c:v>168</c:v>
                  </c:pt>
                  <c:pt idx="243">
                    <c:v>237,17</c:v>
                  </c:pt>
                  <c:pt idx="244">
                    <c:v>221</c:v>
                  </c:pt>
                  <c:pt idx="245">
                    <c:v>163</c:v>
                  </c:pt>
                  <c:pt idx="246">
                    <c:v>144</c:v>
                  </c:pt>
                  <c:pt idx="247">
                    <c:v>25</c:v>
                  </c:pt>
                  <c:pt idx="249">
                    <c:v>70</c:v>
                  </c:pt>
                  <c:pt idx="250">
                    <c:v>111</c:v>
                  </c:pt>
                  <c:pt idx="251">
                    <c:v>179,24</c:v>
                  </c:pt>
                  <c:pt idx="252">
                    <c:v>230,85</c:v>
                  </c:pt>
                  <c:pt idx="253">
                    <c:v>222,3</c:v>
                  </c:pt>
                  <c:pt idx="254">
                    <c:v>550</c:v>
                  </c:pt>
                  <c:pt idx="255">
                    <c:v>231,99</c:v>
                  </c:pt>
                  <c:pt idx="256">
                    <c:v>599</c:v>
                  </c:pt>
                  <c:pt idx="257">
                    <c:v>799</c:v>
                  </c:pt>
                  <c:pt idx="258">
                    <c:v>278</c:v>
                  </c:pt>
                  <c:pt idx="259">
                    <c:v>25</c:v>
                  </c:pt>
                  <c:pt idx="260">
                    <c:v>13</c:v>
                  </c:pt>
                  <c:pt idx="261">
                    <c:v>118,5</c:v>
                  </c:pt>
                  <c:pt idx="262">
                    <c:v>171,66</c:v>
                  </c:pt>
                  <c:pt idx="263">
                    <c:v>182</c:v>
                  </c:pt>
                  <c:pt idx="264">
                    <c:v>2,97</c:v>
                  </c:pt>
                  <c:pt idx="265">
                    <c:v>383,94</c:v>
                  </c:pt>
                  <c:pt idx="266">
                    <c:v>0</c:v>
                  </c:pt>
                  <c:pt idx="267">
                    <c:v>0</c:v>
                  </c:pt>
                  <c:pt idx="268">
                    <c:v>58,2</c:v>
                  </c:pt>
                  <c:pt idx="269">
                    <c:v>67,05</c:v>
                  </c:pt>
                  <c:pt idx="270">
                    <c:v>175</c:v>
                  </c:pt>
                  <c:pt idx="271">
                    <c:v>121,6</c:v>
                  </c:pt>
                  <c:pt idx="272">
                    <c:v>92</c:v>
                  </c:pt>
                  <c:pt idx="273">
                    <c:v>5720</c:v>
                  </c:pt>
                  <c:pt idx="274">
                    <c:v>103</c:v>
                  </c:pt>
                  <c:pt idx="275">
                    <c:v>263,98</c:v>
                  </c:pt>
                  <c:pt idx="276">
                    <c:v>279</c:v>
                  </c:pt>
                  <c:pt idx="277">
                    <c:v>266</c:v>
                  </c:pt>
                  <c:pt idx="278">
                    <c:v>59,9</c:v>
                  </c:pt>
                  <c:pt idx="279">
                    <c:v>50</c:v>
                  </c:pt>
                  <c:pt idx="280">
                    <c:v>90</c:v>
                  </c:pt>
                  <c:pt idx="281">
                    <c:v>190</c:v>
                  </c:pt>
                  <c:pt idx="282">
                    <c:v>399,9</c:v>
                  </c:pt>
                  <c:pt idx="283">
                    <c:v>66</c:v>
                  </c:pt>
                  <c:pt idx="284">
                    <c:v>87</c:v>
                  </c:pt>
                  <c:pt idx="285">
                    <c:v>279</c:v>
                  </c:pt>
                  <c:pt idx="286">
                    <c:v>138</c:v>
                  </c:pt>
                  <c:pt idx="287">
                    <c:v>142</c:v>
                  </c:pt>
                  <c:pt idx="288">
                    <c:v>176</c:v>
                  </c:pt>
                  <c:pt idx="289">
                    <c:v>119</c:v>
                  </c:pt>
                  <c:pt idx="290">
                    <c:v>219</c:v>
                  </c:pt>
                  <c:pt idx="291">
                    <c:v>165</c:v>
                  </c:pt>
                  <c:pt idx="292">
                    <c:v>169</c:v>
                  </c:pt>
                  <c:pt idx="293">
                    <c:v>305</c:v>
                  </c:pt>
                  <c:pt idx="294">
                    <c:v>200</c:v>
                  </c:pt>
                  <c:pt idx="295">
                    <c:v>206</c:v>
                  </c:pt>
                  <c:pt idx="296">
                    <c:v>270,16</c:v>
                  </c:pt>
                  <c:pt idx="297">
                    <c:v>145</c:v>
                  </c:pt>
                  <c:pt idx="298">
                    <c:v>224</c:v>
                  </c:pt>
                  <c:pt idx="299">
                    <c:v>0</c:v>
                  </c:pt>
                  <c:pt idx="300">
                    <c:v>0</c:v>
                  </c:pt>
                  <c:pt idx="301">
                    <c:v>3307</c:v>
                  </c:pt>
                  <c:pt idx="302">
                    <c:v>7488</c:v>
                  </c:pt>
                  <c:pt idx="303">
                    <c:v>1760</c:v>
                  </c:pt>
                  <c:pt idx="304">
                    <c:v>0</c:v>
                  </c:pt>
                  <c:pt idx="306">
                    <c:v>0</c:v>
                  </c:pt>
                  <c:pt idx="307">
                    <c:v>3485</c:v>
                  </c:pt>
                  <c:pt idx="308">
                    <c:v>1085</c:v>
                  </c:pt>
                  <c:pt idx="309">
                    <c:v>120</c:v>
                  </c:pt>
                  <c:pt idx="310">
                    <c:v>305</c:v>
                  </c:pt>
                  <c:pt idx="311">
                    <c:v>49,9</c:v>
                  </c:pt>
                  <c:pt idx="312">
                    <c:v>18,9</c:v>
                  </c:pt>
                  <c:pt idx="313">
                    <c:v>60</c:v>
                  </c:pt>
                  <c:pt idx="314">
                    <c:v>12</c:v>
                  </c:pt>
                  <c:pt idx="315">
                    <c:v>24,9</c:v>
                  </c:pt>
                  <c:pt idx="316">
                    <c:v>123</c:v>
                  </c:pt>
                  <c:pt idx="317">
                    <c:v>367</c:v>
                  </c:pt>
                  <c:pt idx="318">
                    <c:v>630</c:v>
                  </c:pt>
                  <c:pt idx="319">
                    <c:v>2692,83</c:v>
                  </c:pt>
                  <c:pt idx="320">
                    <c:v>208,54</c:v>
                  </c:pt>
                  <c:pt idx="321">
                    <c:v>14</c:v>
                  </c:pt>
                  <c:pt idx="322">
                    <c:v>29</c:v>
                  </c:pt>
                  <c:pt idx="323">
                    <c:v>140</c:v>
                  </c:pt>
                  <c:pt idx="324">
                    <c:v>242</c:v>
                  </c:pt>
                  <c:pt idx="325">
                    <c:v>295</c:v>
                  </c:pt>
                  <c:pt idx="326">
                    <c:v>390</c:v>
                  </c:pt>
                  <c:pt idx="327">
                    <c:v>150</c:v>
                  </c:pt>
                  <c:pt idx="328">
                    <c:v>250</c:v>
                  </c:pt>
                  <c:pt idx="329">
                    <c:v>350</c:v>
                  </c:pt>
                  <c:pt idx="330">
                    <c:v>3250</c:v>
                  </c:pt>
                  <c:pt idx="331">
                    <c:v>88</c:v>
                  </c:pt>
                  <c:pt idx="332">
                    <c:v>108</c:v>
                  </c:pt>
                  <c:pt idx="333">
                    <c:v>224</c:v>
                  </c:pt>
                  <c:pt idx="334">
                    <c:v>165</c:v>
                  </c:pt>
                  <c:pt idx="335">
                    <c:v>97</c:v>
                  </c:pt>
                  <c:pt idx="336">
                    <c:v>69,56</c:v>
                  </c:pt>
                  <c:pt idx="337">
                    <c:v>143,01</c:v>
                  </c:pt>
                  <c:pt idx="338">
                    <c:v>95</c:v>
                  </c:pt>
                  <c:pt idx="339">
                    <c:v>212</c:v>
                  </c:pt>
                  <c:pt idx="340">
                    <c:v>101</c:v>
                  </c:pt>
                  <c:pt idx="341">
                    <c:v>105</c:v>
                  </c:pt>
                  <c:pt idx="342">
                    <c:v>88</c:v>
                  </c:pt>
                  <c:pt idx="343">
                    <c:v>185</c:v>
                  </c:pt>
                  <c:pt idx="344">
                    <c:v>129</c:v>
                  </c:pt>
                  <c:pt idx="345">
                    <c:v>135</c:v>
                  </c:pt>
                  <c:pt idx="346">
                    <c:v>67</c:v>
                  </c:pt>
                  <c:pt idx="347">
                    <c:v>156</c:v>
                  </c:pt>
                  <c:pt idx="348">
                    <c:v>54</c:v>
                  </c:pt>
                  <c:pt idx="349">
                    <c:v>70,01</c:v>
                  </c:pt>
                  <c:pt idx="350">
                    <c:v>81</c:v>
                  </c:pt>
                  <c:pt idx="351">
                    <c:v>141,8</c:v>
                  </c:pt>
                  <c:pt idx="352">
                    <c:v>150</c:v>
                  </c:pt>
                  <c:pt idx="353">
                    <c:v>51,23</c:v>
                  </c:pt>
                  <c:pt idx="354">
                    <c:v>187</c:v>
                  </c:pt>
                  <c:pt idx="355">
                    <c:v>138</c:v>
                  </c:pt>
                  <c:pt idx="356">
                    <c:v>59</c:v>
                  </c:pt>
                  <c:pt idx="357">
                    <c:v>152,02</c:v>
                  </c:pt>
                  <c:pt idx="358">
                    <c:v>209</c:v>
                  </c:pt>
                  <c:pt idx="359">
                    <c:v>205,1</c:v>
                  </c:pt>
                  <c:pt idx="360">
                    <c:v>275</c:v>
                  </c:pt>
                  <c:pt idx="361">
                    <c:v>300,81</c:v>
                  </c:pt>
                  <c:pt idx="362">
                    <c:v>468,85</c:v>
                  </c:pt>
                  <c:pt idx="363">
                    <c:v>299,18</c:v>
                  </c:pt>
                  <c:pt idx="364">
                    <c:v>299,18</c:v>
                  </c:pt>
                  <c:pt idx="365">
                    <c:v>310</c:v>
                  </c:pt>
                  <c:pt idx="366">
                    <c:v>394,26</c:v>
                  </c:pt>
                  <c:pt idx="367">
                    <c:v>314,75</c:v>
                  </c:pt>
                  <c:pt idx="368">
                    <c:v>290</c:v>
                  </c:pt>
                  <c:pt idx="369">
                    <c:v>32</c:v>
                  </c:pt>
                  <c:pt idx="370">
                    <c:v>66</c:v>
                  </c:pt>
                  <c:pt idx="371">
                    <c:v>29</c:v>
                  </c:pt>
                  <c:pt idx="372">
                    <c:v>49</c:v>
                  </c:pt>
                  <c:pt idx="373">
                    <c:v>56,09</c:v>
                  </c:pt>
                  <c:pt idx="374">
                    <c:v>147</c:v>
                  </c:pt>
                  <c:pt idx="375">
                    <c:v>37,83</c:v>
                  </c:pt>
                  <c:pt idx="376">
                    <c:v>89</c:v>
                  </c:pt>
                  <c:pt idx="377">
                    <c:v>209</c:v>
                  </c:pt>
                  <c:pt idx="378">
                    <c:v>279</c:v>
                  </c:pt>
                  <c:pt idx="379">
                    <c:v>413</c:v>
                  </c:pt>
                  <c:pt idx="380">
                    <c:v>69</c:v>
                  </c:pt>
                  <c:pt idx="381">
                    <c:v>50</c:v>
                  </c:pt>
                  <c:pt idx="382">
                    <c:v>71,25</c:v>
                  </c:pt>
                  <c:pt idx="383">
                    <c:v>50</c:v>
                  </c:pt>
                  <c:pt idx="384">
                    <c:v>1250</c:v>
                  </c:pt>
                  <c:pt idx="385">
                    <c:v>65</c:v>
                  </c:pt>
                  <c:pt idx="386">
                    <c:v>150</c:v>
                  </c:pt>
                  <c:pt idx="387">
                    <c:v>98</c:v>
                  </c:pt>
                  <c:pt idx="388">
                    <c:v>266,81</c:v>
                  </c:pt>
                  <c:pt idx="389">
                    <c:v>80</c:v>
                  </c:pt>
                  <c:pt idx="390">
                    <c:v>345</c:v>
                  </c:pt>
                  <c:pt idx="391">
                    <c:v>438,35</c:v>
                  </c:pt>
                  <c:pt idx="392">
                    <c:v>81</c:v>
                  </c:pt>
                  <c:pt idx="393">
                    <c:v>109</c:v>
                  </c:pt>
                  <c:pt idx="394">
                    <c:v>73,2</c:v>
                  </c:pt>
                  <c:pt idx="395">
                    <c:v>65</c:v>
                  </c:pt>
                  <c:pt idx="396">
                    <c:v>47,01</c:v>
                  </c:pt>
                  <c:pt idx="397">
                    <c:v>122</c:v>
                  </c:pt>
                  <c:pt idx="398">
                    <c:v>55</c:v>
                  </c:pt>
                  <c:pt idx="399">
                    <c:v>179</c:v>
                  </c:pt>
                  <c:pt idx="400">
                    <c:v>43,07</c:v>
                  </c:pt>
                  <c:pt idx="401">
                    <c:v>98</c:v>
                  </c:pt>
                  <c:pt idx="402">
                    <c:v>25</c:v>
                  </c:pt>
                  <c:pt idx="403">
                    <c:v>177,87</c:v>
                  </c:pt>
                  <c:pt idx="404">
                    <c:v>91,22</c:v>
                  </c:pt>
                  <c:pt idx="405">
                    <c:v>47,92</c:v>
                  </c:pt>
                  <c:pt idx="406">
                    <c:v>67,366</c:v>
                  </c:pt>
                  <c:pt idx="407">
                    <c:v>150</c:v>
                  </c:pt>
                  <c:pt idx="408">
                    <c:v>35,16</c:v>
                  </c:pt>
                  <c:pt idx="409">
                    <c:v>143</c:v>
                  </c:pt>
                  <c:pt idx="410">
                    <c:v>3,47</c:v>
                  </c:pt>
                  <c:pt idx="411">
                    <c:v>45</c:v>
                  </c:pt>
                  <c:pt idx="412">
                    <c:v>200</c:v>
                  </c:pt>
                  <c:pt idx="413">
                    <c:v>320</c:v>
                  </c:pt>
                  <c:pt idx="414">
                    <c:v>49,92</c:v>
                  </c:pt>
                  <c:pt idx="415">
                    <c:v>78,01</c:v>
                  </c:pt>
                  <c:pt idx="416">
                    <c:v>176</c:v>
                  </c:pt>
                  <c:pt idx="417">
                    <c:v>92</c:v>
                  </c:pt>
                  <c:pt idx="418">
                    <c:v>19,9</c:v>
                  </c:pt>
                  <c:pt idx="419">
                    <c:v>9,9</c:v>
                  </c:pt>
                  <c:pt idx="420">
                    <c:v>17,9</c:v>
                  </c:pt>
                  <c:pt idx="421">
                    <c:v>8,9</c:v>
                  </c:pt>
                  <c:pt idx="422">
                    <c:v>164</c:v>
                  </c:pt>
                  <c:pt idx="423">
                    <c:v>99</c:v>
                  </c:pt>
                  <c:pt idx="424">
                    <c:v>1500</c:v>
                  </c:pt>
                  <c:pt idx="425">
                    <c:v>3200</c:v>
                  </c:pt>
                  <c:pt idx="426">
                    <c:v>3000</c:v>
                  </c:pt>
                  <c:pt idx="427">
                    <c:v>2500</c:v>
                  </c:pt>
                  <c:pt idx="428">
                    <c:v>92</c:v>
                  </c:pt>
                  <c:pt idx="429">
                    <c:v>91</c:v>
                  </c:pt>
                  <c:pt idx="430">
                    <c:v>147</c:v>
                  </c:pt>
                  <c:pt idx="431">
                    <c:v>158</c:v>
                  </c:pt>
                  <c:pt idx="432">
                    <c:v>73</c:v>
                  </c:pt>
                  <c:pt idx="433">
                    <c:v>324</c:v>
                  </c:pt>
                  <c:pt idx="434">
                    <c:v>183</c:v>
                  </c:pt>
                  <c:pt idx="435">
                    <c:v>176</c:v>
                  </c:pt>
                  <c:pt idx="436">
                    <c:v>220</c:v>
                  </c:pt>
                  <c:pt idx="437">
                    <c:v>305</c:v>
                  </c:pt>
                  <c:pt idx="438">
                    <c:v>254</c:v>
                  </c:pt>
                  <c:pt idx="439">
                    <c:v>47,5</c:v>
                  </c:pt>
                  <c:pt idx="440">
                    <c:v>217</c:v>
                  </c:pt>
                  <c:pt idx="441">
                    <c:v>243</c:v>
                  </c:pt>
                  <c:pt idx="442">
                    <c:v>139,5</c:v>
                  </c:pt>
                  <c:pt idx="443">
                    <c:v>46</c:v>
                  </c:pt>
                  <c:pt idx="444">
                    <c:v>155</c:v>
                  </c:pt>
                  <c:pt idx="445">
                    <c:v>331</c:v>
                  </c:pt>
                  <c:pt idx="446">
                    <c:v>224</c:v>
                  </c:pt>
                  <c:pt idx="447">
                    <c:v>163</c:v>
                  </c:pt>
                  <c:pt idx="448">
                    <c:v>295</c:v>
                  </c:pt>
                  <c:pt idx="449">
                    <c:v>209</c:v>
                  </c:pt>
                  <c:pt idx="450">
                    <c:v>49</c:v>
                  </c:pt>
                  <c:pt idx="451">
                    <c:v>169</c:v>
                  </c:pt>
                  <c:pt idx="452">
                    <c:v>84,31</c:v>
                  </c:pt>
                  <c:pt idx="453">
                    <c:v>172,13</c:v>
                  </c:pt>
                  <c:pt idx="454">
                    <c:v>240</c:v>
                  </c:pt>
                  <c:pt idx="455">
                    <c:v>517</c:v>
                  </c:pt>
                  <c:pt idx="456">
                    <c:v>285</c:v>
                  </c:pt>
                  <c:pt idx="457">
                    <c:v>158</c:v>
                  </c:pt>
                  <c:pt idx="458">
                    <c:v>63,21</c:v>
                  </c:pt>
                  <c:pt idx="459">
                    <c:v>435</c:v>
                  </c:pt>
                  <c:pt idx="460">
                    <c:v>100,56</c:v>
                  </c:pt>
                  <c:pt idx="461">
                    <c:v>0</c:v>
                  </c:pt>
                  <c:pt idx="462">
                    <c:v>165</c:v>
                  </c:pt>
                  <c:pt idx="463">
                    <c:v>108,13</c:v>
                  </c:pt>
                  <c:pt idx="464">
                    <c:v>128,78</c:v>
                  </c:pt>
                  <c:pt idx="465">
                    <c:v>121,87</c:v>
                  </c:pt>
                  <c:pt idx="466">
                    <c:v>205,01</c:v>
                  </c:pt>
                  <c:pt idx="467">
                    <c:v>1572</c:v>
                  </c:pt>
                  <c:pt idx="468">
                    <c:v>896</c:v>
                  </c:pt>
                  <c:pt idx="469">
                    <c:v>650</c:v>
                  </c:pt>
                  <c:pt idx="470">
                    <c:v>444</c:v>
                  </c:pt>
                  <c:pt idx="471">
                    <c:v>896</c:v>
                  </c:pt>
                  <c:pt idx="472">
                    <c:v>734</c:v>
                  </c:pt>
                  <c:pt idx="473">
                    <c:v>885</c:v>
                  </c:pt>
                  <c:pt idx="474">
                    <c:v>377</c:v>
                  </c:pt>
                  <c:pt idx="475">
                    <c:v>203,38</c:v>
                  </c:pt>
                  <c:pt idx="476">
                    <c:v>105</c:v>
                  </c:pt>
                  <c:pt idx="477">
                    <c:v>1350</c:v>
                  </c:pt>
                  <c:pt idx="478">
                    <c:v>65,01</c:v>
                  </c:pt>
                  <c:pt idx="479">
                    <c:v>56</c:v>
                  </c:pt>
                  <c:pt idx="480">
                    <c:v>29,9</c:v>
                  </c:pt>
                  <c:pt idx="481">
                    <c:v>240</c:v>
                  </c:pt>
                  <c:pt idx="482">
                    <c:v>1107</c:v>
                  </c:pt>
                  <c:pt idx="483">
                    <c:v>73,5</c:v>
                  </c:pt>
                  <c:pt idx="484">
                    <c:v>370</c:v>
                  </c:pt>
                  <c:pt idx="485">
                    <c:v>150</c:v>
                  </c:pt>
                  <c:pt idx="486">
                    <c:v>59</c:v>
                  </c:pt>
                  <c:pt idx="487">
                    <c:v>59</c:v>
                  </c:pt>
                  <c:pt idx="488">
                    <c:v>102</c:v>
                  </c:pt>
                  <c:pt idx="489">
                    <c:v>157</c:v>
                  </c:pt>
                  <c:pt idx="490">
                    <c:v>730</c:v>
                  </c:pt>
                  <c:pt idx="491">
                    <c:v>102</c:v>
                  </c:pt>
                  <c:pt idx="492">
                    <c:v>310</c:v>
                  </c:pt>
                  <c:pt idx="493">
                    <c:v>233,89</c:v>
                  </c:pt>
                  <c:pt idx="495">
                    <c:v>143,82</c:v>
                  </c:pt>
                  <c:pt idx="496">
                    <c:v>141,75</c:v>
                  </c:pt>
                  <c:pt idx="497">
                    <c:v>194</c:v>
                  </c:pt>
                  <c:pt idx="498">
                    <c:v>120,27</c:v>
                  </c:pt>
                  <c:pt idx="499">
                    <c:v>133</c:v>
                  </c:pt>
                  <c:pt idx="500">
                    <c:v>138,65</c:v>
                  </c:pt>
                  <c:pt idx="501">
                    <c:v>135</c:v>
                  </c:pt>
                  <c:pt idx="502">
                    <c:v>92</c:v>
                  </c:pt>
                  <c:pt idx="503">
                    <c:v>12</c:v>
                  </c:pt>
                  <c:pt idx="504">
                    <c:v>23,88</c:v>
                  </c:pt>
                  <c:pt idx="505">
                    <c:v>125</c:v>
                  </c:pt>
                  <c:pt idx="506">
                    <c:v>179,9</c:v>
                  </c:pt>
                  <c:pt idx="507">
                    <c:v>179,9</c:v>
                  </c:pt>
                  <c:pt idx="508">
                    <c:v>79,9</c:v>
                  </c:pt>
                  <c:pt idx="509">
                    <c:v>94</c:v>
                  </c:pt>
                  <c:pt idx="510">
                    <c:v>265</c:v>
                  </c:pt>
                  <c:pt idx="511">
                    <c:v>235,27</c:v>
                  </c:pt>
                  <c:pt idx="512">
                    <c:v>124</c:v>
                  </c:pt>
                  <c:pt idx="513">
                    <c:v>50</c:v>
                  </c:pt>
                  <c:pt idx="514">
                    <c:v>472</c:v>
                  </c:pt>
                  <c:pt idx="515">
                    <c:v>472</c:v>
                  </c:pt>
                  <c:pt idx="516">
                    <c:v>137,86</c:v>
                  </c:pt>
                  <c:pt idx="517">
                    <c:v>102,92</c:v>
                  </c:pt>
                  <c:pt idx="518">
                    <c:v>202,5</c:v>
                  </c:pt>
                  <c:pt idx="519">
                    <c:v>165</c:v>
                  </c:pt>
                  <c:pt idx="520">
                    <c:v>112,49</c:v>
                  </c:pt>
                  <c:pt idx="521">
                    <c:v>0</c:v>
                  </c:pt>
                  <c:pt idx="522">
                    <c:v>138</c:v>
                  </c:pt>
                  <c:pt idx="524">
                    <c:v>220</c:v>
                  </c:pt>
                  <c:pt idx="525">
                    <c:v>0</c:v>
                  </c:pt>
                  <c:pt idx="526">
                    <c:v>258</c:v>
                  </c:pt>
                  <c:pt idx="527">
                    <c:v>327</c:v>
                  </c:pt>
                  <c:pt idx="528">
                    <c:v>455</c:v>
                  </c:pt>
                  <c:pt idx="529">
                    <c:v>496</c:v>
                  </c:pt>
                  <c:pt idx="530">
                    <c:v>96</c:v>
                  </c:pt>
                  <c:pt idx="531">
                    <c:v>79</c:v>
                  </c:pt>
                  <c:pt idx="532">
                    <c:v>110</c:v>
                  </c:pt>
                  <c:pt idx="534">
                    <c:v>0</c:v>
                  </c:pt>
                  <c:pt idx="535">
                    <c:v>1333,5</c:v>
                  </c:pt>
                  <c:pt idx="536">
                    <c:v>234</c:v>
                  </c:pt>
                  <c:pt idx="537">
                    <c:v>101,45</c:v>
                  </c:pt>
                  <c:pt idx="538">
                    <c:v>208,41</c:v>
                  </c:pt>
                  <c:pt idx="539">
                    <c:v>680,71</c:v>
                  </c:pt>
                  <c:pt idx="540">
                    <c:v>5,95</c:v>
                  </c:pt>
                  <c:pt idx="541">
                    <c:v>88,9</c:v>
                  </c:pt>
                  <c:pt idx="542">
                    <c:v>451</c:v>
                  </c:pt>
                  <c:pt idx="543">
                    <c:v>451</c:v>
                  </c:pt>
                  <c:pt idx="544">
                    <c:v>104</c:v>
                  </c:pt>
                  <c:pt idx="545">
                    <c:v>230</c:v>
                  </c:pt>
                  <c:pt idx="546">
                    <c:v>18,03</c:v>
                  </c:pt>
                  <c:pt idx="547">
                    <c:v>216,36</c:v>
                  </c:pt>
                  <c:pt idx="548">
                    <c:v>65</c:v>
                  </c:pt>
                  <c:pt idx="549">
                    <c:v>220</c:v>
                  </c:pt>
                  <c:pt idx="550">
                    <c:v>89</c:v>
                  </c:pt>
                  <c:pt idx="551">
                    <c:v>122</c:v>
                  </c:pt>
                  <c:pt idx="552">
                    <c:v>89</c:v>
                  </c:pt>
                  <c:pt idx="553">
                    <c:v>34</c:v>
                  </c:pt>
                  <c:pt idx="554">
                    <c:v>5,58</c:v>
                  </c:pt>
                  <c:pt idx="555">
                    <c:v>241,73</c:v>
                  </c:pt>
                  <c:pt idx="556">
                    <c:v>24,18</c:v>
                  </c:pt>
                  <c:pt idx="557">
                    <c:v>200</c:v>
                  </c:pt>
                  <c:pt idx="558">
                    <c:v>88,81</c:v>
                  </c:pt>
                  <c:pt idx="559">
                    <c:v>348</c:v>
                  </c:pt>
                  <c:pt idx="560">
                    <c:v>121</c:v>
                  </c:pt>
                  <c:pt idx="561">
                    <c:v>45</c:v>
                  </c:pt>
                  <c:pt idx="562">
                    <c:v>20</c:v>
                  </c:pt>
                  <c:pt idx="563">
                    <c:v>182,9</c:v>
                  </c:pt>
                  <c:pt idx="564">
                    <c:v>217</c:v>
                  </c:pt>
                  <c:pt idx="565">
                    <c:v>167</c:v>
                  </c:pt>
                  <c:pt idx="566">
                    <c:v>210</c:v>
                  </c:pt>
                  <c:pt idx="567">
                    <c:v>130</c:v>
                  </c:pt>
                  <c:pt idx="568">
                    <c:v>124</c:v>
                  </c:pt>
                  <c:pt idx="569">
                    <c:v>119</c:v>
                  </c:pt>
                  <c:pt idx="570">
                    <c:v>123</c:v>
                  </c:pt>
                  <c:pt idx="571">
                    <c:v>149,9</c:v>
                  </c:pt>
                  <c:pt idx="572">
                    <c:v>0</c:v>
                  </c:pt>
                  <c:pt idx="573">
                    <c:v>590</c:v>
                  </c:pt>
                  <c:pt idx="575">
                    <c:v>227</c:v>
                  </c:pt>
                  <c:pt idx="576">
                    <c:v>153</c:v>
                  </c:pt>
                  <c:pt idx="577">
                    <c:v>199</c:v>
                  </c:pt>
                  <c:pt idx="579">
                    <c:v>400,21</c:v>
                  </c:pt>
                  <c:pt idx="580">
                    <c:v>227,19</c:v>
                  </c:pt>
                  <c:pt idx="582">
                    <c:v>53</c:v>
                  </c:pt>
                  <c:pt idx="583">
                    <c:v>336</c:v>
                  </c:pt>
                  <c:pt idx="584">
                    <c:v>694</c:v>
                  </c:pt>
                  <c:pt idx="585">
                    <c:v>18</c:v>
                  </c:pt>
                  <c:pt idx="586">
                    <c:v>3,9</c:v>
                  </c:pt>
                  <c:pt idx="587">
                    <c:v>78</c:v>
                  </c:pt>
                  <c:pt idx="588">
                    <c:v>78,68</c:v>
                  </c:pt>
                  <c:pt idx="589">
                    <c:v>118</c:v>
                  </c:pt>
                  <c:pt idx="591">
                    <c:v>140</c:v>
                  </c:pt>
                  <c:pt idx="592">
                    <c:v>740</c:v>
                  </c:pt>
                  <c:pt idx="593">
                    <c:v>83,31</c:v>
                  </c:pt>
                  <c:pt idx="594">
                    <c:v>41,4</c:v>
                  </c:pt>
                  <c:pt idx="595">
                    <c:v>31</c:v>
                  </c:pt>
                  <c:pt idx="597">
                    <c:v>16</c:v>
                  </c:pt>
                  <c:pt idx="599">
                    <c:v>69</c:v>
                  </c:pt>
                  <c:pt idx="600">
                    <c:v>1856</c:v>
                  </c:pt>
                  <c:pt idx="601">
                    <c:v>96</c:v>
                  </c:pt>
                  <c:pt idx="602">
                    <c:v>2400</c:v>
                  </c:pt>
                  <c:pt idx="603">
                    <c:v>172</c:v>
                  </c:pt>
                  <c:pt idx="604">
                    <c:v>20</c:v>
                  </c:pt>
                  <c:pt idx="605">
                    <c:v>68</c:v>
                  </c:pt>
                  <c:pt idx="606">
                    <c:v>73</c:v>
                  </c:pt>
                  <c:pt idx="607">
                    <c:v>86</c:v>
                  </c:pt>
                  <c:pt idx="608">
                    <c:v>62</c:v>
                  </c:pt>
                  <c:pt idx="609">
                    <c:v>77</c:v>
                  </c:pt>
                  <c:pt idx="610">
                    <c:v>97</c:v>
                  </c:pt>
                  <c:pt idx="611">
                    <c:v>69</c:v>
                  </c:pt>
                  <c:pt idx="612">
                    <c:v>68</c:v>
                  </c:pt>
                  <c:pt idx="613">
                    <c:v>95</c:v>
                  </c:pt>
                  <c:pt idx="614">
                    <c:v>473</c:v>
                  </c:pt>
                  <c:pt idx="615">
                    <c:v>111</c:v>
                  </c:pt>
                  <c:pt idx="616">
                    <c:v>48</c:v>
                  </c:pt>
                  <c:pt idx="617">
                    <c:v>128</c:v>
                  </c:pt>
                  <c:pt idx="618">
                    <c:v>150</c:v>
                  </c:pt>
                  <c:pt idx="619">
                    <c:v>765</c:v>
                  </c:pt>
                  <c:pt idx="620">
                    <c:v>294</c:v>
                  </c:pt>
                  <c:pt idx="621">
                    <c:v>220,86</c:v>
                  </c:pt>
                  <c:pt idx="622">
                    <c:v>191,6</c:v>
                  </c:pt>
                  <c:pt idx="623">
                    <c:v>231</c:v>
                  </c:pt>
                  <c:pt idx="624">
                    <c:v>477,09</c:v>
                  </c:pt>
                  <c:pt idx="625">
                    <c:v>418</c:v>
                  </c:pt>
                  <c:pt idx="626">
                    <c:v>312</c:v>
                  </c:pt>
                  <c:pt idx="627">
                    <c:v>331,5</c:v>
                  </c:pt>
                  <c:pt idx="628">
                    <c:v>379,76</c:v>
                  </c:pt>
                  <c:pt idx="629">
                    <c:v>351,48</c:v>
                  </c:pt>
                  <c:pt idx="630">
                    <c:v>307,04</c:v>
                  </c:pt>
                  <c:pt idx="631">
                    <c:v>765</c:v>
                  </c:pt>
                  <c:pt idx="632">
                    <c:v>411,12</c:v>
                  </c:pt>
                  <c:pt idx="633">
                    <c:v>159,6</c:v>
                  </c:pt>
                  <c:pt idx="634">
                    <c:v>1045</c:v>
                  </c:pt>
                  <c:pt idx="635">
                    <c:v>92</c:v>
                  </c:pt>
                  <c:pt idx="636">
                    <c:v>56</c:v>
                  </c:pt>
                  <c:pt idx="637">
                    <c:v>19,8</c:v>
                  </c:pt>
                  <c:pt idx="638">
                    <c:v>39,9</c:v>
                  </c:pt>
                  <c:pt idx="639">
                    <c:v>9,08</c:v>
                  </c:pt>
                  <c:pt idx="640">
                    <c:v>30</c:v>
                  </c:pt>
                  <c:pt idx="641">
                    <c:v>89,9</c:v>
                  </c:pt>
                  <c:pt idx="642">
                    <c:v>139,9</c:v>
                  </c:pt>
                  <c:pt idx="643">
                    <c:v>29,9</c:v>
                  </c:pt>
                  <c:pt idx="644">
                    <c:v>99,9</c:v>
                  </c:pt>
                  <c:pt idx="645">
                    <c:v>43</c:v>
                  </c:pt>
                  <c:pt idx="646">
                    <c:v>189</c:v>
                  </c:pt>
                  <c:pt idx="647">
                    <c:v>99,9</c:v>
                  </c:pt>
                  <c:pt idx="648">
                    <c:v>69</c:v>
                  </c:pt>
                  <c:pt idx="649">
                    <c:v>99</c:v>
                  </c:pt>
                  <c:pt idx="650">
                    <c:v>79</c:v>
                  </c:pt>
                  <c:pt idx="651">
                    <c:v>152</c:v>
                  </c:pt>
                  <c:pt idx="652">
                    <c:v>119,9</c:v>
                  </c:pt>
                  <c:pt idx="653">
                    <c:v>189,9</c:v>
                  </c:pt>
                  <c:pt idx="654">
                    <c:v>79,9</c:v>
                  </c:pt>
                  <c:pt idx="655">
                    <c:v>75</c:v>
                  </c:pt>
                  <c:pt idx="656">
                    <c:v>164</c:v>
                  </c:pt>
                  <c:pt idx="657">
                    <c:v>260</c:v>
                  </c:pt>
                  <c:pt idx="658">
                    <c:v>160</c:v>
                  </c:pt>
                  <c:pt idx="659">
                    <c:v>16</c:v>
                  </c:pt>
                  <c:pt idx="660">
                    <c:v>135</c:v>
                  </c:pt>
                  <c:pt idx="661">
                    <c:v>120</c:v>
                  </c:pt>
                  <c:pt idx="662">
                    <c:v>135</c:v>
                  </c:pt>
                  <c:pt idx="663">
                    <c:v>249</c:v>
                  </c:pt>
                  <c:pt idx="664">
                    <c:v>159</c:v>
                  </c:pt>
                  <c:pt idx="665">
                    <c:v>110</c:v>
                  </c:pt>
                  <c:pt idx="666">
                    <c:v>14,9</c:v>
                  </c:pt>
                  <c:pt idx="667">
                    <c:v>9</c:v>
                  </c:pt>
                  <c:pt idx="668">
                    <c:v>9,8</c:v>
                  </c:pt>
                  <c:pt idx="670">
                    <c:v>429,9</c:v>
                  </c:pt>
                  <c:pt idx="671">
                    <c:v>179,9</c:v>
                  </c:pt>
                  <c:pt idx="672">
                    <c:v>316,8</c:v>
                  </c:pt>
                  <c:pt idx="673">
                    <c:v>1592</c:v>
                  </c:pt>
                  <c:pt idx="674">
                    <c:v>254</c:v>
                  </c:pt>
                  <c:pt idx="675">
                    <c:v>2150</c:v>
                  </c:pt>
                  <c:pt idx="676">
                    <c:v>215</c:v>
                  </c:pt>
                  <c:pt idx="677">
                    <c:v>158</c:v>
                  </c:pt>
                  <c:pt idx="678">
                    <c:v>23</c:v>
                  </c:pt>
                  <c:pt idx="679">
                    <c:v>1639,21</c:v>
                  </c:pt>
                  <c:pt idx="680">
                    <c:v>350</c:v>
                  </c:pt>
                  <c:pt idx="681">
                    <c:v>1445</c:v>
                  </c:pt>
                  <c:pt idx="682">
                    <c:v>96</c:v>
                  </c:pt>
                  <c:pt idx="683">
                    <c:v>2422,82</c:v>
                  </c:pt>
                  <c:pt idx="684">
                    <c:v>48,46</c:v>
                  </c:pt>
                  <c:pt idx="685">
                    <c:v>833</c:v>
                  </c:pt>
                  <c:pt idx="686">
                    <c:v>59,57</c:v>
                  </c:pt>
                  <c:pt idx="687">
                    <c:v>46,64</c:v>
                  </c:pt>
                  <c:pt idx="688">
                    <c:v>60</c:v>
                  </c:pt>
                  <c:pt idx="689">
                    <c:v>81</c:v>
                  </c:pt>
                  <c:pt idx="690">
                    <c:v>76,38</c:v>
                  </c:pt>
                  <c:pt idx="691">
                    <c:v>1960</c:v>
                  </c:pt>
                  <c:pt idx="692">
                    <c:v>2291,44</c:v>
                  </c:pt>
                  <c:pt idx="693">
                    <c:v>96,6</c:v>
                  </c:pt>
                  <c:pt idx="694">
                    <c:v>97,54</c:v>
                  </c:pt>
                  <c:pt idx="695">
                    <c:v>157,37</c:v>
                  </c:pt>
                  <c:pt idx="696">
                    <c:v>1043,44</c:v>
                  </c:pt>
                  <c:pt idx="697">
                    <c:v>516,39</c:v>
                  </c:pt>
                  <c:pt idx="698">
                    <c:v>92,62</c:v>
                  </c:pt>
                  <c:pt idx="699">
                    <c:v>96,33</c:v>
                  </c:pt>
                  <c:pt idx="700">
                    <c:v>1445,08</c:v>
                  </c:pt>
                  <c:pt idx="701">
                    <c:v>1853,51</c:v>
                  </c:pt>
                  <c:pt idx="702">
                    <c:v>61,78</c:v>
                  </c:pt>
                  <c:pt idx="703">
                    <c:v>85,24</c:v>
                  </c:pt>
                  <c:pt idx="704">
                    <c:v>532,79</c:v>
                  </c:pt>
                  <c:pt idx="705">
                    <c:v>38,06</c:v>
                  </c:pt>
                  <c:pt idx="706">
                    <c:v>0</c:v>
                  </c:pt>
                  <c:pt idx="707">
                    <c:v>3575</c:v>
                  </c:pt>
                  <c:pt idx="708">
                    <c:v>84</c:v>
                  </c:pt>
                  <c:pt idx="709">
                    <c:v>2617,5</c:v>
                  </c:pt>
                  <c:pt idx="710">
                    <c:v>87</c:v>
                  </c:pt>
                  <c:pt idx="711">
                    <c:v>1886,25</c:v>
                  </c:pt>
                  <c:pt idx="712">
                    <c:v>94</c:v>
                  </c:pt>
                  <c:pt idx="713">
                    <c:v>541</c:v>
                  </c:pt>
                  <c:pt idx="714">
                    <c:v>1229</c:v>
                  </c:pt>
                  <c:pt idx="715">
                    <c:v>1572,3</c:v>
                  </c:pt>
                  <c:pt idx="716">
                    <c:v>78,61</c:v>
                  </c:pt>
                  <c:pt idx="717">
                    <c:v>32,92</c:v>
                  </c:pt>
                  <c:pt idx="718">
                    <c:v>73,26</c:v>
                  </c:pt>
                  <c:pt idx="719">
                    <c:v>81,96</c:v>
                  </c:pt>
                  <c:pt idx="720">
                    <c:v>1639,21</c:v>
                  </c:pt>
                  <c:pt idx="721">
                    <c:v>1465,26</c:v>
                  </c:pt>
                  <c:pt idx="722">
                    <c:v>497</c:v>
                  </c:pt>
                  <c:pt idx="723">
                    <c:v>246,82</c:v>
                  </c:pt>
                  <c:pt idx="724">
                    <c:v>2500</c:v>
                  </c:pt>
                  <c:pt idx="725">
                    <c:v>100</c:v>
                  </c:pt>
                  <c:pt idx="726">
                    <c:v>1400</c:v>
                  </c:pt>
                  <c:pt idx="727">
                    <c:v>70</c:v>
                  </c:pt>
                  <c:pt idx="728">
                    <c:v>0</c:v>
                  </c:pt>
                  <c:pt idx="730">
                    <c:v>2640</c:v>
                  </c:pt>
                  <c:pt idx="731">
                    <c:v>132</c:v>
                  </c:pt>
                  <c:pt idx="732">
                    <c:v>50</c:v>
                  </c:pt>
                  <c:pt idx="733">
                    <c:v>214</c:v>
                  </c:pt>
                  <c:pt idx="734">
                    <c:v>251,57</c:v>
                  </c:pt>
                  <c:pt idx="735">
                    <c:v>630</c:v>
                  </c:pt>
                  <c:pt idx="736">
                    <c:v>56</c:v>
                  </c:pt>
                  <c:pt idx="737">
                    <c:v>29,9</c:v>
                  </c:pt>
                  <c:pt idx="738">
                    <c:v>79,9</c:v>
                  </c:pt>
                  <c:pt idx="739">
                    <c:v>109</c:v>
                  </c:pt>
                  <c:pt idx="740">
                    <c:v>99</c:v>
                  </c:pt>
                  <c:pt idx="741">
                    <c:v>148</c:v>
                  </c:pt>
                  <c:pt idx="742">
                    <c:v>33</c:v>
                  </c:pt>
                  <c:pt idx="743">
                    <c:v>90</c:v>
                  </c:pt>
                  <c:pt idx="744">
                    <c:v>99,9</c:v>
                  </c:pt>
                  <c:pt idx="747">
                    <c:v>269,9</c:v>
                  </c:pt>
                  <c:pt idx="748">
                    <c:v>269,9</c:v>
                  </c:pt>
                  <c:pt idx="749">
                    <c:v>265</c:v>
                  </c:pt>
                  <c:pt idx="750">
                    <c:v>170</c:v>
                  </c:pt>
                  <c:pt idx="751">
                    <c:v>0</c:v>
                  </c:pt>
                  <c:pt idx="754">
                    <c:v>0</c:v>
                  </c:pt>
                  <c:pt idx="755">
                    <c:v>229,28</c:v>
                  </c:pt>
                  <c:pt idx="756">
                    <c:v>122,55</c:v>
                  </c:pt>
                  <c:pt idx="757">
                    <c:v>2451</c:v>
                  </c:pt>
                  <c:pt idx="758">
                    <c:v>89,9</c:v>
                  </c:pt>
                  <c:pt idx="759">
                    <c:v>79,9</c:v>
                  </c:pt>
                  <c:pt idx="760">
                    <c:v>25</c:v>
                  </c:pt>
                  <c:pt idx="761">
                    <c:v>0</c:v>
                  </c:pt>
                  <c:pt idx="762">
                    <c:v>0</c:v>
                  </c:pt>
                  <c:pt idx="763">
                    <c:v>15</c:v>
                  </c:pt>
                  <c:pt idx="764">
                    <c:v>79</c:v>
                  </c:pt>
                  <c:pt idx="765">
                    <c:v>2,1</c:v>
                  </c:pt>
                  <c:pt idx="766">
                    <c:v>2,3</c:v>
                  </c:pt>
                  <c:pt idx="767">
                    <c:v>0</c:v>
                  </c:pt>
                  <c:pt idx="768">
                    <c:v>1</c:v>
                  </c:pt>
                  <c:pt idx="769">
                    <c:v>0</c:v>
                  </c:pt>
                  <c:pt idx="770">
                    <c:v>164,8</c:v>
                  </c:pt>
                  <c:pt idx="771">
                    <c:v>98,12</c:v>
                  </c:pt>
                  <c:pt idx="772">
                    <c:v>184,95</c:v>
                  </c:pt>
                  <c:pt idx="773">
                    <c:v>0</c:v>
                  </c:pt>
                  <c:pt idx="774">
                    <c:v>105,49</c:v>
                  </c:pt>
                  <c:pt idx="775">
                    <c:v>39</c:v>
                  </c:pt>
                  <c:pt idx="776">
                    <c:v>122,67</c:v>
                  </c:pt>
                  <c:pt idx="777">
                    <c:v>26,72</c:v>
                  </c:pt>
                  <c:pt idx="778">
                    <c:v>26,15</c:v>
                  </c:pt>
                  <c:pt idx="779">
                    <c:v>1600</c:v>
                  </c:pt>
                  <c:pt idx="780">
                    <c:v>130</c:v>
                  </c:pt>
                  <c:pt idx="781">
                    <c:v>35</c:v>
                  </c:pt>
                  <c:pt idx="782">
                    <c:v>104</c:v>
                  </c:pt>
                  <c:pt idx="783">
                    <c:v>125</c:v>
                  </c:pt>
                  <c:pt idx="784">
                    <c:v>98</c:v>
                  </c:pt>
                  <c:pt idx="785">
                    <c:v>210</c:v>
                  </c:pt>
                  <c:pt idx="786">
                    <c:v>112,48</c:v>
                  </c:pt>
                  <c:pt idx="787">
                    <c:v>78,68</c:v>
                  </c:pt>
                  <c:pt idx="788">
                    <c:v>51</c:v>
                  </c:pt>
                  <c:pt idx="789">
                    <c:v>699</c:v>
                  </c:pt>
                  <c:pt idx="790">
                    <c:v>819</c:v>
                  </c:pt>
                  <c:pt idx="791">
                    <c:v>779</c:v>
                  </c:pt>
                  <c:pt idx="792">
                    <c:v>175</c:v>
                  </c:pt>
                  <c:pt idx="793">
                    <c:v>167</c:v>
                  </c:pt>
                  <c:pt idx="794">
                    <c:v>6,96</c:v>
                  </c:pt>
                  <c:pt idx="796">
                    <c:v>897</c:v>
                  </c:pt>
                  <c:pt idx="797">
                    <c:v>175</c:v>
                  </c:pt>
                  <c:pt idx="798">
                    <c:v>80,5</c:v>
                  </c:pt>
                  <c:pt idx="799">
                    <c:v>162</c:v>
                  </c:pt>
                  <c:pt idx="800">
                    <c:v>123,68</c:v>
                  </c:pt>
                  <c:pt idx="801">
                    <c:v>84</c:v>
                  </c:pt>
                  <c:pt idx="802">
                    <c:v>310</c:v>
                  </c:pt>
                  <c:pt idx="803">
                    <c:v>560</c:v>
                  </c:pt>
                  <c:pt idx="804">
                    <c:v>3700</c:v>
                  </c:pt>
                  <c:pt idx="805">
                    <c:v>265</c:v>
                  </c:pt>
                  <c:pt idx="806">
                    <c:v>91</c:v>
                  </c:pt>
                  <c:pt idx="807">
                    <c:v>115</c:v>
                  </c:pt>
                  <c:pt idx="808">
                    <c:v>155</c:v>
                  </c:pt>
                  <c:pt idx="809">
                    <c:v>220</c:v>
                  </c:pt>
                  <c:pt idx="810">
                    <c:v>250</c:v>
                  </c:pt>
                  <c:pt idx="811">
                    <c:v>128,14</c:v>
                  </c:pt>
                  <c:pt idx="812">
                    <c:v>662,18</c:v>
                  </c:pt>
                  <c:pt idx="813">
                    <c:v>149</c:v>
                  </c:pt>
                  <c:pt idx="814">
                    <c:v>74</c:v>
                  </c:pt>
                  <c:pt idx="815">
                    <c:v>133</c:v>
                  </c:pt>
                  <c:pt idx="816">
                    <c:v>164</c:v>
                  </c:pt>
                  <c:pt idx="817">
                    <c:v>194</c:v>
                  </c:pt>
                  <c:pt idx="818">
                    <c:v>431</c:v>
                  </c:pt>
                  <c:pt idx="819">
                    <c:v>121,14</c:v>
                  </c:pt>
                  <c:pt idx="820">
                    <c:v>50,66</c:v>
                  </c:pt>
                  <c:pt idx="821">
                    <c:v>60</c:v>
                  </c:pt>
                  <c:pt idx="822">
                    <c:v>113</c:v>
                  </c:pt>
                  <c:pt idx="823">
                    <c:v>75</c:v>
                  </c:pt>
                  <c:pt idx="824">
                    <c:v>85</c:v>
                  </c:pt>
                  <c:pt idx="825">
                    <c:v>95</c:v>
                  </c:pt>
                  <c:pt idx="826">
                    <c:v>120</c:v>
                  </c:pt>
                  <c:pt idx="827">
                    <c:v>300</c:v>
                  </c:pt>
                  <c:pt idx="828">
                    <c:v>1653</c:v>
                  </c:pt>
                  <c:pt idx="829">
                    <c:v>94</c:v>
                  </c:pt>
                  <c:pt idx="830">
                    <c:v>175</c:v>
                  </c:pt>
                  <c:pt idx="831">
                    <c:v>184</c:v>
                  </c:pt>
                  <c:pt idx="832">
                    <c:v>1600</c:v>
                  </c:pt>
                  <c:pt idx="833">
                    <c:v>147</c:v>
                  </c:pt>
                  <c:pt idx="834">
                    <c:v>218</c:v>
                  </c:pt>
                  <c:pt idx="835">
                    <c:v>328</c:v>
                  </c:pt>
                  <c:pt idx="836">
                    <c:v>670</c:v>
                  </c:pt>
                  <c:pt idx="837">
                    <c:v>320</c:v>
                  </c:pt>
                  <c:pt idx="838">
                    <c:v>93</c:v>
                  </c:pt>
                  <c:pt idx="839">
                    <c:v>150</c:v>
                  </c:pt>
                  <c:pt idx="840">
                    <c:v>91</c:v>
                  </c:pt>
                  <c:pt idx="841">
                    <c:v>123</c:v>
                  </c:pt>
                  <c:pt idx="842">
                    <c:v>662,94</c:v>
                  </c:pt>
                  <c:pt idx="843">
                    <c:v>1636</c:v>
                  </c:pt>
                  <c:pt idx="844">
                    <c:v>2454</c:v>
                  </c:pt>
                  <c:pt idx="845">
                    <c:v>1104</c:v>
                  </c:pt>
                  <c:pt idx="846">
                    <c:v>1075,31</c:v>
                  </c:pt>
                  <c:pt idx="847">
                    <c:v>418,43</c:v>
                  </c:pt>
                  <c:pt idx="848">
                    <c:v>731,97</c:v>
                  </c:pt>
                  <c:pt idx="849">
                    <c:v>290</c:v>
                  </c:pt>
                  <c:pt idx="850">
                    <c:v>680</c:v>
                  </c:pt>
                  <c:pt idx="851">
                    <c:v>1900</c:v>
                  </c:pt>
                  <c:pt idx="852">
                    <c:v>1300</c:v>
                  </c:pt>
                  <c:pt idx="853">
                    <c:v>430</c:v>
                  </c:pt>
                  <c:pt idx="854">
                    <c:v>1774,33</c:v>
                  </c:pt>
                  <c:pt idx="855">
                    <c:v>1774,33</c:v>
                  </c:pt>
                  <c:pt idx="856">
                    <c:v>2788,35</c:v>
                  </c:pt>
                  <c:pt idx="857">
                    <c:v>428,06</c:v>
                  </c:pt>
                  <c:pt idx="858">
                    <c:v>400</c:v>
                  </c:pt>
                  <c:pt idx="859">
                    <c:v>1245,97</c:v>
                  </c:pt>
                  <c:pt idx="860">
                    <c:v>430</c:v>
                  </c:pt>
                  <c:pt idx="861">
                    <c:v>430</c:v>
                  </c:pt>
                  <c:pt idx="862">
                    <c:v>1700</c:v>
                  </c:pt>
                  <c:pt idx="863">
                    <c:v>205,7</c:v>
                  </c:pt>
                  <c:pt idx="864">
                    <c:v>178,42</c:v>
                  </c:pt>
                  <c:pt idx="865">
                    <c:v>198</c:v>
                  </c:pt>
                  <c:pt idx="866">
                    <c:v>288</c:v>
                  </c:pt>
                  <c:pt idx="867">
                    <c:v>146,68</c:v>
                  </c:pt>
                  <c:pt idx="868">
                    <c:v>139</c:v>
                  </c:pt>
                  <c:pt idx="869">
                    <c:v>528,05</c:v>
                  </c:pt>
                  <c:pt idx="870">
                    <c:v>119</c:v>
                  </c:pt>
                  <c:pt idx="871">
                    <c:v>128,52</c:v>
                  </c:pt>
                  <c:pt idx="872">
                    <c:v>117</c:v>
                  </c:pt>
                  <c:pt idx="873">
                    <c:v>1452</c:v>
                  </c:pt>
                  <c:pt idx="874">
                    <c:v>1980</c:v>
                  </c:pt>
                  <c:pt idx="875">
                    <c:v>1650</c:v>
                  </c:pt>
                  <c:pt idx="876">
                    <c:v>132,7</c:v>
                  </c:pt>
                  <c:pt idx="877">
                    <c:v>141</c:v>
                  </c:pt>
                  <c:pt idx="878">
                    <c:v>87</c:v>
                  </c:pt>
                  <c:pt idx="879">
                    <c:v>132,67</c:v>
                  </c:pt>
                  <c:pt idx="880">
                    <c:v>75</c:v>
                  </c:pt>
                  <c:pt idx="881">
                    <c:v>119</c:v>
                  </c:pt>
                  <c:pt idx="882">
                    <c:v>10,19</c:v>
                  </c:pt>
                  <c:pt idx="883">
                    <c:v>10,19</c:v>
                  </c:pt>
                  <c:pt idx="884">
                    <c:v>114</c:v>
                  </c:pt>
                  <c:pt idx="885">
                    <c:v>227</c:v>
                  </c:pt>
                  <c:pt idx="886">
                    <c:v>129</c:v>
                  </c:pt>
                  <c:pt idx="887">
                    <c:v>102</c:v>
                  </c:pt>
                  <c:pt idx="888">
                    <c:v>88</c:v>
                  </c:pt>
                  <c:pt idx="889">
                    <c:v>140</c:v>
                  </c:pt>
                  <c:pt idx="890">
                    <c:v>59</c:v>
                  </c:pt>
                  <c:pt idx="891">
                    <c:v>81</c:v>
                  </c:pt>
                  <c:pt idx="892">
                    <c:v>58</c:v>
                  </c:pt>
                  <c:pt idx="893">
                    <c:v>90</c:v>
                  </c:pt>
                  <c:pt idx="894">
                    <c:v>99,9</c:v>
                  </c:pt>
                  <c:pt idx="895">
                    <c:v>124</c:v>
                  </c:pt>
                  <c:pt idx="896">
                    <c:v>48</c:v>
                  </c:pt>
                  <c:pt idx="897">
                    <c:v>97</c:v>
                  </c:pt>
                  <c:pt idx="898">
                    <c:v>50</c:v>
                  </c:pt>
                  <c:pt idx="899">
                    <c:v>46</c:v>
                  </c:pt>
                  <c:pt idx="900">
                    <c:v>94</c:v>
                  </c:pt>
                  <c:pt idx="901">
                    <c:v>67</c:v>
                  </c:pt>
                  <c:pt idx="902">
                    <c:v>69,09</c:v>
                  </c:pt>
                  <c:pt idx="903">
                    <c:v>99</c:v>
                  </c:pt>
                  <c:pt idx="904">
                    <c:v>48</c:v>
                  </c:pt>
                  <c:pt idx="905">
                    <c:v>178,5</c:v>
                  </c:pt>
                  <c:pt idx="906">
                    <c:v>278</c:v>
                  </c:pt>
                  <c:pt idx="907">
                    <c:v>140</c:v>
                  </c:pt>
                  <c:pt idx="908">
                    <c:v>100</c:v>
                  </c:pt>
                  <c:pt idx="909">
                    <c:v>17</c:v>
                  </c:pt>
                  <c:pt idx="910">
                    <c:v>1046,81</c:v>
                  </c:pt>
                  <c:pt idx="911">
                    <c:v>67,78</c:v>
                  </c:pt>
                  <c:pt idx="912">
                    <c:v>10</c:v>
                  </c:pt>
                  <c:pt idx="913">
                    <c:v>492</c:v>
                  </c:pt>
                  <c:pt idx="914">
                    <c:v>620,45</c:v>
                  </c:pt>
                  <c:pt idx="915">
                    <c:v>574</c:v>
                  </c:pt>
                  <c:pt idx="916">
                    <c:v>397</c:v>
                  </c:pt>
                  <c:pt idx="917">
                    <c:v>456</c:v>
                  </c:pt>
                  <c:pt idx="918">
                    <c:v>110</c:v>
                  </c:pt>
                  <c:pt idx="919">
                    <c:v>95</c:v>
                  </c:pt>
                  <c:pt idx="920">
                    <c:v>29,9</c:v>
                  </c:pt>
                  <c:pt idx="922">
                    <c:v>39,8</c:v>
                  </c:pt>
                  <c:pt idx="923">
                    <c:v>49,9</c:v>
                  </c:pt>
                  <c:pt idx="924">
                    <c:v>69,9</c:v>
                  </c:pt>
                  <c:pt idx="925">
                    <c:v>29,9</c:v>
                  </c:pt>
                  <c:pt idx="926">
                    <c:v>41</c:v>
                  </c:pt>
                  <c:pt idx="927">
                    <c:v>129</c:v>
                  </c:pt>
                  <c:pt idx="928">
                    <c:v>288</c:v>
                  </c:pt>
                  <c:pt idx="929">
                    <c:v>654</c:v>
                  </c:pt>
                  <c:pt idx="930">
                    <c:v>1118</c:v>
                  </c:pt>
                  <c:pt idx="931">
                    <c:v>25</c:v>
                  </c:pt>
                  <c:pt idx="932">
                    <c:v>40</c:v>
                  </c:pt>
                  <c:pt idx="933">
                    <c:v>43</c:v>
                  </c:pt>
                  <c:pt idx="934">
                    <c:v>110</c:v>
                  </c:pt>
                  <c:pt idx="935">
                    <c:v>62</c:v>
                  </c:pt>
                  <c:pt idx="936">
                    <c:v>92</c:v>
                  </c:pt>
                  <c:pt idx="937">
                    <c:v>173</c:v>
                  </c:pt>
                  <c:pt idx="938">
                    <c:v>55</c:v>
                  </c:pt>
                  <c:pt idx="939">
                    <c:v>236</c:v>
                  </c:pt>
                  <c:pt idx="940">
                    <c:v>147</c:v>
                  </c:pt>
                  <c:pt idx="941">
                    <c:v>436</c:v>
                  </c:pt>
                  <c:pt idx="942">
                    <c:v>274</c:v>
                  </c:pt>
                  <c:pt idx="943">
                    <c:v>164</c:v>
                  </c:pt>
                  <c:pt idx="944">
                    <c:v>57</c:v>
                  </c:pt>
                  <c:pt idx="945">
                    <c:v>63</c:v>
                  </c:pt>
                  <c:pt idx="946">
                    <c:v>79</c:v>
                  </c:pt>
                  <c:pt idx="947">
                    <c:v>99</c:v>
                  </c:pt>
                  <c:pt idx="948">
                    <c:v>137</c:v>
                  </c:pt>
                  <c:pt idx="949">
                    <c:v>168</c:v>
                  </c:pt>
                  <c:pt idx="950">
                    <c:v>270</c:v>
                  </c:pt>
                  <c:pt idx="951">
                    <c:v>424</c:v>
                  </c:pt>
                  <c:pt idx="952">
                    <c:v>576</c:v>
                  </c:pt>
                  <c:pt idx="953">
                    <c:v>34</c:v>
                  </c:pt>
                  <c:pt idx="954">
                    <c:v>54</c:v>
                  </c:pt>
                  <c:pt idx="955">
                    <c:v>114</c:v>
                  </c:pt>
                  <c:pt idx="956">
                    <c:v>253</c:v>
                  </c:pt>
                  <c:pt idx="957">
                    <c:v>471</c:v>
                  </c:pt>
                  <c:pt idx="958">
                    <c:v>790</c:v>
                  </c:pt>
                  <c:pt idx="960">
                    <c:v>556</c:v>
                  </c:pt>
                  <c:pt idx="962">
                    <c:v>486</c:v>
                  </c:pt>
                  <c:pt idx="963">
                    <c:v>98</c:v>
                  </c:pt>
                  <c:pt idx="964">
                    <c:v>128</c:v>
                  </c:pt>
                  <c:pt idx="965">
                    <c:v>190</c:v>
                  </c:pt>
                  <c:pt idx="966">
                    <c:v>68</c:v>
                  </c:pt>
                  <c:pt idx="967">
                    <c:v>224</c:v>
                  </c:pt>
                  <c:pt idx="968">
                    <c:v>63</c:v>
                  </c:pt>
                  <c:pt idx="969">
                    <c:v>99</c:v>
                  </c:pt>
                  <c:pt idx="971">
                    <c:v>1185</c:v>
                  </c:pt>
                  <c:pt idx="972">
                    <c:v>1809</c:v>
                  </c:pt>
                  <c:pt idx="973">
                    <c:v>2835</c:v>
                  </c:pt>
                  <c:pt idx="974">
                    <c:v>256</c:v>
                  </c:pt>
                  <c:pt idx="975">
                    <c:v>256</c:v>
                  </c:pt>
                  <c:pt idx="976">
                    <c:v>295</c:v>
                  </c:pt>
                  <c:pt idx="977">
                    <c:v>150</c:v>
                  </c:pt>
                  <c:pt idx="978">
                    <c:v>1015</c:v>
                  </c:pt>
                  <c:pt idx="979">
                    <c:v>2300</c:v>
                  </c:pt>
                  <c:pt idx="980">
                    <c:v>537</c:v>
                  </c:pt>
                  <c:pt idx="981">
                    <c:v>897</c:v>
                  </c:pt>
                  <c:pt idx="983">
                    <c:v>110</c:v>
                  </c:pt>
                  <c:pt idx="984">
                    <c:v>13,56</c:v>
                  </c:pt>
                  <c:pt idx="985">
                    <c:v>3,32</c:v>
                  </c:pt>
                  <c:pt idx="986">
                    <c:v>814</c:v>
                  </c:pt>
                  <c:pt idx="987">
                    <c:v>624</c:v>
                  </c:pt>
                  <c:pt idx="988">
                    <c:v>1,73</c:v>
                  </c:pt>
                  <c:pt idx="989">
                    <c:v>1</c:v>
                  </c:pt>
                  <c:pt idx="990">
                    <c:v>506</c:v>
                  </c:pt>
                  <c:pt idx="991">
                    <c:v>519</c:v>
                  </c:pt>
                  <c:pt idx="992">
                    <c:v>64,6</c:v>
                  </c:pt>
                  <c:pt idx="993">
                    <c:v>79</c:v>
                  </c:pt>
                  <c:pt idx="994">
                    <c:v>67,15</c:v>
                  </c:pt>
                  <c:pt idx="995">
                    <c:v>89,26</c:v>
                  </c:pt>
                  <c:pt idx="996">
                    <c:v>76</c:v>
                  </c:pt>
                  <c:pt idx="997">
                    <c:v>52</c:v>
                  </c:pt>
                  <c:pt idx="998">
                    <c:v>75</c:v>
                  </c:pt>
                  <c:pt idx="999">
                    <c:v>130</c:v>
                  </c:pt>
                  <c:pt idx="1000">
                    <c:v>65</c:v>
                  </c:pt>
                  <c:pt idx="1001">
                    <c:v>130</c:v>
                  </c:pt>
                  <c:pt idx="1002">
                    <c:v>23</c:v>
                  </c:pt>
                  <c:pt idx="1003">
                    <c:v>487</c:v>
                  </c:pt>
                  <c:pt idx="1004">
                    <c:v>87</c:v>
                  </c:pt>
                  <c:pt idx="1005">
                    <c:v>114</c:v>
                  </c:pt>
                  <c:pt idx="1006">
                    <c:v>163</c:v>
                  </c:pt>
                  <c:pt idx="1007">
                    <c:v>245</c:v>
                  </c:pt>
                  <c:pt idx="1008">
                    <c:v>356</c:v>
                  </c:pt>
                  <c:pt idx="1009">
                    <c:v>487</c:v>
                  </c:pt>
                  <c:pt idx="1010">
                    <c:v>612</c:v>
                  </c:pt>
                  <c:pt idx="1011">
                    <c:v>375</c:v>
                  </c:pt>
                  <c:pt idx="1012">
                    <c:v>22,09</c:v>
                  </c:pt>
                  <c:pt idx="1013">
                    <c:v>824</c:v>
                  </c:pt>
                  <c:pt idx="1014">
                    <c:v>597</c:v>
                  </c:pt>
                  <c:pt idx="1015">
                    <c:v>546</c:v>
                  </c:pt>
                  <c:pt idx="1016">
                    <c:v>378</c:v>
                  </c:pt>
                  <c:pt idx="1017">
                    <c:v>726</c:v>
                  </c:pt>
                  <c:pt idx="1018">
                    <c:v>86</c:v>
                  </c:pt>
                  <c:pt idx="1019">
                    <c:v>198</c:v>
                  </c:pt>
                  <c:pt idx="1020">
                    <c:v>358</c:v>
                  </c:pt>
                  <c:pt idx="1021">
                    <c:v>555</c:v>
                  </c:pt>
                  <c:pt idx="1022">
                    <c:v>75</c:v>
                  </c:pt>
                  <c:pt idx="1023">
                    <c:v>145</c:v>
                  </c:pt>
                  <c:pt idx="1024">
                    <c:v>120</c:v>
                  </c:pt>
                  <c:pt idx="1025">
                    <c:v>140</c:v>
                  </c:pt>
                  <c:pt idx="1026">
                    <c:v>90</c:v>
                  </c:pt>
                  <c:pt idx="1027">
                    <c:v>102</c:v>
                  </c:pt>
                  <c:pt idx="1028">
                    <c:v>170</c:v>
                  </c:pt>
                  <c:pt idx="1029">
                    <c:v>234</c:v>
                  </c:pt>
                  <c:pt idx="1030">
                    <c:v>149</c:v>
                  </c:pt>
                  <c:pt idx="1031">
                    <c:v>195</c:v>
                  </c:pt>
                  <c:pt idx="1032">
                    <c:v>270</c:v>
                  </c:pt>
                  <c:pt idx="1033">
                    <c:v>62</c:v>
                  </c:pt>
                  <c:pt idx="1034">
                    <c:v>24,23</c:v>
                  </c:pt>
                  <c:pt idx="1035">
                    <c:v>45</c:v>
                  </c:pt>
                  <c:pt idx="1036">
                    <c:v>63</c:v>
                  </c:pt>
                  <c:pt idx="1037">
                    <c:v>75</c:v>
                  </c:pt>
                  <c:pt idx="1038">
                    <c:v>99</c:v>
                  </c:pt>
                  <c:pt idx="1039">
                    <c:v>137</c:v>
                  </c:pt>
                  <c:pt idx="1040">
                    <c:v>168</c:v>
                  </c:pt>
                  <c:pt idx="1041">
                    <c:v>270</c:v>
                  </c:pt>
                  <c:pt idx="1042">
                    <c:v>342</c:v>
                  </c:pt>
                  <c:pt idx="1043">
                    <c:v>424</c:v>
                  </c:pt>
                  <c:pt idx="1044">
                    <c:v>576</c:v>
                  </c:pt>
                  <c:pt idx="1045">
                    <c:v>755</c:v>
                  </c:pt>
                  <c:pt idx="1046">
                    <c:v>1185</c:v>
                  </c:pt>
                  <c:pt idx="1047">
                    <c:v>59</c:v>
                  </c:pt>
                  <c:pt idx="1048">
                    <c:v>117</c:v>
                  </c:pt>
                  <c:pt idx="1049">
                    <c:v>376</c:v>
                  </c:pt>
                  <c:pt idx="1050">
                    <c:v>10,57</c:v>
                  </c:pt>
                  <c:pt idx="1051">
                    <c:v>19,82</c:v>
                  </c:pt>
                  <c:pt idx="1052">
                    <c:v>549,9</c:v>
                  </c:pt>
                  <c:pt idx="1053">
                    <c:v>59,9</c:v>
                  </c:pt>
                  <c:pt idx="1054">
                    <c:v>19</c:v>
                  </c:pt>
                  <c:pt idx="1055">
                    <c:v>24</c:v>
                  </c:pt>
                  <c:pt idx="1056">
                    <c:v>30</c:v>
                  </c:pt>
                  <c:pt idx="1057">
                    <c:v>137</c:v>
                  </c:pt>
                  <c:pt idx="1058">
                    <c:v>83</c:v>
                  </c:pt>
                  <c:pt idx="1059">
                    <c:v>169</c:v>
                  </c:pt>
                  <c:pt idx="1060">
                    <c:v>174</c:v>
                  </c:pt>
                  <c:pt idx="1061">
                    <c:v>129</c:v>
                  </c:pt>
                  <c:pt idx="1062">
                    <c:v>94</c:v>
                  </c:pt>
                  <c:pt idx="1063">
                    <c:v>128</c:v>
                  </c:pt>
                  <c:pt idx="1064">
                    <c:v>142</c:v>
                  </c:pt>
                  <c:pt idx="1065">
                    <c:v>269</c:v>
                  </c:pt>
                  <c:pt idx="1066">
                    <c:v>173</c:v>
                  </c:pt>
                  <c:pt idx="1067">
                    <c:v>199,8</c:v>
                  </c:pt>
                  <c:pt idx="1068">
                    <c:v>257</c:v>
                  </c:pt>
                  <c:pt idx="1069">
                    <c:v>207</c:v>
                  </c:pt>
                  <c:pt idx="1070">
                    <c:v>153</c:v>
                  </c:pt>
                  <c:pt idx="1071">
                    <c:v>74</c:v>
                  </c:pt>
                  <c:pt idx="1072">
                    <c:v>130</c:v>
                  </c:pt>
                  <c:pt idx="1073">
                    <c:v>158</c:v>
                  </c:pt>
                  <c:pt idx="1074">
                    <c:v>202</c:v>
                  </c:pt>
                  <c:pt idx="1075">
                    <c:v>252</c:v>
                  </c:pt>
                  <c:pt idx="1076">
                    <c:v>278</c:v>
                  </c:pt>
                  <c:pt idx="1078">
                    <c:v>103</c:v>
                  </c:pt>
                  <c:pt idx="1079">
                    <c:v>84</c:v>
                  </c:pt>
                  <c:pt idx="1080">
                    <c:v>49</c:v>
                  </c:pt>
                  <c:pt idx="1081">
                    <c:v>104</c:v>
                  </c:pt>
                  <c:pt idx="1082">
                    <c:v>199</c:v>
                  </c:pt>
                  <c:pt idx="1083">
                    <c:v>265</c:v>
                  </c:pt>
                  <c:pt idx="1085">
                    <c:v>84</c:v>
                  </c:pt>
                  <c:pt idx="1086">
                    <c:v>86</c:v>
                  </c:pt>
                  <c:pt idx="1091">
                    <c:v>45,94</c:v>
                  </c:pt>
                  <c:pt idx="1092">
                    <c:v>230</c:v>
                  </c:pt>
                  <c:pt idx="1093">
                    <c:v>588</c:v>
                  </c:pt>
                  <c:pt idx="1094">
                    <c:v>291</c:v>
                  </c:pt>
                  <c:pt idx="1096">
                    <c:v>24,8</c:v>
                  </c:pt>
                  <c:pt idx="1097">
                    <c:v>10,88</c:v>
                  </c:pt>
                  <c:pt idx="1098">
                    <c:v>172</c:v>
                  </c:pt>
                  <c:pt idx="1099">
                    <c:v>153</c:v>
                  </c:pt>
                  <c:pt idx="1100">
                    <c:v>121</c:v>
                  </c:pt>
                  <c:pt idx="1101">
                    <c:v>154</c:v>
                  </c:pt>
                  <c:pt idx="1102">
                    <c:v>119</c:v>
                  </c:pt>
                  <c:pt idx="1103">
                    <c:v>126</c:v>
                  </c:pt>
                  <c:pt idx="1104">
                    <c:v>102</c:v>
                  </c:pt>
                  <c:pt idx="1105">
                    <c:v>216</c:v>
                  </c:pt>
                  <c:pt idx="1106">
                    <c:v>23</c:v>
                  </c:pt>
                  <c:pt idx="1107">
                    <c:v>97</c:v>
                  </c:pt>
                  <c:pt idx="1108">
                    <c:v>79</c:v>
                  </c:pt>
                  <c:pt idx="1109">
                    <c:v>4,8</c:v>
                  </c:pt>
                  <c:pt idx="1110">
                    <c:v>155</c:v>
                  </c:pt>
                  <c:pt idx="1111">
                    <c:v>95</c:v>
                  </c:pt>
                  <c:pt idx="1112">
                    <c:v>37</c:v>
                  </c:pt>
                  <c:pt idx="1113">
                    <c:v>27</c:v>
                  </c:pt>
                  <c:pt idx="1114">
                    <c:v>27</c:v>
                  </c:pt>
                  <c:pt idx="1115">
                    <c:v>4,8</c:v>
                  </c:pt>
                  <c:pt idx="1116">
                    <c:v>4,8</c:v>
                  </c:pt>
                  <c:pt idx="1117">
                    <c:v>2,8</c:v>
                  </c:pt>
                  <c:pt idx="1118">
                    <c:v>137</c:v>
                  </c:pt>
                  <c:pt idx="1119">
                    <c:v>60</c:v>
                  </c:pt>
                  <c:pt idx="1120">
                    <c:v>95</c:v>
                  </c:pt>
                  <c:pt idx="1121">
                    <c:v>184</c:v>
                  </c:pt>
                  <c:pt idx="1122">
                    <c:v>60</c:v>
                  </c:pt>
                  <c:pt idx="1123">
                    <c:v>95</c:v>
                  </c:pt>
                  <c:pt idx="1124">
                    <c:v>131</c:v>
                  </c:pt>
                  <c:pt idx="1125">
                    <c:v>211</c:v>
                  </c:pt>
                  <c:pt idx="1126">
                    <c:v>436</c:v>
                  </c:pt>
                  <c:pt idx="1127">
                    <c:v>160</c:v>
                  </c:pt>
                  <c:pt idx="1128">
                    <c:v>36</c:v>
                  </c:pt>
                  <c:pt idx="1129">
                    <c:v>38</c:v>
                  </c:pt>
                  <c:pt idx="1130">
                    <c:v>42</c:v>
                  </c:pt>
                  <c:pt idx="1131">
                    <c:v>47</c:v>
                  </c:pt>
                  <c:pt idx="1132">
                    <c:v>59</c:v>
                  </c:pt>
                  <c:pt idx="1133">
                    <c:v>78</c:v>
                  </c:pt>
                  <c:pt idx="1134">
                    <c:v>113</c:v>
                  </c:pt>
                  <c:pt idx="1135">
                    <c:v>133</c:v>
                  </c:pt>
                  <c:pt idx="1136">
                    <c:v>105</c:v>
                  </c:pt>
                  <c:pt idx="1137">
                    <c:v>131</c:v>
                  </c:pt>
                  <c:pt idx="1138">
                    <c:v>182</c:v>
                  </c:pt>
                  <c:pt idx="1139">
                    <c:v>249</c:v>
                  </c:pt>
                  <c:pt idx="1140">
                    <c:v>254</c:v>
                  </c:pt>
                  <c:pt idx="1141">
                    <c:v>432</c:v>
                  </c:pt>
                  <c:pt idx="1142">
                    <c:v>110</c:v>
                  </c:pt>
                  <c:pt idx="1143">
                    <c:v>177</c:v>
                  </c:pt>
                  <c:pt idx="1144">
                    <c:v>17,22</c:v>
                  </c:pt>
                  <c:pt idx="1145">
                    <c:v>160</c:v>
                  </c:pt>
                  <c:pt idx="1146">
                    <c:v>10,57</c:v>
                  </c:pt>
                  <c:pt idx="1147">
                    <c:v>194</c:v>
                  </c:pt>
                  <c:pt idx="1148">
                    <c:v>226</c:v>
                  </c:pt>
                  <c:pt idx="1149">
                    <c:v>79</c:v>
                  </c:pt>
                  <c:pt idx="1150">
                    <c:v>91</c:v>
                  </c:pt>
                  <c:pt idx="1151">
                    <c:v>73</c:v>
                  </c:pt>
                  <c:pt idx="1152">
                    <c:v>194</c:v>
                  </c:pt>
                  <c:pt idx="1153">
                    <c:v>249</c:v>
                  </c:pt>
                  <c:pt idx="1154">
                    <c:v>142</c:v>
                  </c:pt>
                  <c:pt idx="1155">
                    <c:v>256</c:v>
                  </c:pt>
                  <c:pt idx="1156">
                    <c:v>102</c:v>
                  </c:pt>
                  <c:pt idx="1157">
                    <c:v>84</c:v>
                  </c:pt>
                  <c:pt idx="1158">
                    <c:v>44</c:v>
                  </c:pt>
                  <c:pt idx="1159">
                    <c:v>54</c:v>
                  </c:pt>
                  <c:pt idx="1160">
                    <c:v>279</c:v>
                  </c:pt>
                  <c:pt idx="1161">
                    <c:v>51</c:v>
                  </c:pt>
                  <c:pt idx="1162">
                    <c:v>142</c:v>
                  </c:pt>
                  <c:pt idx="1163">
                    <c:v>68</c:v>
                  </c:pt>
                  <c:pt idx="1164">
                    <c:v>90</c:v>
                  </c:pt>
                  <c:pt idx="1165">
                    <c:v>130</c:v>
                  </c:pt>
                  <c:pt idx="1166">
                    <c:v>58</c:v>
                  </c:pt>
                  <c:pt idx="1167">
                    <c:v>38</c:v>
                  </c:pt>
                  <c:pt idx="1168">
                    <c:v>64</c:v>
                  </c:pt>
                  <c:pt idx="1169">
                    <c:v>64</c:v>
                  </c:pt>
                  <c:pt idx="1170">
                    <c:v>31</c:v>
                  </c:pt>
                  <c:pt idx="1171">
                    <c:v>11</c:v>
                  </c:pt>
                  <c:pt idx="1172">
                    <c:v>17</c:v>
                  </c:pt>
                  <c:pt idx="1173">
                    <c:v>35</c:v>
                  </c:pt>
                  <c:pt idx="1174">
                    <c:v>39</c:v>
                  </c:pt>
                  <c:pt idx="1175">
                    <c:v>41</c:v>
                  </c:pt>
                  <c:pt idx="1176">
                    <c:v>49</c:v>
                  </c:pt>
                  <c:pt idx="1177">
                    <c:v>145</c:v>
                  </c:pt>
                  <c:pt idx="1178">
                    <c:v>19</c:v>
                  </c:pt>
                  <c:pt idx="1179">
                    <c:v>21</c:v>
                  </c:pt>
                  <c:pt idx="1180">
                    <c:v>25</c:v>
                  </c:pt>
                  <c:pt idx="1181">
                    <c:v>15</c:v>
                  </c:pt>
                  <c:pt idx="1182">
                    <c:v>698</c:v>
                  </c:pt>
                  <c:pt idx="1183">
                    <c:v>524</c:v>
                  </c:pt>
                  <c:pt idx="1184">
                    <c:v>85</c:v>
                  </c:pt>
                  <c:pt idx="1185">
                    <c:v>145</c:v>
                  </c:pt>
                  <c:pt idx="1186">
                    <c:v>234</c:v>
                  </c:pt>
                  <c:pt idx="1187">
                    <c:v>214</c:v>
                  </c:pt>
                  <c:pt idx="1188">
                    <c:v>339</c:v>
                  </c:pt>
                  <c:pt idx="1189">
                    <c:v>177</c:v>
                  </c:pt>
                  <c:pt idx="1190">
                    <c:v>91</c:v>
                  </c:pt>
                  <c:pt idx="1191">
                    <c:v>123</c:v>
                  </c:pt>
                  <c:pt idx="1192">
                    <c:v>388</c:v>
                  </c:pt>
                  <c:pt idx="1193">
                    <c:v>186</c:v>
                  </c:pt>
                  <c:pt idx="1194">
                    <c:v>257</c:v>
                  </c:pt>
                  <c:pt idx="1195">
                    <c:v>257</c:v>
                  </c:pt>
                  <c:pt idx="1196">
                    <c:v>144</c:v>
                  </c:pt>
                  <c:pt idx="1197">
                    <c:v>324</c:v>
                  </c:pt>
                  <c:pt idx="1198">
                    <c:v>107,92</c:v>
                  </c:pt>
                  <c:pt idx="1199">
                    <c:v>38</c:v>
                  </c:pt>
                  <c:pt idx="1200">
                    <c:v>47</c:v>
                  </c:pt>
                  <c:pt idx="1201">
                    <c:v>184</c:v>
                  </c:pt>
                  <c:pt idx="1202">
                    <c:v>319</c:v>
                  </c:pt>
                  <c:pt idx="1203">
                    <c:v>40</c:v>
                  </c:pt>
                  <c:pt idx="1204">
                    <c:v>38</c:v>
                  </c:pt>
                  <c:pt idx="1205">
                    <c:v>47</c:v>
                  </c:pt>
                  <c:pt idx="1206">
                    <c:v>120</c:v>
                  </c:pt>
                  <c:pt idx="1207">
                    <c:v>129</c:v>
                  </c:pt>
                  <c:pt idx="1208">
                    <c:v>296</c:v>
                  </c:pt>
                  <c:pt idx="1209">
                    <c:v>169</c:v>
                  </c:pt>
                  <c:pt idx="1210">
                    <c:v>99</c:v>
                  </c:pt>
                  <c:pt idx="1211">
                    <c:v>55</c:v>
                  </c:pt>
                  <c:pt idx="1212">
                    <c:v>77</c:v>
                  </c:pt>
                  <c:pt idx="1213">
                    <c:v>62</c:v>
                  </c:pt>
                  <c:pt idx="1214">
                    <c:v>94</c:v>
                  </c:pt>
                  <c:pt idx="1215">
                    <c:v>105</c:v>
                  </c:pt>
                  <c:pt idx="1216">
                    <c:v>190</c:v>
                  </c:pt>
                  <c:pt idx="1217">
                    <c:v>326</c:v>
                  </c:pt>
                  <c:pt idx="1218">
                    <c:v>5,12</c:v>
                  </c:pt>
                  <c:pt idx="1219">
                    <c:v>3,13</c:v>
                  </c:pt>
                  <c:pt idx="1220">
                    <c:v>1,5</c:v>
                  </c:pt>
                  <c:pt idx="1221">
                    <c:v>1,81</c:v>
                  </c:pt>
                  <c:pt idx="1222">
                    <c:v>7,21</c:v>
                  </c:pt>
                  <c:pt idx="1223">
                    <c:v>2078,7</c:v>
                  </c:pt>
                  <c:pt idx="1224">
                    <c:v>163</c:v>
                  </c:pt>
                  <c:pt idx="1225">
                    <c:v>133</c:v>
                  </c:pt>
                  <c:pt idx="1226">
                    <c:v>101</c:v>
                  </c:pt>
                  <c:pt idx="1227">
                    <c:v>93</c:v>
                  </c:pt>
                  <c:pt idx="1228">
                    <c:v>59</c:v>
                  </c:pt>
                  <c:pt idx="1229">
                    <c:v>39</c:v>
                  </c:pt>
                  <c:pt idx="1230">
                    <c:v>99</c:v>
                  </c:pt>
                  <c:pt idx="1231">
                    <c:v>76</c:v>
                  </c:pt>
                  <c:pt idx="1232">
                    <c:v>57</c:v>
                  </c:pt>
                  <c:pt idx="1233">
                    <c:v>56</c:v>
                  </c:pt>
                  <c:pt idx="1234">
                    <c:v>125</c:v>
                  </c:pt>
                  <c:pt idx="1235">
                    <c:v>190</c:v>
                  </c:pt>
                  <c:pt idx="1236">
                    <c:v>295</c:v>
                  </c:pt>
                  <c:pt idx="1237">
                    <c:v>44</c:v>
                  </c:pt>
                  <c:pt idx="1238">
                    <c:v>51</c:v>
                  </c:pt>
                  <c:pt idx="1239">
                    <c:v>66</c:v>
                  </c:pt>
                  <c:pt idx="1240">
                    <c:v>160</c:v>
                  </c:pt>
                  <c:pt idx="1241">
                    <c:v>32</c:v>
                  </c:pt>
                  <c:pt idx="1242">
                    <c:v>36</c:v>
                  </c:pt>
                  <c:pt idx="1243">
                    <c:v>45</c:v>
                  </c:pt>
                  <c:pt idx="1244">
                    <c:v>124</c:v>
                  </c:pt>
                  <c:pt idx="1245">
                    <c:v>69,9</c:v>
                  </c:pt>
                  <c:pt idx="1246">
                    <c:v>38</c:v>
                  </c:pt>
                  <c:pt idx="1247">
                    <c:v>39,9</c:v>
                  </c:pt>
                  <c:pt idx="1248">
                    <c:v>99,9</c:v>
                  </c:pt>
                  <c:pt idx="1249">
                    <c:v>28,9</c:v>
                  </c:pt>
                  <c:pt idx="1250">
                    <c:v>22,09</c:v>
                  </c:pt>
                  <c:pt idx="1251">
                    <c:v>89,9</c:v>
                  </c:pt>
                  <c:pt idx="1252">
                    <c:v>39,1</c:v>
                  </c:pt>
                  <c:pt idx="1253">
                    <c:v>74</c:v>
                  </c:pt>
                  <c:pt idx="1254">
                    <c:v>49,9</c:v>
                  </c:pt>
                  <c:pt idx="1255">
                    <c:v>240</c:v>
                  </c:pt>
                  <c:pt idx="1256">
                    <c:v>250</c:v>
                  </c:pt>
                  <c:pt idx="1257">
                    <c:v>78</c:v>
                  </c:pt>
                  <c:pt idx="1258">
                    <c:v>80</c:v>
                  </c:pt>
                  <c:pt idx="1259">
                    <c:v>72</c:v>
                  </c:pt>
                  <c:pt idx="1260">
                    <c:v>51</c:v>
                  </c:pt>
                  <c:pt idx="1261">
                    <c:v>636</c:v>
                  </c:pt>
                  <c:pt idx="1262">
                    <c:v>199</c:v>
                  </c:pt>
                  <c:pt idx="1263">
                    <c:v>119</c:v>
                  </c:pt>
                  <c:pt idx="1264">
                    <c:v>6</c:v>
                  </c:pt>
                  <c:pt idx="1265">
                    <c:v>4</c:v>
                  </c:pt>
                  <c:pt idx="1266">
                    <c:v>150</c:v>
                  </c:pt>
                  <c:pt idx="1267">
                    <c:v>52</c:v>
                  </c:pt>
                  <c:pt idx="1268">
                    <c:v>78</c:v>
                  </c:pt>
                  <c:pt idx="1269">
                    <c:v>105</c:v>
                  </c:pt>
                  <c:pt idx="1270">
                    <c:v>157</c:v>
                  </c:pt>
                  <c:pt idx="1271">
                    <c:v>249</c:v>
                  </c:pt>
                  <c:pt idx="1272">
                    <c:v>326</c:v>
                  </c:pt>
                  <c:pt idx="1273">
                    <c:v>80</c:v>
                  </c:pt>
                  <c:pt idx="1274">
                    <c:v>66</c:v>
                  </c:pt>
                  <c:pt idx="1275">
                    <c:v>94</c:v>
                  </c:pt>
                  <c:pt idx="1276">
                    <c:v>140</c:v>
                  </c:pt>
                  <c:pt idx="1277">
                    <c:v>184</c:v>
                  </c:pt>
                  <c:pt idx="1278">
                    <c:v>68</c:v>
                  </c:pt>
                  <c:pt idx="1279">
                    <c:v>339</c:v>
                  </c:pt>
                  <c:pt idx="1280">
                    <c:v>252</c:v>
                  </c:pt>
                  <c:pt idx="1281">
                    <c:v>217</c:v>
                  </c:pt>
                  <c:pt idx="1282">
                    <c:v>79</c:v>
                  </c:pt>
                  <c:pt idx="1283">
                    <c:v>458</c:v>
                  </c:pt>
                  <c:pt idx="1284">
                    <c:v>297</c:v>
                  </c:pt>
                  <c:pt idx="1285">
                    <c:v>87</c:v>
                  </c:pt>
                  <c:pt idx="1286">
                    <c:v>115</c:v>
                  </c:pt>
                  <c:pt idx="1287">
                    <c:v>209</c:v>
                  </c:pt>
                  <c:pt idx="1288">
                    <c:v>290</c:v>
                  </c:pt>
                  <c:pt idx="1289">
                    <c:v>22</c:v>
                  </c:pt>
                  <c:pt idx="1290">
                    <c:v>450,8</c:v>
                  </c:pt>
                  <c:pt idx="1291">
                    <c:v>614,75</c:v>
                  </c:pt>
                  <c:pt idx="1292">
                    <c:v>112</c:v>
                  </c:pt>
                  <c:pt idx="1293">
                    <c:v>16</c:v>
                  </c:pt>
                  <c:pt idx="1294">
                    <c:v>27</c:v>
                  </c:pt>
                  <c:pt idx="1295">
                    <c:v>42</c:v>
                  </c:pt>
                  <c:pt idx="1296">
                    <c:v>56</c:v>
                  </c:pt>
                  <c:pt idx="1297">
                    <c:v>8</c:v>
                  </c:pt>
                  <c:pt idx="1298">
                    <c:v>11</c:v>
                  </c:pt>
                  <c:pt idx="1299">
                    <c:v>14</c:v>
                  </c:pt>
                  <c:pt idx="1300">
                    <c:v>16</c:v>
                  </c:pt>
                  <c:pt idx="1302">
                    <c:v>7,26</c:v>
                  </c:pt>
                  <c:pt idx="1303">
                    <c:v>11</c:v>
                  </c:pt>
                  <c:pt idx="1304">
                    <c:v>14,85</c:v>
                  </c:pt>
                  <c:pt idx="1305">
                    <c:v>18,7</c:v>
                  </c:pt>
                  <c:pt idx="1306">
                    <c:v>12,1</c:v>
                  </c:pt>
                  <c:pt idx="1307">
                    <c:v>16,5</c:v>
                  </c:pt>
                  <c:pt idx="1308">
                    <c:v>17,05</c:v>
                  </c:pt>
                  <c:pt idx="1309">
                    <c:v>21,67</c:v>
                  </c:pt>
                  <c:pt idx="1310">
                    <c:v>37,95</c:v>
                  </c:pt>
                  <c:pt idx="1311">
                    <c:v>10,45</c:v>
                  </c:pt>
                  <c:pt idx="1312">
                    <c:v>39,6</c:v>
                  </c:pt>
                  <c:pt idx="1313">
                    <c:v>52,8</c:v>
                  </c:pt>
                  <c:pt idx="1314">
                    <c:v>1,21</c:v>
                  </c:pt>
                  <c:pt idx="1319">
                    <c:v>1218</c:v>
                  </c:pt>
                  <c:pt idx="1320">
                    <c:v>600</c:v>
                  </c:pt>
                  <c:pt idx="1321">
                    <c:v>495</c:v>
                  </c:pt>
                  <c:pt idx="1322">
                    <c:v>800</c:v>
                  </c:pt>
                  <c:pt idx="1323">
                    <c:v>574</c:v>
                  </c:pt>
                  <c:pt idx="1324">
                    <c:v>920</c:v>
                  </c:pt>
                  <c:pt idx="1325">
                    <c:v>1008</c:v>
                  </c:pt>
                  <c:pt idx="1328">
                    <c:v>0</c:v>
                  </c:pt>
                  <c:pt idx="1329">
                    <c:v>1035</c:v>
                  </c:pt>
                  <c:pt idx="1330">
                    <c:v>1012</c:v>
                  </c:pt>
                  <c:pt idx="1331">
                    <c:v>1653</c:v>
                  </c:pt>
                  <c:pt idx="1332">
                    <c:v>2280</c:v>
                  </c:pt>
                  <c:pt idx="1335">
                    <c:v>960</c:v>
                  </c:pt>
                  <c:pt idx="1339">
                    <c:v>720</c:v>
                  </c:pt>
                  <c:pt idx="1340">
                    <c:v>1520</c:v>
                  </c:pt>
                  <c:pt idx="1341">
                    <c:v>3760</c:v>
                  </c:pt>
                  <c:pt idx="1348">
                    <c:v>1273</c:v>
                  </c:pt>
                  <c:pt idx="1349">
                    <c:v>1247</c:v>
                  </c:pt>
                  <c:pt idx="1353">
                    <c:v>22</c:v>
                  </c:pt>
                  <c:pt idx="1355">
                    <c:v>836</c:v>
                  </c:pt>
                  <c:pt idx="1356">
                    <c:v>1232</c:v>
                  </c:pt>
                  <c:pt idx="1357">
                    <c:v>1934</c:v>
                  </c:pt>
                  <c:pt idx="1358">
                    <c:v>800</c:v>
                  </c:pt>
                  <c:pt idx="1359">
                    <c:v>153</c:v>
                  </c:pt>
                  <c:pt idx="1360">
                    <c:v>1281</c:v>
                  </c:pt>
                  <c:pt idx="1361">
                    <c:v>125</c:v>
                  </c:pt>
                  <c:pt idx="1362">
                    <c:v>100</c:v>
                  </c:pt>
                  <c:pt idx="1363">
                    <c:v>69</c:v>
                  </c:pt>
                  <c:pt idx="1364">
                    <c:v>115</c:v>
                  </c:pt>
                  <c:pt idx="1365">
                    <c:v>24</c:v>
                  </c:pt>
                  <c:pt idx="1366">
                    <c:v>31</c:v>
                  </c:pt>
                  <c:pt idx="1367">
                    <c:v>44</c:v>
                  </c:pt>
                  <c:pt idx="1368">
                    <c:v>56</c:v>
                  </c:pt>
                  <c:pt idx="1369">
                    <c:v>81</c:v>
                  </c:pt>
                  <c:pt idx="1370">
                    <c:v>20</c:v>
                  </c:pt>
                  <c:pt idx="1371">
                    <c:v>26</c:v>
                  </c:pt>
                  <c:pt idx="1372">
                    <c:v>30</c:v>
                  </c:pt>
                  <c:pt idx="1373">
                    <c:v>45</c:v>
                  </c:pt>
                  <c:pt idx="1374">
                    <c:v>647,54</c:v>
                  </c:pt>
                  <c:pt idx="1375">
                    <c:v>209</c:v>
                  </c:pt>
                  <c:pt idx="1376">
                    <c:v>7</c:v>
                  </c:pt>
                  <c:pt idx="1377">
                    <c:v>18,37</c:v>
                  </c:pt>
                  <c:pt idx="1378">
                    <c:v>31,89</c:v>
                  </c:pt>
                  <c:pt idx="1379">
                    <c:v>42</c:v>
                  </c:pt>
                  <c:pt idx="1380">
                    <c:v>38</c:v>
                  </c:pt>
                  <c:pt idx="1381">
                    <c:v>47</c:v>
                  </c:pt>
                  <c:pt idx="1382">
                    <c:v>8</c:v>
                  </c:pt>
                  <c:pt idx="1383">
                    <c:v>12</c:v>
                  </c:pt>
                  <c:pt idx="1384">
                    <c:v>9</c:v>
                  </c:pt>
                  <c:pt idx="1385">
                    <c:v>9</c:v>
                  </c:pt>
                  <c:pt idx="1386">
                    <c:v>48,46</c:v>
                  </c:pt>
                  <c:pt idx="1388">
                    <c:v>80</c:v>
                  </c:pt>
                  <c:pt idx="1389">
                    <c:v>138</c:v>
                  </c:pt>
                  <c:pt idx="1390">
                    <c:v>192</c:v>
                  </c:pt>
                  <c:pt idx="1391">
                    <c:v>259</c:v>
                  </c:pt>
                  <c:pt idx="1392">
                    <c:v>59</c:v>
                  </c:pt>
                  <c:pt idx="1393">
                    <c:v>138</c:v>
                  </c:pt>
                  <c:pt idx="1394">
                    <c:v>285</c:v>
                  </c:pt>
                  <c:pt idx="1395">
                    <c:v>739</c:v>
                  </c:pt>
                  <c:pt idx="1398">
                    <c:v>254</c:v>
                  </c:pt>
                  <c:pt idx="1399">
                    <c:v>3,93</c:v>
                  </c:pt>
                  <c:pt idx="1400">
                    <c:v>162</c:v>
                  </c:pt>
                  <c:pt idx="1401">
                    <c:v>235</c:v>
                  </c:pt>
                  <c:pt idx="1402">
                    <c:v>127,1</c:v>
                  </c:pt>
                  <c:pt idx="1403">
                    <c:v>137</c:v>
                  </c:pt>
                  <c:pt idx="1404">
                    <c:v>94</c:v>
                  </c:pt>
                  <c:pt idx="1405">
                    <c:v>662</c:v>
                  </c:pt>
                  <c:pt idx="1406">
                    <c:v>270</c:v>
                  </c:pt>
                  <c:pt idx="1407">
                    <c:v>80</c:v>
                  </c:pt>
                  <c:pt idx="1408">
                    <c:v>25</c:v>
                  </c:pt>
                  <c:pt idx="1409">
                    <c:v>31</c:v>
                  </c:pt>
                  <c:pt idx="1410">
                    <c:v>46</c:v>
                  </c:pt>
                  <c:pt idx="1411">
                    <c:v>59</c:v>
                  </c:pt>
                  <c:pt idx="1412">
                    <c:v>67</c:v>
                  </c:pt>
                  <c:pt idx="1413">
                    <c:v>89</c:v>
                  </c:pt>
                  <c:pt idx="1414">
                    <c:v>140</c:v>
                  </c:pt>
                  <c:pt idx="1415">
                    <c:v>185</c:v>
                  </c:pt>
                  <c:pt idx="1416">
                    <c:v>340</c:v>
                  </c:pt>
                  <c:pt idx="1417">
                    <c:v>446</c:v>
                  </c:pt>
                  <c:pt idx="1418">
                    <c:v>990</c:v>
                  </c:pt>
                  <c:pt idx="1419">
                    <c:v>28</c:v>
                  </c:pt>
                  <c:pt idx="1420">
                    <c:v>36</c:v>
                  </c:pt>
                  <c:pt idx="1421">
                    <c:v>40</c:v>
                  </c:pt>
                  <c:pt idx="1422">
                    <c:v>52</c:v>
                  </c:pt>
                  <c:pt idx="1423">
                    <c:v>55</c:v>
                  </c:pt>
                  <c:pt idx="1424">
                    <c:v>57,4</c:v>
                  </c:pt>
                  <c:pt idx="1425">
                    <c:v>71</c:v>
                  </c:pt>
                  <c:pt idx="1426">
                    <c:v>84</c:v>
                  </c:pt>
                  <c:pt idx="1427">
                    <c:v>180,6</c:v>
                  </c:pt>
                  <c:pt idx="1428">
                    <c:v>212</c:v>
                  </c:pt>
                  <c:pt idx="1429">
                    <c:v>317</c:v>
                  </c:pt>
                  <c:pt idx="1430">
                    <c:v>199</c:v>
                  </c:pt>
                  <c:pt idx="1431">
                    <c:v>299</c:v>
                  </c:pt>
                  <c:pt idx="1432">
                    <c:v>259</c:v>
                  </c:pt>
                  <c:pt idx="1433">
                    <c:v>69</c:v>
                  </c:pt>
                  <c:pt idx="1434">
                    <c:v>106</c:v>
                  </c:pt>
                  <c:pt idx="1435">
                    <c:v>269,9</c:v>
                  </c:pt>
                  <c:pt idx="1436">
                    <c:v>11,4</c:v>
                  </c:pt>
                  <c:pt idx="1437">
                    <c:v>285</c:v>
                  </c:pt>
                  <c:pt idx="1438">
                    <c:v>288,6</c:v>
                  </c:pt>
                  <c:pt idx="1439">
                    <c:v>11,7</c:v>
                  </c:pt>
                  <c:pt idx="1440">
                    <c:v>68,03</c:v>
                  </c:pt>
                  <c:pt idx="1441">
                    <c:v>57,6</c:v>
                  </c:pt>
                  <c:pt idx="1442">
                    <c:v>62,32</c:v>
                  </c:pt>
                  <c:pt idx="1443">
                    <c:v>38,124</c:v>
                  </c:pt>
                  <c:pt idx="1446">
                    <c:v>0</c:v>
                  </c:pt>
                  <c:pt idx="1449">
                    <c:v>166</c:v>
                  </c:pt>
                  <c:pt idx="1450">
                    <c:v>189</c:v>
                  </c:pt>
                  <c:pt idx="1451">
                    <c:v>180</c:v>
                  </c:pt>
                  <c:pt idx="1452">
                    <c:v>199,9</c:v>
                  </c:pt>
                  <c:pt idx="1453">
                    <c:v>499,9</c:v>
                  </c:pt>
                  <c:pt idx="1454">
                    <c:v>199,9</c:v>
                  </c:pt>
                  <c:pt idx="1455">
                    <c:v>249,9</c:v>
                  </c:pt>
                  <c:pt idx="1456">
                    <c:v>269,9</c:v>
                  </c:pt>
                  <c:pt idx="1457">
                    <c:v>269,9</c:v>
                  </c:pt>
                  <c:pt idx="1458">
                    <c:v>199,9</c:v>
                  </c:pt>
                  <c:pt idx="1459">
                    <c:v>650</c:v>
                  </c:pt>
                  <c:pt idx="1460">
                    <c:v>70</c:v>
                  </c:pt>
                  <c:pt idx="1461">
                    <c:v>65</c:v>
                  </c:pt>
                  <c:pt idx="1462">
                    <c:v>14,9</c:v>
                  </c:pt>
                  <c:pt idx="1463">
                    <c:v>632</c:v>
                  </c:pt>
                  <c:pt idx="1464">
                    <c:v>5,3</c:v>
                  </c:pt>
                  <c:pt idx="1465">
                    <c:v>79,9</c:v>
                  </c:pt>
                  <c:pt idx="1466">
                    <c:v>71</c:v>
                  </c:pt>
                  <c:pt idx="1467">
                    <c:v>80</c:v>
                  </c:pt>
                  <c:pt idx="1468">
                    <c:v>138,71</c:v>
                  </c:pt>
                  <c:pt idx="1469">
                    <c:v>41</c:v>
                  </c:pt>
                  <c:pt idx="1470">
                    <c:v>179,9</c:v>
                  </c:pt>
                  <c:pt idx="1474">
                    <c:v>380</c:v>
                  </c:pt>
                  <c:pt idx="1475">
                    <c:v>130</c:v>
                  </c:pt>
                  <c:pt idx="1476">
                    <c:v>760</c:v>
                  </c:pt>
                  <c:pt idx="1477">
                    <c:v>0</c:v>
                  </c:pt>
                  <c:pt idx="1478">
                    <c:v>29</c:v>
                  </c:pt>
                  <c:pt idx="1479">
                    <c:v>240</c:v>
                  </c:pt>
                  <c:pt idx="1480">
                    <c:v>79</c:v>
                  </c:pt>
                  <c:pt idx="1481">
                    <c:v>20</c:v>
                  </c:pt>
                  <c:pt idx="1482">
                    <c:v>890</c:v>
                  </c:pt>
                  <c:pt idx="1483">
                    <c:v>1225</c:v>
                  </c:pt>
                  <c:pt idx="1484">
                    <c:v>399,9</c:v>
                  </c:pt>
                  <c:pt idx="1485">
                    <c:v>1200</c:v>
                  </c:pt>
                  <c:pt idx="1486">
                    <c:v>2320</c:v>
                  </c:pt>
                  <c:pt idx="1487">
                    <c:v>58</c:v>
                  </c:pt>
                  <c:pt idx="1488">
                    <c:v>83</c:v>
                  </c:pt>
                  <c:pt idx="1489">
                    <c:v>48</c:v>
                  </c:pt>
                  <c:pt idx="1490">
                    <c:v>130</c:v>
                  </c:pt>
                  <c:pt idx="1491">
                    <c:v>59,9</c:v>
                  </c:pt>
                  <c:pt idx="1492">
                    <c:v>59,9</c:v>
                  </c:pt>
                  <c:pt idx="1493">
                    <c:v>59,9</c:v>
                  </c:pt>
                  <c:pt idx="1494">
                    <c:v>49,9</c:v>
                  </c:pt>
                  <c:pt idx="1495">
                    <c:v>129,9</c:v>
                  </c:pt>
                  <c:pt idx="1496">
                    <c:v>49,9</c:v>
                  </c:pt>
                  <c:pt idx="1497">
                    <c:v>149,09</c:v>
                  </c:pt>
                  <c:pt idx="1498">
                    <c:v>188</c:v>
                  </c:pt>
                  <c:pt idx="1499">
                    <c:v>17,68</c:v>
                  </c:pt>
                  <c:pt idx="1500">
                    <c:v>39,1</c:v>
                  </c:pt>
                  <c:pt idx="1501">
                    <c:v>57,8</c:v>
                  </c:pt>
                  <c:pt idx="1502">
                    <c:v>77,35</c:v>
                  </c:pt>
                  <c:pt idx="1503">
                    <c:v>320</c:v>
                  </c:pt>
                  <c:pt idx="1504">
                    <c:v>551</c:v>
                  </c:pt>
                  <c:pt idx="1505">
                    <c:v>369</c:v>
                  </c:pt>
                  <c:pt idx="1506">
                    <c:v>380</c:v>
                  </c:pt>
                  <c:pt idx="1507">
                    <c:v>16,4</c:v>
                  </c:pt>
                  <c:pt idx="1508">
                    <c:v>2509,92</c:v>
                  </c:pt>
                  <c:pt idx="1509">
                    <c:v>209</c:v>
                  </c:pt>
                  <c:pt idx="1510">
                    <c:v>242</c:v>
                  </c:pt>
                  <c:pt idx="1511">
                    <c:v>245,4</c:v>
                  </c:pt>
                  <c:pt idx="1512">
                    <c:v>217</c:v>
                  </c:pt>
                  <c:pt idx="1513">
                    <c:v>155</c:v>
                  </c:pt>
                  <c:pt idx="1514">
                    <c:v>245,4</c:v>
                  </c:pt>
                  <c:pt idx="1515">
                    <c:v>150</c:v>
                  </c:pt>
                  <c:pt idx="1516">
                    <c:v>140</c:v>
                  </c:pt>
                  <c:pt idx="1517">
                    <c:v>139</c:v>
                  </c:pt>
                  <c:pt idx="1518">
                    <c:v>170</c:v>
                  </c:pt>
                  <c:pt idx="1519">
                    <c:v>1933,8</c:v>
                  </c:pt>
                  <c:pt idx="1520">
                    <c:v>194</c:v>
                  </c:pt>
                  <c:pt idx="1521">
                    <c:v>345</c:v>
                  </c:pt>
                  <c:pt idx="1522">
                    <c:v>261,12</c:v>
                  </c:pt>
                  <c:pt idx="1523">
                    <c:v>150</c:v>
                  </c:pt>
                  <c:pt idx="1524">
                    <c:v>1544</c:v>
                  </c:pt>
                  <c:pt idx="1525">
                    <c:v>59</c:v>
                  </c:pt>
                  <c:pt idx="1526">
                    <c:v>47</c:v>
                  </c:pt>
                  <c:pt idx="1527">
                    <c:v>42</c:v>
                  </c:pt>
                  <c:pt idx="1528">
                    <c:v>47,11</c:v>
                  </c:pt>
                  <c:pt idx="1529">
                    <c:v>0</c:v>
                  </c:pt>
                  <c:pt idx="1530">
                    <c:v>0</c:v>
                  </c:pt>
                  <c:pt idx="1531">
                    <c:v>0</c:v>
                  </c:pt>
                  <c:pt idx="1532">
                    <c:v>62</c:v>
                  </c:pt>
                  <c:pt idx="1533">
                    <c:v>123</c:v>
                  </c:pt>
                  <c:pt idx="1534">
                    <c:v>219</c:v>
                  </c:pt>
                  <c:pt idx="1535">
                    <c:v>80</c:v>
                  </c:pt>
                  <c:pt idx="1536">
                    <c:v>32</c:v>
                  </c:pt>
                  <c:pt idx="1537">
                    <c:v>35,15</c:v>
                  </c:pt>
                  <c:pt idx="1538">
                    <c:v>31,15</c:v>
                  </c:pt>
                  <c:pt idx="1539">
                    <c:v>3,23</c:v>
                  </c:pt>
                  <c:pt idx="1540">
                    <c:v>91</c:v>
                  </c:pt>
                  <c:pt idx="1541">
                    <c:v>62</c:v>
                  </c:pt>
                  <c:pt idx="1542">
                    <c:v>29</c:v>
                  </c:pt>
                  <c:pt idx="1543">
                    <c:v>79</c:v>
                  </c:pt>
                  <c:pt idx="1544">
                    <c:v>209</c:v>
                  </c:pt>
                  <c:pt idx="1545">
                    <c:v>149</c:v>
                  </c:pt>
                  <c:pt idx="1546">
                    <c:v>19,9</c:v>
                  </c:pt>
                  <c:pt idx="1547">
                    <c:v>25,9</c:v>
                  </c:pt>
                  <c:pt idx="1548">
                    <c:v>100</c:v>
                  </c:pt>
                  <c:pt idx="1549">
                    <c:v>184,05</c:v>
                  </c:pt>
                  <c:pt idx="1550">
                    <c:v>409</c:v>
                  </c:pt>
                  <c:pt idx="1551">
                    <c:v>216,77</c:v>
                  </c:pt>
                  <c:pt idx="1552">
                    <c:v>1</c:v>
                  </c:pt>
                  <c:pt idx="1553">
                    <c:v>116,74</c:v>
                  </c:pt>
                  <c:pt idx="1554">
                    <c:v>68,67</c:v>
                  </c:pt>
                  <c:pt idx="1555">
                    <c:v>45</c:v>
                  </c:pt>
                  <c:pt idx="1556">
                    <c:v>330,87</c:v>
                  </c:pt>
                  <c:pt idx="1557">
                    <c:v>410,1</c:v>
                  </c:pt>
                  <c:pt idx="1558">
                    <c:v>243,44</c:v>
                  </c:pt>
                  <c:pt idx="1559">
                    <c:v>212,02</c:v>
                  </c:pt>
                  <c:pt idx="1560">
                    <c:v>86,45</c:v>
                  </c:pt>
                  <c:pt idx="1561">
                    <c:v>1870</c:v>
                  </c:pt>
                  <c:pt idx="1562">
                    <c:v>1220</c:v>
                  </c:pt>
                  <c:pt idx="1563">
                    <c:v>1</c:v>
                  </c:pt>
                  <c:pt idx="1564">
                    <c:v>1</c:v>
                  </c:pt>
                  <c:pt idx="1565">
                    <c:v>1</c:v>
                  </c:pt>
                  <c:pt idx="1566">
                    <c:v>0</c:v>
                  </c:pt>
                  <c:pt idx="1567">
                    <c:v>2940</c:v>
                  </c:pt>
                  <c:pt idx="1568">
                    <c:v>1553</c:v>
                  </c:pt>
                  <c:pt idx="1569">
                    <c:v>153</c:v>
                  </c:pt>
                  <c:pt idx="1570">
                    <c:v>1030,36</c:v>
                  </c:pt>
                  <c:pt idx="1571">
                    <c:v>1935,81</c:v>
                  </c:pt>
                  <c:pt idx="1572">
                    <c:v>24,9</c:v>
                  </c:pt>
                  <c:pt idx="1573">
                    <c:v>145</c:v>
                  </c:pt>
                  <c:pt idx="1574">
                    <c:v>54</c:v>
                  </c:pt>
                  <c:pt idx="1575">
                    <c:v>66</c:v>
                  </c:pt>
                  <c:pt idx="1576">
                    <c:v>108</c:v>
                  </c:pt>
                  <c:pt idx="1577">
                    <c:v>97</c:v>
                  </c:pt>
                  <c:pt idx="1578">
                    <c:v>42,77</c:v>
                  </c:pt>
                  <c:pt idx="1579">
                    <c:v>764,15</c:v>
                  </c:pt>
                  <c:pt idx="1580">
                    <c:v>1319,2</c:v>
                  </c:pt>
                  <c:pt idx="1581">
                    <c:v>578</c:v>
                  </c:pt>
                  <c:pt idx="1582">
                    <c:v>444,56</c:v>
                  </c:pt>
                  <c:pt idx="1583">
                    <c:v>9</c:v>
                  </c:pt>
                  <c:pt idx="1584">
                    <c:v>1805</c:v>
                  </c:pt>
                  <c:pt idx="1585">
                    <c:v>555</c:v>
                  </c:pt>
                  <c:pt idx="1586">
                    <c:v>60</c:v>
                  </c:pt>
                  <c:pt idx="1587">
                    <c:v>461</c:v>
                  </c:pt>
                  <c:pt idx="1588">
                    <c:v>250</c:v>
                  </c:pt>
                  <c:pt idx="1589">
                    <c:v>515</c:v>
                  </c:pt>
                  <c:pt idx="1590">
                    <c:v>265</c:v>
                  </c:pt>
                  <c:pt idx="1591">
                    <c:v>1442,93</c:v>
                  </c:pt>
                  <c:pt idx="1592">
                    <c:v>57</c:v>
                  </c:pt>
                  <c:pt idx="1593">
                    <c:v>1360,81</c:v>
                  </c:pt>
                  <c:pt idx="1594">
                    <c:v>108</c:v>
                  </c:pt>
                  <c:pt idx="1595">
                    <c:v>756,51</c:v>
                  </c:pt>
                  <c:pt idx="1596">
                    <c:v>139,93</c:v>
                  </c:pt>
                  <c:pt idx="1597">
                    <c:v>927,31</c:v>
                  </c:pt>
                  <c:pt idx="1598">
                    <c:v>828</c:v>
                  </c:pt>
                  <c:pt idx="1599">
                    <c:v>882,75</c:v>
                  </c:pt>
                  <c:pt idx="1600">
                    <c:v>49,06</c:v>
                  </c:pt>
                  <c:pt idx="1601">
                    <c:v>362,3</c:v>
                  </c:pt>
                  <c:pt idx="1602">
                    <c:v>980,12</c:v>
                  </c:pt>
                  <c:pt idx="1603">
                    <c:v>54,45</c:v>
                  </c:pt>
                  <c:pt idx="1604">
                    <c:v>457,1</c:v>
                  </c:pt>
                  <c:pt idx="1605">
                    <c:v>1406,17</c:v>
                  </c:pt>
                  <c:pt idx="1606">
                    <c:v>63,92</c:v>
                  </c:pt>
                  <c:pt idx="1607">
                    <c:v>719,67</c:v>
                  </c:pt>
                  <c:pt idx="1608">
                    <c:v>541,66</c:v>
                  </c:pt>
                  <c:pt idx="1609">
                    <c:v>353,28</c:v>
                  </c:pt>
                  <c:pt idx="1610">
                    <c:v>928,24</c:v>
                  </c:pt>
                  <c:pt idx="1611">
                    <c:v>2302,31</c:v>
                  </c:pt>
                  <c:pt idx="1612">
                    <c:v>95,93</c:v>
                  </c:pt>
                  <c:pt idx="1613">
                    <c:v>1970,98</c:v>
                  </c:pt>
                  <c:pt idx="1614">
                    <c:v>82,08</c:v>
                  </c:pt>
                  <c:pt idx="1615">
                    <c:v>1299,18</c:v>
                  </c:pt>
                  <c:pt idx="1616">
                    <c:v>173,224</c:v>
                  </c:pt>
                  <c:pt idx="1617">
                    <c:v>0</c:v>
                  </c:pt>
                  <c:pt idx="1618">
                    <c:v>229</c:v>
                  </c:pt>
                  <c:pt idx="1619">
                    <c:v>767</c:v>
                  </c:pt>
                  <c:pt idx="1621">
                    <c:v>1395</c:v>
                  </c:pt>
                  <c:pt idx="1622">
                    <c:v>715,5</c:v>
                  </c:pt>
                  <c:pt idx="1623">
                    <c:v>63</c:v>
                  </c:pt>
                  <c:pt idx="1624">
                    <c:v>1602</c:v>
                  </c:pt>
                  <c:pt idx="1625">
                    <c:v>285</c:v>
                  </c:pt>
                  <c:pt idx="1626">
                    <c:v>817</c:v>
                  </c:pt>
                  <c:pt idx="1627">
                    <c:v>1097,33</c:v>
                  </c:pt>
                  <c:pt idx="1628">
                    <c:v>2013</c:v>
                  </c:pt>
                  <c:pt idx="1629">
                    <c:v>2142,86</c:v>
                  </c:pt>
                  <c:pt idx="1630">
                    <c:v>1035,07</c:v>
                  </c:pt>
                  <c:pt idx="1631">
                    <c:v>101,8</c:v>
                  </c:pt>
                  <c:pt idx="1632">
                    <c:v>2137,14</c:v>
                  </c:pt>
                  <c:pt idx="1633">
                    <c:v>121</c:v>
                  </c:pt>
                  <c:pt idx="1634">
                    <c:v>142,5</c:v>
                  </c:pt>
                  <c:pt idx="1635">
                    <c:v>742,5</c:v>
                  </c:pt>
                  <c:pt idx="1636">
                    <c:v>1945</c:v>
                  </c:pt>
                  <c:pt idx="1637">
                    <c:v>97</c:v>
                  </c:pt>
                  <c:pt idx="1638">
                    <c:v>145</c:v>
                  </c:pt>
                  <c:pt idx="1639">
                    <c:v>2908,75</c:v>
                  </c:pt>
                  <c:pt idx="1640">
                    <c:v>2232</c:v>
                  </c:pt>
                  <c:pt idx="1641">
                    <c:v>307,38</c:v>
                  </c:pt>
                  <c:pt idx="1642">
                    <c:v>725</c:v>
                  </c:pt>
                  <c:pt idx="1643">
                    <c:v>1165</c:v>
                  </c:pt>
                  <c:pt idx="1644">
                    <c:v>329</c:v>
                  </c:pt>
                  <c:pt idx="1645">
                    <c:v>859</c:v>
                  </c:pt>
                  <c:pt idx="1646">
                    <c:v>639</c:v>
                  </c:pt>
                  <c:pt idx="1647">
                    <c:v>289</c:v>
                  </c:pt>
                  <c:pt idx="1648">
                    <c:v>490</c:v>
                  </c:pt>
                  <c:pt idx="1649">
                    <c:v>158</c:v>
                  </c:pt>
                  <c:pt idx="1650">
                    <c:v>151</c:v>
                  </c:pt>
                  <c:pt idx="1651">
                    <c:v>131,6</c:v>
                  </c:pt>
                  <c:pt idx="1652">
                    <c:v>35</c:v>
                  </c:pt>
                  <c:pt idx="1653">
                    <c:v>1200</c:v>
                  </c:pt>
                  <c:pt idx="1654">
                    <c:v>70</c:v>
                  </c:pt>
                  <c:pt idx="1655">
                    <c:v>138,25</c:v>
                  </c:pt>
                  <c:pt idx="1656">
                    <c:v>18</c:v>
                  </c:pt>
                  <c:pt idx="1657">
                    <c:v>28</c:v>
                  </c:pt>
                  <c:pt idx="1658">
                    <c:v>84</c:v>
                  </c:pt>
                  <c:pt idx="1659">
                    <c:v>46</c:v>
                  </c:pt>
                  <c:pt idx="1660">
                    <c:v>56</c:v>
                  </c:pt>
                  <c:pt idx="1661">
                    <c:v>16,13</c:v>
                  </c:pt>
                  <c:pt idx="1662">
                    <c:v>62,3</c:v>
                  </c:pt>
                  <c:pt idx="1663">
                    <c:v>114,75</c:v>
                  </c:pt>
                  <c:pt idx="1664">
                    <c:v>85</c:v>
                  </c:pt>
                  <c:pt idx="1665">
                    <c:v>260</c:v>
                  </c:pt>
                  <c:pt idx="1666">
                    <c:v>620</c:v>
                  </c:pt>
                  <c:pt idx="1667">
                    <c:v>62</c:v>
                  </c:pt>
                  <c:pt idx="1668">
                    <c:v>44,9</c:v>
                  </c:pt>
                  <c:pt idx="1669">
                    <c:v>28</c:v>
                  </c:pt>
                  <c:pt idx="1670">
                    <c:v>234</c:v>
                  </c:pt>
                  <c:pt idx="1671">
                    <c:v>216</c:v>
                  </c:pt>
                  <c:pt idx="1672">
                    <c:v>155</c:v>
                  </c:pt>
                  <c:pt idx="1673">
                    <c:v>220</c:v>
                  </c:pt>
                  <c:pt idx="1674">
                    <c:v>134,42</c:v>
                  </c:pt>
                  <c:pt idx="1675">
                    <c:v>119,67</c:v>
                  </c:pt>
                  <c:pt idx="1676">
                    <c:v>105,73</c:v>
                  </c:pt>
                  <c:pt idx="1677">
                    <c:v>122,95</c:v>
                  </c:pt>
                  <c:pt idx="1678">
                    <c:v>155,98</c:v>
                  </c:pt>
                  <c:pt idx="1679">
                    <c:v>171,96</c:v>
                  </c:pt>
                  <c:pt idx="1680">
                    <c:v>140,16</c:v>
                  </c:pt>
                  <c:pt idx="1681">
                    <c:v>118,03</c:v>
                  </c:pt>
                  <c:pt idx="1682">
                    <c:v>169,67</c:v>
                  </c:pt>
                  <c:pt idx="1683">
                    <c:v>209,84</c:v>
                  </c:pt>
                  <c:pt idx="1684">
                    <c:v>130</c:v>
                  </c:pt>
                  <c:pt idx="1685">
                    <c:v>102,28</c:v>
                  </c:pt>
                  <c:pt idx="1686">
                    <c:v>93,44</c:v>
                  </c:pt>
                  <c:pt idx="1687">
                    <c:v>111,47</c:v>
                  </c:pt>
                  <c:pt idx="1688">
                    <c:v>156,55</c:v>
                  </c:pt>
                  <c:pt idx="1689">
                    <c:v>98,36</c:v>
                  </c:pt>
                  <c:pt idx="1690">
                    <c:v>285</c:v>
                  </c:pt>
                  <c:pt idx="1691">
                    <c:v>25</c:v>
                  </c:pt>
                  <c:pt idx="1692">
                    <c:v>649,9</c:v>
                  </c:pt>
                  <c:pt idx="1693">
                    <c:v>141</c:v>
                  </c:pt>
                  <c:pt idx="1694">
                    <c:v>86</c:v>
                  </c:pt>
                  <c:pt idx="1695">
                    <c:v>75</c:v>
                  </c:pt>
                  <c:pt idx="1696">
                    <c:v>121,5</c:v>
                  </c:pt>
                  <c:pt idx="1697">
                    <c:v>121,5</c:v>
                  </c:pt>
                  <c:pt idx="1698">
                    <c:v>121,5</c:v>
                  </c:pt>
                  <c:pt idx="1699">
                    <c:v>499,9</c:v>
                  </c:pt>
                  <c:pt idx="1700">
                    <c:v>87,62</c:v>
                  </c:pt>
                  <c:pt idx="1701">
                    <c:v>163,27</c:v>
                  </c:pt>
                  <c:pt idx="1702">
                    <c:v>60,64</c:v>
                  </c:pt>
                  <c:pt idx="1703">
                    <c:v>38,67</c:v>
                  </c:pt>
                  <c:pt idx="1704">
                    <c:v>79,9</c:v>
                  </c:pt>
                  <c:pt idx="1705">
                    <c:v>69,9</c:v>
                  </c:pt>
                  <c:pt idx="1706">
                    <c:v>645</c:v>
                  </c:pt>
                  <c:pt idx="1707">
                    <c:v>195</c:v>
                  </c:pt>
                  <c:pt idx="1708">
                    <c:v>139</c:v>
                  </c:pt>
                  <c:pt idx="1709">
                    <c:v>145,8</c:v>
                  </c:pt>
                  <c:pt idx="1710">
                    <c:v>59</c:v>
                  </c:pt>
                  <c:pt idx="1711">
                    <c:v>64</c:v>
                  </c:pt>
                  <c:pt idx="1712">
                    <c:v>81</c:v>
                  </c:pt>
                  <c:pt idx="1713">
                    <c:v>29</c:v>
                  </c:pt>
                  <c:pt idx="1714">
                    <c:v>238</c:v>
                  </c:pt>
                  <c:pt idx="1715">
                    <c:v>212</c:v>
                  </c:pt>
                  <c:pt idx="1716">
                    <c:v>185</c:v>
                  </c:pt>
                  <c:pt idx="1717">
                    <c:v>46,72</c:v>
                  </c:pt>
                  <c:pt idx="1718">
                    <c:v>68,85</c:v>
                  </c:pt>
                  <c:pt idx="1719">
                    <c:v>100</c:v>
                  </c:pt>
                  <c:pt idx="1720">
                    <c:v>25</c:v>
                  </c:pt>
                  <c:pt idx="1721">
                    <c:v>35</c:v>
                  </c:pt>
                  <c:pt idx="1722">
                    <c:v>90</c:v>
                  </c:pt>
                  <c:pt idx="1723">
                    <c:v>222</c:v>
                  </c:pt>
                  <c:pt idx="1724">
                    <c:v>318</c:v>
                  </c:pt>
                </c:lvl>
                <c:lvl>
                  <c:pt idx="0">
                    <c:v>1,2</c:v>
                  </c:pt>
                  <c:pt idx="1">
                    <c:v>1</c:v>
                  </c:pt>
                  <c:pt idx="2">
                    <c:v>1</c:v>
                  </c:pt>
                  <c:pt idx="3">
                    <c:v>1,22</c:v>
                  </c:pt>
                  <c:pt idx="4">
                    <c:v>1,22</c:v>
                  </c:pt>
                  <c:pt idx="5">
                    <c:v>1</c:v>
                  </c:pt>
                  <c:pt idx="6">
                    <c:v>1</c:v>
                  </c:pt>
                  <c:pt idx="7">
                    <c:v>1</c:v>
                  </c:pt>
                  <c:pt idx="8">
                    <c:v>1,22</c:v>
                  </c:pt>
                  <c:pt idx="9">
                    <c:v>1</c:v>
                  </c:pt>
                  <c:pt idx="10">
                    <c:v>1,22</c:v>
                  </c:pt>
                  <c:pt idx="11">
                    <c:v>1,22</c:v>
                  </c:pt>
                  <c:pt idx="12">
                    <c:v>1,22</c:v>
                  </c:pt>
                  <c:pt idx="13">
                    <c:v>1,22</c:v>
                  </c:pt>
                  <c:pt idx="14">
                    <c:v>1,22</c:v>
                  </c:pt>
                  <c:pt idx="15">
                    <c:v>1,22</c:v>
                  </c:pt>
                  <c:pt idx="16">
                    <c:v>1,22</c:v>
                  </c:pt>
                  <c:pt idx="17">
                    <c:v>1,22</c:v>
                  </c:pt>
                  <c:pt idx="18">
                    <c:v>1,22</c:v>
                  </c:pt>
                  <c:pt idx="19">
                    <c:v>1,22</c:v>
                  </c:pt>
                  <c:pt idx="20">
                    <c:v>1,22</c:v>
                  </c:pt>
                  <c:pt idx="21">
                    <c:v>1,22</c:v>
                  </c:pt>
                  <c:pt idx="22">
                    <c:v>1,22</c:v>
                  </c:pt>
                  <c:pt idx="23">
                    <c:v>1,22</c:v>
                  </c:pt>
                  <c:pt idx="24">
                    <c:v>1</c:v>
                  </c:pt>
                  <c:pt idx="25">
                    <c:v>1</c:v>
                  </c:pt>
                  <c:pt idx="26">
                    <c:v>1,22</c:v>
                  </c:pt>
                  <c:pt idx="27">
                    <c:v>1,22</c:v>
                  </c:pt>
                  <c:pt idx="28">
                    <c:v>1,22</c:v>
                  </c:pt>
                  <c:pt idx="29">
                    <c:v>1,22</c:v>
                  </c:pt>
                  <c:pt idx="30">
                    <c:v>1,22</c:v>
                  </c:pt>
                  <c:pt idx="31">
                    <c:v>1,22</c:v>
                  </c:pt>
                  <c:pt idx="32">
                    <c:v>1,22</c:v>
                  </c:pt>
                  <c:pt idx="33">
                    <c:v>1,22</c:v>
                  </c:pt>
                  <c:pt idx="34">
                    <c:v>1</c:v>
                  </c:pt>
                  <c:pt idx="35">
                    <c:v>1,22</c:v>
                  </c:pt>
                  <c:pt idx="36">
                    <c:v>1,22</c:v>
                  </c:pt>
                  <c:pt idx="37">
                    <c:v>1,22</c:v>
                  </c:pt>
                  <c:pt idx="38">
                    <c:v>1,22</c:v>
                  </c:pt>
                  <c:pt idx="39">
                    <c:v>1,22</c:v>
                  </c:pt>
                  <c:pt idx="40">
                    <c:v>1</c:v>
                  </c:pt>
                  <c:pt idx="41">
                    <c:v>1</c:v>
                  </c:pt>
                  <c:pt idx="42">
                    <c:v>1,22</c:v>
                  </c:pt>
                  <c:pt idx="43">
                    <c:v>1,22</c:v>
                  </c:pt>
                  <c:pt idx="44">
                    <c:v>1</c:v>
                  </c:pt>
                  <c:pt idx="45">
                    <c:v>1</c:v>
                  </c:pt>
                  <c:pt idx="46">
                    <c:v>1,22</c:v>
                  </c:pt>
                  <c:pt idx="47">
                    <c:v>1,22</c:v>
                  </c:pt>
                  <c:pt idx="48">
                    <c:v>1,22</c:v>
                  </c:pt>
                  <c:pt idx="49">
                    <c:v>1,22</c:v>
                  </c:pt>
                  <c:pt idx="50">
                    <c:v>1,22</c:v>
                  </c:pt>
                  <c:pt idx="51">
                    <c:v>1</c:v>
                  </c:pt>
                  <c:pt idx="52">
                    <c:v>1</c:v>
                  </c:pt>
                  <c:pt idx="53">
                    <c:v>1,22</c:v>
                  </c:pt>
                  <c:pt idx="54">
                    <c:v>1,22</c:v>
                  </c:pt>
                  <c:pt idx="55">
                    <c:v>1,22</c:v>
                  </c:pt>
                  <c:pt idx="56">
                    <c:v>1,22</c:v>
                  </c:pt>
                  <c:pt idx="57">
                    <c:v>1,22</c:v>
                  </c:pt>
                  <c:pt idx="58">
                    <c:v>1,22</c:v>
                  </c:pt>
                  <c:pt idx="59">
                    <c:v>1,22</c:v>
                  </c:pt>
                  <c:pt idx="60">
                    <c:v>1</c:v>
                  </c:pt>
                  <c:pt idx="61">
                    <c:v>1,22</c:v>
                  </c:pt>
                  <c:pt idx="62">
                    <c:v>1,22</c:v>
                  </c:pt>
                  <c:pt idx="63">
                    <c:v>1,22</c:v>
                  </c:pt>
                  <c:pt idx="64">
                    <c:v>1,22</c:v>
                  </c:pt>
                  <c:pt idx="65">
                    <c:v>1,22</c:v>
                  </c:pt>
                  <c:pt idx="66">
                    <c:v>1,22</c:v>
                  </c:pt>
                  <c:pt idx="67">
                    <c:v>1,22</c:v>
                  </c:pt>
                  <c:pt idx="68">
                    <c:v>1,22</c:v>
                  </c:pt>
                  <c:pt idx="69">
                    <c:v>1,22</c:v>
                  </c:pt>
                  <c:pt idx="70">
                    <c:v>1,22</c:v>
                  </c:pt>
                  <c:pt idx="71">
                    <c:v>1,22</c:v>
                  </c:pt>
                  <c:pt idx="72">
                    <c:v>1</c:v>
                  </c:pt>
                  <c:pt idx="73">
                    <c:v>1</c:v>
                  </c:pt>
                  <c:pt idx="74">
                    <c:v>1</c:v>
                  </c:pt>
                  <c:pt idx="75">
                    <c:v>1</c:v>
                  </c:pt>
                  <c:pt idx="76">
                    <c:v>1,22</c:v>
                  </c:pt>
                  <c:pt idx="77">
                    <c:v>1,22</c:v>
                  </c:pt>
                  <c:pt idx="78">
                    <c:v>1,22</c:v>
                  </c:pt>
                  <c:pt idx="79">
                    <c:v>1,22</c:v>
                  </c:pt>
                  <c:pt idx="80">
                    <c:v>1,22</c:v>
                  </c:pt>
                  <c:pt idx="81">
                    <c:v>1,22</c:v>
                  </c:pt>
                  <c:pt idx="82">
                    <c:v>1,22</c:v>
                  </c:pt>
                  <c:pt idx="83">
                    <c:v>1,22</c:v>
                  </c:pt>
                  <c:pt idx="84">
                    <c:v>1,22</c:v>
                  </c:pt>
                  <c:pt idx="85">
                    <c:v>1,22</c:v>
                  </c:pt>
                  <c:pt idx="86">
                    <c:v>1,22</c:v>
                  </c:pt>
                  <c:pt idx="87">
                    <c:v>1,22</c:v>
                  </c:pt>
                  <c:pt idx="88">
                    <c:v>1</c:v>
                  </c:pt>
                  <c:pt idx="89">
                    <c:v>1</c:v>
                  </c:pt>
                  <c:pt idx="90">
                    <c:v>1,22</c:v>
                  </c:pt>
                  <c:pt idx="91">
                    <c:v>1,22</c:v>
                  </c:pt>
                  <c:pt idx="92">
                    <c:v>1,22</c:v>
                  </c:pt>
                  <c:pt idx="93">
                    <c:v>1,22</c:v>
                  </c:pt>
                  <c:pt idx="94">
                    <c:v>1,22</c:v>
                  </c:pt>
                  <c:pt idx="95">
                    <c:v>1,22</c:v>
                  </c:pt>
                  <c:pt idx="96">
                    <c:v>1,22</c:v>
                  </c:pt>
                  <c:pt idx="97">
                    <c:v>1</c:v>
                  </c:pt>
                  <c:pt idx="98">
                    <c:v>1,22</c:v>
                  </c:pt>
                  <c:pt idx="99">
                    <c:v>1,22</c:v>
                  </c:pt>
                  <c:pt idx="100">
                    <c:v>1</c:v>
                  </c:pt>
                  <c:pt idx="101">
                    <c:v>1,22</c:v>
                  </c:pt>
                  <c:pt idx="102">
                    <c:v>1,22</c:v>
                  </c:pt>
                  <c:pt idx="103">
                    <c:v>1,22</c:v>
                  </c:pt>
                  <c:pt idx="104">
                    <c:v>1,22</c:v>
                  </c:pt>
                  <c:pt idx="105">
                    <c:v>1,22</c:v>
                  </c:pt>
                  <c:pt idx="106">
                    <c:v>1,22</c:v>
                  </c:pt>
                  <c:pt idx="107">
                    <c:v>1,22</c:v>
                  </c:pt>
                  <c:pt idx="108">
                    <c:v>1,22</c:v>
                  </c:pt>
                  <c:pt idx="109">
                    <c:v>1,22</c:v>
                  </c:pt>
                  <c:pt idx="110">
                    <c:v>1,22</c:v>
                  </c:pt>
                  <c:pt idx="111">
                    <c:v>1,22</c:v>
                  </c:pt>
                  <c:pt idx="112">
                    <c:v>1,22</c:v>
                  </c:pt>
                  <c:pt idx="113">
                    <c:v>1,2</c:v>
                  </c:pt>
                  <c:pt idx="114">
                    <c:v>1,22</c:v>
                  </c:pt>
                  <c:pt idx="115">
                    <c:v>1,22</c:v>
                  </c:pt>
                  <c:pt idx="116">
                    <c:v>1,22</c:v>
                  </c:pt>
                  <c:pt idx="117">
                    <c:v>1,22</c:v>
                  </c:pt>
                  <c:pt idx="118">
                    <c:v>1,22</c:v>
                  </c:pt>
                  <c:pt idx="119">
                    <c:v>1,22</c:v>
                  </c:pt>
                  <c:pt idx="120">
                    <c:v>1,22</c:v>
                  </c:pt>
                  <c:pt idx="121">
                    <c:v>1,22</c:v>
                  </c:pt>
                  <c:pt idx="122">
                    <c:v>1</c:v>
                  </c:pt>
                  <c:pt idx="123">
                    <c:v>1</c:v>
                  </c:pt>
                  <c:pt idx="124">
                    <c:v>1,22</c:v>
                  </c:pt>
                  <c:pt idx="125">
                    <c:v>1,22</c:v>
                  </c:pt>
                  <c:pt idx="126">
                    <c:v>1,22</c:v>
                  </c:pt>
                  <c:pt idx="127">
                    <c:v>1,22</c:v>
                  </c:pt>
                  <c:pt idx="128">
                    <c:v>1,22</c:v>
                  </c:pt>
                  <c:pt idx="129">
                    <c:v>1,22</c:v>
                  </c:pt>
                  <c:pt idx="130">
                    <c:v>1,22</c:v>
                  </c:pt>
                  <c:pt idx="131">
                    <c:v>1,22</c:v>
                  </c:pt>
                  <c:pt idx="132">
                    <c:v>1,22</c:v>
                  </c:pt>
                  <c:pt idx="133">
                    <c:v>1,22</c:v>
                  </c:pt>
                  <c:pt idx="134">
                    <c:v>1,22</c:v>
                  </c:pt>
                  <c:pt idx="135">
                    <c:v>1,22</c:v>
                  </c:pt>
                  <c:pt idx="136">
                    <c:v>1,22</c:v>
                  </c:pt>
                  <c:pt idx="137">
                    <c:v>1,22</c:v>
                  </c:pt>
                  <c:pt idx="138">
                    <c:v>1,22</c:v>
                  </c:pt>
                  <c:pt idx="139">
                    <c:v>1,22</c:v>
                  </c:pt>
                  <c:pt idx="140">
                    <c:v>1,22</c:v>
                  </c:pt>
                  <c:pt idx="141">
                    <c:v>1,22</c:v>
                  </c:pt>
                  <c:pt idx="142">
                    <c:v>1,22</c:v>
                  </c:pt>
                  <c:pt idx="143">
                    <c:v>1,22</c:v>
                  </c:pt>
                  <c:pt idx="144">
                    <c:v>1,22</c:v>
                  </c:pt>
                  <c:pt idx="145">
                    <c:v>1,22</c:v>
                  </c:pt>
                  <c:pt idx="146">
                    <c:v>1,22</c:v>
                  </c:pt>
                  <c:pt idx="147">
                    <c:v>1,22</c:v>
                  </c:pt>
                  <c:pt idx="148">
                    <c:v>1,22</c:v>
                  </c:pt>
                  <c:pt idx="149">
                    <c:v>1,22</c:v>
                  </c:pt>
                  <c:pt idx="150">
                    <c:v>1,22</c:v>
                  </c:pt>
                  <c:pt idx="151">
                    <c:v>1,22</c:v>
                  </c:pt>
                  <c:pt idx="152">
                    <c:v>1,22</c:v>
                  </c:pt>
                  <c:pt idx="153">
                    <c:v>1,22</c:v>
                  </c:pt>
                  <c:pt idx="154">
                    <c:v>1,22</c:v>
                  </c:pt>
                  <c:pt idx="155">
                    <c:v>1,22</c:v>
                  </c:pt>
                  <c:pt idx="156">
                    <c:v>1,22</c:v>
                  </c:pt>
                  <c:pt idx="157">
                    <c:v>1,22</c:v>
                  </c:pt>
                  <c:pt idx="158">
                    <c:v>1,22</c:v>
                  </c:pt>
                  <c:pt idx="159">
                    <c:v>1,22</c:v>
                  </c:pt>
                  <c:pt idx="160">
                    <c:v>1,22</c:v>
                  </c:pt>
                  <c:pt idx="161">
                    <c:v>1</c:v>
                  </c:pt>
                  <c:pt idx="162">
                    <c:v>1,22</c:v>
                  </c:pt>
                  <c:pt idx="163">
                    <c:v>1,22</c:v>
                  </c:pt>
                  <c:pt idx="164">
                    <c:v>1,22</c:v>
                  </c:pt>
                  <c:pt idx="165">
                    <c:v>1</c:v>
                  </c:pt>
                  <c:pt idx="166">
                    <c:v>1,22</c:v>
                  </c:pt>
                  <c:pt idx="167">
                    <c:v>1,22</c:v>
                  </c:pt>
                  <c:pt idx="168">
                    <c:v>1,22</c:v>
                  </c:pt>
                  <c:pt idx="169">
                    <c:v>1,22</c:v>
                  </c:pt>
                  <c:pt idx="170">
                    <c:v>1</c:v>
                  </c:pt>
                  <c:pt idx="171">
                    <c:v>1,22</c:v>
                  </c:pt>
                  <c:pt idx="172">
                    <c:v>1,22</c:v>
                  </c:pt>
                  <c:pt idx="173">
                    <c:v>1</c:v>
                  </c:pt>
                  <c:pt idx="174">
                    <c:v>1,22</c:v>
                  </c:pt>
                  <c:pt idx="175">
                    <c:v>1,22</c:v>
                  </c:pt>
                  <c:pt idx="176">
                    <c:v>1,22</c:v>
                  </c:pt>
                  <c:pt idx="177">
                    <c:v>1,22</c:v>
                  </c:pt>
                  <c:pt idx="178">
                    <c:v>1,22</c:v>
                  </c:pt>
                  <c:pt idx="179">
                    <c:v>1,22</c:v>
                  </c:pt>
                  <c:pt idx="180">
                    <c:v>1,22</c:v>
                  </c:pt>
                  <c:pt idx="181">
                    <c:v>1,22</c:v>
                  </c:pt>
                  <c:pt idx="182">
                    <c:v>1,22</c:v>
                  </c:pt>
                  <c:pt idx="183">
                    <c:v>1,22</c:v>
                  </c:pt>
                  <c:pt idx="184">
                    <c:v>1,22</c:v>
                  </c:pt>
                  <c:pt idx="185">
                    <c:v>1,22</c:v>
                  </c:pt>
                  <c:pt idx="186">
                    <c:v>1,22</c:v>
                  </c:pt>
                  <c:pt idx="187">
                    <c:v>1,22</c:v>
                  </c:pt>
                  <c:pt idx="188">
                    <c:v>1,22</c:v>
                  </c:pt>
                  <c:pt idx="189">
                    <c:v>1,22</c:v>
                  </c:pt>
                  <c:pt idx="190">
                    <c:v>1,22</c:v>
                  </c:pt>
                  <c:pt idx="191">
                    <c:v>1,22</c:v>
                  </c:pt>
                  <c:pt idx="192">
                    <c:v>1,22</c:v>
                  </c:pt>
                  <c:pt idx="193">
                    <c:v>1,22</c:v>
                  </c:pt>
                  <c:pt idx="194">
                    <c:v>1,22</c:v>
                  </c:pt>
                  <c:pt idx="195">
                    <c:v>1,22</c:v>
                  </c:pt>
                  <c:pt idx="196">
                    <c:v>1,22</c:v>
                  </c:pt>
                  <c:pt idx="197">
                    <c:v>1,22</c:v>
                  </c:pt>
                  <c:pt idx="198">
                    <c:v>1,22</c:v>
                  </c:pt>
                  <c:pt idx="199">
                    <c:v>1,22</c:v>
                  </c:pt>
                  <c:pt idx="200">
                    <c:v>1,22</c:v>
                  </c:pt>
                  <c:pt idx="201">
                    <c:v>1,22</c:v>
                  </c:pt>
                  <c:pt idx="202">
                    <c:v>1,22</c:v>
                  </c:pt>
                  <c:pt idx="203">
                    <c:v>1,22</c:v>
                  </c:pt>
                  <c:pt idx="204">
                    <c:v>1,22</c:v>
                  </c:pt>
                  <c:pt idx="205">
                    <c:v>1,22</c:v>
                  </c:pt>
                  <c:pt idx="206">
                    <c:v>1,22</c:v>
                  </c:pt>
                  <c:pt idx="207">
                    <c:v>1,22</c:v>
                  </c:pt>
                  <c:pt idx="208">
                    <c:v>1,22</c:v>
                  </c:pt>
                  <c:pt idx="209">
                    <c:v>1,22</c:v>
                  </c:pt>
                  <c:pt idx="210">
                    <c:v>1,22</c:v>
                  </c:pt>
                  <c:pt idx="211">
                    <c:v>1,22</c:v>
                  </c:pt>
                  <c:pt idx="212">
                    <c:v>1,22</c:v>
                  </c:pt>
                  <c:pt idx="213">
                    <c:v>1,22</c:v>
                  </c:pt>
                  <c:pt idx="214">
                    <c:v>1,22</c:v>
                  </c:pt>
                  <c:pt idx="215">
                    <c:v>1,22</c:v>
                  </c:pt>
                  <c:pt idx="216">
                    <c:v>1</c:v>
                  </c:pt>
                  <c:pt idx="217">
                    <c:v>1</c:v>
                  </c:pt>
                  <c:pt idx="218">
                    <c:v>1,22</c:v>
                  </c:pt>
                  <c:pt idx="219">
                    <c:v>1,22</c:v>
                  </c:pt>
                  <c:pt idx="220">
                    <c:v>1,22</c:v>
                  </c:pt>
                  <c:pt idx="221">
                    <c:v>1,22</c:v>
                  </c:pt>
                  <c:pt idx="222">
                    <c:v>1,22</c:v>
                  </c:pt>
                  <c:pt idx="223">
                    <c:v>1,22</c:v>
                  </c:pt>
                  <c:pt idx="224">
                    <c:v>1,22</c:v>
                  </c:pt>
                  <c:pt idx="225">
                    <c:v>1,22</c:v>
                  </c:pt>
                  <c:pt idx="226">
                    <c:v>1,22</c:v>
                  </c:pt>
                  <c:pt idx="227">
                    <c:v>1,22</c:v>
                  </c:pt>
                  <c:pt idx="228">
                    <c:v>1</c:v>
                  </c:pt>
                  <c:pt idx="229">
                    <c:v>1,22</c:v>
                  </c:pt>
                  <c:pt idx="230">
                    <c:v>1,22</c:v>
                  </c:pt>
                  <c:pt idx="231">
                    <c:v>1,22</c:v>
                  </c:pt>
                  <c:pt idx="232">
                    <c:v>1,22</c:v>
                  </c:pt>
                  <c:pt idx="233">
                    <c:v>1,22</c:v>
                  </c:pt>
                  <c:pt idx="234">
                    <c:v>1,22</c:v>
                  </c:pt>
                  <c:pt idx="235">
                    <c:v>1,22</c:v>
                  </c:pt>
                  <c:pt idx="236">
                    <c:v>1,22</c:v>
                  </c:pt>
                  <c:pt idx="237">
                    <c:v>1,22</c:v>
                  </c:pt>
                  <c:pt idx="238">
                    <c:v>1,22</c:v>
                  </c:pt>
                  <c:pt idx="239">
                    <c:v>1,22</c:v>
                  </c:pt>
                  <c:pt idx="240">
                    <c:v>1,22</c:v>
                  </c:pt>
                  <c:pt idx="241">
                    <c:v>1,22</c:v>
                  </c:pt>
                  <c:pt idx="242">
                    <c:v>1,22</c:v>
                  </c:pt>
                  <c:pt idx="243">
                    <c:v>1,22</c:v>
                  </c:pt>
                  <c:pt idx="244">
                    <c:v>1,22</c:v>
                  </c:pt>
                  <c:pt idx="245">
                    <c:v>1,22</c:v>
                  </c:pt>
                  <c:pt idx="246">
                    <c:v>1,22</c:v>
                  </c:pt>
                  <c:pt idx="247">
                    <c:v>1</c:v>
                  </c:pt>
                  <c:pt idx="248">
                    <c:v>1,22</c:v>
                  </c:pt>
                  <c:pt idx="249">
                    <c:v>1,22</c:v>
                  </c:pt>
                  <c:pt idx="250">
                    <c:v>1,22</c:v>
                  </c:pt>
                  <c:pt idx="251">
                    <c:v>1</c:v>
                  </c:pt>
                  <c:pt idx="252">
                    <c:v>1,22</c:v>
                  </c:pt>
                  <c:pt idx="253">
                    <c:v>1,22</c:v>
                  </c:pt>
                  <c:pt idx="254">
                    <c:v>1,22</c:v>
                  </c:pt>
                  <c:pt idx="255">
                    <c:v>1,22</c:v>
                  </c:pt>
                  <c:pt idx="256">
                    <c:v>1,22</c:v>
                  </c:pt>
                  <c:pt idx="257">
                    <c:v>1,22</c:v>
                  </c:pt>
                  <c:pt idx="258">
                    <c:v>1,22</c:v>
                  </c:pt>
                  <c:pt idx="259">
                    <c:v>1,22</c:v>
                  </c:pt>
                  <c:pt idx="260">
                    <c:v>1,22</c:v>
                  </c:pt>
                  <c:pt idx="261">
                    <c:v>1,22</c:v>
                  </c:pt>
                  <c:pt idx="262">
                    <c:v>1,22</c:v>
                  </c:pt>
                  <c:pt idx="263">
                    <c:v>1</c:v>
                  </c:pt>
                  <c:pt idx="264">
                    <c:v>1</c:v>
                  </c:pt>
                  <c:pt idx="265">
                    <c:v>1</c:v>
                  </c:pt>
                  <c:pt idx="266">
                    <c:v>1</c:v>
                  </c:pt>
                  <c:pt idx="267">
                    <c:v>1</c:v>
                  </c:pt>
                  <c:pt idx="268">
                    <c:v>1,22</c:v>
                  </c:pt>
                  <c:pt idx="269">
                    <c:v>1,22</c:v>
                  </c:pt>
                  <c:pt idx="270">
                    <c:v>1,22</c:v>
                  </c:pt>
                  <c:pt idx="271">
                    <c:v>1,22</c:v>
                  </c:pt>
                  <c:pt idx="272">
                    <c:v>1,22</c:v>
                  </c:pt>
                  <c:pt idx="273">
                    <c:v>1</c:v>
                  </c:pt>
                  <c:pt idx="274">
                    <c:v>1,22</c:v>
                  </c:pt>
                  <c:pt idx="275">
                    <c:v>1,22</c:v>
                  </c:pt>
                  <c:pt idx="276">
                    <c:v>1,22</c:v>
                  </c:pt>
                  <c:pt idx="277">
                    <c:v>1,22</c:v>
                  </c:pt>
                  <c:pt idx="278">
                    <c:v>1,22</c:v>
                  </c:pt>
                  <c:pt idx="279">
                    <c:v>1,22</c:v>
                  </c:pt>
                  <c:pt idx="280">
                    <c:v>1,22</c:v>
                  </c:pt>
                  <c:pt idx="281">
                    <c:v>1,22</c:v>
                  </c:pt>
                  <c:pt idx="282">
                    <c:v>1,22</c:v>
                  </c:pt>
                  <c:pt idx="283">
                    <c:v>1,22</c:v>
                  </c:pt>
                  <c:pt idx="284">
                    <c:v>1,22</c:v>
                  </c:pt>
                  <c:pt idx="285">
                    <c:v>1,22</c:v>
                  </c:pt>
                  <c:pt idx="286">
                    <c:v>1,22</c:v>
                  </c:pt>
                  <c:pt idx="287">
                    <c:v>1,22</c:v>
                  </c:pt>
                  <c:pt idx="288">
                    <c:v>1,22</c:v>
                  </c:pt>
                  <c:pt idx="289">
                    <c:v>1,22</c:v>
                  </c:pt>
                  <c:pt idx="290">
                    <c:v>1,22</c:v>
                  </c:pt>
                  <c:pt idx="291">
                    <c:v>1,22</c:v>
                  </c:pt>
                  <c:pt idx="292">
                    <c:v>1,22</c:v>
                  </c:pt>
                  <c:pt idx="293">
                    <c:v>1,22</c:v>
                  </c:pt>
                  <c:pt idx="294">
                    <c:v>1,22</c:v>
                  </c:pt>
                  <c:pt idx="295">
                    <c:v>1,22</c:v>
                  </c:pt>
                  <c:pt idx="296">
                    <c:v>1,22</c:v>
                  </c:pt>
                  <c:pt idx="297">
                    <c:v>1,22</c:v>
                  </c:pt>
                  <c:pt idx="298">
                    <c:v>1,22</c:v>
                  </c:pt>
                  <c:pt idx="299">
                    <c:v>1</c:v>
                  </c:pt>
                  <c:pt idx="300">
                    <c:v>1</c:v>
                  </c:pt>
                  <c:pt idx="301">
                    <c:v>1</c:v>
                  </c:pt>
                  <c:pt idx="302">
                    <c:v>1</c:v>
                  </c:pt>
                  <c:pt idx="303">
                    <c:v>1</c:v>
                  </c:pt>
                  <c:pt idx="304">
                    <c:v>1</c:v>
                  </c:pt>
                  <c:pt idx="305">
                    <c:v>1</c:v>
                  </c:pt>
                  <c:pt idx="306">
                    <c:v>1</c:v>
                  </c:pt>
                  <c:pt idx="307">
                    <c:v>1</c:v>
                  </c:pt>
                  <c:pt idx="308">
                    <c:v>1</c:v>
                  </c:pt>
                  <c:pt idx="309">
                    <c:v>1,22</c:v>
                  </c:pt>
                  <c:pt idx="310">
                    <c:v>1,22</c:v>
                  </c:pt>
                  <c:pt idx="311">
                    <c:v>1,22</c:v>
                  </c:pt>
                  <c:pt idx="312">
                    <c:v>1,22</c:v>
                  </c:pt>
                  <c:pt idx="313">
                    <c:v>1,22</c:v>
                  </c:pt>
                  <c:pt idx="314">
                    <c:v>1,22</c:v>
                  </c:pt>
                  <c:pt idx="315">
                    <c:v>1,22</c:v>
                  </c:pt>
                  <c:pt idx="316">
                    <c:v>1</c:v>
                  </c:pt>
                  <c:pt idx="317">
                    <c:v>1,22</c:v>
                  </c:pt>
                  <c:pt idx="318">
                    <c:v>1</c:v>
                  </c:pt>
                  <c:pt idx="319">
                    <c:v>1</c:v>
                  </c:pt>
                  <c:pt idx="320">
                    <c:v>1,22</c:v>
                  </c:pt>
                  <c:pt idx="321">
                    <c:v>1,22</c:v>
                  </c:pt>
                  <c:pt idx="322">
                    <c:v>1,22</c:v>
                  </c:pt>
                  <c:pt idx="323">
                    <c:v>1,22</c:v>
                  </c:pt>
                  <c:pt idx="324">
                    <c:v>1,22</c:v>
                  </c:pt>
                  <c:pt idx="325">
                    <c:v>1,22</c:v>
                  </c:pt>
                  <c:pt idx="326">
                    <c:v>1,22</c:v>
                  </c:pt>
                  <c:pt idx="327">
                    <c:v>1</c:v>
                  </c:pt>
                  <c:pt idx="328">
                    <c:v>1,22</c:v>
                  </c:pt>
                  <c:pt idx="329">
                    <c:v>1,22</c:v>
                  </c:pt>
                  <c:pt idx="330">
                    <c:v>1,22</c:v>
                  </c:pt>
                  <c:pt idx="331">
                    <c:v>1,22</c:v>
                  </c:pt>
                  <c:pt idx="332">
                    <c:v>1,22</c:v>
                  </c:pt>
                  <c:pt idx="333">
                    <c:v>1,22</c:v>
                  </c:pt>
                  <c:pt idx="334">
                    <c:v>1,22</c:v>
                  </c:pt>
                  <c:pt idx="335">
                    <c:v>1,22</c:v>
                  </c:pt>
                  <c:pt idx="336">
                    <c:v>1,22</c:v>
                  </c:pt>
                  <c:pt idx="337">
                    <c:v>1,22</c:v>
                  </c:pt>
                  <c:pt idx="338">
                    <c:v>1,22</c:v>
                  </c:pt>
                  <c:pt idx="339">
                    <c:v>1,22</c:v>
                  </c:pt>
                  <c:pt idx="340">
                    <c:v>1,22</c:v>
                  </c:pt>
                  <c:pt idx="341">
                    <c:v>1,22</c:v>
                  </c:pt>
                  <c:pt idx="342">
                    <c:v>1,22</c:v>
                  </c:pt>
                  <c:pt idx="343">
                    <c:v>1,22</c:v>
                  </c:pt>
                  <c:pt idx="344">
                    <c:v>1,22</c:v>
                  </c:pt>
                  <c:pt idx="345">
                    <c:v>1,22</c:v>
                  </c:pt>
                  <c:pt idx="346">
                    <c:v>1,22</c:v>
                  </c:pt>
                  <c:pt idx="347">
                    <c:v>1,22</c:v>
                  </c:pt>
                  <c:pt idx="348">
                    <c:v>1,22</c:v>
                  </c:pt>
                  <c:pt idx="349">
                    <c:v>1,22</c:v>
                  </c:pt>
                  <c:pt idx="350">
                    <c:v>1,22</c:v>
                  </c:pt>
                  <c:pt idx="351">
                    <c:v>1,22</c:v>
                  </c:pt>
                  <c:pt idx="352">
                    <c:v>1,22</c:v>
                  </c:pt>
                  <c:pt idx="353">
                    <c:v>1,22</c:v>
                  </c:pt>
                  <c:pt idx="354">
                    <c:v>1,22</c:v>
                  </c:pt>
                  <c:pt idx="355">
                    <c:v>1,22</c:v>
                  </c:pt>
                  <c:pt idx="356">
                    <c:v>1</c:v>
                  </c:pt>
                  <c:pt idx="357">
                    <c:v>1,22</c:v>
                  </c:pt>
                  <c:pt idx="358">
                    <c:v>1,22</c:v>
                  </c:pt>
                  <c:pt idx="359">
                    <c:v>1,22</c:v>
                  </c:pt>
                  <c:pt idx="360">
                    <c:v>1,22</c:v>
                  </c:pt>
                  <c:pt idx="361">
                    <c:v>1,22</c:v>
                  </c:pt>
                  <c:pt idx="362">
                    <c:v>1,22</c:v>
                  </c:pt>
                  <c:pt idx="363">
                    <c:v>1,22</c:v>
                  </c:pt>
                  <c:pt idx="364">
                    <c:v>1,22</c:v>
                  </c:pt>
                  <c:pt idx="365">
                    <c:v>1,22</c:v>
                  </c:pt>
                  <c:pt idx="366">
                    <c:v>1,22</c:v>
                  </c:pt>
                  <c:pt idx="367">
                    <c:v>1,22</c:v>
                  </c:pt>
                  <c:pt idx="368">
                    <c:v>1,22</c:v>
                  </c:pt>
                  <c:pt idx="369">
                    <c:v>1,22</c:v>
                  </c:pt>
                  <c:pt idx="370">
                    <c:v>1,22</c:v>
                  </c:pt>
                  <c:pt idx="371">
                    <c:v>1,22</c:v>
                  </c:pt>
                  <c:pt idx="372">
                    <c:v>1,22</c:v>
                  </c:pt>
                  <c:pt idx="373">
                    <c:v>1,22</c:v>
                  </c:pt>
                  <c:pt idx="374">
                    <c:v>1,22</c:v>
                  </c:pt>
                  <c:pt idx="375">
                    <c:v>1,22</c:v>
                  </c:pt>
                  <c:pt idx="376">
                    <c:v>1,22</c:v>
                  </c:pt>
                  <c:pt idx="377">
                    <c:v>1,22</c:v>
                  </c:pt>
                  <c:pt idx="378">
                    <c:v>1,22</c:v>
                  </c:pt>
                  <c:pt idx="379">
                    <c:v>1,22</c:v>
                  </c:pt>
                  <c:pt idx="380">
                    <c:v>1,22</c:v>
                  </c:pt>
                  <c:pt idx="381">
                    <c:v>1,22</c:v>
                  </c:pt>
                  <c:pt idx="382">
                    <c:v>1,22</c:v>
                  </c:pt>
                  <c:pt idx="383">
                    <c:v>1</c:v>
                  </c:pt>
                  <c:pt idx="384">
                    <c:v>1</c:v>
                  </c:pt>
                  <c:pt idx="385">
                    <c:v>1,22</c:v>
                  </c:pt>
                  <c:pt idx="386">
                    <c:v>1,22</c:v>
                  </c:pt>
                  <c:pt idx="387">
                    <c:v>1,22</c:v>
                  </c:pt>
                  <c:pt idx="388">
                    <c:v>1,22</c:v>
                  </c:pt>
                  <c:pt idx="389">
                    <c:v>1,22</c:v>
                  </c:pt>
                  <c:pt idx="390">
                    <c:v>1,22</c:v>
                  </c:pt>
                  <c:pt idx="391">
                    <c:v>1,22</c:v>
                  </c:pt>
                  <c:pt idx="392">
                    <c:v>1,22</c:v>
                  </c:pt>
                  <c:pt idx="393">
                    <c:v>1,22</c:v>
                  </c:pt>
                  <c:pt idx="394">
                    <c:v>1,22</c:v>
                  </c:pt>
                  <c:pt idx="395">
                    <c:v>1,22</c:v>
                  </c:pt>
                  <c:pt idx="396">
                    <c:v>1,22</c:v>
                  </c:pt>
                  <c:pt idx="397">
                    <c:v>1,22</c:v>
                  </c:pt>
                  <c:pt idx="398">
                    <c:v>1,22</c:v>
                  </c:pt>
                  <c:pt idx="399">
                    <c:v>1,22</c:v>
                  </c:pt>
                  <c:pt idx="400">
                    <c:v>1,22</c:v>
                  </c:pt>
                  <c:pt idx="401">
                    <c:v>1,22</c:v>
                  </c:pt>
                  <c:pt idx="402">
                    <c:v>1,22</c:v>
                  </c:pt>
                  <c:pt idx="403">
                    <c:v>1,22</c:v>
                  </c:pt>
                  <c:pt idx="404">
                    <c:v>1,22</c:v>
                  </c:pt>
                  <c:pt idx="405">
                    <c:v>1,22</c:v>
                  </c:pt>
                  <c:pt idx="406">
                    <c:v>1,22</c:v>
                  </c:pt>
                  <c:pt idx="407">
                    <c:v>1,22</c:v>
                  </c:pt>
                  <c:pt idx="408">
                    <c:v>1,22</c:v>
                  </c:pt>
                  <c:pt idx="409">
                    <c:v>1,22</c:v>
                  </c:pt>
                  <c:pt idx="410">
                    <c:v>1,22</c:v>
                  </c:pt>
                  <c:pt idx="411">
                    <c:v>1,22</c:v>
                  </c:pt>
                  <c:pt idx="412">
                    <c:v>1,22</c:v>
                  </c:pt>
                  <c:pt idx="413">
                    <c:v>1,22</c:v>
                  </c:pt>
                  <c:pt idx="414">
                    <c:v>1,22</c:v>
                  </c:pt>
                  <c:pt idx="415">
                    <c:v>1,22</c:v>
                  </c:pt>
                  <c:pt idx="416">
                    <c:v>1</c:v>
                  </c:pt>
                  <c:pt idx="417">
                    <c:v>1</c:v>
                  </c:pt>
                  <c:pt idx="418">
                    <c:v>1,22</c:v>
                  </c:pt>
                  <c:pt idx="419">
                    <c:v>1</c:v>
                  </c:pt>
                  <c:pt idx="420">
                    <c:v>1</c:v>
                  </c:pt>
                  <c:pt idx="421">
                    <c:v>1,22</c:v>
                  </c:pt>
                  <c:pt idx="422">
                    <c:v>1,22</c:v>
                  </c:pt>
                  <c:pt idx="423">
                    <c:v>1,22</c:v>
                  </c:pt>
                  <c:pt idx="424">
                    <c:v>1,2</c:v>
                  </c:pt>
                  <c:pt idx="425">
                    <c:v>1,2</c:v>
                  </c:pt>
                  <c:pt idx="426">
                    <c:v>1,2</c:v>
                  </c:pt>
                  <c:pt idx="427">
                    <c:v>1,2</c:v>
                  </c:pt>
                  <c:pt idx="428">
                    <c:v>1,22</c:v>
                  </c:pt>
                  <c:pt idx="429">
                    <c:v>1,22</c:v>
                  </c:pt>
                  <c:pt idx="430">
                    <c:v>1,22</c:v>
                  </c:pt>
                  <c:pt idx="431">
                    <c:v>1,22</c:v>
                  </c:pt>
                  <c:pt idx="432">
                    <c:v>1,22</c:v>
                  </c:pt>
                  <c:pt idx="433">
                    <c:v>1,22</c:v>
                  </c:pt>
                  <c:pt idx="434">
                    <c:v>1,22</c:v>
                  </c:pt>
                  <c:pt idx="435">
                    <c:v>1,22</c:v>
                  </c:pt>
                  <c:pt idx="436">
                    <c:v>1,22</c:v>
                  </c:pt>
                  <c:pt idx="437">
                    <c:v>1,22</c:v>
                  </c:pt>
                  <c:pt idx="438">
                    <c:v>1,22</c:v>
                  </c:pt>
                  <c:pt idx="439">
                    <c:v>1,22</c:v>
                  </c:pt>
                  <c:pt idx="440">
                    <c:v>1,22</c:v>
                  </c:pt>
                  <c:pt idx="441">
                    <c:v>1,22</c:v>
                  </c:pt>
                  <c:pt idx="442">
                    <c:v>1,22</c:v>
                  </c:pt>
                  <c:pt idx="443">
                    <c:v>1,22</c:v>
                  </c:pt>
                  <c:pt idx="444">
                    <c:v>1,22</c:v>
                  </c:pt>
                  <c:pt idx="445">
                    <c:v>1,22</c:v>
                  </c:pt>
                  <c:pt idx="446">
                    <c:v>1,22</c:v>
                  </c:pt>
                  <c:pt idx="447">
                    <c:v>1,22</c:v>
                  </c:pt>
                  <c:pt idx="448">
                    <c:v>1,22</c:v>
                  </c:pt>
                  <c:pt idx="449">
                    <c:v>1,22</c:v>
                  </c:pt>
                  <c:pt idx="450">
                    <c:v>1,22</c:v>
                  </c:pt>
                  <c:pt idx="451">
                    <c:v>1,22</c:v>
                  </c:pt>
                  <c:pt idx="452">
                    <c:v>1,22</c:v>
                  </c:pt>
                  <c:pt idx="453">
                    <c:v>1,22</c:v>
                  </c:pt>
                  <c:pt idx="454">
                    <c:v>1,22</c:v>
                  </c:pt>
                  <c:pt idx="455">
                    <c:v>1,22</c:v>
                  </c:pt>
                  <c:pt idx="456">
                    <c:v>1,22</c:v>
                  </c:pt>
                  <c:pt idx="457">
                    <c:v>1,22</c:v>
                  </c:pt>
                  <c:pt idx="458">
                    <c:v>1,22</c:v>
                  </c:pt>
                  <c:pt idx="459">
                    <c:v>1,22</c:v>
                  </c:pt>
                  <c:pt idx="460">
                    <c:v>1,22</c:v>
                  </c:pt>
                  <c:pt idx="461">
                    <c:v>1,22</c:v>
                  </c:pt>
                  <c:pt idx="462">
                    <c:v>1</c:v>
                  </c:pt>
                  <c:pt idx="463">
                    <c:v>1,22</c:v>
                  </c:pt>
                  <c:pt idx="464">
                    <c:v>1,22</c:v>
                  </c:pt>
                  <c:pt idx="465">
                    <c:v>1,22</c:v>
                  </c:pt>
                  <c:pt idx="466">
                    <c:v>1,22</c:v>
                  </c:pt>
                  <c:pt idx="467">
                    <c:v>1,22</c:v>
                  </c:pt>
                  <c:pt idx="468">
                    <c:v>1,22</c:v>
                  </c:pt>
                  <c:pt idx="469">
                    <c:v>1,22</c:v>
                  </c:pt>
                  <c:pt idx="470">
                    <c:v>1,22</c:v>
                  </c:pt>
                  <c:pt idx="471">
                    <c:v>1,22</c:v>
                  </c:pt>
                  <c:pt idx="472">
                    <c:v>1,22</c:v>
                  </c:pt>
                  <c:pt idx="473">
                    <c:v>1,22</c:v>
                  </c:pt>
                  <c:pt idx="474">
                    <c:v>1</c:v>
                  </c:pt>
                  <c:pt idx="475">
                    <c:v>1</c:v>
                  </c:pt>
                  <c:pt idx="476">
                    <c:v>1,22</c:v>
                  </c:pt>
                  <c:pt idx="477">
                    <c:v>1,22</c:v>
                  </c:pt>
                  <c:pt idx="478">
                    <c:v>1,22</c:v>
                  </c:pt>
                  <c:pt idx="479">
                    <c:v>1,22</c:v>
                  </c:pt>
                  <c:pt idx="480">
                    <c:v>1,22</c:v>
                  </c:pt>
                  <c:pt idx="481">
                    <c:v>1,22</c:v>
                  </c:pt>
                  <c:pt idx="482">
                    <c:v>1,22</c:v>
                  </c:pt>
                  <c:pt idx="483">
                    <c:v>1,22</c:v>
                  </c:pt>
                  <c:pt idx="484">
                    <c:v>1,22</c:v>
                  </c:pt>
                  <c:pt idx="486">
                    <c:v>1,22</c:v>
                  </c:pt>
                  <c:pt idx="487">
                    <c:v>1,22</c:v>
                  </c:pt>
                  <c:pt idx="488">
                    <c:v>1,22</c:v>
                  </c:pt>
                  <c:pt idx="489">
                    <c:v>1,22</c:v>
                  </c:pt>
                  <c:pt idx="490">
                    <c:v>1,22</c:v>
                  </c:pt>
                  <c:pt idx="491">
                    <c:v>1,22</c:v>
                  </c:pt>
                  <c:pt idx="492">
                    <c:v>1,22</c:v>
                  </c:pt>
                  <c:pt idx="493">
                    <c:v>1,22</c:v>
                  </c:pt>
                  <c:pt idx="495">
                    <c:v>1</c:v>
                  </c:pt>
                  <c:pt idx="496">
                    <c:v>1,22</c:v>
                  </c:pt>
                  <c:pt idx="497">
                    <c:v>1,22</c:v>
                  </c:pt>
                  <c:pt idx="498">
                    <c:v>1,22</c:v>
                  </c:pt>
                  <c:pt idx="499">
                    <c:v>1,22</c:v>
                  </c:pt>
                  <c:pt idx="500">
                    <c:v>1,22</c:v>
                  </c:pt>
                  <c:pt idx="501">
                    <c:v>1,22</c:v>
                  </c:pt>
                  <c:pt idx="502">
                    <c:v>1,22</c:v>
                  </c:pt>
                  <c:pt idx="503">
                    <c:v>1,22</c:v>
                  </c:pt>
                  <c:pt idx="504">
                    <c:v>1,22</c:v>
                  </c:pt>
                  <c:pt idx="505">
                    <c:v>1,22</c:v>
                  </c:pt>
                  <c:pt idx="506">
                    <c:v>1,22</c:v>
                  </c:pt>
                  <c:pt idx="507">
                    <c:v>1,22</c:v>
                  </c:pt>
                  <c:pt idx="508">
                    <c:v>1,22</c:v>
                  </c:pt>
                  <c:pt idx="509">
                    <c:v>1,22</c:v>
                  </c:pt>
                  <c:pt idx="510">
                    <c:v>1,22</c:v>
                  </c:pt>
                  <c:pt idx="511">
                    <c:v>1,22</c:v>
                  </c:pt>
                  <c:pt idx="512">
                    <c:v>1,22</c:v>
                  </c:pt>
                  <c:pt idx="513">
                    <c:v>1,22</c:v>
                  </c:pt>
                  <c:pt idx="514">
                    <c:v>1,22</c:v>
                  </c:pt>
                  <c:pt idx="515">
                    <c:v>1,22</c:v>
                  </c:pt>
                  <c:pt idx="516">
                    <c:v>1,22</c:v>
                  </c:pt>
                  <c:pt idx="517">
                    <c:v>1,22</c:v>
                  </c:pt>
                  <c:pt idx="518">
                    <c:v>1,22</c:v>
                  </c:pt>
                  <c:pt idx="519">
                    <c:v>1,22</c:v>
                  </c:pt>
                  <c:pt idx="520">
                    <c:v>1,22</c:v>
                  </c:pt>
                  <c:pt idx="521">
                    <c:v>1</c:v>
                  </c:pt>
                  <c:pt idx="522">
                    <c:v>1,22</c:v>
                  </c:pt>
                  <c:pt idx="524">
                    <c:v>1,22</c:v>
                  </c:pt>
                  <c:pt idx="525">
                    <c:v>1</c:v>
                  </c:pt>
                  <c:pt idx="526">
                    <c:v>1,22</c:v>
                  </c:pt>
                  <c:pt idx="527">
                    <c:v>1,22</c:v>
                  </c:pt>
                  <c:pt idx="528">
                    <c:v>1,22</c:v>
                  </c:pt>
                  <c:pt idx="529">
                    <c:v>1,22</c:v>
                  </c:pt>
                  <c:pt idx="530">
                    <c:v>1,22</c:v>
                  </c:pt>
                  <c:pt idx="531">
                    <c:v>1,22</c:v>
                  </c:pt>
                  <c:pt idx="532">
                    <c:v>1,22</c:v>
                  </c:pt>
                  <c:pt idx="534">
                    <c:v>1,22</c:v>
                  </c:pt>
                  <c:pt idx="535">
                    <c:v>1,22</c:v>
                  </c:pt>
                  <c:pt idx="536">
                    <c:v>1,22</c:v>
                  </c:pt>
                  <c:pt idx="537">
                    <c:v>1,22</c:v>
                  </c:pt>
                  <c:pt idx="538">
                    <c:v>1,22</c:v>
                  </c:pt>
                  <c:pt idx="539">
                    <c:v>1,22</c:v>
                  </c:pt>
                  <c:pt idx="540">
                    <c:v>1,22</c:v>
                  </c:pt>
                  <c:pt idx="541">
                    <c:v>1,22</c:v>
                  </c:pt>
                  <c:pt idx="542">
                    <c:v>1,22</c:v>
                  </c:pt>
                  <c:pt idx="543">
                    <c:v>1,22</c:v>
                  </c:pt>
                  <c:pt idx="544">
                    <c:v>1,22</c:v>
                  </c:pt>
                  <c:pt idx="545">
                    <c:v>1,22</c:v>
                  </c:pt>
                  <c:pt idx="546">
                    <c:v>1,22</c:v>
                  </c:pt>
                  <c:pt idx="547">
                    <c:v>1,22</c:v>
                  </c:pt>
                  <c:pt idx="548">
                    <c:v>1,22</c:v>
                  </c:pt>
                  <c:pt idx="549">
                    <c:v>1</c:v>
                  </c:pt>
                  <c:pt idx="552">
                    <c:v>1,22</c:v>
                  </c:pt>
                  <c:pt idx="553">
                    <c:v>1,22</c:v>
                  </c:pt>
                  <c:pt idx="554">
                    <c:v>1</c:v>
                  </c:pt>
                  <c:pt idx="555">
                    <c:v>1,22</c:v>
                  </c:pt>
                  <c:pt idx="556">
                    <c:v>1,22</c:v>
                  </c:pt>
                  <c:pt idx="557">
                    <c:v>1,22</c:v>
                  </c:pt>
                  <c:pt idx="558">
                    <c:v>1</c:v>
                  </c:pt>
                  <c:pt idx="559">
                    <c:v>1,22</c:v>
                  </c:pt>
                  <c:pt idx="560">
                    <c:v>1,22</c:v>
                  </c:pt>
                  <c:pt idx="561">
                    <c:v>1,22</c:v>
                  </c:pt>
                  <c:pt idx="562">
                    <c:v>1,22</c:v>
                  </c:pt>
                  <c:pt idx="563">
                    <c:v>1,22</c:v>
                  </c:pt>
                  <c:pt idx="564">
                    <c:v>1,22</c:v>
                  </c:pt>
                  <c:pt idx="565">
                    <c:v>1,22</c:v>
                  </c:pt>
                  <c:pt idx="566">
                    <c:v>1</c:v>
                  </c:pt>
                  <c:pt idx="567">
                    <c:v>1,22</c:v>
                  </c:pt>
                  <c:pt idx="568">
                    <c:v>1,22</c:v>
                  </c:pt>
                  <c:pt idx="569">
                    <c:v>1,22</c:v>
                  </c:pt>
                  <c:pt idx="570">
                    <c:v>1,22</c:v>
                  </c:pt>
                  <c:pt idx="571">
                    <c:v>1,22</c:v>
                  </c:pt>
                  <c:pt idx="572">
                    <c:v>1,22</c:v>
                  </c:pt>
                  <c:pt idx="573">
                    <c:v>1,22</c:v>
                  </c:pt>
                  <c:pt idx="574">
                    <c:v>1,22</c:v>
                  </c:pt>
                  <c:pt idx="575">
                    <c:v>1,22</c:v>
                  </c:pt>
                  <c:pt idx="576">
                    <c:v>1,22</c:v>
                  </c:pt>
                  <c:pt idx="577">
                    <c:v>1,22</c:v>
                  </c:pt>
                  <c:pt idx="579">
                    <c:v>1,22</c:v>
                  </c:pt>
                  <c:pt idx="580">
                    <c:v>1,22</c:v>
                  </c:pt>
                  <c:pt idx="582">
                    <c:v>1,22</c:v>
                  </c:pt>
                  <c:pt idx="583">
                    <c:v>1,22</c:v>
                  </c:pt>
                  <c:pt idx="584">
                    <c:v>1</c:v>
                  </c:pt>
                  <c:pt idx="585">
                    <c:v>1,22</c:v>
                  </c:pt>
                  <c:pt idx="586">
                    <c:v>1,22</c:v>
                  </c:pt>
                  <c:pt idx="587">
                    <c:v>1,22</c:v>
                  </c:pt>
                  <c:pt idx="588">
                    <c:v>1,22</c:v>
                  </c:pt>
                  <c:pt idx="589">
                    <c:v>1</c:v>
                  </c:pt>
                  <c:pt idx="590">
                    <c:v>1</c:v>
                  </c:pt>
                  <c:pt idx="591">
                    <c:v>1</c:v>
                  </c:pt>
                  <c:pt idx="592">
                    <c:v>1</c:v>
                  </c:pt>
                  <c:pt idx="593">
                    <c:v>1,22</c:v>
                  </c:pt>
                  <c:pt idx="594">
                    <c:v>1</c:v>
                  </c:pt>
                  <c:pt idx="595">
                    <c:v>1</c:v>
                  </c:pt>
                  <c:pt idx="596">
                    <c:v>1</c:v>
                  </c:pt>
                  <c:pt idx="597">
                    <c:v>1</c:v>
                  </c:pt>
                  <c:pt idx="598">
                    <c:v>1</c:v>
                  </c:pt>
                  <c:pt idx="599">
                    <c:v>1</c:v>
                  </c:pt>
                  <c:pt idx="600">
                    <c:v>1</c:v>
                  </c:pt>
                  <c:pt idx="601">
                    <c:v>1</c:v>
                  </c:pt>
                  <c:pt idx="602">
                    <c:v>1,12</c:v>
                  </c:pt>
                  <c:pt idx="603">
                    <c:v>1,12</c:v>
                  </c:pt>
                  <c:pt idx="604">
                    <c:v>1,22</c:v>
                  </c:pt>
                  <c:pt idx="605">
                    <c:v>1,22</c:v>
                  </c:pt>
                  <c:pt idx="606">
                    <c:v>1,22</c:v>
                  </c:pt>
                  <c:pt idx="607">
                    <c:v>1,22</c:v>
                  </c:pt>
                  <c:pt idx="608">
                    <c:v>1,22</c:v>
                  </c:pt>
                  <c:pt idx="609">
                    <c:v>1,22</c:v>
                  </c:pt>
                  <c:pt idx="610">
                    <c:v>1,22</c:v>
                  </c:pt>
                  <c:pt idx="611">
                    <c:v>1,22</c:v>
                  </c:pt>
                  <c:pt idx="612">
                    <c:v>1,22</c:v>
                  </c:pt>
                  <c:pt idx="613">
                    <c:v>1,22</c:v>
                  </c:pt>
                  <c:pt idx="614">
                    <c:v>1,22</c:v>
                  </c:pt>
                  <c:pt idx="615">
                    <c:v>1,22</c:v>
                  </c:pt>
                  <c:pt idx="616">
                    <c:v>1,22</c:v>
                  </c:pt>
                  <c:pt idx="617">
                    <c:v>1,22</c:v>
                  </c:pt>
                  <c:pt idx="618">
                    <c:v>1,22</c:v>
                  </c:pt>
                  <c:pt idx="619">
                    <c:v>1,22</c:v>
                  </c:pt>
                  <c:pt idx="620">
                    <c:v>1,22</c:v>
                  </c:pt>
                  <c:pt idx="621">
                    <c:v>1,22</c:v>
                  </c:pt>
                  <c:pt idx="622">
                    <c:v>1,22</c:v>
                  </c:pt>
                  <c:pt idx="623">
                    <c:v>1,22</c:v>
                  </c:pt>
                  <c:pt idx="624">
                    <c:v>1,22</c:v>
                  </c:pt>
                  <c:pt idx="625">
                    <c:v>1,22</c:v>
                  </c:pt>
                  <c:pt idx="626">
                    <c:v>1,22</c:v>
                  </c:pt>
                  <c:pt idx="627">
                    <c:v>1,22</c:v>
                  </c:pt>
                  <c:pt idx="628">
                    <c:v>1,22</c:v>
                  </c:pt>
                  <c:pt idx="629">
                    <c:v>1,22</c:v>
                  </c:pt>
                  <c:pt idx="630">
                    <c:v>1,22</c:v>
                  </c:pt>
                  <c:pt idx="631">
                    <c:v>1,22</c:v>
                  </c:pt>
                  <c:pt idx="632">
                    <c:v>1,22</c:v>
                  </c:pt>
                  <c:pt idx="633">
                    <c:v>1,22</c:v>
                  </c:pt>
                  <c:pt idx="634">
                    <c:v>1,22</c:v>
                  </c:pt>
                  <c:pt idx="635">
                    <c:v>1,22</c:v>
                  </c:pt>
                  <c:pt idx="636">
                    <c:v>1,22</c:v>
                  </c:pt>
                  <c:pt idx="637">
                    <c:v>1,22</c:v>
                  </c:pt>
                  <c:pt idx="638">
                    <c:v>1,22</c:v>
                  </c:pt>
                  <c:pt idx="639">
                    <c:v>1,22</c:v>
                  </c:pt>
                  <c:pt idx="640">
                    <c:v>1,22</c:v>
                  </c:pt>
                  <c:pt idx="641">
                    <c:v>1</c:v>
                  </c:pt>
                  <c:pt idx="642">
                    <c:v>1,22</c:v>
                  </c:pt>
                  <c:pt idx="643">
                    <c:v>1,22</c:v>
                  </c:pt>
                  <c:pt idx="644">
                    <c:v>1,22</c:v>
                  </c:pt>
                  <c:pt idx="645">
                    <c:v>1,22</c:v>
                  </c:pt>
                  <c:pt idx="646">
                    <c:v>1,22</c:v>
                  </c:pt>
                  <c:pt idx="647">
                    <c:v>1,22</c:v>
                  </c:pt>
                  <c:pt idx="648">
                    <c:v>1,22</c:v>
                  </c:pt>
                  <c:pt idx="649">
                    <c:v>1,22</c:v>
                  </c:pt>
                  <c:pt idx="650">
                    <c:v>1,22</c:v>
                  </c:pt>
                  <c:pt idx="651">
                    <c:v>1,22</c:v>
                  </c:pt>
                  <c:pt idx="652">
                    <c:v>1,22</c:v>
                  </c:pt>
                  <c:pt idx="653">
                    <c:v>1,22</c:v>
                  </c:pt>
                  <c:pt idx="654">
                    <c:v>1,22</c:v>
                  </c:pt>
                  <c:pt idx="655">
                    <c:v>1,22</c:v>
                  </c:pt>
                  <c:pt idx="656">
                    <c:v>1,22</c:v>
                  </c:pt>
                  <c:pt idx="657">
                    <c:v>1,22</c:v>
                  </c:pt>
                  <c:pt idx="658">
                    <c:v>1,22</c:v>
                  </c:pt>
                  <c:pt idx="659">
                    <c:v>1,22</c:v>
                  </c:pt>
                  <c:pt idx="660">
                    <c:v>1,22</c:v>
                  </c:pt>
                  <c:pt idx="661">
                    <c:v>1,22</c:v>
                  </c:pt>
                  <c:pt idx="662">
                    <c:v>1,22</c:v>
                  </c:pt>
                  <c:pt idx="663">
                    <c:v>1,22</c:v>
                  </c:pt>
                  <c:pt idx="664">
                    <c:v>1,22</c:v>
                  </c:pt>
                  <c:pt idx="665">
                    <c:v>1,22</c:v>
                  </c:pt>
                  <c:pt idx="666">
                    <c:v>1,22</c:v>
                  </c:pt>
                  <c:pt idx="667">
                    <c:v>1,22</c:v>
                  </c:pt>
                  <c:pt idx="668">
                    <c:v>1,22</c:v>
                  </c:pt>
                  <c:pt idx="670">
                    <c:v>1,22</c:v>
                  </c:pt>
                  <c:pt idx="671">
                    <c:v>1,22</c:v>
                  </c:pt>
                  <c:pt idx="672">
                    <c:v>1,22</c:v>
                  </c:pt>
                  <c:pt idx="673">
                    <c:v>1,22</c:v>
                  </c:pt>
                  <c:pt idx="674">
                    <c:v>1,22</c:v>
                  </c:pt>
                  <c:pt idx="675">
                    <c:v>1</c:v>
                  </c:pt>
                  <c:pt idx="676">
                    <c:v>1</c:v>
                  </c:pt>
                  <c:pt idx="677">
                    <c:v>1,22</c:v>
                  </c:pt>
                  <c:pt idx="678">
                    <c:v>1,22</c:v>
                  </c:pt>
                  <c:pt idx="679">
                    <c:v>1,22</c:v>
                  </c:pt>
                  <c:pt idx="680">
                    <c:v>1</c:v>
                  </c:pt>
                  <c:pt idx="681">
                    <c:v>1,22</c:v>
                  </c:pt>
                  <c:pt idx="682">
                    <c:v>1,22</c:v>
                  </c:pt>
                  <c:pt idx="683">
                    <c:v>1,22</c:v>
                  </c:pt>
                  <c:pt idx="684">
                    <c:v>1,22</c:v>
                  </c:pt>
                  <c:pt idx="685">
                    <c:v>1,22</c:v>
                  </c:pt>
                  <c:pt idx="687">
                    <c:v>1</c:v>
                  </c:pt>
                  <c:pt idx="688">
                    <c:v>1,22</c:v>
                  </c:pt>
                  <c:pt idx="689">
                    <c:v>1,22</c:v>
                  </c:pt>
                  <c:pt idx="690">
                    <c:v>1,22</c:v>
                  </c:pt>
                  <c:pt idx="691">
                    <c:v>1,22</c:v>
                  </c:pt>
                  <c:pt idx="692">
                    <c:v>1,22</c:v>
                  </c:pt>
                  <c:pt idx="693">
                    <c:v>1,22</c:v>
                  </c:pt>
                  <c:pt idx="694">
                    <c:v>1,22</c:v>
                  </c:pt>
                  <c:pt idx="695">
                    <c:v>1,22</c:v>
                  </c:pt>
                  <c:pt idx="696">
                    <c:v>1,22</c:v>
                  </c:pt>
                  <c:pt idx="697">
                    <c:v>1,22</c:v>
                  </c:pt>
                  <c:pt idx="698">
                    <c:v>1,22</c:v>
                  </c:pt>
                  <c:pt idx="699">
                    <c:v>1,22</c:v>
                  </c:pt>
                  <c:pt idx="700">
                    <c:v>1,22</c:v>
                  </c:pt>
                  <c:pt idx="701">
                    <c:v>1,22</c:v>
                  </c:pt>
                  <c:pt idx="702">
                    <c:v>1,22</c:v>
                  </c:pt>
                  <c:pt idx="703">
                    <c:v>1,22</c:v>
                  </c:pt>
                  <c:pt idx="704">
                    <c:v>1,22</c:v>
                  </c:pt>
                  <c:pt idx="705">
                    <c:v>1,22</c:v>
                  </c:pt>
                  <c:pt idx="706">
                    <c:v>1,22</c:v>
                  </c:pt>
                  <c:pt idx="707">
                    <c:v>1,22</c:v>
                  </c:pt>
                  <c:pt idx="708">
                    <c:v>1,22</c:v>
                  </c:pt>
                  <c:pt idx="709">
                    <c:v>1,22</c:v>
                  </c:pt>
                  <c:pt idx="710">
                    <c:v>1,22</c:v>
                  </c:pt>
                  <c:pt idx="711">
                    <c:v>1,22</c:v>
                  </c:pt>
                  <c:pt idx="712">
                    <c:v>1,22</c:v>
                  </c:pt>
                  <c:pt idx="713">
                    <c:v>1</c:v>
                  </c:pt>
                  <c:pt idx="714">
                    <c:v>1</c:v>
                  </c:pt>
                  <c:pt idx="715">
                    <c:v>1,22</c:v>
                  </c:pt>
                  <c:pt idx="716">
                    <c:v>1,22</c:v>
                  </c:pt>
                  <c:pt idx="717">
                    <c:v>1,22</c:v>
                  </c:pt>
                  <c:pt idx="718">
                    <c:v>1,22</c:v>
                  </c:pt>
                  <c:pt idx="719">
                    <c:v>1,22</c:v>
                  </c:pt>
                  <c:pt idx="720">
                    <c:v>1,22</c:v>
                  </c:pt>
                  <c:pt idx="721">
                    <c:v>1,22</c:v>
                  </c:pt>
                  <c:pt idx="722">
                    <c:v>1</c:v>
                  </c:pt>
                  <c:pt idx="723">
                    <c:v>1,22</c:v>
                  </c:pt>
                  <c:pt idx="724">
                    <c:v>1</c:v>
                  </c:pt>
                  <c:pt idx="725">
                    <c:v>1</c:v>
                  </c:pt>
                  <c:pt idx="726">
                    <c:v>1</c:v>
                  </c:pt>
                  <c:pt idx="727">
                    <c:v>1</c:v>
                  </c:pt>
                  <c:pt idx="728">
                    <c:v>1</c:v>
                  </c:pt>
                  <c:pt idx="729">
                    <c:v>1</c:v>
                  </c:pt>
                  <c:pt idx="730">
                    <c:v>1</c:v>
                  </c:pt>
                  <c:pt idx="731">
                    <c:v>1</c:v>
                  </c:pt>
                  <c:pt idx="732">
                    <c:v>1</c:v>
                  </c:pt>
                  <c:pt idx="733">
                    <c:v>1,22</c:v>
                  </c:pt>
                  <c:pt idx="734">
                    <c:v>1,22</c:v>
                  </c:pt>
                  <c:pt idx="735">
                    <c:v>1,22</c:v>
                  </c:pt>
                  <c:pt idx="736">
                    <c:v>1,22</c:v>
                  </c:pt>
                  <c:pt idx="737">
                    <c:v>1,22</c:v>
                  </c:pt>
                  <c:pt idx="738">
                    <c:v>1,22</c:v>
                  </c:pt>
                  <c:pt idx="739">
                    <c:v>1,22</c:v>
                  </c:pt>
                  <c:pt idx="740">
                    <c:v>1,22</c:v>
                  </c:pt>
                  <c:pt idx="741">
                    <c:v>1,22</c:v>
                  </c:pt>
                  <c:pt idx="742">
                    <c:v>1,22</c:v>
                  </c:pt>
                  <c:pt idx="743">
                    <c:v>1,22</c:v>
                  </c:pt>
                  <c:pt idx="744">
                    <c:v>1,22</c:v>
                  </c:pt>
                  <c:pt idx="747">
                    <c:v>1,22</c:v>
                  </c:pt>
                  <c:pt idx="748">
                    <c:v>1,22</c:v>
                  </c:pt>
                  <c:pt idx="749">
                    <c:v>1,22</c:v>
                  </c:pt>
                  <c:pt idx="750">
                    <c:v>1,22</c:v>
                  </c:pt>
                  <c:pt idx="751">
                    <c:v>1</c:v>
                  </c:pt>
                  <c:pt idx="752">
                    <c:v>1</c:v>
                  </c:pt>
                  <c:pt idx="753">
                    <c:v>1</c:v>
                  </c:pt>
                  <c:pt idx="754">
                    <c:v>1</c:v>
                  </c:pt>
                  <c:pt idx="755">
                    <c:v>1</c:v>
                  </c:pt>
                  <c:pt idx="756">
                    <c:v>1</c:v>
                  </c:pt>
                  <c:pt idx="757">
                    <c:v>1</c:v>
                  </c:pt>
                  <c:pt idx="758">
                    <c:v>1,22</c:v>
                  </c:pt>
                  <c:pt idx="759">
                    <c:v>1,22</c:v>
                  </c:pt>
                  <c:pt idx="760">
                    <c:v>1,22</c:v>
                  </c:pt>
                  <c:pt idx="761">
                    <c:v>1,22</c:v>
                  </c:pt>
                  <c:pt idx="762">
                    <c:v>1,22</c:v>
                  </c:pt>
                  <c:pt idx="763">
                    <c:v>1,22</c:v>
                  </c:pt>
                  <c:pt idx="764">
                    <c:v>1,22</c:v>
                  </c:pt>
                  <c:pt idx="765">
                    <c:v>1</c:v>
                  </c:pt>
                  <c:pt idx="766">
                    <c:v>1</c:v>
                  </c:pt>
                  <c:pt idx="768">
                    <c:v>1</c:v>
                  </c:pt>
                  <c:pt idx="769">
                    <c:v>1</c:v>
                  </c:pt>
                  <c:pt idx="770">
                    <c:v>1</c:v>
                  </c:pt>
                  <c:pt idx="771">
                    <c:v>1,22</c:v>
                  </c:pt>
                  <c:pt idx="772">
                    <c:v>1</c:v>
                  </c:pt>
                  <c:pt idx="773">
                    <c:v>1</c:v>
                  </c:pt>
                  <c:pt idx="774">
                    <c:v>1,22</c:v>
                  </c:pt>
                  <c:pt idx="775">
                    <c:v>1,22</c:v>
                  </c:pt>
                  <c:pt idx="776">
                    <c:v>1,22</c:v>
                  </c:pt>
                  <c:pt idx="777">
                    <c:v>1,22</c:v>
                  </c:pt>
                  <c:pt idx="778">
                    <c:v>1,22</c:v>
                  </c:pt>
                  <c:pt idx="779">
                    <c:v>1,22</c:v>
                  </c:pt>
                  <c:pt idx="780">
                    <c:v>1</c:v>
                  </c:pt>
                  <c:pt idx="781">
                    <c:v>1,22</c:v>
                  </c:pt>
                  <c:pt idx="782">
                    <c:v>1</c:v>
                  </c:pt>
                  <c:pt idx="783">
                    <c:v>1,22</c:v>
                  </c:pt>
                  <c:pt idx="784">
                    <c:v>1,22</c:v>
                  </c:pt>
                  <c:pt idx="785">
                    <c:v>1,22</c:v>
                  </c:pt>
                  <c:pt idx="786">
                    <c:v>1</c:v>
                  </c:pt>
                  <c:pt idx="787">
                    <c:v>1,22</c:v>
                  </c:pt>
                  <c:pt idx="788">
                    <c:v>1,22</c:v>
                  </c:pt>
                  <c:pt idx="789">
                    <c:v>1,22</c:v>
                  </c:pt>
                  <c:pt idx="790">
                    <c:v>1,22</c:v>
                  </c:pt>
                  <c:pt idx="791">
                    <c:v>1,22</c:v>
                  </c:pt>
                  <c:pt idx="792">
                    <c:v>1,22</c:v>
                  </c:pt>
                  <c:pt idx="793">
                    <c:v>1,22</c:v>
                  </c:pt>
                  <c:pt idx="794">
                    <c:v>1,22</c:v>
                  </c:pt>
                  <c:pt idx="796">
                    <c:v>1,22</c:v>
                  </c:pt>
                  <c:pt idx="797">
                    <c:v>1,22</c:v>
                  </c:pt>
                  <c:pt idx="798">
                    <c:v>1,22</c:v>
                  </c:pt>
                  <c:pt idx="799">
                    <c:v>1,22</c:v>
                  </c:pt>
                  <c:pt idx="800">
                    <c:v>1,22</c:v>
                  </c:pt>
                  <c:pt idx="801">
                    <c:v>1</c:v>
                  </c:pt>
                  <c:pt idx="802">
                    <c:v>1</c:v>
                  </c:pt>
                  <c:pt idx="803">
                    <c:v>1</c:v>
                  </c:pt>
                  <c:pt idx="804">
                    <c:v>1</c:v>
                  </c:pt>
                  <c:pt idx="805">
                    <c:v>1,22</c:v>
                  </c:pt>
                  <c:pt idx="806">
                    <c:v>1,22</c:v>
                  </c:pt>
                  <c:pt idx="807">
                    <c:v>1,22</c:v>
                  </c:pt>
                  <c:pt idx="808">
                    <c:v>1,22</c:v>
                  </c:pt>
                  <c:pt idx="809">
                    <c:v>1,22</c:v>
                  </c:pt>
                  <c:pt idx="810">
                    <c:v>1,22</c:v>
                  </c:pt>
                  <c:pt idx="811">
                    <c:v>1,22</c:v>
                  </c:pt>
                  <c:pt idx="812">
                    <c:v>1,22</c:v>
                  </c:pt>
                  <c:pt idx="813">
                    <c:v>1,22</c:v>
                  </c:pt>
                  <c:pt idx="814">
                    <c:v>1,22</c:v>
                  </c:pt>
                  <c:pt idx="815">
                    <c:v>1,22</c:v>
                  </c:pt>
                  <c:pt idx="816">
                    <c:v>1,22</c:v>
                  </c:pt>
                  <c:pt idx="817">
                    <c:v>1,22</c:v>
                  </c:pt>
                  <c:pt idx="818">
                    <c:v>1,22</c:v>
                  </c:pt>
                  <c:pt idx="819">
                    <c:v>1,22</c:v>
                  </c:pt>
                  <c:pt idx="820">
                    <c:v>1,22</c:v>
                  </c:pt>
                  <c:pt idx="821">
                    <c:v>1,22</c:v>
                  </c:pt>
                  <c:pt idx="822">
                    <c:v>1,22</c:v>
                  </c:pt>
                  <c:pt idx="823">
                    <c:v>1,22</c:v>
                  </c:pt>
                  <c:pt idx="824">
                    <c:v>1,22</c:v>
                  </c:pt>
                  <c:pt idx="825">
                    <c:v>1,22</c:v>
                  </c:pt>
                  <c:pt idx="826">
                    <c:v>1,22</c:v>
                  </c:pt>
                  <c:pt idx="827">
                    <c:v>1,22</c:v>
                  </c:pt>
                  <c:pt idx="828">
                    <c:v>1,22</c:v>
                  </c:pt>
                  <c:pt idx="829">
                    <c:v>1,22</c:v>
                  </c:pt>
                  <c:pt idx="830">
                    <c:v>1,22</c:v>
                  </c:pt>
                  <c:pt idx="831">
                    <c:v>1,22</c:v>
                  </c:pt>
                  <c:pt idx="832">
                    <c:v>1,22</c:v>
                  </c:pt>
                  <c:pt idx="833">
                    <c:v>1,22</c:v>
                  </c:pt>
                  <c:pt idx="834">
                    <c:v>1,22</c:v>
                  </c:pt>
                  <c:pt idx="835">
                    <c:v>1,22</c:v>
                  </c:pt>
                  <c:pt idx="836">
                    <c:v>1,22</c:v>
                  </c:pt>
                  <c:pt idx="837">
                    <c:v>1,22</c:v>
                  </c:pt>
                  <c:pt idx="838">
                    <c:v>1,22</c:v>
                  </c:pt>
                  <c:pt idx="839">
                    <c:v>1,22</c:v>
                  </c:pt>
                  <c:pt idx="840">
                    <c:v>1,22</c:v>
                  </c:pt>
                  <c:pt idx="841">
                    <c:v>1,22</c:v>
                  </c:pt>
                  <c:pt idx="842">
                    <c:v>1,22</c:v>
                  </c:pt>
                  <c:pt idx="843">
                    <c:v>1,22</c:v>
                  </c:pt>
                  <c:pt idx="844">
                    <c:v>1,22</c:v>
                  </c:pt>
                  <c:pt idx="845">
                    <c:v>1,22</c:v>
                  </c:pt>
                  <c:pt idx="846">
                    <c:v>1,22</c:v>
                  </c:pt>
                  <c:pt idx="847">
                    <c:v>1,22</c:v>
                  </c:pt>
                  <c:pt idx="848">
                    <c:v>1,22</c:v>
                  </c:pt>
                  <c:pt idx="849">
                    <c:v>1,22</c:v>
                  </c:pt>
                  <c:pt idx="850">
                    <c:v>1,22</c:v>
                  </c:pt>
                  <c:pt idx="851">
                    <c:v>1,22</c:v>
                  </c:pt>
                  <c:pt idx="852">
                    <c:v>1,22</c:v>
                  </c:pt>
                  <c:pt idx="853">
                    <c:v>1,22</c:v>
                  </c:pt>
                  <c:pt idx="854">
                    <c:v>1,22</c:v>
                  </c:pt>
                  <c:pt idx="855">
                    <c:v>1,22</c:v>
                  </c:pt>
                  <c:pt idx="856">
                    <c:v>1,22</c:v>
                  </c:pt>
                  <c:pt idx="857">
                    <c:v>1,22</c:v>
                  </c:pt>
                  <c:pt idx="858">
                    <c:v>1,22</c:v>
                  </c:pt>
                  <c:pt idx="859">
                    <c:v>1,22</c:v>
                  </c:pt>
                  <c:pt idx="860">
                    <c:v>1,22</c:v>
                  </c:pt>
                  <c:pt idx="861">
                    <c:v>1,22</c:v>
                  </c:pt>
                  <c:pt idx="862">
                    <c:v>1,22</c:v>
                  </c:pt>
                  <c:pt idx="863">
                    <c:v>1,22</c:v>
                  </c:pt>
                  <c:pt idx="864">
                    <c:v>1,22</c:v>
                  </c:pt>
                  <c:pt idx="865">
                    <c:v>1,22</c:v>
                  </c:pt>
                  <c:pt idx="866">
                    <c:v>1</c:v>
                  </c:pt>
                  <c:pt idx="867">
                    <c:v>1,22</c:v>
                  </c:pt>
                  <c:pt idx="868">
                    <c:v>1,22</c:v>
                  </c:pt>
                  <c:pt idx="869">
                    <c:v>1,22</c:v>
                  </c:pt>
                  <c:pt idx="870">
                    <c:v>1,22</c:v>
                  </c:pt>
                  <c:pt idx="871">
                    <c:v>1,22</c:v>
                  </c:pt>
                  <c:pt idx="872">
                    <c:v>1,22</c:v>
                  </c:pt>
                  <c:pt idx="873">
                    <c:v>1,22</c:v>
                  </c:pt>
                  <c:pt idx="874">
                    <c:v>1,22</c:v>
                  </c:pt>
                  <c:pt idx="875">
                    <c:v>1,22</c:v>
                  </c:pt>
                  <c:pt idx="876">
                    <c:v>1,22</c:v>
                  </c:pt>
                  <c:pt idx="877">
                    <c:v>1,22</c:v>
                  </c:pt>
                  <c:pt idx="878">
                    <c:v>1,22</c:v>
                  </c:pt>
                  <c:pt idx="879">
                    <c:v>1,22</c:v>
                  </c:pt>
                  <c:pt idx="880">
                    <c:v>1,22</c:v>
                  </c:pt>
                  <c:pt idx="881">
                    <c:v>1,22</c:v>
                  </c:pt>
                  <c:pt idx="882">
                    <c:v>1,22</c:v>
                  </c:pt>
                  <c:pt idx="883">
                    <c:v>1,22</c:v>
                  </c:pt>
                  <c:pt idx="884">
                    <c:v>1,22</c:v>
                  </c:pt>
                  <c:pt idx="885">
                    <c:v>1,22</c:v>
                  </c:pt>
                  <c:pt idx="886">
                    <c:v>1,22</c:v>
                  </c:pt>
                  <c:pt idx="887">
                    <c:v>1,22</c:v>
                  </c:pt>
                  <c:pt idx="888">
                    <c:v>1,22</c:v>
                  </c:pt>
                  <c:pt idx="889">
                    <c:v>1,22</c:v>
                  </c:pt>
                  <c:pt idx="890">
                    <c:v>1,22</c:v>
                  </c:pt>
                  <c:pt idx="891">
                    <c:v>1,22</c:v>
                  </c:pt>
                  <c:pt idx="892">
                    <c:v>1,22</c:v>
                  </c:pt>
                  <c:pt idx="893">
                    <c:v>1,22</c:v>
                  </c:pt>
                  <c:pt idx="894">
                    <c:v>1,22</c:v>
                  </c:pt>
                  <c:pt idx="895">
                    <c:v>1,22</c:v>
                  </c:pt>
                  <c:pt idx="896">
                    <c:v>1,22</c:v>
                  </c:pt>
                  <c:pt idx="897">
                    <c:v>1,22</c:v>
                  </c:pt>
                  <c:pt idx="898">
                    <c:v>1,22</c:v>
                  </c:pt>
                  <c:pt idx="899">
                    <c:v>1,22</c:v>
                  </c:pt>
                  <c:pt idx="900">
                    <c:v>1,22</c:v>
                  </c:pt>
                  <c:pt idx="901">
                    <c:v>1,22</c:v>
                  </c:pt>
                  <c:pt idx="902">
                    <c:v>1,22</c:v>
                  </c:pt>
                  <c:pt idx="903">
                    <c:v>1,22</c:v>
                  </c:pt>
                  <c:pt idx="904">
                    <c:v>1,22</c:v>
                  </c:pt>
                  <c:pt idx="905">
                    <c:v>1,22</c:v>
                  </c:pt>
                  <c:pt idx="906">
                    <c:v>1,22</c:v>
                  </c:pt>
                  <c:pt idx="907">
                    <c:v>1,22</c:v>
                  </c:pt>
                  <c:pt idx="908">
                    <c:v>1,22</c:v>
                  </c:pt>
                  <c:pt idx="909">
                    <c:v>1,22</c:v>
                  </c:pt>
                  <c:pt idx="910">
                    <c:v>1,22</c:v>
                  </c:pt>
                  <c:pt idx="911">
                    <c:v>1,22</c:v>
                  </c:pt>
                  <c:pt idx="912">
                    <c:v>1,22</c:v>
                  </c:pt>
                  <c:pt idx="913">
                    <c:v>1,22</c:v>
                  </c:pt>
                  <c:pt idx="914">
                    <c:v>1,22</c:v>
                  </c:pt>
                  <c:pt idx="915">
                    <c:v>1,22</c:v>
                  </c:pt>
                  <c:pt idx="916">
                    <c:v>1,22</c:v>
                  </c:pt>
                  <c:pt idx="917">
                    <c:v>1,22</c:v>
                  </c:pt>
                  <c:pt idx="918">
                    <c:v>1,22</c:v>
                  </c:pt>
                  <c:pt idx="919">
                    <c:v>1,22</c:v>
                  </c:pt>
                  <c:pt idx="920">
                    <c:v>1,22</c:v>
                  </c:pt>
                  <c:pt idx="921">
                    <c:v>1,22</c:v>
                  </c:pt>
                  <c:pt idx="922">
                    <c:v>1,22</c:v>
                  </c:pt>
                  <c:pt idx="924">
                    <c:v>1,22</c:v>
                  </c:pt>
                  <c:pt idx="925">
                    <c:v>1,22</c:v>
                  </c:pt>
                  <c:pt idx="926">
                    <c:v>1,22</c:v>
                  </c:pt>
                  <c:pt idx="927">
                    <c:v>1,22</c:v>
                  </c:pt>
                  <c:pt idx="928">
                    <c:v>1,22</c:v>
                  </c:pt>
                  <c:pt idx="929">
                    <c:v>1,22</c:v>
                  </c:pt>
                  <c:pt idx="930">
                    <c:v>1,22</c:v>
                  </c:pt>
                  <c:pt idx="931">
                    <c:v>1,22</c:v>
                  </c:pt>
                  <c:pt idx="932">
                    <c:v>1,22</c:v>
                  </c:pt>
                  <c:pt idx="933">
                    <c:v>1,22</c:v>
                  </c:pt>
                  <c:pt idx="934">
                    <c:v>1,22</c:v>
                  </c:pt>
                  <c:pt idx="935">
                    <c:v>1,22</c:v>
                  </c:pt>
                  <c:pt idx="936">
                    <c:v>1,22</c:v>
                  </c:pt>
                  <c:pt idx="937">
                    <c:v>1,22</c:v>
                  </c:pt>
                  <c:pt idx="938">
                    <c:v>1,22</c:v>
                  </c:pt>
                  <c:pt idx="939">
                    <c:v>1,22</c:v>
                  </c:pt>
                  <c:pt idx="940">
                    <c:v>1,22</c:v>
                  </c:pt>
                  <c:pt idx="941">
                    <c:v>1,22</c:v>
                  </c:pt>
                  <c:pt idx="942">
                    <c:v>1,22</c:v>
                  </c:pt>
                  <c:pt idx="943">
                    <c:v>1,22</c:v>
                  </c:pt>
                  <c:pt idx="944">
                    <c:v>1,22</c:v>
                  </c:pt>
                  <c:pt idx="945">
                    <c:v>1,22</c:v>
                  </c:pt>
                  <c:pt idx="946">
                    <c:v>1,22</c:v>
                  </c:pt>
                  <c:pt idx="947">
                    <c:v>1,22</c:v>
                  </c:pt>
                  <c:pt idx="948">
                    <c:v>1,22</c:v>
                  </c:pt>
                  <c:pt idx="949">
                    <c:v>1,22</c:v>
                  </c:pt>
                  <c:pt idx="950">
                    <c:v>1,22</c:v>
                  </c:pt>
                  <c:pt idx="951">
                    <c:v>1,22</c:v>
                  </c:pt>
                  <c:pt idx="952">
                    <c:v>1,22</c:v>
                  </c:pt>
                  <c:pt idx="953">
                    <c:v>1,22</c:v>
                  </c:pt>
                  <c:pt idx="954">
                    <c:v>1,22</c:v>
                  </c:pt>
                  <c:pt idx="955">
                    <c:v>1,22</c:v>
                  </c:pt>
                  <c:pt idx="956">
                    <c:v>1,22</c:v>
                  </c:pt>
                  <c:pt idx="957">
                    <c:v>1,22</c:v>
                  </c:pt>
                  <c:pt idx="958">
                    <c:v>1,22</c:v>
                  </c:pt>
                  <c:pt idx="959">
                    <c:v>1,22</c:v>
                  </c:pt>
                  <c:pt idx="960">
                    <c:v>1,22</c:v>
                  </c:pt>
                  <c:pt idx="961">
                    <c:v>1,22</c:v>
                  </c:pt>
                  <c:pt idx="962">
                    <c:v>1,22</c:v>
                  </c:pt>
                  <c:pt idx="963">
                    <c:v>1,22</c:v>
                  </c:pt>
                  <c:pt idx="964">
                    <c:v>1,22</c:v>
                  </c:pt>
                  <c:pt idx="965">
                    <c:v>1,22</c:v>
                  </c:pt>
                  <c:pt idx="966">
                    <c:v>1,22</c:v>
                  </c:pt>
                  <c:pt idx="967">
                    <c:v>1,22</c:v>
                  </c:pt>
                  <c:pt idx="968">
                    <c:v>1,22</c:v>
                  </c:pt>
                  <c:pt idx="969">
                    <c:v>1,22</c:v>
                  </c:pt>
                  <c:pt idx="970">
                    <c:v>1,22</c:v>
                  </c:pt>
                  <c:pt idx="971">
                    <c:v>1,22</c:v>
                  </c:pt>
                  <c:pt idx="972">
                    <c:v>1,22</c:v>
                  </c:pt>
                  <c:pt idx="973">
                    <c:v>1,22</c:v>
                  </c:pt>
                  <c:pt idx="974">
                    <c:v>1,22</c:v>
                  </c:pt>
                  <c:pt idx="975">
                    <c:v>1,22</c:v>
                  </c:pt>
                  <c:pt idx="976">
                    <c:v>1,22</c:v>
                  </c:pt>
                  <c:pt idx="977">
                    <c:v>1,22</c:v>
                  </c:pt>
                  <c:pt idx="978">
                    <c:v>1,22</c:v>
                  </c:pt>
                  <c:pt idx="979">
                    <c:v>1,22</c:v>
                  </c:pt>
                  <c:pt idx="980">
                    <c:v>1,22</c:v>
                  </c:pt>
                  <c:pt idx="981">
                    <c:v>1,22</c:v>
                  </c:pt>
                  <c:pt idx="982">
                    <c:v>1,22</c:v>
                  </c:pt>
                  <c:pt idx="983">
                    <c:v>1,22</c:v>
                  </c:pt>
                  <c:pt idx="984">
                    <c:v>1</c:v>
                  </c:pt>
                  <c:pt idx="985">
                    <c:v>1</c:v>
                  </c:pt>
                  <c:pt idx="986">
                    <c:v>1</c:v>
                  </c:pt>
                  <c:pt idx="987">
                    <c:v>1</c:v>
                  </c:pt>
                  <c:pt idx="988">
                    <c:v>1</c:v>
                  </c:pt>
                  <c:pt idx="989">
                    <c:v>1</c:v>
                  </c:pt>
                  <c:pt idx="990">
                    <c:v>1</c:v>
                  </c:pt>
                  <c:pt idx="991">
                    <c:v>1</c:v>
                  </c:pt>
                  <c:pt idx="992">
                    <c:v>1,22</c:v>
                  </c:pt>
                  <c:pt idx="993">
                    <c:v>1,22</c:v>
                  </c:pt>
                  <c:pt idx="994">
                    <c:v>1,22</c:v>
                  </c:pt>
                  <c:pt idx="995">
                    <c:v>1,22</c:v>
                  </c:pt>
                  <c:pt idx="996">
                    <c:v>1,22</c:v>
                  </c:pt>
                  <c:pt idx="997">
                    <c:v>1,22</c:v>
                  </c:pt>
                  <c:pt idx="998">
                    <c:v>1,22</c:v>
                  </c:pt>
                  <c:pt idx="999">
                    <c:v>1,22</c:v>
                  </c:pt>
                  <c:pt idx="1000">
                    <c:v>1,22</c:v>
                  </c:pt>
                  <c:pt idx="1001">
                    <c:v>1,22</c:v>
                  </c:pt>
                  <c:pt idx="1002">
                    <c:v>1,22</c:v>
                  </c:pt>
                  <c:pt idx="1003">
                    <c:v>1,22</c:v>
                  </c:pt>
                  <c:pt idx="1004">
                    <c:v>1,22</c:v>
                  </c:pt>
                  <c:pt idx="1005">
                    <c:v>1,22</c:v>
                  </c:pt>
                  <c:pt idx="1006">
                    <c:v>1,22</c:v>
                  </c:pt>
                  <c:pt idx="1007">
                    <c:v>1,22</c:v>
                  </c:pt>
                  <c:pt idx="1008">
                    <c:v>1,22</c:v>
                  </c:pt>
                  <c:pt idx="1009">
                    <c:v>1,22</c:v>
                  </c:pt>
                  <c:pt idx="1010">
                    <c:v>1,22</c:v>
                  </c:pt>
                  <c:pt idx="1011">
                    <c:v>1,22</c:v>
                  </c:pt>
                  <c:pt idx="1012">
                    <c:v>1,22</c:v>
                  </c:pt>
                  <c:pt idx="1013">
                    <c:v>1</c:v>
                  </c:pt>
                  <c:pt idx="1014">
                    <c:v>1</c:v>
                  </c:pt>
                  <c:pt idx="1015">
                    <c:v>1</c:v>
                  </c:pt>
                  <c:pt idx="1016">
                    <c:v>1</c:v>
                  </c:pt>
                  <c:pt idx="1017">
                    <c:v>1</c:v>
                  </c:pt>
                  <c:pt idx="1018">
                    <c:v>1,22</c:v>
                  </c:pt>
                  <c:pt idx="1019">
                    <c:v>1,22</c:v>
                  </c:pt>
                  <c:pt idx="1020">
                    <c:v>1,22</c:v>
                  </c:pt>
                  <c:pt idx="1021">
                    <c:v>1,22</c:v>
                  </c:pt>
                  <c:pt idx="1022">
                    <c:v>1,22</c:v>
                  </c:pt>
                  <c:pt idx="1023">
                    <c:v>1,22</c:v>
                  </c:pt>
                  <c:pt idx="1024">
                    <c:v>1,22</c:v>
                  </c:pt>
                  <c:pt idx="1025">
                    <c:v>1,22</c:v>
                  </c:pt>
                  <c:pt idx="1026">
                    <c:v>1,22</c:v>
                  </c:pt>
                  <c:pt idx="1027">
                    <c:v>1,22</c:v>
                  </c:pt>
                  <c:pt idx="1028">
                    <c:v>1,22</c:v>
                  </c:pt>
                  <c:pt idx="1029">
                    <c:v>1,22</c:v>
                  </c:pt>
                  <c:pt idx="1030">
                    <c:v>1,22</c:v>
                  </c:pt>
                  <c:pt idx="1031">
                    <c:v>1,22</c:v>
                  </c:pt>
                  <c:pt idx="1032">
                    <c:v>1,22</c:v>
                  </c:pt>
                  <c:pt idx="1033">
                    <c:v>1,22</c:v>
                  </c:pt>
                  <c:pt idx="1034">
                    <c:v>1,22</c:v>
                  </c:pt>
                  <c:pt idx="1035">
                    <c:v>1,22</c:v>
                  </c:pt>
                  <c:pt idx="1036">
                    <c:v>1,22</c:v>
                  </c:pt>
                  <c:pt idx="1037">
                    <c:v>1,22</c:v>
                  </c:pt>
                  <c:pt idx="1038">
                    <c:v>1,22</c:v>
                  </c:pt>
                  <c:pt idx="1039">
                    <c:v>1,22</c:v>
                  </c:pt>
                  <c:pt idx="1040">
                    <c:v>1,22</c:v>
                  </c:pt>
                  <c:pt idx="1041">
                    <c:v>1,22</c:v>
                  </c:pt>
                  <c:pt idx="1042">
                    <c:v>1,22</c:v>
                  </c:pt>
                  <c:pt idx="1043">
                    <c:v>1,22</c:v>
                  </c:pt>
                  <c:pt idx="1044">
                    <c:v>1,22</c:v>
                  </c:pt>
                  <c:pt idx="1045">
                    <c:v>1,22</c:v>
                  </c:pt>
                  <c:pt idx="1046">
                    <c:v>1,22</c:v>
                  </c:pt>
                  <c:pt idx="1047">
                    <c:v>1,22</c:v>
                  </c:pt>
                  <c:pt idx="1048">
                    <c:v>1,22</c:v>
                  </c:pt>
                  <c:pt idx="1049">
                    <c:v>1,22</c:v>
                  </c:pt>
                  <c:pt idx="1050">
                    <c:v>1,22</c:v>
                  </c:pt>
                  <c:pt idx="1051">
                    <c:v>1,22</c:v>
                  </c:pt>
                  <c:pt idx="1052">
                    <c:v>1,22</c:v>
                  </c:pt>
                  <c:pt idx="1053">
                    <c:v>1,22</c:v>
                  </c:pt>
                  <c:pt idx="1054">
                    <c:v>1,22</c:v>
                  </c:pt>
                  <c:pt idx="1055">
                    <c:v>1,22</c:v>
                  </c:pt>
                  <c:pt idx="1056">
                    <c:v>1,22</c:v>
                  </c:pt>
                  <c:pt idx="1057">
                    <c:v>1,22</c:v>
                  </c:pt>
                  <c:pt idx="1058">
                    <c:v>1,22</c:v>
                  </c:pt>
                  <c:pt idx="1059">
                    <c:v>1,22</c:v>
                  </c:pt>
                  <c:pt idx="1060">
                    <c:v>1,22</c:v>
                  </c:pt>
                  <c:pt idx="1061">
                    <c:v>1,22</c:v>
                  </c:pt>
                  <c:pt idx="1062">
                    <c:v>1,22</c:v>
                  </c:pt>
                  <c:pt idx="1063">
                    <c:v>1,22</c:v>
                  </c:pt>
                  <c:pt idx="1064">
                    <c:v>1,22</c:v>
                  </c:pt>
                  <c:pt idx="1065">
                    <c:v>1,22</c:v>
                  </c:pt>
                  <c:pt idx="1066">
                    <c:v>1,22</c:v>
                  </c:pt>
                  <c:pt idx="1067">
                    <c:v>1,22</c:v>
                  </c:pt>
                  <c:pt idx="1068">
                    <c:v>1,22</c:v>
                  </c:pt>
                  <c:pt idx="1069">
                    <c:v>1,22</c:v>
                  </c:pt>
                  <c:pt idx="1070">
                    <c:v>1,22</c:v>
                  </c:pt>
                  <c:pt idx="1071">
                    <c:v>1,22</c:v>
                  </c:pt>
                  <c:pt idx="1072">
                    <c:v>1,22</c:v>
                  </c:pt>
                  <c:pt idx="1073">
                    <c:v>1,22</c:v>
                  </c:pt>
                  <c:pt idx="1074">
                    <c:v>1,22</c:v>
                  </c:pt>
                  <c:pt idx="1075">
                    <c:v>1,22</c:v>
                  </c:pt>
                  <c:pt idx="1076">
                    <c:v>1,22</c:v>
                  </c:pt>
                  <c:pt idx="1078">
                    <c:v>1,22</c:v>
                  </c:pt>
                  <c:pt idx="1079">
                    <c:v>1,22</c:v>
                  </c:pt>
                  <c:pt idx="1080">
                    <c:v>1,22</c:v>
                  </c:pt>
                  <c:pt idx="1081">
                    <c:v>1,22</c:v>
                  </c:pt>
                  <c:pt idx="1082">
                    <c:v>1,22</c:v>
                  </c:pt>
                  <c:pt idx="1083">
                    <c:v>1,22</c:v>
                  </c:pt>
                  <c:pt idx="1084">
                    <c:v>1,22</c:v>
                  </c:pt>
                  <c:pt idx="1085">
                    <c:v>1,22</c:v>
                  </c:pt>
                  <c:pt idx="1086">
                    <c:v>1,22</c:v>
                  </c:pt>
                  <c:pt idx="1087">
                    <c:v>1,22</c:v>
                  </c:pt>
                  <c:pt idx="1088">
                    <c:v>1,22</c:v>
                  </c:pt>
                  <c:pt idx="1089">
                    <c:v>1,22</c:v>
                  </c:pt>
                  <c:pt idx="1090">
                    <c:v>1,22</c:v>
                  </c:pt>
                  <c:pt idx="1091">
                    <c:v>1,22</c:v>
                  </c:pt>
                  <c:pt idx="1092">
                    <c:v>1,22</c:v>
                  </c:pt>
                  <c:pt idx="1093">
                    <c:v>1,22</c:v>
                  </c:pt>
                  <c:pt idx="1094">
                    <c:v>1,22</c:v>
                  </c:pt>
                  <c:pt idx="1095">
                    <c:v>1,22</c:v>
                  </c:pt>
                  <c:pt idx="1096">
                    <c:v>1,22</c:v>
                  </c:pt>
                  <c:pt idx="1097">
                    <c:v>1,22</c:v>
                  </c:pt>
                  <c:pt idx="1098">
                    <c:v>1,22</c:v>
                  </c:pt>
                  <c:pt idx="1099">
                    <c:v>1,22</c:v>
                  </c:pt>
                  <c:pt idx="1100">
                    <c:v>1,22</c:v>
                  </c:pt>
                  <c:pt idx="1101">
                    <c:v>1,22</c:v>
                  </c:pt>
                  <c:pt idx="1102">
                    <c:v>1,22</c:v>
                  </c:pt>
                  <c:pt idx="1103">
                    <c:v>1,22</c:v>
                  </c:pt>
                  <c:pt idx="1104">
                    <c:v>1,22</c:v>
                  </c:pt>
                  <c:pt idx="1105">
                    <c:v>1,22</c:v>
                  </c:pt>
                  <c:pt idx="1106">
                    <c:v>1,22</c:v>
                  </c:pt>
                  <c:pt idx="1107">
                    <c:v>1,22</c:v>
                  </c:pt>
                  <c:pt idx="1108">
                    <c:v>1,22</c:v>
                  </c:pt>
                  <c:pt idx="1109">
                    <c:v>1,22</c:v>
                  </c:pt>
                  <c:pt idx="1110">
                    <c:v>1,22</c:v>
                  </c:pt>
                  <c:pt idx="1111">
                    <c:v>1,22</c:v>
                  </c:pt>
                  <c:pt idx="1112">
                    <c:v>1,22</c:v>
                  </c:pt>
                  <c:pt idx="1113">
                    <c:v>1,22</c:v>
                  </c:pt>
                  <c:pt idx="1114">
                    <c:v>1,22</c:v>
                  </c:pt>
                  <c:pt idx="1115">
                    <c:v>1,22</c:v>
                  </c:pt>
                  <c:pt idx="1116">
                    <c:v>1</c:v>
                  </c:pt>
                  <c:pt idx="1117">
                    <c:v>1</c:v>
                  </c:pt>
                  <c:pt idx="1118">
                    <c:v>1,22</c:v>
                  </c:pt>
                  <c:pt idx="1119">
                    <c:v>1</c:v>
                  </c:pt>
                  <c:pt idx="1120">
                    <c:v>1</c:v>
                  </c:pt>
                  <c:pt idx="1121">
                    <c:v>1,22</c:v>
                  </c:pt>
                  <c:pt idx="1122">
                    <c:v>1,22</c:v>
                  </c:pt>
                  <c:pt idx="1123">
                    <c:v>1,22</c:v>
                  </c:pt>
                  <c:pt idx="1124">
                    <c:v>1,22</c:v>
                  </c:pt>
                  <c:pt idx="1125">
                    <c:v>1,22</c:v>
                  </c:pt>
                  <c:pt idx="1126">
                    <c:v>1,22</c:v>
                  </c:pt>
                  <c:pt idx="1127">
                    <c:v>1,22</c:v>
                  </c:pt>
                  <c:pt idx="1128">
                    <c:v>1,22</c:v>
                  </c:pt>
                  <c:pt idx="1129">
                    <c:v>1,22</c:v>
                  </c:pt>
                  <c:pt idx="1130">
                    <c:v>1,22</c:v>
                  </c:pt>
                  <c:pt idx="1131">
                    <c:v>1,22</c:v>
                  </c:pt>
                  <c:pt idx="1132">
                    <c:v>1,22</c:v>
                  </c:pt>
                  <c:pt idx="1133">
                    <c:v>1,22</c:v>
                  </c:pt>
                  <c:pt idx="1134">
                    <c:v>1,22</c:v>
                  </c:pt>
                  <c:pt idx="1135">
                    <c:v>1,22</c:v>
                  </c:pt>
                  <c:pt idx="1136">
                    <c:v>1,22</c:v>
                  </c:pt>
                  <c:pt idx="1137">
                    <c:v>1,22</c:v>
                  </c:pt>
                  <c:pt idx="1138">
                    <c:v>1,22</c:v>
                  </c:pt>
                  <c:pt idx="1139">
                    <c:v>1,22</c:v>
                  </c:pt>
                  <c:pt idx="1140">
                    <c:v>1,22</c:v>
                  </c:pt>
                  <c:pt idx="1141">
                    <c:v>1,22</c:v>
                  </c:pt>
                  <c:pt idx="1142">
                    <c:v>1,22</c:v>
                  </c:pt>
                  <c:pt idx="1143">
                    <c:v>1,22</c:v>
                  </c:pt>
                  <c:pt idx="1144">
                    <c:v>1,22</c:v>
                  </c:pt>
                  <c:pt idx="1145">
                    <c:v>1,22</c:v>
                  </c:pt>
                  <c:pt idx="1146">
                    <c:v>1,22</c:v>
                  </c:pt>
                  <c:pt idx="1147">
                    <c:v>1,22</c:v>
                  </c:pt>
                  <c:pt idx="1148">
                    <c:v>1,22</c:v>
                  </c:pt>
                  <c:pt idx="1149">
                    <c:v>1,22</c:v>
                  </c:pt>
                  <c:pt idx="1150">
                    <c:v>1,22</c:v>
                  </c:pt>
                  <c:pt idx="1151">
                    <c:v>1,22</c:v>
                  </c:pt>
                  <c:pt idx="1152">
                    <c:v>1,22</c:v>
                  </c:pt>
                  <c:pt idx="1153">
                    <c:v>1,22</c:v>
                  </c:pt>
                  <c:pt idx="1154">
                    <c:v>1,22</c:v>
                  </c:pt>
                  <c:pt idx="1155">
                    <c:v>1,22</c:v>
                  </c:pt>
                  <c:pt idx="1156">
                    <c:v>1,22</c:v>
                  </c:pt>
                  <c:pt idx="1157">
                    <c:v>1,22</c:v>
                  </c:pt>
                  <c:pt idx="1158">
                    <c:v>1,22</c:v>
                  </c:pt>
                  <c:pt idx="1159">
                    <c:v>1,22</c:v>
                  </c:pt>
                  <c:pt idx="1160">
                    <c:v>1,22</c:v>
                  </c:pt>
                  <c:pt idx="1161">
                    <c:v>1,22</c:v>
                  </c:pt>
                  <c:pt idx="1162">
                    <c:v>1,22</c:v>
                  </c:pt>
                  <c:pt idx="1163">
                    <c:v>1,22</c:v>
                  </c:pt>
                  <c:pt idx="1164">
                    <c:v>1,22</c:v>
                  </c:pt>
                  <c:pt idx="1165">
                    <c:v>1,22</c:v>
                  </c:pt>
                  <c:pt idx="1166">
                    <c:v>1,22</c:v>
                  </c:pt>
                  <c:pt idx="1167">
                    <c:v>1,22</c:v>
                  </c:pt>
                  <c:pt idx="1168">
                    <c:v>1,22</c:v>
                  </c:pt>
                  <c:pt idx="1169">
                    <c:v>1,22</c:v>
                  </c:pt>
                  <c:pt idx="1170">
                    <c:v>1,22</c:v>
                  </c:pt>
                  <c:pt idx="1171">
                    <c:v>1,22</c:v>
                  </c:pt>
                  <c:pt idx="1172">
                    <c:v>1,22</c:v>
                  </c:pt>
                  <c:pt idx="1173">
                    <c:v>1,22</c:v>
                  </c:pt>
                  <c:pt idx="1174">
                    <c:v>1,22</c:v>
                  </c:pt>
                  <c:pt idx="1175">
                    <c:v>1,22</c:v>
                  </c:pt>
                  <c:pt idx="1176">
                    <c:v>1,22</c:v>
                  </c:pt>
                  <c:pt idx="1177">
                    <c:v>1,22</c:v>
                  </c:pt>
                  <c:pt idx="1178">
                    <c:v>1,22</c:v>
                  </c:pt>
                  <c:pt idx="1179">
                    <c:v>1,22</c:v>
                  </c:pt>
                  <c:pt idx="1180">
                    <c:v>1,22</c:v>
                  </c:pt>
                  <c:pt idx="1181">
                    <c:v>1,22</c:v>
                  </c:pt>
                  <c:pt idx="1182">
                    <c:v>1</c:v>
                  </c:pt>
                  <c:pt idx="1183">
                    <c:v>1</c:v>
                  </c:pt>
                  <c:pt idx="1184">
                    <c:v>1,22</c:v>
                  </c:pt>
                  <c:pt idx="1185">
                    <c:v>1,22</c:v>
                  </c:pt>
                  <c:pt idx="1186">
                    <c:v>1,22</c:v>
                  </c:pt>
                  <c:pt idx="1187">
                    <c:v>1,22</c:v>
                  </c:pt>
                  <c:pt idx="1188">
                    <c:v>1,22</c:v>
                  </c:pt>
                  <c:pt idx="1189">
                    <c:v>1,22</c:v>
                  </c:pt>
                  <c:pt idx="1190">
                    <c:v>1,22</c:v>
                  </c:pt>
                  <c:pt idx="1191">
                    <c:v>1,22</c:v>
                  </c:pt>
                  <c:pt idx="1192">
                    <c:v>1,22</c:v>
                  </c:pt>
                  <c:pt idx="1193">
                    <c:v>1,22</c:v>
                  </c:pt>
                  <c:pt idx="1194">
                    <c:v>1,22</c:v>
                  </c:pt>
                  <c:pt idx="1195">
                    <c:v>1,22</c:v>
                  </c:pt>
                  <c:pt idx="1196">
                    <c:v>1,22</c:v>
                  </c:pt>
                  <c:pt idx="1197">
                    <c:v>1</c:v>
                  </c:pt>
                  <c:pt idx="1198">
                    <c:v>1,22</c:v>
                  </c:pt>
                  <c:pt idx="1199">
                    <c:v>1,22</c:v>
                  </c:pt>
                  <c:pt idx="1200">
                    <c:v>1,22</c:v>
                  </c:pt>
                  <c:pt idx="1201">
                    <c:v>1,22</c:v>
                  </c:pt>
                  <c:pt idx="1202">
                    <c:v>1</c:v>
                  </c:pt>
                  <c:pt idx="1203">
                    <c:v>1,22</c:v>
                  </c:pt>
                  <c:pt idx="1204">
                    <c:v>1,22</c:v>
                  </c:pt>
                  <c:pt idx="1205">
                    <c:v>1,22</c:v>
                  </c:pt>
                  <c:pt idx="1206">
                    <c:v>1,22</c:v>
                  </c:pt>
                  <c:pt idx="1207">
                    <c:v>1,22</c:v>
                  </c:pt>
                  <c:pt idx="1208">
                    <c:v>1,22</c:v>
                  </c:pt>
                  <c:pt idx="1209">
                    <c:v>1,22</c:v>
                  </c:pt>
                  <c:pt idx="1210">
                    <c:v>1,22</c:v>
                  </c:pt>
                  <c:pt idx="1211">
                    <c:v>1,22</c:v>
                  </c:pt>
                  <c:pt idx="1212">
                    <c:v>1,22</c:v>
                  </c:pt>
                  <c:pt idx="1213">
                    <c:v>1,21</c:v>
                  </c:pt>
                  <c:pt idx="1214">
                    <c:v>1,22</c:v>
                  </c:pt>
                  <c:pt idx="1215">
                    <c:v>1,22</c:v>
                  </c:pt>
                  <c:pt idx="1216">
                    <c:v>1,22</c:v>
                  </c:pt>
                  <c:pt idx="1217">
                    <c:v>1,22</c:v>
                  </c:pt>
                  <c:pt idx="1218">
                    <c:v>1,22</c:v>
                  </c:pt>
                  <c:pt idx="1219">
                    <c:v>1,22</c:v>
                  </c:pt>
                  <c:pt idx="1220">
                    <c:v>1,22</c:v>
                  </c:pt>
                  <c:pt idx="1221">
                    <c:v>1,22</c:v>
                  </c:pt>
                  <c:pt idx="1222">
                    <c:v>1,22</c:v>
                  </c:pt>
                  <c:pt idx="1223">
                    <c:v>1,22</c:v>
                  </c:pt>
                  <c:pt idx="1224">
                    <c:v>1,22</c:v>
                  </c:pt>
                  <c:pt idx="1225">
                    <c:v>1,22</c:v>
                  </c:pt>
                  <c:pt idx="1226">
                    <c:v>1,22</c:v>
                  </c:pt>
                  <c:pt idx="1227">
                    <c:v>1,22</c:v>
                  </c:pt>
                  <c:pt idx="1228">
                    <c:v>1,22</c:v>
                  </c:pt>
                  <c:pt idx="1229">
                    <c:v>1,22</c:v>
                  </c:pt>
                  <c:pt idx="1230">
                    <c:v>1,22</c:v>
                  </c:pt>
                  <c:pt idx="1231">
                    <c:v>1,22</c:v>
                  </c:pt>
                  <c:pt idx="1232">
                    <c:v>1,22</c:v>
                  </c:pt>
                  <c:pt idx="1233">
                    <c:v>1,22</c:v>
                  </c:pt>
                  <c:pt idx="1234">
                    <c:v>1,22</c:v>
                  </c:pt>
                  <c:pt idx="1235">
                    <c:v>1,22</c:v>
                  </c:pt>
                  <c:pt idx="1236">
                    <c:v>1,22</c:v>
                  </c:pt>
                  <c:pt idx="1237">
                    <c:v>1,22</c:v>
                  </c:pt>
                  <c:pt idx="1238">
                    <c:v>1,22</c:v>
                  </c:pt>
                  <c:pt idx="1239">
                    <c:v>1,22</c:v>
                  </c:pt>
                  <c:pt idx="1240">
                    <c:v>1,22</c:v>
                  </c:pt>
                  <c:pt idx="1241">
                    <c:v>1,22</c:v>
                  </c:pt>
                  <c:pt idx="1242">
                    <c:v>1,22</c:v>
                  </c:pt>
                  <c:pt idx="1243">
                    <c:v>1,22</c:v>
                  </c:pt>
                  <c:pt idx="1244">
                    <c:v>1,22</c:v>
                  </c:pt>
                  <c:pt idx="1245">
                    <c:v>1,22</c:v>
                  </c:pt>
                  <c:pt idx="1246">
                    <c:v>1,22</c:v>
                  </c:pt>
                  <c:pt idx="1247">
                    <c:v>1,22</c:v>
                  </c:pt>
                  <c:pt idx="1248">
                    <c:v>1,22</c:v>
                  </c:pt>
                  <c:pt idx="1249">
                    <c:v>1,22</c:v>
                  </c:pt>
                  <c:pt idx="1250">
                    <c:v>1,22</c:v>
                  </c:pt>
                  <c:pt idx="1251">
                    <c:v>1,22</c:v>
                  </c:pt>
                  <c:pt idx="1252">
                    <c:v>1,22</c:v>
                  </c:pt>
                  <c:pt idx="1253">
                    <c:v>1,22</c:v>
                  </c:pt>
                  <c:pt idx="1254">
                    <c:v>1,22</c:v>
                  </c:pt>
                  <c:pt idx="1255">
                    <c:v>1,22</c:v>
                  </c:pt>
                  <c:pt idx="1256">
                    <c:v>1,22</c:v>
                  </c:pt>
                  <c:pt idx="1257">
                    <c:v>1,22</c:v>
                  </c:pt>
                  <c:pt idx="1258">
                    <c:v>1,22</c:v>
                  </c:pt>
                  <c:pt idx="1259">
                    <c:v>1,22</c:v>
                  </c:pt>
                  <c:pt idx="1260">
                    <c:v>1,22</c:v>
                  </c:pt>
                  <c:pt idx="1261">
                    <c:v>1,22</c:v>
                  </c:pt>
                  <c:pt idx="1262">
                    <c:v>1,22</c:v>
                  </c:pt>
                  <c:pt idx="1263">
                    <c:v>1,22</c:v>
                  </c:pt>
                  <c:pt idx="1264">
                    <c:v>1,22</c:v>
                  </c:pt>
                  <c:pt idx="1265">
                    <c:v>1,22</c:v>
                  </c:pt>
                  <c:pt idx="1266">
                    <c:v>1,22</c:v>
                  </c:pt>
                  <c:pt idx="1267">
                    <c:v>1,22</c:v>
                  </c:pt>
                  <c:pt idx="1268">
                    <c:v>1,22</c:v>
                  </c:pt>
                  <c:pt idx="1269">
                    <c:v>1,22</c:v>
                  </c:pt>
                  <c:pt idx="1270">
                    <c:v>1,22</c:v>
                  </c:pt>
                  <c:pt idx="1271">
                    <c:v>1,22</c:v>
                  </c:pt>
                  <c:pt idx="1272">
                    <c:v>1,22</c:v>
                  </c:pt>
                  <c:pt idx="1273">
                    <c:v>1,22</c:v>
                  </c:pt>
                  <c:pt idx="1274">
                    <c:v>1,22</c:v>
                  </c:pt>
                  <c:pt idx="1275">
                    <c:v>1,22</c:v>
                  </c:pt>
                  <c:pt idx="1276">
                    <c:v>1,22</c:v>
                  </c:pt>
                  <c:pt idx="1277">
                    <c:v>1,22</c:v>
                  </c:pt>
                  <c:pt idx="1278">
                    <c:v>1,22</c:v>
                  </c:pt>
                  <c:pt idx="1279">
                    <c:v>1,22</c:v>
                  </c:pt>
                  <c:pt idx="1280">
                    <c:v>1,22</c:v>
                  </c:pt>
                  <c:pt idx="1281">
                    <c:v>1,22</c:v>
                  </c:pt>
                  <c:pt idx="1282">
                    <c:v>1,22</c:v>
                  </c:pt>
                  <c:pt idx="1283">
                    <c:v>1,22</c:v>
                  </c:pt>
                  <c:pt idx="1284">
                    <c:v>1,22</c:v>
                  </c:pt>
                  <c:pt idx="1285">
                    <c:v>1,22</c:v>
                  </c:pt>
                  <c:pt idx="1286">
                    <c:v>1,22</c:v>
                  </c:pt>
                  <c:pt idx="1287">
                    <c:v>1,22</c:v>
                  </c:pt>
                  <c:pt idx="1288">
                    <c:v>1,22</c:v>
                  </c:pt>
                  <c:pt idx="1289">
                    <c:v>1,22</c:v>
                  </c:pt>
                  <c:pt idx="1290">
                    <c:v>1,22</c:v>
                  </c:pt>
                  <c:pt idx="1291">
                    <c:v>1,22</c:v>
                  </c:pt>
                  <c:pt idx="1292">
                    <c:v>1,22</c:v>
                  </c:pt>
                  <c:pt idx="1293">
                    <c:v>1,22</c:v>
                  </c:pt>
                  <c:pt idx="1294">
                    <c:v>1,22</c:v>
                  </c:pt>
                  <c:pt idx="1295">
                    <c:v>1,22</c:v>
                  </c:pt>
                  <c:pt idx="1296">
                    <c:v>1,22</c:v>
                  </c:pt>
                  <c:pt idx="1297">
                    <c:v>1,22</c:v>
                  </c:pt>
                  <c:pt idx="1298">
                    <c:v>1,22</c:v>
                  </c:pt>
                  <c:pt idx="1299">
                    <c:v>1,22</c:v>
                  </c:pt>
                  <c:pt idx="1300">
                    <c:v>1,22</c:v>
                  </c:pt>
                  <c:pt idx="1301">
                    <c:v>1,22</c:v>
                  </c:pt>
                  <c:pt idx="1302">
                    <c:v>1,22</c:v>
                  </c:pt>
                  <c:pt idx="1303">
                    <c:v>1,22</c:v>
                  </c:pt>
                  <c:pt idx="1304">
                    <c:v>1,22</c:v>
                  </c:pt>
                  <c:pt idx="1305">
                    <c:v>1,22</c:v>
                  </c:pt>
                  <c:pt idx="1306">
                    <c:v>1,22</c:v>
                  </c:pt>
                  <c:pt idx="1307">
                    <c:v>1,22</c:v>
                  </c:pt>
                  <c:pt idx="1308">
                    <c:v>1,22</c:v>
                  </c:pt>
                  <c:pt idx="1309">
                    <c:v>1,22</c:v>
                  </c:pt>
                  <c:pt idx="1310">
                    <c:v>1,22</c:v>
                  </c:pt>
                  <c:pt idx="1311">
                    <c:v>1,22</c:v>
                  </c:pt>
                  <c:pt idx="1312">
                    <c:v>1,22</c:v>
                  </c:pt>
                  <c:pt idx="1313">
                    <c:v>1,22</c:v>
                  </c:pt>
                  <c:pt idx="1314">
                    <c:v>1,22</c:v>
                  </c:pt>
                  <c:pt idx="1315">
                    <c:v>1,22</c:v>
                  </c:pt>
                  <c:pt idx="1316">
                    <c:v>1,22</c:v>
                  </c:pt>
                  <c:pt idx="1317">
                    <c:v>1,22</c:v>
                  </c:pt>
                  <c:pt idx="1318">
                    <c:v>1,22</c:v>
                  </c:pt>
                  <c:pt idx="1319">
                    <c:v>1,22</c:v>
                  </c:pt>
                  <c:pt idx="1320">
                    <c:v>1,22</c:v>
                  </c:pt>
                  <c:pt idx="1321">
                    <c:v>1,22</c:v>
                  </c:pt>
                  <c:pt idx="1322">
                    <c:v>1,22</c:v>
                  </c:pt>
                  <c:pt idx="1323">
                    <c:v>1,22</c:v>
                  </c:pt>
                  <c:pt idx="1324">
                    <c:v>1,22</c:v>
                  </c:pt>
                  <c:pt idx="1325">
                    <c:v>1,22</c:v>
                  </c:pt>
                  <c:pt idx="1326">
                    <c:v>1,22</c:v>
                  </c:pt>
                  <c:pt idx="1327">
                    <c:v>1,22</c:v>
                  </c:pt>
                  <c:pt idx="1328">
                    <c:v>1,22</c:v>
                  </c:pt>
                  <c:pt idx="1329">
                    <c:v>1,22</c:v>
                  </c:pt>
                  <c:pt idx="1330">
                    <c:v>1,22</c:v>
                  </c:pt>
                  <c:pt idx="1331">
                    <c:v>1,22</c:v>
                  </c:pt>
                  <c:pt idx="1332">
                    <c:v>1,22</c:v>
                  </c:pt>
                  <c:pt idx="1333">
                    <c:v>1,22</c:v>
                  </c:pt>
                  <c:pt idx="1334">
                    <c:v>1,22</c:v>
                  </c:pt>
                  <c:pt idx="1335">
                    <c:v>1,22</c:v>
                  </c:pt>
                  <c:pt idx="1336">
                    <c:v>1,22</c:v>
                  </c:pt>
                  <c:pt idx="1337">
                    <c:v>1,22</c:v>
                  </c:pt>
                  <c:pt idx="1338">
                    <c:v>1,22</c:v>
                  </c:pt>
                  <c:pt idx="1339">
                    <c:v>1,22</c:v>
                  </c:pt>
                  <c:pt idx="1340">
                    <c:v>1,22</c:v>
                  </c:pt>
                  <c:pt idx="1341">
                    <c:v>1,22</c:v>
                  </c:pt>
                  <c:pt idx="1342">
                    <c:v>1,22</c:v>
                  </c:pt>
                  <c:pt idx="1343">
                    <c:v>1,22</c:v>
                  </c:pt>
                  <c:pt idx="1344">
                    <c:v>1,22</c:v>
                  </c:pt>
                  <c:pt idx="1345">
                    <c:v>1,22</c:v>
                  </c:pt>
                  <c:pt idx="1346">
                    <c:v>1,22</c:v>
                  </c:pt>
                  <c:pt idx="1347">
                    <c:v>1,22</c:v>
                  </c:pt>
                  <c:pt idx="1348">
                    <c:v>1,22</c:v>
                  </c:pt>
                  <c:pt idx="1349">
                    <c:v>1,22</c:v>
                  </c:pt>
                  <c:pt idx="1350">
                    <c:v>1,22</c:v>
                  </c:pt>
                  <c:pt idx="1351">
                    <c:v>1,22</c:v>
                  </c:pt>
                  <c:pt idx="1352">
                    <c:v>1,22</c:v>
                  </c:pt>
                  <c:pt idx="1353">
                    <c:v>1,22</c:v>
                  </c:pt>
                  <c:pt idx="1354">
                    <c:v>1,22</c:v>
                  </c:pt>
                  <c:pt idx="1355">
                    <c:v>1,22</c:v>
                  </c:pt>
                  <c:pt idx="1356">
                    <c:v>1,22</c:v>
                  </c:pt>
                  <c:pt idx="1357">
                    <c:v>1,22</c:v>
                  </c:pt>
                  <c:pt idx="1358">
                    <c:v>1,22</c:v>
                  </c:pt>
                  <c:pt idx="1359">
                    <c:v>1,22</c:v>
                  </c:pt>
                  <c:pt idx="1360">
                    <c:v>1,22</c:v>
                  </c:pt>
                  <c:pt idx="1361">
                    <c:v>1,22</c:v>
                  </c:pt>
                  <c:pt idx="1362">
                    <c:v>1,22</c:v>
                  </c:pt>
                  <c:pt idx="1363">
                    <c:v>1,22</c:v>
                  </c:pt>
                  <c:pt idx="1364">
                    <c:v>1,22</c:v>
                  </c:pt>
                  <c:pt idx="1365">
                    <c:v>1,22</c:v>
                  </c:pt>
                  <c:pt idx="1366">
                    <c:v>1,22</c:v>
                  </c:pt>
                  <c:pt idx="1367">
                    <c:v>1,22</c:v>
                  </c:pt>
                  <c:pt idx="1368">
                    <c:v>1,22</c:v>
                  </c:pt>
                  <c:pt idx="1369">
                    <c:v>1,22</c:v>
                  </c:pt>
                  <c:pt idx="1370">
                    <c:v>1,22</c:v>
                  </c:pt>
                  <c:pt idx="1371">
                    <c:v>1,22</c:v>
                  </c:pt>
                  <c:pt idx="1372">
                    <c:v>1,22</c:v>
                  </c:pt>
                  <c:pt idx="1373">
                    <c:v>1,22</c:v>
                  </c:pt>
                  <c:pt idx="1374">
                    <c:v>1,22</c:v>
                  </c:pt>
                  <c:pt idx="1375">
                    <c:v>1,22</c:v>
                  </c:pt>
                  <c:pt idx="1376">
                    <c:v>1,22</c:v>
                  </c:pt>
                  <c:pt idx="1377">
                    <c:v>1,22</c:v>
                  </c:pt>
                  <c:pt idx="1378">
                    <c:v>1,22</c:v>
                  </c:pt>
                  <c:pt idx="1379">
                    <c:v>1,22</c:v>
                  </c:pt>
                  <c:pt idx="1380">
                    <c:v>1,22</c:v>
                  </c:pt>
                  <c:pt idx="1381">
                    <c:v>1,22</c:v>
                  </c:pt>
                  <c:pt idx="1382">
                    <c:v>1,22</c:v>
                  </c:pt>
                  <c:pt idx="1383">
                    <c:v>1,22</c:v>
                  </c:pt>
                  <c:pt idx="1384">
                    <c:v>1,22</c:v>
                  </c:pt>
                  <c:pt idx="1385">
                    <c:v>1,22</c:v>
                  </c:pt>
                  <c:pt idx="1386">
                    <c:v>1,22</c:v>
                  </c:pt>
                  <c:pt idx="1388">
                    <c:v>1,22</c:v>
                  </c:pt>
                  <c:pt idx="1389">
                    <c:v>1,22</c:v>
                  </c:pt>
                  <c:pt idx="1390">
                    <c:v>1,22</c:v>
                  </c:pt>
                  <c:pt idx="1391">
                    <c:v>1,22</c:v>
                  </c:pt>
                  <c:pt idx="1392">
                    <c:v>1,22</c:v>
                  </c:pt>
                  <c:pt idx="1393">
                    <c:v>1,22</c:v>
                  </c:pt>
                  <c:pt idx="1394">
                    <c:v>1</c:v>
                  </c:pt>
                  <c:pt idx="1395">
                    <c:v>1</c:v>
                  </c:pt>
                  <c:pt idx="1396">
                    <c:v>1</c:v>
                  </c:pt>
                  <c:pt idx="1397">
                    <c:v>1</c:v>
                  </c:pt>
                  <c:pt idx="1398">
                    <c:v>1,22</c:v>
                  </c:pt>
                  <c:pt idx="1399">
                    <c:v>1,22</c:v>
                  </c:pt>
                  <c:pt idx="1400">
                    <c:v>1,22</c:v>
                  </c:pt>
                  <c:pt idx="1401">
                    <c:v>1</c:v>
                  </c:pt>
                  <c:pt idx="1402">
                    <c:v>1,22</c:v>
                  </c:pt>
                  <c:pt idx="1403">
                    <c:v>1,22</c:v>
                  </c:pt>
                  <c:pt idx="1404">
                    <c:v>1,22</c:v>
                  </c:pt>
                  <c:pt idx="1405">
                    <c:v>1,22</c:v>
                  </c:pt>
                  <c:pt idx="1406">
                    <c:v>1,22</c:v>
                  </c:pt>
                  <c:pt idx="1407">
                    <c:v>1,22</c:v>
                  </c:pt>
                  <c:pt idx="1408">
                    <c:v>1,22</c:v>
                  </c:pt>
                  <c:pt idx="1409">
                    <c:v>1,22</c:v>
                  </c:pt>
                  <c:pt idx="1410">
                    <c:v>1,22</c:v>
                  </c:pt>
                  <c:pt idx="1411">
                    <c:v>1,22</c:v>
                  </c:pt>
                  <c:pt idx="1412">
                    <c:v>1,22</c:v>
                  </c:pt>
                  <c:pt idx="1413">
                    <c:v>1,22</c:v>
                  </c:pt>
                  <c:pt idx="1414">
                    <c:v>1,22</c:v>
                  </c:pt>
                  <c:pt idx="1415">
                    <c:v>1,22</c:v>
                  </c:pt>
                  <c:pt idx="1416">
                    <c:v>1,22</c:v>
                  </c:pt>
                  <c:pt idx="1417">
                    <c:v>1,22</c:v>
                  </c:pt>
                  <c:pt idx="1418">
                    <c:v>1,22</c:v>
                  </c:pt>
                  <c:pt idx="1419">
                    <c:v>1,22</c:v>
                  </c:pt>
                  <c:pt idx="1420">
                    <c:v>1,22</c:v>
                  </c:pt>
                  <c:pt idx="1421">
                    <c:v>1,22</c:v>
                  </c:pt>
                  <c:pt idx="1422">
                    <c:v>1,22</c:v>
                  </c:pt>
                  <c:pt idx="1423">
                    <c:v>1,22</c:v>
                  </c:pt>
                  <c:pt idx="1424">
                    <c:v>1,22</c:v>
                  </c:pt>
                  <c:pt idx="1425">
                    <c:v>1,22</c:v>
                  </c:pt>
                  <c:pt idx="1426">
                    <c:v>1,22</c:v>
                  </c:pt>
                  <c:pt idx="1427">
                    <c:v>1,22</c:v>
                  </c:pt>
                  <c:pt idx="1428">
                    <c:v>1,22</c:v>
                  </c:pt>
                  <c:pt idx="1429">
                    <c:v>1,22</c:v>
                  </c:pt>
                  <c:pt idx="1430">
                    <c:v>1,22</c:v>
                  </c:pt>
                  <c:pt idx="1431">
                    <c:v>1,22</c:v>
                  </c:pt>
                  <c:pt idx="1432">
                    <c:v>1,22</c:v>
                  </c:pt>
                  <c:pt idx="1433">
                    <c:v>1,22</c:v>
                  </c:pt>
                  <c:pt idx="1434">
                    <c:v>1,22</c:v>
                  </c:pt>
                  <c:pt idx="1435">
                    <c:v>1,22</c:v>
                  </c:pt>
                  <c:pt idx="1436">
                    <c:v>1</c:v>
                  </c:pt>
                  <c:pt idx="1437">
                    <c:v>1</c:v>
                  </c:pt>
                  <c:pt idx="1438">
                    <c:v>1</c:v>
                  </c:pt>
                  <c:pt idx="1439">
                    <c:v>1</c:v>
                  </c:pt>
                  <c:pt idx="1440">
                    <c:v>1,22</c:v>
                  </c:pt>
                  <c:pt idx="1441">
                    <c:v>1,22</c:v>
                  </c:pt>
                  <c:pt idx="1442">
                    <c:v>1,22</c:v>
                  </c:pt>
                  <c:pt idx="1443">
                    <c:v>1</c:v>
                  </c:pt>
                  <c:pt idx="1444">
                    <c:v>1,22</c:v>
                  </c:pt>
                  <c:pt idx="1446">
                    <c:v>1,22</c:v>
                  </c:pt>
                  <c:pt idx="1447">
                    <c:v>1,22</c:v>
                  </c:pt>
                  <c:pt idx="1448">
                    <c:v>1,22</c:v>
                  </c:pt>
                  <c:pt idx="1449">
                    <c:v>1</c:v>
                  </c:pt>
                  <c:pt idx="1450">
                    <c:v>1,22</c:v>
                  </c:pt>
                  <c:pt idx="1451">
                    <c:v>1,22</c:v>
                  </c:pt>
                  <c:pt idx="1452">
                    <c:v>1,22</c:v>
                  </c:pt>
                  <c:pt idx="1453">
                    <c:v>1,22</c:v>
                  </c:pt>
                  <c:pt idx="1454">
                    <c:v>1,22</c:v>
                  </c:pt>
                  <c:pt idx="1455">
                    <c:v>1,22</c:v>
                  </c:pt>
                  <c:pt idx="1456">
                    <c:v>1,22</c:v>
                  </c:pt>
                  <c:pt idx="1458">
                    <c:v>1,22</c:v>
                  </c:pt>
                  <c:pt idx="1459">
                    <c:v>1,22</c:v>
                  </c:pt>
                  <c:pt idx="1460">
                    <c:v>1,22</c:v>
                  </c:pt>
                  <c:pt idx="1461">
                    <c:v>1,22</c:v>
                  </c:pt>
                  <c:pt idx="1462">
                    <c:v>1,22</c:v>
                  </c:pt>
                  <c:pt idx="1463">
                    <c:v>1,22</c:v>
                  </c:pt>
                  <c:pt idx="1464">
                    <c:v>1,22</c:v>
                  </c:pt>
                  <c:pt idx="1465">
                    <c:v>1,22</c:v>
                  </c:pt>
                  <c:pt idx="1466">
                    <c:v>1,22</c:v>
                  </c:pt>
                  <c:pt idx="1467">
                    <c:v>1,22</c:v>
                  </c:pt>
                  <c:pt idx="1468">
                    <c:v>1,22</c:v>
                  </c:pt>
                  <c:pt idx="1469">
                    <c:v>1,22</c:v>
                  </c:pt>
                  <c:pt idx="1470">
                    <c:v>1,22</c:v>
                  </c:pt>
                  <c:pt idx="1471">
                    <c:v>1,22</c:v>
                  </c:pt>
                  <c:pt idx="1472">
                    <c:v>1,22</c:v>
                  </c:pt>
                  <c:pt idx="1473">
                    <c:v>1,22</c:v>
                  </c:pt>
                  <c:pt idx="1474">
                    <c:v>1,22</c:v>
                  </c:pt>
                  <c:pt idx="1475">
                    <c:v>1,22</c:v>
                  </c:pt>
                  <c:pt idx="1476">
                    <c:v>1,22</c:v>
                  </c:pt>
                  <c:pt idx="1477">
                    <c:v>1</c:v>
                  </c:pt>
                  <c:pt idx="1478">
                    <c:v>1,22</c:v>
                  </c:pt>
                  <c:pt idx="1479">
                    <c:v>1,22</c:v>
                  </c:pt>
                  <c:pt idx="1480">
                    <c:v>1</c:v>
                  </c:pt>
                  <c:pt idx="1481">
                    <c:v>1</c:v>
                  </c:pt>
                  <c:pt idx="1482">
                    <c:v>1,22</c:v>
                  </c:pt>
                  <c:pt idx="1483">
                    <c:v>1,22</c:v>
                  </c:pt>
                  <c:pt idx="1484">
                    <c:v>1,22</c:v>
                  </c:pt>
                  <c:pt idx="1485">
                    <c:v>1</c:v>
                  </c:pt>
                  <c:pt idx="1486">
                    <c:v>1</c:v>
                  </c:pt>
                  <c:pt idx="1487">
                    <c:v>1</c:v>
                  </c:pt>
                  <c:pt idx="1488">
                    <c:v>1,22</c:v>
                  </c:pt>
                  <c:pt idx="1489">
                    <c:v>1</c:v>
                  </c:pt>
                  <c:pt idx="1490">
                    <c:v>1,22</c:v>
                  </c:pt>
                  <c:pt idx="1491">
                    <c:v>1,22</c:v>
                  </c:pt>
                  <c:pt idx="1492">
                    <c:v>1,22</c:v>
                  </c:pt>
                  <c:pt idx="1493">
                    <c:v>1,22</c:v>
                  </c:pt>
                  <c:pt idx="1494">
                    <c:v>1,22</c:v>
                  </c:pt>
                  <c:pt idx="1495">
                    <c:v>1,22</c:v>
                  </c:pt>
                  <c:pt idx="1496">
                    <c:v>1,22</c:v>
                  </c:pt>
                  <c:pt idx="1497">
                    <c:v>1,22</c:v>
                  </c:pt>
                  <c:pt idx="1498">
                    <c:v>1,22</c:v>
                  </c:pt>
                  <c:pt idx="1499">
                    <c:v>1,22</c:v>
                  </c:pt>
                  <c:pt idx="1500">
                    <c:v>1,22</c:v>
                  </c:pt>
                  <c:pt idx="1501">
                    <c:v>1,22</c:v>
                  </c:pt>
                  <c:pt idx="1502">
                    <c:v>1,22</c:v>
                  </c:pt>
                  <c:pt idx="1503">
                    <c:v>1,22</c:v>
                  </c:pt>
                  <c:pt idx="1504">
                    <c:v>1,22</c:v>
                  </c:pt>
                  <c:pt idx="1505">
                    <c:v>1,22</c:v>
                  </c:pt>
                  <c:pt idx="1506">
                    <c:v>1,22</c:v>
                  </c:pt>
                  <c:pt idx="1507">
                    <c:v>1,22</c:v>
                  </c:pt>
                  <c:pt idx="1508">
                    <c:v>1,22</c:v>
                  </c:pt>
                  <c:pt idx="1509">
                    <c:v>1,22</c:v>
                  </c:pt>
                  <c:pt idx="1510">
                    <c:v>1,22</c:v>
                  </c:pt>
                  <c:pt idx="1511">
                    <c:v>1,22</c:v>
                  </c:pt>
                  <c:pt idx="1512">
                    <c:v>1,22</c:v>
                  </c:pt>
                  <c:pt idx="1513">
                    <c:v>1,22</c:v>
                  </c:pt>
                  <c:pt idx="1514">
                    <c:v>1,22</c:v>
                  </c:pt>
                  <c:pt idx="1515">
                    <c:v>1,22</c:v>
                  </c:pt>
                  <c:pt idx="1516">
                    <c:v>1,22</c:v>
                  </c:pt>
                  <c:pt idx="1517">
                    <c:v>1,22</c:v>
                  </c:pt>
                  <c:pt idx="1518">
                    <c:v>1,22</c:v>
                  </c:pt>
                  <c:pt idx="1519">
                    <c:v>1</c:v>
                  </c:pt>
                  <c:pt idx="1520">
                    <c:v>1</c:v>
                  </c:pt>
                  <c:pt idx="1521">
                    <c:v>1</c:v>
                  </c:pt>
                  <c:pt idx="1522">
                    <c:v>1,22</c:v>
                  </c:pt>
                  <c:pt idx="1523">
                    <c:v>1,22</c:v>
                  </c:pt>
                  <c:pt idx="1524">
                    <c:v>1,22</c:v>
                  </c:pt>
                  <c:pt idx="1525">
                    <c:v>1,22</c:v>
                  </c:pt>
                  <c:pt idx="1526">
                    <c:v>1,22</c:v>
                  </c:pt>
                  <c:pt idx="1527">
                    <c:v>1,22</c:v>
                  </c:pt>
                  <c:pt idx="1528">
                    <c:v>1,22</c:v>
                  </c:pt>
                  <c:pt idx="1529">
                    <c:v>1,22</c:v>
                  </c:pt>
                  <c:pt idx="1530">
                    <c:v>1</c:v>
                  </c:pt>
                  <c:pt idx="1531">
                    <c:v>1</c:v>
                  </c:pt>
                  <c:pt idx="1532">
                    <c:v>1,22</c:v>
                  </c:pt>
                  <c:pt idx="1533">
                    <c:v>1,22</c:v>
                  </c:pt>
                  <c:pt idx="1534">
                    <c:v>1,22</c:v>
                  </c:pt>
                  <c:pt idx="1535">
                    <c:v>1,22</c:v>
                  </c:pt>
                  <c:pt idx="1536">
                    <c:v>1,22</c:v>
                  </c:pt>
                  <c:pt idx="1537">
                    <c:v>1,22</c:v>
                  </c:pt>
                  <c:pt idx="1538">
                    <c:v>1,22</c:v>
                  </c:pt>
                  <c:pt idx="1539">
                    <c:v>1,22</c:v>
                  </c:pt>
                  <c:pt idx="1540">
                    <c:v>1,22</c:v>
                  </c:pt>
                  <c:pt idx="1541">
                    <c:v>1,22</c:v>
                  </c:pt>
                  <c:pt idx="1542">
                    <c:v>1,22</c:v>
                  </c:pt>
                  <c:pt idx="1543">
                    <c:v>1,22</c:v>
                  </c:pt>
                  <c:pt idx="1544">
                    <c:v>1,22</c:v>
                  </c:pt>
                  <c:pt idx="1545">
                    <c:v>1,22</c:v>
                  </c:pt>
                  <c:pt idx="1546">
                    <c:v>1,22</c:v>
                  </c:pt>
                  <c:pt idx="1547">
                    <c:v>1,22</c:v>
                  </c:pt>
                  <c:pt idx="1548">
                    <c:v>1,22</c:v>
                  </c:pt>
                  <c:pt idx="1549">
                    <c:v>1,22</c:v>
                  </c:pt>
                  <c:pt idx="1550">
                    <c:v>1,22</c:v>
                  </c:pt>
                  <c:pt idx="1551">
                    <c:v>1,22</c:v>
                  </c:pt>
                  <c:pt idx="1552">
                    <c:v>1</c:v>
                  </c:pt>
                  <c:pt idx="1553">
                    <c:v>1,22</c:v>
                  </c:pt>
                  <c:pt idx="1554">
                    <c:v>1,22</c:v>
                  </c:pt>
                  <c:pt idx="1555">
                    <c:v>1</c:v>
                  </c:pt>
                  <c:pt idx="1556">
                    <c:v>1,22</c:v>
                  </c:pt>
                  <c:pt idx="1557">
                    <c:v>1,22</c:v>
                  </c:pt>
                  <c:pt idx="1558">
                    <c:v>1,22</c:v>
                  </c:pt>
                  <c:pt idx="1559">
                    <c:v>1,22</c:v>
                  </c:pt>
                  <c:pt idx="1560">
                    <c:v>1,22</c:v>
                  </c:pt>
                  <c:pt idx="1561">
                    <c:v>1,22</c:v>
                  </c:pt>
                  <c:pt idx="1562">
                    <c:v>1,22</c:v>
                  </c:pt>
                  <c:pt idx="1563">
                    <c:v>1,22</c:v>
                  </c:pt>
                  <c:pt idx="1564">
                    <c:v>1,22</c:v>
                  </c:pt>
                  <c:pt idx="1565">
                    <c:v>1,22</c:v>
                  </c:pt>
                  <c:pt idx="1566">
                    <c:v>1,22</c:v>
                  </c:pt>
                  <c:pt idx="1567">
                    <c:v>1,22</c:v>
                  </c:pt>
                  <c:pt idx="1568">
                    <c:v>1,22</c:v>
                  </c:pt>
                  <c:pt idx="1569">
                    <c:v>1,22</c:v>
                  </c:pt>
                  <c:pt idx="1570">
                    <c:v>1,22</c:v>
                  </c:pt>
                  <c:pt idx="1571">
                    <c:v>1,22</c:v>
                  </c:pt>
                  <c:pt idx="1572">
                    <c:v>1,22</c:v>
                  </c:pt>
                  <c:pt idx="1573">
                    <c:v>1</c:v>
                  </c:pt>
                  <c:pt idx="1574">
                    <c:v>1,22</c:v>
                  </c:pt>
                  <c:pt idx="1575">
                    <c:v>1,22</c:v>
                  </c:pt>
                  <c:pt idx="1576">
                    <c:v>1,22</c:v>
                  </c:pt>
                  <c:pt idx="1577">
                    <c:v>1,22</c:v>
                  </c:pt>
                  <c:pt idx="1578">
                    <c:v>1,22</c:v>
                  </c:pt>
                  <c:pt idx="1579">
                    <c:v>1,22</c:v>
                  </c:pt>
                  <c:pt idx="1580">
                    <c:v>1,22</c:v>
                  </c:pt>
                  <c:pt idx="1581">
                    <c:v>1,22</c:v>
                  </c:pt>
                  <c:pt idx="1582">
                    <c:v>1,22</c:v>
                  </c:pt>
                  <c:pt idx="1583">
                    <c:v>1,22</c:v>
                  </c:pt>
                  <c:pt idx="1584">
                    <c:v>1,22</c:v>
                  </c:pt>
                  <c:pt idx="1585">
                    <c:v>1,22</c:v>
                  </c:pt>
                  <c:pt idx="1586">
                    <c:v>1,22</c:v>
                  </c:pt>
                  <c:pt idx="1587">
                    <c:v>1</c:v>
                  </c:pt>
                  <c:pt idx="1588">
                    <c:v>1</c:v>
                  </c:pt>
                  <c:pt idx="1589">
                    <c:v>1</c:v>
                  </c:pt>
                  <c:pt idx="1590">
                    <c:v>1,22</c:v>
                  </c:pt>
                  <c:pt idx="1591">
                    <c:v>1,22</c:v>
                  </c:pt>
                  <c:pt idx="1592">
                    <c:v>1,22</c:v>
                  </c:pt>
                  <c:pt idx="1593">
                    <c:v>1,22</c:v>
                  </c:pt>
                  <c:pt idx="1594">
                    <c:v>1,22</c:v>
                  </c:pt>
                  <c:pt idx="1595">
                    <c:v>1,22</c:v>
                  </c:pt>
                  <c:pt idx="1596">
                    <c:v>1,22</c:v>
                  </c:pt>
                  <c:pt idx="1597">
                    <c:v>1,22</c:v>
                  </c:pt>
                  <c:pt idx="1598">
                    <c:v>1</c:v>
                  </c:pt>
                  <c:pt idx="1599">
                    <c:v>1,22</c:v>
                  </c:pt>
                  <c:pt idx="1600">
                    <c:v>1,22</c:v>
                  </c:pt>
                  <c:pt idx="1601">
                    <c:v>1,22</c:v>
                  </c:pt>
                  <c:pt idx="1602">
                    <c:v>1,22</c:v>
                  </c:pt>
                  <c:pt idx="1603">
                    <c:v>1,22</c:v>
                  </c:pt>
                  <c:pt idx="1604">
                    <c:v>1,22</c:v>
                  </c:pt>
                  <c:pt idx="1605">
                    <c:v>1,22</c:v>
                  </c:pt>
                  <c:pt idx="1606">
                    <c:v>1,22</c:v>
                  </c:pt>
                  <c:pt idx="1607">
                    <c:v>1,22</c:v>
                  </c:pt>
                  <c:pt idx="1608">
                    <c:v>1,22</c:v>
                  </c:pt>
                  <c:pt idx="1609">
                    <c:v>1,22</c:v>
                  </c:pt>
                  <c:pt idx="1610">
                    <c:v>1,22</c:v>
                  </c:pt>
                  <c:pt idx="1611">
                    <c:v>1,22</c:v>
                  </c:pt>
                  <c:pt idx="1612">
                    <c:v>1,22</c:v>
                  </c:pt>
                  <c:pt idx="1613">
                    <c:v>1,22</c:v>
                  </c:pt>
                  <c:pt idx="1614">
                    <c:v>1,22</c:v>
                  </c:pt>
                  <c:pt idx="1615">
                    <c:v>1,22</c:v>
                  </c:pt>
                  <c:pt idx="1616">
                    <c:v>1,22</c:v>
                  </c:pt>
                  <c:pt idx="1617">
                    <c:v>1,22</c:v>
                  </c:pt>
                  <c:pt idx="1618">
                    <c:v>1</c:v>
                  </c:pt>
                  <c:pt idx="1619">
                    <c:v>1</c:v>
                  </c:pt>
                  <c:pt idx="1620">
                    <c:v>1,22</c:v>
                  </c:pt>
                  <c:pt idx="1621">
                    <c:v>1,22</c:v>
                  </c:pt>
                  <c:pt idx="1622">
                    <c:v>1,22</c:v>
                  </c:pt>
                  <c:pt idx="1623">
                    <c:v>1,22</c:v>
                  </c:pt>
                  <c:pt idx="1624">
                    <c:v>1,22</c:v>
                  </c:pt>
                  <c:pt idx="1625">
                    <c:v>1</c:v>
                  </c:pt>
                  <c:pt idx="1626">
                    <c:v>1</c:v>
                  </c:pt>
                  <c:pt idx="1627">
                    <c:v>1,22</c:v>
                  </c:pt>
                  <c:pt idx="1628">
                    <c:v>1,22</c:v>
                  </c:pt>
                  <c:pt idx="1629">
                    <c:v>1,22</c:v>
                  </c:pt>
                  <c:pt idx="1630">
                    <c:v>1,22</c:v>
                  </c:pt>
                  <c:pt idx="1631">
                    <c:v>1,22</c:v>
                  </c:pt>
                  <c:pt idx="1632">
                    <c:v>1,22</c:v>
                  </c:pt>
                  <c:pt idx="1633">
                    <c:v>1,22</c:v>
                  </c:pt>
                  <c:pt idx="1634">
                    <c:v>1,22</c:v>
                  </c:pt>
                  <c:pt idx="1635">
                    <c:v>1</c:v>
                  </c:pt>
                  <c:pt idx="1636">
                    <c:v>1</c:v>
                  </c:pt>
                  <c:pt idx="1637">
                    <c:v>1</c:v>
                  </c:pt>
                  <c:pt idx="1638">
                    <c:v>1</c:v>
                  </c:pt>
                  <c:pt idx="1639">
                    <c:v>1</c:v>
                  </c:pt>
                  <c:pt idx="1640">
                    <c:v>1,22</c:v>
                  </c:pt>
                  <c:pt idx="1641">
                    <c:v>1,22</c:v>
                  </c:pt>
                  <c:pt idx="1642">
                    <c:v>1</c:v>
                  </c:pt>
                  <c:pt idx="1643">
                    <c:v>1</c:v>
                  </c:pt>
                  <c:pt idx="1644">
                    <c:v>1</c:v>
                  </c:pt>
                  <c:pt idx="1645">
                    <c:v>1</c:v>
                  </c:pt>
                  <c:pt idx="1646">
                    <c:v>1,22</c:v>
                  </c:pt>
                  <c:pt idx="1647">
                    <c:v>1,22</c:v>
                  </c:pt>
                  <c:pt idx="1648">
                    <c:v>1,22</c:v>
                  </c:pt>
                  <c:pt idx="1649">
                    <c:v>1,22</c:v>
                  </c:pt>
                  <c:pt idx="1650">
                    <c:v>1,22</c:v>
                  </c:pt>
                  <c:pt idx="1651">
                    <c:v>1,22</c:v>
                  </c:pt>
                  <c:pt idx="1652">
                    <c:v>1,22</c:v>
                  </c:pt>
                  <c:pt idx="1653">
                    <c:v>1,2</c:v>
                  </c:pt>
                  <c:pt idx="1654">
                    <c:v>1,22</c:v>
                  </c:pt>
                  <c:pt idx="1655">
                    <c:v>1,22</c:v>
                  </c:pt>
                  <c:pt idx="1656">
                    <c:v>1,22</c:v>
                  </c:pt>
                  <c:pt idx="1657">
                    <c:v>1,22</c:v>
                  </c:pt>
                  <c:pt idx="1658">
                    <c:v>1,22</c:v>
                  </c:pt>
                  <c:pt idx="1659">
                    <c:v>1,22</c:v>
                  </c:pt>
                  <c:pt idx="1660">
                    <c:v>1,22</c:v>
                  </c:pt>
                  <c:pt idx="1661">
                    <c:v>1,22</c:v>
                  </c:pt>
                  <c:pt idx="1662">
                    <c:v>1,22</c:v>
                  </c:pt>
                  <c:pt idx="1663">
                    <c:v>1,22</c:v>
                  </c:pt>
                  <c:pt idx="1664">
                    <c:v>1,22</c:v>
                  </c:pt>
                  <c:pt idx="1665">
                    <c:v>1,22</c:v>
                  </c:pt>
                  <c:pt idx="1666">
                    <c:v>1,22</c:v>
                  </c:pt>
                  <c:pt idx="1667">
                    <c:v>1,22</c:v>
                  </c:pt>
                  <c:pt idx="1668">
                    <c:v>1,22</c:v>
                  </c:pt>
                  <c:pt idx="1669">
                    <c:v>1,22</c:v>
                  </c:pt>
                  <c:pt idx="1670">
                    <c:v>1,22</c:v>
                  </c:pt>
                  <c:pt idx="1671">
                    <c:v>1,22</c:v>
                  </c:pt>
                  <c:pt idx="1672">
                    <c:v>1</c:v>
                  </c:pt>
                  <c:pt idx="1673">
                    <c:v>1</c:v>
                  </c:pt>
                  <c:pt idx="1674">
                    <c:v>1,22</c:v>
                  </c:pt>
                  <c:pt idx="1675">
                    <c:v>1,22</c:v>
                  </c:pt>
                  <c:pt idx="1676">
                    <c:v>1,22</c:v>
                  </c:pt>
                  <c:pt idx="1677">
                    <c:v>1,22</c:v>
                  </c:pt>
                  <c:pt idx="1678">
                    <c:v>1,22</c:v>
                  </c:pt>
                  <c:pt idx="1679">
                    <c:v>1,22</c:v>
                  </c:pt>
                  <c:pt idx="1680">
                    <c:v>1,55</c:v>
                  </c:pt>
                  <c:pt idx="1681">
                    <c:v>1,22</c:v>
                  </c:pt>
                  <c:pt idx="1682">
                    <c:v>1,22</c:v>
                  </c:pt>
                  <c:pt idx="1683">
                    <c:v>1,22</c:v>
                  </c:pt>
                  <c:pt idx="1684">
                    <c:v>1,22</c:v>
                  </c:pt>
                  <c:pt idx="1685">
                    <c:v>1,22</c:v>
                  </c:pt>
                  <c:pt idx="1686">
                    <c:v>1,22</c:v>
                  </c:pt>
                  <c:pt idx="1687">
                    <c:v>1</c:v>
                  </c:pt>
                  <c:pt idx="1688">
                    <c:v>1</c:v>
                  </c:pt>
                  <c:pt idx="1689">
                    <c:v>1,22</c:v>
                  </c:pt>
                  <c:pt idx="1690">
                    <c:v>1,22</c:v>
                  </c:pt>
                  <c:pt idx="1691">
                    <c:v>1,22</c:v>
                  </c:pt>
                  <c:pt idx="1692">
                    <c:v>1,22</c:v>
                  </c:pt>
                  <c:pt idx="1693">
                    <c:v>1,22</c:v>
                  </c:pt>
                  <c:pt idx="1694">
                    <c:v>1,22</c:v>
                  </c:pt>
                  <c:pt idx="1695">
                    <c:v>1,22</c:v>
                  </c:pt>
                  <c:pt idx="1696">
                    <c:v>1,22</c:v>
                  </c:pt>
                  <c:pt idx="1697">
                    <c:v>1,22</c:v>
                  </c:pt>
                  <c:pt idx="1698">
                    <c:v>1,22</c:v>
                  </c:pt>
                  <c:pt idx="1699">
                    <c:v>1,22</c:v>
                  </c:pt>
                  <c:pt idx="1700">
                    <c:v>1,22</c:v>
                  </c:pt>
                  <c:pt idx="1701">
                    <c:v>1,22</c:v>
                  </c:pt>
                  <c:pt idx="1702">
                    <c:v>1,22</c:v>
                  </c:pt>
                  <c:pt idx="1703">
                    <c:v>1,22</c:v>
                  </c:pt>
                  <c:pt idx="1704">
                    <c:v>1,22</c:v>
                  </c:pt>
                  <c:pt idx="1705">
                    <c:v>1,22</c:v>
                  </c:pt>
                  <c:pt idx="1706">
                    <c:v>1,22</c:v>
                  </c:pt>
                  <c:pt idx="1707">
                    <c:v>1,22</c:v>
                  </c:pt>
                  <c:pt idx="1708">
                    <c:v>1</c:v>
                  </c:pt>
                  <c:pt idx="1709">
                    <c:v>1,22</c:v>
                  </c:pt>
                  <c:pt idx="1710">
                    <c:v>1,22</c:v>
                  </c:pt>
                  <c:pt idx="1711">
                    <c:v>1,22</c:v>
                  </c:pt>
                  <c:pt idx="1712">
                    <c:v>1,22</c:v>
                  </c:pt>
                  <c:pt idx="1713">
                    <c:v>1,22</c:v>
                  </c:pt>
                  <c:pt idx="1714">
                    <c:v>1,22</c:v>
                  </c:pt>
                  <c:pt idx="1715">
                    <c:v>1</c:v>
                  </c:pt>
                  <c:pt idx="1716">
                    <c:v>1</c:v>
                  </c:pt>
                  <c:pt idx="1717">
                    <c:v>1,22</c:v>
                  </c:pt>
                  <c:pt idx="1718">
                    <c:v>1,22</c:v>
                  </c:pt>
                  <c:pt idx="1719">
                    <c:v>1,22</c:v>
                  </c:pt>
                  <c:pt idx="1720">
                    <c:v>1,22</c:v>
                  </c:pt>
                  <c:pt idx="1721">
                    <c:v>1,22</c:v>
                  </c:pt>
                  <c:pt idx="1722">
                    <c:v>1,22</c:v>
                  </c:pt>
                  <c:pt idx="1723">
                    <c:v>1,22</c:v>
                  </c:pt>
                  <c:pt idx="1724">
                    <c:v>1,22</c:v>
                  </c:pt>
                </c:lvl>
                <c:lvl>
                  <c:pt idx="0">
                    <c:v>corona</c:v>
                  </c:pt>
                  <c:pt idx="1">
                    <c:v>agraciada</c:v>
                  </c:pt>
                  <c:pt idx="2">
                    <c:v>magric</c:v>
                  </c:pt>
                  <c:pt idx="3">
                    <c:v>merlin</c:v>
                  </c:pt>
                  <c:pt idx="4">
                    <c:v>merlin</c:v>
                  </c:pt>
                  <c:pt idx="5">
                    <c:v>copagran</c:v>
                  </c:pt>
                  <c:pt idx="6">
                    <c:v>copagran</c:v>
                  </c:pt>
                  <c:pt idx="7">
                    <c:v>copagran</c:v>
                  </c:pt>
                  <c:pt idx="8">
                    <c:v>merlin</c:v>
                  </c:pt>
                  <c:pt idx="9">
                    <c:v>magric</c:v>
                  </c:pt>
                  <c:pt idx="10">
                    <c:v>grispix</c:v>
                  </c:pt>
                  <c:pt idx="11">
                    <c:v>grispix</c:v>
                  </c:pt>
                  <c:pt idx="12">
                    <c:v>GRISPIX</c:v>
                  </c:pt>
                  <c:pt idx="13">
                    <c:v>bioterra</c:v>
                  </c:pt>
                  <c:pt idx="14">
                    <c:v>denucio</c:v>
                  </c:pt>
                  <c:pt idx="15">
                    <c:v>diego</c:v>
                  </c:pt>
                  <c:pt idx="16">
                    <c:v>diego</c:v>
                  </c:pt>
                  <c:pt idx="17">
                    <c:v>diego</c:v>
                  </c:pt>
                  <c:pt idx="18">
                    <c:v>diego</c:v>
                  </c:pt>
                  <c:pt idx="19">
                    <c:v>diego</c:v>
                  </c:pt>
                  <c:pt idx="20">
                    <c:v>diego</c:v>
                  </c:pt>
                  <c:pt idx="21">
                    <c:v>diego</c:v>
                  </c:pt>
                  <c:pt idx="22">
                    <c:v>diego</c:v>
                  </c:pt>
                  <c:pt idx="24">
                    <c:v>cousa</c:v>
                  </c:pt>
                  <c:pt idx="25">
                    <c:v>cousa</c:v>
                  </c:pt>
                  <c:pt idx="26">
                    <c:v>deribal</c:v>
                  </c:pt>
                  <c:pt idx="27">
                    <c:v>valagu</c:v>
                  </c:pt>
                  <c:pt idx="28">
                    <c:v>valagu</c:v>
                  </c:pt>
                  <c:pt idx="29">
                    <c:v>valagu</c:v>
                  </c:pt>
                  <c:pt idx="30">
                    <c:v>valagu</c:v>
                  </c:pt>
                  <c:pt idx="31">
                    <c:v>valagu</c:v>
                  </c:pt>
                  <c:pt idx="32">
                    <c:v>valagu</c:v>
                  </c:pt>
                  <c:pt idx="33">
                    <c:v>valagu</c:v>
                  </c:pt>
                  <c:pt idx="34">
                    <c:v>agraciada</c:v>
                  </c:pt>
                  <c:pt idx="35">
                    <c:v>grispix</c:v>
                  </c:pt>
                  <c:pt idx="36">
                    <c:v>denucio</c:v>
                  </c:pt>
                  <c:pt idx="37">
                    <c:v>valagu</c:v>
                  </c:pt>
                  <c:pt idx="38">
                    <c:v>valagu</c:v>
                  </c:pt>
                  <c:pt idx="39">
                    <c:v>valagu</c:v>
                  </c:pt>
                  <c:pt idx="40">
                    <c:v>valagu</c:v>
                  </c:pt>
                  <c:pt idx="41">
                    <c:v>valagu</c:v>
                  </c:pt>
                  <c:pt idx="42">
                    <c:v>valagu</c:v>
                  </c:pt>
                  <c:pt idx="43">
                    <c:v>valagu</c:v>
                  </c:pt>
                  <c:pt idx="44">
                    <c:v>valagu</c:v>
                  </c:pt>
                  <c:pt idx="45">
                    <c:v>valagu</c:v>
                  </c:pt>
                  <c:pt idx="46">
                    <c:v>valagu</c:v>
                  </c:pt>
                  <c:pt idx="47">
                    <c:v>valagu</c:v>
                  </c:pt>
                  <c:pt idx="48">
                    <c:v>valagu</c:v>
                  </c:pt>
                  <c:pt idx="49">
                    <c:v>valagu </c:v>
                  </c:pt>
                  <c:pt idx="50">
                    <c:v>valagu</c:v>
                  </c:pt>
                  <c:pt idx="51">
                    <c:v>valagu</c:v>
                  </c:pt>
                  <c:pt idx="52">
                    <c:v>valagu</c:v>
                  </c:pt>
                  <c:pt idx="53">
                    <c:v>valagu</c:v>
                  </c:pt>
                  <c:pt idx="54">
                    <c:v>valagu</c:v>
                  </c:pt>
                  <c:pt idx="55">
                    <c:v>valagu</c:v>
                  </c:pt>
                  <c:pt idx="56">
                    <c:v>valagu</c:v>
                  </c:pt>
                  <c:pt idx="57">
                    <c:v>valagu</c:v>
                  </c:pt>
                  <c:pt idx="58">
                    <c:v>valagu</c:v>
                  </c:pt>
                  <c:pt idx="59">
                    <c:v>denucio</c:v>
                  </c:pt>
                  <c:pt idx="60">
                    <c:v>beltrame</c:v>
                  </c:pt>
                  <c:pt idx="61">
                    <c:v>alvarez</c:v>
                  </c:pt>
                  <c:pt idx="62">
                    <c:v>alvarez</c:v>
                  </c:pt>
                  <c:pt idx="63">
                    <c:v>agraciada</c:v>
                  </c:pt>
                  <c:pt idx="64">
                    <c:v>damian macetas</c:v>
                  </c:pt>
                  <c:pt idx="65">
                    <c:v>damian macetas</c:v>
                  </c:pt>
                  <c:pt idx="66">
                    <c:v>diego</c:v>
                  </c:pt>
                  <c:pt idx="67">
                    <c:v>diego</c:v>
                  </c:pt>
                  <c:pt idx="68">
                    <c:v>diego</c:v>
                  </c:pt>
                  <c:pt idx="69">
                    <c:v>diego</c:v>
                  </c:pt>
                  <c:pt idx="70">
                    <c:v>diego</c:v>
                  </c:pt>
                  <c:pt idx="71">
                    <c:v>maestro</c:v>
                  </c:pt>
                  <c:pt idx="72">
                    <c:v>rimart</c:v>
                  </c:pt>
                  <c:pt idx="73">
                    <c:v>rimart</c:v>
                  </c:pt>
                  <c:pt idx="74">
                    <c:v>lima</c:v>
                  </c:pt>
                  <c:pt idx="75">
                    <c:v>lima</c:v>
                  </c:pt>
                  <c:pt idx="76">
                    <c:v>maestro</c:v>
                  </c:pt>
                  <c:pt idx="77">
                    <c:v>maestro</c:v>
                  </c:pt>
                  <c:pt idx="78">
                    <c:v>diego</c:v>
                  </c:pt>
                  <c:pt idx="79">
                    <c:v>diego</c:v>
                  </c:pt>
                  <c:pt idx="80">
                    <c:v>fermara</c:v>
                  </c:pt>
                  <c:pt idx="81">
                    <c:v>fermara</c:v>
                  </c:pt>
                  <c:pt idx="82">
                    <c:v>fermara</c:v>
                  </c:pt>
                  <c:pt idx="83">
                    <c:v>casa cristina</c:v>
                  </c:pt>
                  <c:pt idx="84">
                    <c:v>casa cristina</c:v>
                  </c:pt>
                  <c:pt idx="85">
                    <c:v>aros y coronas</c:v>
                  </c:pt>
                  <c:pt idx="86">
                    <c:v>aros y coronas</c:v>
                  </c:pt>
                  <c:pt idx="87">
                    <c:v>aros y coronas</c:v>
                  </c:pt>
                  <c:pt idx="88">
                    <c:v>rimart</c:v>
                  </c:pt>
                  <c:pt idx="89">
                    <c:v>rimart</c:v>
                  </c:pt>
                  <c:pt idx="90">
                    <c:v>diego</c:v>
                  </c:pt>
                  <c:pt idx="91">
                    <c:v>DIEGO</c:v>
                  </c:pt>
                  <c:pt idx="93">
                    <c:v>casa cristina</c:v>
                  </c:pt>
                  <c:pt idx="96">
                    <c:v>yaques</c:v>
                  </c:pt>
                  <c:pt idx="97">
                    <c:v>bioterra</c:v>
                  </c:pt>
                  <c:pt idx="98">
                    <c:v>droqueria paysandu</c:v>
                  </c:pt>
                  <c:pt idx="99">
                    <c:v>droqueria paysandu</c:v>
                  </c:pt>
                  <c:pt idx="100">
                    <c:v>drogueria paysandu</c:v>
                  </c:pt>
                  <c:pt idx="101">
                    <c:v>agropecuaria agraciada</c:v>
                  </c:pt>
                  <c:pt idx="102">
                    <c:v>drogueria paysandu</c:v>
                  </c:pt>
                  <c:pt idx="103">
                    <c:v>beltrame</c:v>
                  </c:pt>
                  <c:pt idx="104">
                    <c:v>beltrame</c:v>
                  </c:pt>
                  <c:pt idx="105">
                    <c:v>parque trebol</c:v>
                  </c:pt>
                  <c:pt idx="106">
                    <c:v>parque trebol</c:v>
                  </c:pt>
                  <c:pt idx="107">
                    <c:v>parque trebol</c:v>
                  </c:pt>
                  <c:pt idx="108">
                    <c:v>parque trebol</c:v>
                  </c:pt>
                  <c:pt idx="110">
                    <c:v>empack</c:v>
                  </c:pt>
                  <c:pt idx="111">
                    <c:v>valagu</c:v>
                  </c:pt>
                  <c:pt idx="112">
                    <c:v>MAYORPET</c:v>
                  </c:pt>
                  <c:pt idx="113">
                    <c:v>MAYORPET</c:v>
                  </c:pt>
                  <c:pt idx="114">
                    <c:v>valagu</c:v>
                  </c:pt>
                  <c:pt idx="115">
                    <c:v>valagu</c:v>
                  </c:pt>
                  <c:pt idx="116">
                    <c:v>valagu</c:v>
                  </c:pt>
                  <c:pt idx="117">
                    <c:v>MAYORPET</c:v>
                  </c:pt>
                  <c:pt idx="118">
                    <c:v>MAYORPET</c:v>
                  </c:pt>
                  <c:pt idx="119">
                    <c:v>valagu</c:v>
                  </c:pt>
                  <c:pt idx="120">
                    <c:v>valagu</c:v>
                  </c:pt>
                  <c:pt idx="121">
                    <c:v>beltrame</c:v>
                  </c:pt>
                  <c:pt idx="122">
                    <c:v>volpe</c:v>
                  </c:pt>
                  <c:pt idx="123">
                    <c:v>volpe</c:v>
                  </c:pt>
                  <c:pt idx="124">
                    <c:v>parque trebol</c:v>
                  </c:pt>
                  <c:pt idx="125">
                    <c:v>agroinsumos</c:v>
                  </c:pt>
                  <c:pt idx="126">
                    <c:v>agroinsumos</c:v>
                  </c:pt>
                  <c:pt idx="127">
                    <c:v>agroinsumos</c:v>
                  </c:pt>
                  <c:pt idx="128">
                    <c:v>agroinsumos</c:v>
                  </c:pt>
                  <c:pt idx="129">
                    <c:v>valagu</c:v>
                  </c:pt>
                  <c:pt idx="130">
                    <c:v>beltrame</c:v>
                  </c:pt>
                  <c:pt idx="131">
                    <c:v>beltrame</c:v>
                  </c:pt>
                  <c:pt idx="132">
                    <c:v>beltrame</c:v>
                  </c:pt>
                  <c:pt idx="133">
                    <c:v>beltrame</c:v>
                  </c:pt>
                  <c:pt idx="134">
                    <c:v>MAYORPET</c:v>
                  </c:pt>
                  <c:pt idx="135">
                    <c:v>MAYORPET</c:v>
                  </c:pt>
                  <c:pt idx="136">
                    <c:v>valagu</c:v>
                  </c:pt>
                  <c:pt idx="137">
                    <c:v>beltrame</c:v>
                  </c:pt>
                  <c:pt idx="138">
                    <c:v>MAYORPET</c:v>
                  </c:pt>
                  <c:pt idx="139">
                    <c:v>MAYORPET</c:v>
                  </c:pt>
                  <c:pt idx="140">
                    <c:v>MAYORPET</c:v>
                  </c:pt>
                  <c:pt idx="141">
                    <c:v>MAYORPET</c:v>
                  </c:pt>
                  <c:pt idx="142">
                    <c:v>MAYORPET</c:v>
                  </c:pt>
                  <c:pt idx="143">
                    <c:v>MAYORPET</c:v>
                  </c:pt>
                  <c:pt idx="144">
                    <c:v>valagu</c:v>
                  </c:pt>
                  <c:pt idx="145">
                    <c:v>valagu</c:v>
                  </c:pt>
                  <c:pt idx="146">
                    <c:v>valagu</c:v>
                  </c:pt>
                  <c:pt idx="147">
                    <c:v>damian macetas</c:v>
                  </c:pt>
                  <c:pt idx="148">
                    <c:v>valagu</c:v>
                  </c:pt>
                  <c:pt idx="149">
                    <c:v>valagu</c:v>
                  </c:pt>
                  <c:pt idx="150">
                    <c:v>valagu</c:v>
                  </c:pt>
                  <c:pt idx="151">
                    <c:v>MAYORPET</c:v>
                  </c:pt>
                  <c:pt idx="152">
                    <c:v>damian macetas</c:v>
                  </c:pt>
                  <c:pt idx="153">
                    <c:v>valagu</c:v>
                  </c:pt>
                  <c:pt idx="154">
                    <c:v>valagu</c:v>
                  </c:pt>
                  <c:pt idx="155">
                    <c:v>valagu</c:v>
                  </c:pt>
                  <c:pt idx="156">
                    <c:v>valagu</c:v>
                  </c:pt>
                  <c:pt idx="157">
                    <c:v>valagu</c:v>
                  </c:pt>
                  <c:pt idx="158">
                    <c:v>valagu</c:v>
                  </c:pt>
                  <c:pt idx="159">
                    <c:v>es</c:v>
                  </c:pt>
                  <c:pt idx="160">
                    <c:v>valagu</c:v>
                  </c:pt>
                  <c:pt idx="161">
                    <c:v>drogueria paysandu</c:v>
                  </c:pt>
                  <c:pt idx="165">
                    <c:v>yaques</c:v>
                  </c:pt>
                  <c:pt idx="166">
                    <c:v>agroinsumos</c:v>
                  </c:pt>
                  <c:pt idx="167">
                    <c:v>bioterra</c:v>
                  </c:pt>
                  <c:pt idx="168">
                    <c:v>bioterra</c:v>
                  </c:pt>
                  <c:pt idx="169">
                    <c:v>bioterra</c:v>
                  </c:pt>
                  <c:pt idx="170">
                    <c:v>bioterra</c:v>
                  </c:pt>
                  <c:pt idx="171">
                    <c:v>bioterra</c:v>
                  </c:pt>
                  <c:pt idx="172">
                    <c:v>bioterra</c:v>
                  </c:pt>
                  <c:pt idx="173">
                    <c:v>bioterra</c:v>
                  </c:pt>
                  <c:pt idx="174">
                    <c:v>bioterra</c:v>
                  </c:pt>
                  <c:pt idx="175">
                    <c:v>bioterra</c:v>
                  </c:pt>
                  <c:pt idx="176">
                    <c:v>bioterra</c:v>
                  </c:pt>
                  <c:pt idx="177">
                    <c:v>belsir</c:v>
                  </c:pt>
                  <c:pt idx="178">
                    <c:v>belsir</c:v>
                  </c:pt>
                  <c:pt idx="179">
                    <c:v>GRISPIX</c:v>
                  </c:pt>
                  <c:pt idx="180">
                    <c:v>GRISPIX</c:v>
                  </c:pt>
                  <c:pt idx="181">
                    <c:v>damian macetas</c:v>
                  </c:pt>
                  <c:pt idx="182">
                    <c:v>damian macetas</c:v>
                  </c:pt>
                  <c:pt idx="183">
                    <c:v>damian macetas</c:v>
                  </c:pt>
                  <c:pt idx="184">
                    <c:v>damian macetas</c:v>
                  </c:pt>
                  <c:pt idx="185">
                    <c:v>damian macetas</c:v>
                  </c:pt>
                  <c:pt idx="186">
                    <c:v>damian macetas</c:v>
                  </c:pt>
                  <c:pt idx="187">
                    <c:v>damian macetas</c:v>
                  </c:pt>
                  <c:pt idx="188">
                    <c:v>damian macetas</c:v>
                  </c:pt>
                  <c:pt idx="189">
                    <c:v>damian macetas</c:v>
                  </c:pt>
                  <c:pt idx="190">
                    <c:v>damian macetas</c:v>
                  </c:pt>
                  <c:pt idx="191">
                    <c:v>damian macetas</c:v>
                  </c:pt>
                  <c:pt idx="192">
                    <c:v>damian macetas</c:v>
                  </c:pt>
                  <c:pt idx="193">
                    <c:v>damian macetas</c:v>
                  </c:pt>
                  <c:pt idx="194">
                    <c:v>damian macetas</c:v>
                  </c:pt>
                  <c:pt idx="195">
                    <c:v>damian macetas</c:v>
                  </c:pt>
                  <c:pt idx="196">
                    <c:v>damian macetas</c:v>
                  </c:pt>
                  <c:pt idx="197">
                    <c:v>damian macetas</c:v>
                  </c:pt>
                  <c:pt idx="198">
                    <c:v>damian macetas</c:v>
                  </c:pt>
                  <c:pt idx="199">
                    <c:v>damian macetas</c:v>
                  </c:pt>
                  <c:pt idx="200">
                    <c:v>damian macetas</c:v>
                  </c:pt>
                  <c:pt idx="201">
                    <c:v>damian macetas</c:v>
                  </c:pt>
                  <c:pt idx="202">
                    <c:v>damian macetas</c:v>
                  </c:pt>
                  <c:pt idx="203">
                    <c:v>empack</c:v>
                  </c:pt>
                  <c:pt idx="204">
                    <c:v>empack</c:v>
                  </c:pt>
                  <c:pt idx="205">
                    <c:v>empack</c:v>
                  </c:pt>
                  <c:pt idx="206">
                    <c:v>empack</c:v>
                  </c:pt>
                  <c:pt idx="207">
                    <c:v>empack</c:v>
                  </c:pt>
                  <c:pt idx="208">
                    <c:v>empack</c:v>
                  </c:pt>
                  <c:pt idx="209">
                    <c:v>empack</c:v>
                  </c:pt>
                  <c:pt idx="210">
                    <c:v>diego</c:v>
                  </c:pt>
                  <c:pt idx="211">
                    <c:v>empack</c:v>
                  </c:pt>
                  <c:pt idx="212">
                    <c:v>empack</c:v>
                  </c:pt>
                  <c:pt idx="213">
                    <c:v>baldivia</c:v>
                  </c:pt>
                  <c:pt idx="214">
                    <c:v>baldivia</c:v>
                  </c:pt>
                  <c:pt idx="215">
                    <c:v>baldivia</c:v>
                  </c:pt>
                  <c:pt idx="216">
                    <c:v>baldivia</c:v>
                  </c:pt>
                  <c:pt idx="217">
                    <c:v>baldivia</c:v>
                  </c:pt>
                  <c:pt idx="218">
                    <c:v>maestro</c:v>
                  </c:pt>
                  <c:pt idx="219">
                    <c:v>mazzoni</c:v>
                  </c:pt>
                  <c:pt idx="220">
                    <c:v>mazzoni</c:v>
                  </c:pt>
                  <c:pt idx="221">
                    <c:v>valagu</c:v>
                  </c:pt>
                  <c:pt idx="222">
                    <c:v>valagu</c:v>
                  </c:pt>
                  <c:pt idx="223">
                    <c:v>valagu</c:v>
                  </c:pt>
                  <c:pt idx="224">
                    <c:v>valagu</c:v>
                  </c:pt>
                  <c:pt idx="225">
                    <c:v>valagu</c:v>
                  </c:pt>
                  <c:pt idx="226">
                    <c:v>valagu</c:v>
                  </c:pt>
                  <c:pt idx="227">
                    <c:v>diego</c:v>
                  </c:pt>
                  <c:pt idx="229">
                    <c:v>MAYORPET</c:v>
                  </c:pt>
                  <c:pt idx="230">
                    <c:v>MAYORPET</c:v>
                  </c:pt>
                  <c:pt idx="231">
                    <c:v>MAYORPET</c:v>
                  </c:pt>
                  <c:pt idx="232">
                    <c:v>MAYORPET</c:v>
                  </c:pt>
                  <c:pt idx="233">
                    <c:v>MAYORPET</c:v>
                  </c:pt>
                  <c:pt idx="234">
                    <c:v>denucio</c:v>
                  </c:pt>
                  <c:pt idx="235">
                    <c:v>aros y coronas</c:v>
                  </c:pt>
                  <c:pt idx="236">
                    <c:v>agroinsumos</c:v>
                  </c:pt>
                  <c:pt idx="237">
                    <c:v>grispix</c:v>
                  </c:pt>
                  <c:pt idx="238">
                    <c:v>denucio</c:v>
                  </c:pt>
                  <c:pt idx="239">
                    <c:v>bioterra</c:v>
                  </c:pt>
                  <c:pt idx="240">
                    <c:v>MAYORPET</c:v>
                  </c:pt>
                  <c:pt idx="241">
                    <c:v>MAYORPET</c:v>
                  </c:pt>
                  <c:pt idx="242">
                    <c:v>MAYORPET</c:v>
                  </c:pt>
                  <c:pt idx="243">
                    <c:v>MAYORPET</c:v>
                  </c:pt>
                  <c:pt idx="244">
                    <c:v>MAYORPET</c:v>
                  </c:pt>
                  <c:pt idx="245">
                    <c:v>MAYORPET</c:v>
                  </c:pt>
                  <c:pt idx="246">
                    <c:v>MAYORPET</c:v>
                  </c:pt>
                  <c:pt idx="248">
                    <c:v>ATMA</c:v>
                  </c:pt>
                  <c:pt idx="249">
                    <c:v>valagu</c:v>
                  </c:pt>
                  <c:pt idx="250">
                    <c:v>valagu</c:v>
                  </c:pt>
                  <c:pt idx="251">
                    <c:v>beltrame</c:v>
                  </c:pt>
                  <c:pt idx="252">
                    <c:v>valagu</c:v>
                  </c:pt>
                  <c:pt idx="253">
                    <c:v>valagu</c:v>
                  </c:pt>
                  <c:pt idx="254">
                    <c:v>MAYORPET</c:v>
                  </c:pt>
                  <c:pt idx="255">
                    <c:v>valagu</c:v>
                  </c:pt>
                  <c:pt idx="256">
                    <c:v>valagu</c:v>
                  </c:pt>
                  <c:pt idx="257">
                    <c:v>valagu</c:v>
                  </c:pt>
                  <c:pt idx="258">
                    <c:v>ATMA</c:v>
                  </c:pt>
                  <c:pt idx="259">
                    <c:v>damian macetas</c:v>
                  </c:pt>
                  <c:pt idx="260">
                    <c:v>valagu</c:v>
                  </c:pt>
                  <c:pt idx="261">
                    <c:v>uruquim</c:v>
                  </c:pt>
                  <c:pt idx="262">
                    <c:v>uruquim</c:v>
                  </c:pt>
                  <c:pt idx="263">
                    <c:v>agropecuaria agraciada</c:v>
                  </c:pt>
                  <c:pt idx="264">
                    <c:v>beltrame</c:v>
                  </c:pt>
                  <c:pt idx="265">
                    <c:v>magric</c:v>
                  </c:pt>
                  <c:pt idx="266">
                    <c:v>agritec</c:v>
                  </c:pt>
                  <c:pt idx="267">
                    <c:v>agritec</c:v>
                  </c:pt>
                  <c:pt idx="269">
                    <c:v>BOTICA</c:v>
                  </c:pt>
                  <c:pt idx="270">
                    <c:v>valagu</c:v>
                  </c:pt>
                  <c:pt idx="271">
                    <c:v>valagu</c:v>
                  </c:pt>
                  <c:pt idx="272">
                    <c:v>MAYORPET</c:v>
                  </c:pt>
                  <c:pt idx="273">
                    <c:v>damian macetas</c:v>
                  </c:pt>
                  <c:pt idx="274">
                    <c:v>damian macetas</c:v>
                  </c:pt>
                  <c:pt idx="275">
                    <c:v>lima</c:v>
                  </c:pt>
                  <c:pt idx="276">
                    <c:v>valagu</c:v>
                  </c:pt>
                  <c:pt idx="277">
                    <c:v>valagu</c:v>
                  </c:pt>
                  <c:pt idx="278">
                    <c:v>diego</c:v>
                  </c:pt>
                  <c:pt idx="279">
                    <c:v>damian macetas</c:v>
                  </c:pt>
                  <c:pt idx="280">
                    <c:v>damian macetas</c:v>
                  </c:pt>
                  <c:pt idx="281">
                    <c:v>damian macetas</c:v>
                  </c:pt>
                  <c:pt idx="283">
                    <c:v>grispix</c:v>
                  </c:pt>
                  <c:pt idx="284">
                    <c:v>grispix</c:v>
                  </c:pt>
                  <c:pt idx="285">
                    <c:v>denucio</c:v>
                  </c:pt>
                  <c:pt idx="286">
                    <c:v>denucio</c:v>
                  </c:pt>
                  <c:pt idx="287">
                    <c:v>denucio</c:v>
                  </c:pt>
                  <c:pt idx="288">
                    <c:v>denucio</c:v>
                  </c:pt>
                  <c:pt idx="289">
                    <c:v>denucio</c:v>
                  </c:pt>
                  <c:pt idx="290">
                    <c:v>denucio</c:v>
                  </c:pt>
                  <c:pt idx="291">
                    <c:v>denucio</c:v>
                  </c:pt>
                  <c:pt idx="292">
                    <c:v>denucio</c:v>
                  </c:pt>
                  <c:pt idx="293">
                    <c:v>denucio</c:v>
                  </c:pt>
                  <c:pt idx="294">
                    <c:v>denucio</c:v>
                  </c:pt>
                  <c:pt idx="295">
                    <c:v>denucio</c:v>
                  </c:pt>
                  <c:pt idx="296">
                    <c:v>denucio</c:v>
                  </c:pt>
                  <c:pt idx="297">
                    <c:v>denucio</c:v>
                  </c:pt>
                  <c:pt idx="298">
                    <c:v>denucio</c:v>
                  </c:pt>
                  <c:pt idx="299">
                    <c:v>beltrame</c:v>
                  </c:pt>
                  <c:pt idx="300">
                    <c:v>beltrame</c:v>
                  </c:pt>
                  <c:pt idx="301">
                    <c:v>agropecuaria santa rosa</c:v>
                  </c:pt>
                  <c:pt idx="302">
                    <c:v>agropecuaria santa rosa</c:v>
                  </c:pt>
                  <c:pt idx="303">
                    <c:v>beltrame</c:v>
                  </c:pt>
                  <c:pt idx="304">
                    <c:v>beltrame</c:v>
                  </c:pt>
                  <c:pt idx="305">
                    <c:v>beltrame</c:v>
                  </c:pt>
                  <c:pt idx="306">
                    <c:v>beltrame</c:v>
                  </c:pt>
                  <c:pt idx="307">
                    <c:v>beltrame</c:v>
                  </c:pt>
                  <c:pt idx="308">
                    <c:v>baldivia</c:v>
                  </c:pt>
                  <c:pt idx="309">
                    <c:v>damian macetas</c:v>
                  </c:pt>
                  <c:pt idx="310">
                    <c:v>damian macetas</c:v>
                  </c:pt>
                  <c:pt idx="311">
                    <c:v>maestro</c:v>
                  </c:pt>
                  <c:pt idx="312">
                    <c:v>grispix</c:v>
                  </c:pt>
                  <c:pt idx="313">
                    <c:v>alvarez</c:v>
                  </c:pt>
                  <c:pt idx="314">
                    <c:v>parque trebol</c:v>
                  </c:pt>
                  <c:pt idx="315">
                    <c:v>diego</c:v>
                  </c:pt>
                  <c:pt idx="316">
                    <c:v>magric</c:v>
                  </c:pt>
                  <c:pt idx="317">
                    <c:v>magric</c:v>
                  </c:pt>
                  <c:pt idx="318">
                    <c:v>volpe</c:v>
                  </c:pt>
                  <c:pt idx="319">
                    <c:v>volpe</c:v>
                  </c:pt>
                  <c:pt idx="320">
                    <c:v>denucio</c:v>
                  </c:pt>
                  <c:pt idx="321">
                    <c:v>yaques</c:v>
                  </c:pt>
                  <c:pt idx="322">
                    <c:v>valagu</c:v>
                  </c:pt>
                  <c:pt idx="323">
                    <c:v>damian macetas</c:v>
                  </c:pt>
                  <c:pt idx="324">
                    <c:v>damian macetas</c:v>
                  </c:pt>
                  <c:pt idx="325">
                    <c:v>damian macetas</c:v>
                  </c:pt>
                  <c:pt idx="326">
                    <c:v>damian macetas</c:v>
                  </c:pt>
                  <c:pt idx="327">
                    <c:v>alvarez</c:v>
                  </c:pt>
                  <c:pt idx="328">
                    <c:v>insumos cultivador</c:v>
                  </c:pt>
                  <c:pt idx="329">
                    <c:v>insumos cultivador</c:v>
                  </c:pt>
                  <c:pt idx="330">
                    <c:v>insumos cultivador</c:v>
                  </c:pt>
                  <c:pt idx="331">
                    <c:v>MAYORPET</c:v>
                  </c:pt>
                  <c:pt idx="332">
                    <c:v>damian macetas</c:v>
                  </c:pt>
                  <c:pt idx="333">
                    <c:v>damian macetas</c:v>
                  </c:pt>
                  <c:pt idx="334">
                    <c:v>damian macetas</c:v>
                  </c:pt>
                  <c:pt idx="335">
                    <c:v>MAYORPET</c:v>
                  </c:pt>
                  <c:pt idx="336">
                    <c:v>MAYORPET</c:v>
                  </c:pt>
                  <c:pt idx="337">
                    <c:v>MAYORPET</c:v>
                  </c:pt>
                  <c:pt idx="338">
                    <c:v>MAYORPET</c:v>
                  </c:pt>
                  <c:pt idx="339">
                    <c:v>MAYORPET</c:v>
                  </c:pt>
                  <c:pt idx="340">
                    <c:v>MAYORPET</c:v>
                  </c:pt>
                  <c:pt idx="341">
                    <c:v>MAYORPET</c:v>
                  </c:pt>
                  <c:pt idx="342">
                    <c:v>MAYORPET</c:v>
                  </c:pt>
                  <c:pt idx="343">
                    <c:v>MAYORPET</c:v>
                  </c:pt>
                  <c:pt idx="344">
                    <c:v>MAYORPET</c:v>
                  </c:pt>
                  <c:pt idx="345">
                    <c:v>MAYORPET</c:v>
                  </c:pt>
                  <c:pt idx="346">
                    <c:v>MAYORPET</c:v>
                  </c:pt>
                  <c:pt idx="347">
                    <c:v>MAYORPET</c:v>
                  </c:pt>
                  <c:pt idx="348">
                    <c:v>MAYORPET</c:v>
                  </c:pt>
                  <c:pt idx="349">
                    <c:v>MAYORPET</c:v>
                  </c:pt>
                  <c:pt idx="350">
                    <c:v>MAYORPET</c:v>
                  </c:pt>
                  <c:pt idx="351">
                    <c:v>MAYORPET</c:v>
                  </c:pt>
                  <c:pt idx="352">
                    <c:v>MAYORPET</c:v>
                  </c:pt>
                  <c:pt idx="353">
                    <c:v>MAYORPET</c:v>
                  </c:pt>
                  <c:pt idx="354">
                    <c:v>grispix</c:v>
                  </c:pt>
                  <c:pt idx="355">
                    <c:v>grispix</c:v>
                  </c:pt>
                  <c:pt idx="356">
                    <c:v>grispix</c:v>
                  </c:pt>
                  <c:pt idx="357">
                    <c:v>MAYORPET</c:v>
                  </c:pt>
                  <c:pt idx="358">
                    <c:v>MAYORPET</c:v>
                  </c:pt>
                  <c:pt idx="359">
                    <c:v>MAYORPET</c:v>
                  </c:pt>
                  <c:pt idx="360">
                    <c:v>MAYORPET</c:v>
                  </c:pt>
                  <c:pt idx="361">
                    <c:v>deribal</c:v>
                  </c:pt>
                  <c:pt idx="362">
                    <c:v>deribal</c:v>
                  </c:pt>
                  <c:pt idx="363">
                    <c:v>fermara</c:v>
                  </c:pt>
                  <c:pt idx="364">
                    <c:v>deribal</c:v>
                  </c:pt>
                  <c:pt idx="365">
                    <c:v>volpe</c:v>
                  </c:pt>
                  <c:pt idx="366">
                    <c:v>deribal</c:v>
                  </c:pt>
                  <c:pt idx="367">
                    <c:v>deribal</c:v>
                  </c:pt>
                  <c:pt idx="368">
                    <c:v>volpe</c:v>
                  </c:pt>
                  <c:pt idx="369">
                    <c:v>MAYORPET</c:v>
                  </c:pt>
                  <c:pt idx="370">
                    <c:v>MAYORPET</c:v>
                  </c:pt>
                  <c:pt idx="371">
                    <c:v>grispix</c:v>
                  </c:pt>
                  <c:pt idx="372">
                    <c:v>grispix</c:v>
                  </c:pt>
                  <c:pt idx="373">
                    <c:v>MAYORPET</c:v>
                  </c:pt>
                  <c:pt idx="374">
                    <c:v>MAYORPET</c:v>
                  </c:pt>
                  <c:pt idx="375">
                    <c:v>MAYORPET</c:v>
                  </c:pt>
                  <c:pt idx="376">
                    <c:v>grispix</c:v>
                  </c:pt>
                  <c:pt idx="377">
                    <c:v>MAYORPET</c:v>
                  </c:pt>
                  <c:pt idx="378">
                    <c:v>MAYORPET</c:v>
                  </c:pt>
                  <c:pt idx="379">
                    <c:v>MAYORPET</c:v>
                  </c:pt>
                  <c:pt idx="380">
                    <c:v>MAYORPET</c:v>
                  </c:pt>
                  <c:pt idx="381">
                    <c:v>MAYORPET</c:v>
                  </c:pt>
                  <c:pt idx="382">
                    <c:v>MAYORPET</c:v>
                  </c:pt>
                  <c:pt idx="383">
                    <c:v>rimart</c:v>
                  </c:pt>
                  <c:pt idx="384">
                    <c:v>rimart</c:v>
                  </c:pt>
                  <c:pt idx="385">
                    <c:v>MAYORPET</c:v>
                  </c:pt>
                  <c:pt idx="386">
                    <c:v>damian macetas</c:v>
                  </c:pt>
                  <c:pt idx="387">
                    <c:v>MAYORPET</c:v>
                  </c:pt>
                  <c:pt idx="388">
                    <c:v>MAYORPET</c:v>
                  </c:pt>
                  <c:pt idx="389">
                    <c:v>MAYORPET</c:v>
                  </c:pt>
                  <c:pt idx="390">
                    <c:v>valagu</c:v>
                  </c:pt>
                  <c:pt idx="391">
                    <c:v>MAYORPET</c:v>
                  </c:pt>
                  <c:pt idx="392">
                    <c:v>MAYORPET</c:v>
                  </c:pt>
                  <c:pt idx="393">
                    <c:v>MAYORPET</c:v>
                  </c:pt>
                  <c:pt idx="394">
                    <c:v>MAYORPET</c:v>
                  </c:pt>
                  <c:pt idx="395">
                    <c:v>MAYORPET</c:v>
                  </c:pt>
                  <c:pt idx="396">
                    <c:v>MAYORPET</c:v>
                  </c:pt>
                  <c:pt idx="397">
                    <c:v>MAYORPET</c:v>
                  </c:pt>
                  <c:pt idx="398">
                    <c:v>MAYORPET</c:v>
                  </c:pt>
                  <c:pt idx="399">
                    <c:v>MAYORPET</c:v>
                  </c:pt>
                  <c:pt idx="400">
                    <c:v>MAYORPET</c:v>
                  </c:pt>
                  <c:pt idx="401">
                    <c:v>MAYORPET</c:v>
                  </c:pt>
                  <c:pt idx="402">
                    <c:v>MAYORPET</c:v>
                  </c:pt>
                  <c:pt idx="403">
                    <c:v>MAYORPET</c:v>
                  </c:pt>
                  <c:pt idx="404">
                    <c:v>MAYORPET</c:v>
                  </c:pt>
                  <c:pt idx="405">
                    <c:v>valagu</c:v>
                  </c:pt>
                  <c:pt idx="406">
                    <c:v>valagu</c:v>
                  </c:pt>
                  <c:pt idx="407">
                    <c:v>damian macetas</c:v>
                  </c:pt>
                  <c:pt idx="408">
                    <c:v>valagu</c:v>
                  </c:pt>
                  <c:pt idx="409">
                    <c:v>beltrame</c:v>
                  </c:pt>
                  <c:pt idx="410">
                    <c:v>valagu</c:v>
                  </c:pt>
                  <c:pt idx="411">
                    <c:v>valagu</c:v>
                  </c:pt>
                  <c:pt idx="412">
                    <c:v>damian macetas</c:v>
                  </c:pt>
                  <c:pt idx="413">
                    <c:v>MAYORPET</c:v>
                  </c:pt>
                  <c:pt idx="414">
                    <c:v>damian macetas</c:v>
                  </c:pt>
                  <c:pt idx="415">
                    <c:v>MAYORPET</c:v>
                  </c:pt>
                  <c:pt idx="416">
                    <c:v>bioterra</c:v>
                  </c:pt>
                  <c:pt idx="417">
                    <c:v>bioterra</c:v>
                  </c:pt>
                  <c:pt idx="418">
                    <c:v>diego</c:v>
                  </c:pt>
                  <c:pt idx="419">
                    <c:v>damian macetas</c:v>
                  </c:pt>
                  <c:pt idx="420">
                    <c:v>damian macetas</c:v>
                  </c:pt>
                  <c:pt idx="422">
                    <c:v>valagu</c:v>
                  </c:pt>
                  <c:pt idx="423">
                    <c:v>yaques</c:v>
                  </c:pt>
                  <c:pt idx="424">
                    <c:v>corona</c:v>
                  </c:pt>
                  <c:pt idx="425">
                    <c:v>corona</c:v>
                  </c:pt>
                  <c:pt idx="426">
                    <c:v>corona</c:v>
                  </c:pt>
                  <c:pt idx="427">
                    <c:v>corona</c:v>
                  </c:pt>
                  <c:pt idx="428">
                    <c:v>MAYORPET</c:v>
                  </c:pt>
                  <c:pt idx="429">
                    <c:v>MAYORPET</c:v>
                  </c:pt>
                  <c:pt idx="430">
                    <c:v>MAYORPET</c:v>
                  </c:pt>
                  <c:pt idx="431">
                    <c:v>MAYORPET</c:v>
                  </c:pt>
                  <c:pt idx="432">
                    <c:v>grispix</c:v>
                  </c:pt>
                  <c:pt idx="433">
                    <c:v>MAYORPET</c:v>
                  </c:pt>
                  <c:pt idx="434">
                    <c:v>mayorpet</c:v>
                  </c:pt>
                  <c:pt idx="435">
                    <c:v>MAYORPET</c:v>
                  </c:pt>
                  <c:pt idx="436">
                    <c:v>MAYORPET</c:v>
                  </c:pt>
                  <c:pt idx="437">
                    <c:v>alvarez</c:v>
                  </c:pt>
                  <c:pt idx="438">
                    <c:v>denucio</c:v>
                  </c:pt>
                  <c:pt idx="439">
                    <c:v>denucio</c:v>
                  </c:pt>
                  <c:pt idx="440">
                    <c:v>denucio</c:v>
                  </c:pt>
                  <c:pt idx="441">
                    <c:v>denucio</c:v>
                  </c:pt>
                  <c:pt idx="442">
                    <c:v>denucio</c:v>
                  </c:pt>
                  <c:pt idx="443">
                    <c:v>denucio</c:v>
                  </c:pt>
                  <c:pt idx="444">
                    <c:v>denucio</c:v>
                  </c:pt>
                  <c:pt idx="445">
                    <c:v>denucio</c:v>
                  </c:pt>
                  <c:pt idx="446">
                    <c:v>denucio</c:v>
                  </c:pt>
                  <c:pt idx="447">
                    <c:v>denucio</c:v>
                  </c:pt>
                  <c:pt idx="448">
                    <c:v>denucio</c:v>
                  </c:pt>
                  <c:pt idx="449">
                    <c:v>denucio</c:v>
                  </c:pt>
                  <c:pt idx="450">
                    <c:v>denucio</c:v>
                  </c:pt>
                  <c:pt idx="451">
                    <c:v>deribal</c:v>
                  </c:pt>
                  <c:pt idx="452">
                    <c:v>lima</c:v>
                  </c:pt>
                  <c:pt idx="453">
                    <c:v>vet volpe</c:v>
                  </c:pt>
                  <c:pt idx="454">
                    <c:v>vet volpe</c:v>
                  </c:pt>
                  <c:pt idx="455">
                    <c:v>parque trebol</c:v>
                  </c:pt>
                  <c:pt idx="456">
                    <c:v>parque trebol</c:v>
                  </c:pt>
                  <c:pt idx="457">
                    <c:v>parque trebol</c:v>
                  </c:pt>
                  <c:pt idx="458">
                    <c:v>lima</c:v>
                  </c:pt>
                  <c:pt idx="459">
                    <c:v>yaques</c:v>
                  </c:pt>
                  <c:pt idx="460">
                    <c:v>uruquim</c:v>
                  </c:pt>
                  <c:pt idx="461">
                    <c:v>uruquim</c:v>
                  </c:pt>
                  <c:pt idx="462">
                    <c:v>deribal</c:v>
                  </c:pt>
                  <c:pt idx="463">
                    <c:v>uruquim</c:v>
                  </c:pt>
                  <c:pt idx="464">
                    <c:v>damian macetas</c:v>
                  </c:pt>
                  <c:pt idx="465">
                    <c:v>damian macetas</c:v>
                  </c:pt>
                  <c:pt idx="466">
                    <c:v>damian macetas</c:v>
                  </c:pt>
                  <c:pt idx="467">
                    <c:v>damian macetas</c:v>
                  </c:pt>
                  <c:pt idx="468">
                    <c:v>damian macetas</c:v>
                  </c:pt>
                  <c:pt idx="469">
                    <c:v>damian macetas</c:v>
                  </c:pt>
                  <c:pt idx="470">
                    <c:v>damian macetas</c:v>
                  </c:pt>
                  <c:pt idx="471">
                    <c:v>damian macetas</c:v>
                  </c:pt>
                  <c:pt idx="472">
                    <c:v>MAYORPET</c:v>
                  </c:pt>
                  <c:pt idx="473">
                    <c:v>MAYORPET</c:v>
                  </c:pt>
                  <c:pt idx="474">
                    <c:v>volpe</c:v>
                  </c:pt>
                  <c:pt idx="475">
                    <c:v>deribal</c:v>
                  </c:pt>
                  <c:pt idx="476">
                    <c:v>damian macetas</c:v>
                  </c:pt>
                  <c:pt idx="477">
                    <c:v>damian macetas</c:v>
                  </c:pt>
                  <c:pt idx="478">
                    <c:v>belsir</c:v>
                  </c:pt>
                  <c:pt idx="479">
                    <c:v>ds</c:v>
                  </c:pt>
                  <c:pt idx="480">
                    <c:v>ds</c:v>
                  </c:pt>
                  <c:pt idx="481">
                    <c:v>ds</c:v>
                  </c:pt>
                  <c:pt idx="482">
                    <c:v>ds</c:v>
                  </c:pt>
                  <c:pt idx="483">
                    <c:v>dsd</c:v>
                  </c:pt>
                  <c:pt idx="484">
                    <c:v>ds</c:v>
                  </c:pt>
                  <c:pt idx="485">
                    <c:v>DS</c:v>
                  </c:pt>
                  <c:pt idx="486">
                    <c:v>DS</c:v>
                  </c:pt>
                  <c:pt idx="487">
                    <c:v>DS</c:v>
                  </c:pt>
                  <c:pt idx="488">
                    <c:v>ds</c:v>
                  </c:pt>
                  <c:pt idx="489">
                    <c:v>ds</c:v>
                  </c:pt>
                  <c:pt idx="490">
                    <c:v>ds</c:v>
                  </c:pt>
                  <c:pt idx="491">
                    <c:v>ds</c:v>
                  </c:pt>
                  <c:pt idx="492">
                    <c:v>ds</c:v>
                  </c:pt>
                  <c:pt idx="493">
                    <c:v>ds</c:v>
                  </c:pt>
                  <c:pt idx="494">
                    <c:v>ds</c:v>
                  </c:pt>
                  <c:pt idx="495">
                    <c:v>ds</c:v>
                  </c:pt>
                  <c:pt idx="496">
                    <c:v>ds</c:v>
                  </c:pt>
                  <c:pt idx="497">
                    <c:v>ds</c:v>
                  </c:pt>
                  <c:pt idx="498">
                    <c:v>ds</c:v>
                  </c:pt>
                  <c:pt idx="499">
                    <c:v>ds</c:v>
                  </c:pt>
                  <c:pt idx="500">
                    <c:v>ds</c:v>
                  </c:pt>
                  <c:pt idx="501">
                    <c:v>ds</c:v>
                  </c:pt>
                  <c:pt idx="502">
                    <c:v>ds</c:v>
                  </c:pt>
                  <c:pt idx="503">
                    <c:v>ds</c:v>
                  </c:pt>
                  <c:pt idx="504">
                    <c:v>ds</c:v>
                  </c:pt>
                  <c:pt idx="505">
                    <c:v>ds</c:v>
                  </c:pt>
                  <c:pt idx="506">
                    <c:v>ds</c:v>
                  </c:pt>
                  <c:pt idx="507">
                    <c:v>ds</c:v>
                  </c:pt>
                  <c:pt idx="508">
                    <c:v>ds</c:v>
                  </c:pt>
                  <c:pt idx="509">
                    <c:v>ds</c:v>
                  </c:pt>
                  <c:pt idx="510">
                    <c:v>ds</c:v>
                  </c:pt>
                  <c:pt idx="511">
                    <c:v>ds</c:v>
                  </c:pt>
                  <c:pt idx="512">
                    <c:v>ds</c:v>
                  </c:pt>
                  <c:pt idx="513">
                    <c:v>ds</c:v>
                  </c:pt>
                  <c:pt idx="514">
                    <c:v>ds</c:v>
                  </c:pt>
                  <c:pt idx="515">
                    <c:v>ds</c:v>
                  </c:pt>
                  <c:pt idx="516">
                    <c:v>ds</c:v>
                  </c:pt>
                  <c:pt idx="517">
                    <c:v>ds</c:v>
                  </c:pt>
                  <c:pt idx="518">
                    <c:v>ds</c:v>
                  </c:pt>
                  <c:pt idx="519">
                    <c:v>ds</c:v>
                  </c:pt>
                  <c:pt idx="520">
                    <c:v>ds</c:v>
                  </c:pt>
                  <c:pt idx="521">
                    <c:v>ds</c:v>
                  </c:pt>
                  <c:pt idx="522">
                    <c:v>damian macetas</c:v>
                  </c:pt>
                  <c:pt idx="536">
                    <c:v>ds</c:v>
                  </c:pt>
                  <c:pt idx="537">
                    <c:v>ds</c:v>
                  </c:pt>
                  <c:pt idx="538">
                    <c:v>ds</c:v>
                  </c:pt>
                  <c:pt idx="542">
                    <c:v>ds</c:v>
                  </c:pt>
                  <c:pt idx="543">
                    <c:v>ds</c:v>
                  </c:pt>
                  <c:pt idx="544">
                    <c:v>ds</c:v>
                  </c:pt>
                  <c:pt idx="545">
                    <c:v>ds</c:v>
                  </c:pt>
                  <c:pt idx="546">
                    <c:v>ds</c:v>
                  </c:pt>
                  <c:pt idx="547">
                    <c:v>ds</c:v>
                  </c:pt>
                  <c:pt idx="548">
                    <c:v>ds</c:v>
                  </c:pt>
                  <c:pt idx="549">
                    <c:v>ds</c:v>
                  </c:pt>
                  <c:pt idx="552">
                    <c:v>damian macetas</c:v>
                  </c:pt>
                  <c:pt idx="553">
                    <c:v>damian macetas</c:v>
                  </c:pt>
                  <c:pt idx="554">
                    <c:v>beltrame</c:v>
                  </c:pt>
                  <c:pt idx="555">
                    <c:v>volpe</c:v>
                  </c:pt>
                  <c:pt idx="556">
                    <c:v>volpe</c:v>
                  </c:pt>
                  <c:pt idx="557">
                    <c:v>damian macetas</c:v>
                  </c:pt>
                  <c:pt idx="558">
                    <c:v>beltrame</c:v>
                  </c:pt>
                  <c:pt idx="559">
                    <c:v>parque trebol</c:v>
                  </c:pt>
                  <c:pt idx="560">
                    <c:v>denucio</c:v>
                  </c:pt>
                  <c:pt idx="561">
                    <c:v>damian macetas</c:v>
                  </c:pt>
                  <c:pt idx="562">
                    <c:v>damian macetas</c:v>
                  </c:pt>
                  <c:pt idx="563">
                    <c:v>beltrame</c:v>
                  </c:pt>
                  <c:pt idx="564">
                    <c:v>denucio</c:v>
                  </c:pt>
                  <c:pt idx="565">
                    <c:v>denucio</c:v>
                  </c:pt>
                  <c:pt idx="567">
                    <c:v>damian macetas</c:v>
                  </c:pt>
                  <c:pt idx="568">
                    <c:v>grispix</c:v>
                  </c:pt>
                  <c:pt idx="569">
                    <c:v>damian macetas</c:v>
                  </c:pt>
                  <c:pt idx="570">
                    <c:v>damian macetas</c:v>
                  </c:pt>
                  <c:pt idx="571">
                    <c:v>damian macetas</c:v>
                  </c:pt>
                  <c:pt idx="572">
                    <c:v>beltrame</c:v>
                  </c:pt>
                  <c:pt idx="573">
                    <c:v>de navarra</c:v>
                  </c:pt>
                  <c:pt idx="577">
                    <c:v>damian macetas</c:v>
                  </c:pt>
                  <c:pt idx="578">
                    <c:v>damian macetas</c:v>
                  </c:pt>
                  <c:pt idx="579">
                    <c:v>valagu</c:v>
                  </c:pt>
                  <c:pt idx="580">
                    <c:v>valagu</c:v>
                  </c:pt>
                  <c:pt idx="582">
                    <c:v>distribuciones KRM</c:v>
                  </c:pt>
                  <c:pt idx="583">
                    <c:v>damian macetas</c:v>
                  </c:pt>
                  <c:pt idx="585">
                    <c:v>valagu</c:v>
                  </c:pt>
                  <c:pt idx="586">
                    <c:v>deribal</c:v>
                  </c:pt>
                  <c:pt idx="587">
                    <c:v>deribal</c:v>
                  </c:pt>
                  <c:pt idx="588">
                    <c:v>deribal</c:v>
                  </c:pt>
                  <c:pt idx="589">
                    <c:v>damian macetas</c:v>
                  </c:pt>
                  <c:pt idx="590">
                    <c:v>magric</c:v>
                  </c:pt>
                  <c:pt idx="591">
                    <c:v>magric</c:v>
                  </c:pt>
                  <c:pt idx="592">
                    <c:v>MAGRIC</c:v>
                  </c:pt>
                  <c:pt idx="593">
                    <c:v>beltrame</c:v>
                  </c:pt>
                  <c:pt idx="594">
                    <c:v>magric</c:v>
                  </c:pt>
                  <c:pt idx="595">
                    <c:v>magric</c:v>
                  </c:pt>
                  <c:pt idx="596">
                    <c:v>magric</c:v>
                  </c:pt>
                  <c:pt idx="598">
                    <c:v>magric</c:v>
                  </c:pt>
                  <c:pt idx="599">
                    <c:v>magric</c:v>
                  </c:pt>
                  <c:pt idx="605">
                    <c:v>alvarez</c:v>
                  </c:pt>
                  <c:pt idx="606">
                    <c:v>alvarez</c:v>
                  </c:pt>
                  <c:pt idx="607">
                    <c:v>alvarez</c:v>
                  </c:pt>
                  <c:pt idx="609">
                    <c:v>alvarez</c:v>
                  </c:pt>
                  <c:pt idx="610">
                    <c:v>alvarez</c:v>
                  </c:pt>
                  <c:pt idx="611">
                    <c:v>alvarez</c:v>
                  </c:pt>
                  <c:pt idx="613">
                    <c:v>alvarez</c:v>
                  </c:pt>
                  <c:pt idx="614">
                    <c:v>bioterra</c:v>
                  </c:pt>
                  <c:pt idx="617">
                    <c:v>alvarez</c:v>
                  </c:pt>
                  <c:pt idx="618">
                    <c:v>alvarez</c:v>
                  </c:pt>
                  <c:pt idx="619">
                    <c:v>valagu</c:v>
                  </c:pt>
                  <c:pt idx="620">
                    <c:v>valagu</c:v>
                  </c:pt>
                  <c:pt idx="621">
                    <c:v>valagu</c:v>
                  </c:pt>
                  <c:pt idx="622">
                    <c:v>valagu</c:v>
                  </c:pt>
                  <c:pt idx="623">
                    <c:v>valagu</c:v>
                  </c:pt>
                  <c:pt idx="624">
                    <c:v>valagu</c:v>
                  </c:pt>
                  <c:pt idx="625">
                    <c:v>valagu</c:v>
                  </c:pt>
                  <c:pt idx="626">
                    <c:v>valagu</c:v>
                  </c:pt>
                  <c:pt idx="627">
                    <c:v>valagu</c:v>
                  </c:pt>
                  <c:pt idx="628">
                    <c:v>valagu</c:v>
                  </c:pt>
                  <c:pt idx="629">
                    <c:v>valagu</c:v>
                  </c:pt>
                  <c:pt idx="630">
                    <c:v>valagu</c:v>
                  </c:pt>
                  <c:pt idx="631">
                    <c:v>damian macetas</c:v>
                  </c:pt>
                  <c:pt idx="632">
                    <c:v>valagu</c:v>
                  </c:pt>
                  <c:pt idx="633">
                    <c:v>parque trebol</c:v>
                  </c:pt>
                  <c:pt idx="634">
                    <c:v>parque trebol</c:v>
                  </c:pt>
                  <c:pt idx="635">
                    <c:v>parque trebol</c:v>
                  </c:pt>
                  <c:pt idx="636">
                    <c:v>parque trebol</c:v>
                  </c:pt>
                  <c:pt idx="637">
                    <c:v>parque trebol</c:v>
                  </c:pt>
                  <c:pt idx="638">
                    <c:v>diego</c:v>
                  </c:pt>
                  <c:pt idx="640">
                    <c:v>damian macetas</c:v>
                  </c:pt>
                  <c:pt idx="641">
                    <c:v>damian macetas</c:v>
                  </c:pt>
                  <c:pt idx="642">
                    <c:v>damian macetas</c:v>
                  </c:pt>
                  <c:pt idx="643">
                    <c:v>damian macetas</c:v>
                  </c:pt>
                  <c:pt idx="644">
                    <c:v>damian macetas</c:v>
                  </c:pt>
                  <c:pt idx="645">
                    <c:v>damian macetas</c:v>
                  </c:pt>
                  <c:pt idx="647">
                    <c:v>diego</c:v>
                  </c:pt>
                  <c:pt idx="651">
                    <c:v>damian macetas</c:v>
                  </c:pt>
                  <c:pt idx="652">
                    <c:v>damian macetas</c:v>
                  </c:pt>
                  <c:pt idx="653">
                    <c:v>damian macetas</c:v>
                  </c:pt>
                  <c:pt idx="654">
                    <c:v>damian macetas</c:v>
                  </c:pt>
                  <c:pt idx="655">
                    <c:v>damian macetas</c:v>
                  </c:pt>
                  <c:pt idx="656">
                    <c:v>grispix</c:v>
                  </c:pt>
                  <c:pt idx="657">
                    <c:v>yaques</c:v>
                  </c:pt>
                  <c:pt idx="658">
                    <c:v>damian macetas</c:v>
                  </c:pt>
                  <c:pt idx="659">
                    <c:v>yaques</c:v>
                  </c:pt>
                  <c:pt idx="660">
                    <c:v>casa cristina</c:v>
                  </c:pt>
                  <c:pt idx="661">
                    <c:v>casa cristina</c:v>
                  </c:pt>
                  <c:pt idx="662">
                    <c:v>casa cristina</c:v>
                  </c:pt>
                  <c:pt idx="663">
                    <c:v>casa cristina</c:v>
                  </c:pt>
                  <c:pt idx="664">
                    <c:v>casa cristina</c:v>
                  </c:pt>
                  <c:pt idx="665">
                    <c:v>casa cristina</c:v>
                  </c:pt>
                  <c:pt idx="666">
                    <c:v>diego</c:v>
                  </c:pt>
                  <c:pt idx="667">
                    <c:v>empack</c:v>
                  </c:pt>
                  <c:pt idx="668">
                    <c:v>empack</c:v>
                  </c:pt>
                  <c:pt idx="670">
                    <c:v>attack</c:v>
                  </c:pt>
                  <c:pt idx="671">
                    <c:v>atack</c:v>
                  </c:pt>
                  <c:pt idx="674">
                    <c:v>parque trebol</c:v>
                  </c:pt>
                  <c:pt idx="675">
                    <c:v>volpe</c:v>
                  </c:pt>
                  <c:pt idx="676">
                    <c:v>volpe</c:v>
                  </c:pt>
                  <c:pt idx="677">
                    <c:v>grispix</c:v>
                  </c:pt>
                  <c:pt idx="678">
                    <c:v>damian macetas</c:v>
                  </c:pt>
                  <c:pt idx="679">
                    <c:v>belsir</c:v>
                  </c:pt>
                  <c:pt idx="680">
                    <c:v>negley</c:v>
                  </c:pt>
                  <c:pt idx="681">
                    <c:v>fermara</c:v>
                  </c:pt>
                  <c:pt idx="682">
                    <c:v>fermara</c:v>
                  </c:pt>
                  <c:pt idx="683">
                    <c:v>damian macetas</c:v>
                  </c:pt>
                  <c:pt idx="684">
                    <c:v>damian macetas</c:v>
                  </c:pt>
                  <c:pt idx="685">
                    <c:v>carrau</c:v>
                  </c:pt>
                  <c:pt idx="686">
                    <c:v>carrau</c:v>
                  </c:pt>
                  <c:pt idx="687">
                    <c:v>negley</c:v>
                  </c:pt>
                  <c:pt idx="688">
                    <c:v>deribal</c:v>
                  </c:pt>
                  <c:pt idx="689">
                    <c:v>belsir</c:v>
                  </c:pt>
                  <c:pt idx="690">
                    <c:v>belsir</c:v>
                  </c:pt>
                  <c:pt idx="691">
                    <c:v>belsir</c:v>
                  </c:pt>
                  <c:pt idx="692">
                    <c:v>belsir</c:v>
                  </c:pt>
                  <c:pt idx="693">
                    <c:v>belsir</c:v>
                  </c:pt>
                  <c:pt idx="694">
                    <c:v>deribal</c:v>
                  </c:pt>
                  <c:pt idx="695">
                    <c:v>REMIPLAT</c:v>
                  </c:pt>
                  <c:pt idx="696">
                    <c:v>REMIPLAT</c:v>
                  </c:pt>
                  <c:pt idx="697">
                    <c:v>REMIPLAT</c:v>
                  </c:pt>
                  <c:pt idx="698">
                    <c:v>REMIPLAT</c:v>
                  </c:pt>
                  <c:pt idx="699">
                    <c:v>fermara</c:v>
                  </c:pt>
                  <c:pt idx="700">
                    <c:v>fermara</c:v>
                  </c:pt>
                  <c:pt idx="703">
                    <c:v>REMIPLAT</c:v>
                  </c:pt>
                  <c:pt idx="704">
                    <c:v>heroica</c:v>
                  </c:pt>
                  <c:pt idx="705">
                    <c:v>heroica</c:v>
                  </c:pt>
                  <c:pt idx="706">
                    <c:v>distribuidora del sol</c:v>
                  </c:pt>
                  <c:pt idx="707">
                    <c:v>distribuidora del sol</c:v>
                  </c:pt>
                  <c:pt idx="708">
                    <c:v>distribuidora del sol</c:v>
                  </c:pt>
                  <c:pt idx="709">
                    <c:v>distribuidora del sol</c:v>
                  </c:pt>
                  <c:pt idx="710">
                    <c:v>distribuidora del sol</c:v>
                  </c:pt>
                  <c:pt idx="711">
                    <c:v>distribuidora del sol</c:v>
                  </c:pt>
                  <c:pt idx="712">
                    <c:v>distribuidora del sol</c:v>
                  </c:pt>
                  <c:pt idx="713">
                    <c:v>negley</c:v>
                  </c:pt>
                  <c:pt idx="714">
                    <c:v>negley</c:v>
                  </c:pt>
                  <c:pt idx="715">
                    <c:v>belsir</c:v>
                  </c:pt>
                  <c:pt idx="716">
                    <c:v>belsir</c:v>
                  </c:pt>
                  <c:pt idx="717">
                    <c:v>belsir</c:v>
                  </c:pt>
                  <c:pt idx="718">
                    <c:v>belsir</c:v>
                  </c:pt>
                  <c:pt idx="719">
                    <c:v>belsir</c:v>
                  </c:pt>
                  <c:pt idx="720">
                    <c:v>belsir</c:v>
                  </c:pt>
                  <c:pt idx="721">
                    <c:v>belsir</c:v>
                  </c:pt>
                  <c:pt idx="722">
                    <c:v>negley</c:v>
                  </c:pt>
                  <c:pt idx="723">
                    <c:v>DERIBAL</c:v>
                  </c:pt>
                  <c:pt idx="726">
                    <c:v>rimart</c:v>
                  </c:pt>
                  <c:pt idx="727">
                    <c:v>rimart</c:v>
                  </c:pt>
                  <c:pt idx="730">
                    <c:v>magric</c:v>
                  </c:pt>
                  <c:pt idx="731">
                    <c:v>magric</c:v>
                  </c:pt>
                  <c:pt idx="732">
                    <c:v>manfredi</c:v>
                  </c:pt>
                  <c:pt idx="733">
                    <c:v>denucio</c:v>
                  </c:pt>
                  <c:pt idx="734">
                    <c:v>denucio</c:v>
                  </c:pt>
                  <c:pt idx="736">
                    <c:v>bioterra</c:v>
                  </c:pt>
                  <c:pt idx="739">
                    <c:v>damian macetas</c:v>
                  </c:pt>
                  <c:pt idx="740">
                    <c:v>grispix</c:v>
                  </c:pt>
                  <c:pt idx="741">
                    <c:v>damian macetas</c:v>
                  </c:pt>
                  <c:pt idx="742">
                    <c:v>grispix</c:v>
                  </c:pt>
                  <c:pt idx="743">
                    <c:v>yaques</c:v>
                  </c:pt>
                  <c:pt idx="744">
                    <c:v>diego</c:v>
                  </c:pt>
                  <c:pt idx="745">
                    <c:v>yaques</c:v>
                  </c:pt>
                  <c:pt idx="746">
                    <c:v>yaques</c:v>
                  </c:pt>
                  <c:pt idx="749">
                    <c:v>alvarez</c:v>
                  </c:pt>
                  <c:pt idx="750">
                    <c:v>damian macetas</c:v>
                  </c:pt>
                  <c:pt idx="751">
                    <c:v>copagran</c:v>
                  </c:pt>
                  <c:pt idx="752">
                    <c:v>copagran</c:v>
                  </c:pt>
                  <c:pt idx="753">
                    <c:v>copagran</c:v>
                  </c:pt>
                  <c:pt idx="754">
                    <c:v>agritec</c:v>
                  </c:pt>
                  <c:pt idx="755">
                    <c:v>magric</c:v>
                  </c:pt>
                  <c:pt idx="756">
                    <c:v>magric</c:v>
                  </c:pt>
                  <c:pt idx="757">
                    <c:v>copagran</c:v>
                  </c:pt>
                  <c:pt idx="758">
                    <c:v>diego</c:v>
                  </c:pt>
                  <c:pt idx="759">
                    <c:v>diego</c:v>
                  </c:pt>
                  <c:pt idx="760">
                    <c:v>damian macetas</c:v>
                  </c:pt>
                  <c:pt idx="761">
                    <c:v>damian macetas</c:v>
                  </c:pt>
                  <c:pt idx="762">
                    <c:v>damian macetas</c:v>
                  </c:pt>
                  <c:pt idx="763">
                    <c:v>yaques</c:v>
                  </c:pt>
                  <c:pt idx="764">
                    <c:v>parque trebol</c:v>
                  </c:pt>
                  <c:pt idx="765">
                    <c:v>beltrame</c:v>
                  </c:pt>
                  <c:pt idx="766">
                    <c:v>magric</c:v>
                  </c:pt>
                  <c:pt idx="767">
                    <c:v>beltrame</c:v>
                  </c:pt>
                  <c:pt idx="768">
                    <c:v>beltrame</c:v>
                  </c:pt>
                  <c:pt idx="769">
                    <c:v>beltrame</c:v>
                  </c:pt>
                  <c:pt idx="770">
                    <c:v>copagran</c:v>
                  </c:pt>
                  <c:pt idx="771">
                    <c:v>parque trebol</c:v>
                  </c:pt>
                  <c:pt idx="772">
                    <c:v>copagran</c:v>
                  </c:pt>
                  <c:pt idx="773">
                    <c:v>beltrame</c:v>
                  </c:pt>
                  <c:pt idx="774">
                    <c:v>uruquim</c:v>
                  </c:pt>
                  <c:pt idx="776">
                    <c:v>damian macetas</c:v>
                  </c:pt>
                  <c:pt idx="777">
                    <c:v>damian macetas</c:v>
                  </c:pt>
                  <c:pt idx="778">
                    <c:v>MAYORPET</c:v>
                  </c:pt>
                  <c:pt idx="779">
                    <c:v>MAYORPET</c:v>
                  </c:pt>
                  <c:pt idx="780">
                    <c:v>MAYORPET</c:v>
                  </c:pt>
                  <c:pt idx="781">
                    <c:v>damian macetas</c:v>
                  </c:pt>
                  <c:pt idx="782">
                    <c:v>damian macetas</c:v>
                  </c:pt>
                  <c:pt idx="783">
                    <c:v>alvarez</c:v>
                  </c:pt>
                  <c:pt idx="787">
                    <c:v>damian macetas</c:v>
                  </c:pt>
                  <c:pt idx="788">
                    <c:v>damian macetas</c:v>
                  </c:pt>
                  <c:pt idx="789">
                    <c:v>MAYORPET</c:v>
                  </c:pt>
                  <c:pt idx="790">
                    <c:v>MAYORPET</c:v>
                  </c:pt>
                  <c:pt idx="791">
                    <c:v>MAYORPET</c:v>
                  </c:pt>
                  <c:pt idx="792">
                    <c:v>parque trebol</c:v>
                  </c:pt>
                  <c:pt idx="796">
                    <c:v>parque trebol</c:v>
                  </c:pt>
                  <c:pt idx="797">
                    <c:v>parque trebol</c:v>
                  </c:pt>
                  <c:pt idx="798">
                    <c:v>distribuidora del sol</c:v>
                  </c:pt>
                  <c:pt idx="799">
                    <c:v>distribuidora del sol</c:v>
                  </c:pt>
                  <c:pt idx="800">
                    <c:v>distribuidora del sol</c:v>
                  </c:pt>
                  <c:pt idx="801">
                    <c:v>meril</c:v>
                  </c:pt>
                  <c:pt idx="802">
                    <c:v>meril</c:v>
                  </c:pt>
                  <c:pt idx="803">
                    <c:v>meril</c:v>
                  </c:pt>
                  <c:pt idx="804">
                    <c:v>meril</c:v>
                  </c:pt>
                  <c:pt idx="805">
                    <c:v>damian macetas</c:v>
                  </c:pt>
                  <c:pt idx="806">
                    <c:v>damian macetas</c:v>
                  </c:pt>
                  <c:pt idx="807">
                    <c:v>damian macetas</c:v>
                  </c:pt>
                  <c:pt idx="808">
                    <c:v>damian macetas</c:v>
                  </c:pt>
                  <c:pt idx="809">
                    <c:v>damian macetas</c:v>
                  </c:pt>
                  <c:pt idx="810">
                    <c:v>damian macetas</c:v>
                  </c:pt>
                  <c:pt idx="811">
                    <c:v>damian macetas</c:v>
                  </c:pt>
                  <c:pt idx="812">
                    <c:v>damian macetas</c:v>
                  </c:pt>
                  <c:pt idx="813">
                    <c:v>damian macetas</c:v>
                  </c:pt>
                  <c:pt idx="814">
                    <c:v>damian macetas</c:v>
                  </c:pt>
                  <c:pt idx="815">
                    <c:v>damian macetas</c:v>
                  </c:pt>
                  <c:pt idx="816">
                    <c:v>damian macetas</c:v>
                  </c:pt>
                  <c:pt idx="817">
                    <c:v>damian macetas</c:v>
                  </c:pt>
                  <c:pt idx="818">
                    <c:v>damian macetas</c:v>
                  </c:pt>
                  <c:pt idx="819">
                    <c:v>alvarez</c:v>
                  </c:pt>
                  <c:pt idx="820">
                    <c:v>alvarez</c:v>
                  </c:pt>
                  <c:pt idx="821">
                    <c:v>damian macetas</c:v>
                  </c:pt>
                  <c:pt idx="822">
                    <c:v>damian macetas</c:v>
                  </c:pt>
                  <c:pt idx="823">
                    <c:v>damian macetas</c:v>
                  </c:pt>
                  <c:pt idx="824">
                    <c:v>damian macetas</c:v>
                  </c:pt>
                  <c:pt idx="825">
                    <c:v>damian macetas</c:v>
                  </c:pt>
                  <c:pt idx="826">
                    <c:v>damian macetas</c:v>
                  </c:pt>
                  <c:pt idx="827">
                    <c:v>damian macetas</c:v>
                  </c:pt>
                  <c:pt idx="828">
                    <c:v>damian macetas</c:v>
                  </c:pt>
                  <c:pt idx="829">
                    <c:v>grispix</c:v>
                  </c:pt>
                  <c:pt idx="830">
                    <c:v>damian macetas</c:v>
                  </c:pt>
                  <c:pt idx="831">
                    <c:v>damian macetas</c:v>
                  </c:pt>
                  <c:pt idx="832">
                    <c:v>damian macetas</c:v>
                  </c:pt>
                  <c:pt idx="833">
                    <c:v>damian macetas</c:v>
                  </c:pt>
                  <c:pt idx="834">
                    <c:v>damian macetas</c:v>
                  </c:pt>
                  <c:pt idx="835">
                    <c:v>damian macetas</c:v>
                  </c:pt>
                  <c:pt idx="836">
                    <c:v>damian macetas</c:v>
                  </c:pt>
                  <c:pt idx="837">
                    <c:v>damian macetas</c:v>
                  </c:pt>
                  <c:pt idx="838">
                    <c:v>damian macetas</c:v>
                  </c:pt>
                  <c:pt idx="839">
                    <c:v>damian macetas</c:v>
                  </c:pt>
                  <c:pt idx="840">
                    <c:v>damian macetas</c:v>
                  </c:pt>
                  <c:pt idx="841">
                    <c:v>damian macetas</c:v>
                  </c:pt>
                  <c:pt idx="842">
                    <c:v>valagu</c:v>
                  </c:pt>
                  <c:pt idx="843">
                    <c:v>valagu</c:v>
                  </c:pt>
                  <c:pt idx="844">
                    <c:v>valagu</c:v>
                  </c:pt>
                  <c:pt idx="845">
                    <c:v>valagu</c:v>
                  </c:pt>
                  <c:pt idx="846">
                    <c:v>valagu</c:v>
                  </c:pt>
                  <c:pt idx="847">
                    <c:v>valagu</c:v>
                  </c:pt>
                  <c:pt idx="848">
                    <c:v>valagu</c:v>
                  </c:pt>
                  <c:pt idx="849">
                    <c:v>valagu</c:v>
                  </c:pt>
                  <c:pt idx="850">
                    <c:v>casciato</c:v>
                  </c:pt>
                  <c:pt idx="853">
                    <c:v>valagu</c:v>
                  </c:pt>
                  <c:pt idx="854">
                    <c:v>valagu</c:v>
                  </c:pt>
                  <c:pt idx="855">
                    <c:v>valagu</c:v>
                  </c:pt>
                  <c:pt idx="856">
                    <c:v>valagu</c:v>
                  </c:pt>
                  <c:pt idx="857">
                    <c:v>valagu</c:v>
                  </c:pt>
                  <c:pt idx="858">
                    <c:v>valagu</c:v>
                  </c:pt>
                  <c:pt idx="859">
                    <c:v>valagu</c:v>
                  </c:pt>
                  <c:pt idx="860">
                    <c:v>valagu</c:v>
                  </c:pt>
                  <c:pt idx="861">
                    <c:v>valagu</c:v>
                  </c:pt>
                  <c:pt idx="864">
                    <c:v>uruquim</c:v>
                  </c:pt>
                  <c:pt idx="865">
                    <c:v>parque trebol</c:v>
                  </c:pt>
                  <c:pt idx="867">
                    <c:v>parque trebol</c:v>
                  </c:pt>
                  <c:pt idx="868">
                    <c:v>parque trebol</c:v>
                  </c:pt>
                  <c:pt idx="869">
                    <c:v>valagu</c:v>
                  </c:pt>
                  <c:pt idx="870">
                    <c:v>delta</c:v>
                  </c:pt>
                  <c:pt idx="871">
                    <c:v>distribuciones KRM</c:v>
                  </c:pt>
                  <c:pt idx="872">
                    <c:v>distribuciones KRM</c:v>
                  </c:pt>
                  <c:pt idx="873">
                    <c:v>damian macetas</c:v>
                  </c:pt>
                  <c:pt idx="874">
                    <c:v>damian macetas</c:v>
                  </c:pt>
                  <c:pt idx="875">
                    <c:v>damian macetas</c:v>
                  </c:pt>
                  <c:pt idx="876">
                    <c:v>MAYORPET</c:v>
                  </c:pt>
                  <c:pt idx="877">
                    <c:v>MAYORPET</c:v>
                  </c:pt>
                  <c:pt idx="878">
                    <c:v>MAYORPET</c:v>
                  </c:pt>
                  <c:pt idx="879">
                    <c:v>MAYORPET</c:v>
                  </c:pt>
                  <c:pt idx="880">
                    <c:v>diego</c:v>
                  </c:pt>
                  <c:pt idx="881">
                    <c:v>MAYORPET</c:v>
                  </c:pt>
                  <c:pt idx="882">
                    <c:v>MAYORPET</c:v>
                  </c:pt>
                  <c:pt idx="883">
                    <c:v>beltrame</c:v>
                  </c:pt>
                  <c:pt idx="884">
                    <c:v>MAYORPET</c:v>
                  </c:pt>
                  <c:pt idx="885">
                    <c:v>MAYORPET</c:v>
                  </c:pt>
                  <c:pt idx="886">
                    <c:v>MAYORPET</c:v>
                  </c:pt>
                  <c:pt idx="887">
                    <c:v>MAYORPET</c:v>
                  </c:pt>
                  <c:pt idx="888">
                    <c:v>MAYORPET</c:v>
                  </c:pt>
                  <c:pt idx="889">
                    <c:v>MAYORPET</c:v>
                  </c:pt>
                  <c:pt idx="890">
                    <c:v>grispix</c:v>
                  </c:pt>
                  <c:pt idx="891">
                    <c:v>MAYORPET</c:v>
                  </c:pt>
                  <c:pt idx="892">
                    <c:v>MAYORPET</c:v>
                  </c:pt>
                  <c:pt idx="893">
                    <c:v>MAYORPET</c:v>
                  </c:pt>
                  <c:pt idx="894">
                    <c:v>DIEGO</c:v>
                  </c:pt>
                  <c:pt idx="895">
                    <c:v>grispix</c:v>
                  </c:pt>
                  <c:pt idx="896">
                    <c:v>grispix</c:v>
                  </c:pt>
                  <c:pt idx="897">
                    <c:v>MAYORPET</c:v>
                  </c:pt>
                  <c:pt idx="898">
                    <c:v>MAYORPET</c:v>
                  </c:pt>
                  <c:pt idx="899">
                    <c:v>MAYORPET</c:v>
                  </c:pt>
                  <c:pt idx="900">
                    <c:v>MAYORPET</c:v>
                  </c:pt>
                  <c:pt idx="901">
                    <c:v>MAYORPET</c:v>
                  </c:pt>
                  <c:pt idx="902">
                    <c:v>MAYORPET</c:v>
                  </c:pt>
                  <c:pt idx="903">
                    <c:v>MAYORPET</c:v>
                  </c:pt>
                  <c:pt idx="904">
                    <c:v>MAYORPET</c:v>
                  </c:pt>
                  <c:pt idx="905">
                    <c:v>lima</c:v>
                  </c:pt>
                  <c:pt idx="906">
                    <c:v>MAYORPET</c:v>
                  </c:pt>
                  <c:pt idx="907">
                    <c:v>damian macetas</c:v>
                  </c:pt>
                  <c:pt idx="908">
                    <c:v>valagu</c:v>
                  </c:pt>
                  <c:pt idx="909">
                    <c:v>valagu</c:v>
                  </c:pt>
                  <c:pt idx="910">
                    <c:v>valagu</c:v>
                  </c:pt>
                  <c:pt idx="911">
                    <c:v>valagu</c:v>
                  </c:pt>
                  <c:pt idx="912">
                    <c:v>valagu</c:v>
                  </c:pt>
                  <c:pt idx="913">
                    <c:v>valagu</c:v>
                  </c:pt>
                  <c:pt idx="914">
                    <c:v>valagu</c:v>
                  </c:pt>
                  <c:pt idx="915">
                    <c:v>valagu</c:v>
                  </c:pt>
                  <c:pt idx="916">
                    <c:v>valagu</c:v>
                  </c:pt>
                  <c:pt idx="917">
                    <c:v>valagu</c:v>
                  </c:pt>
                  <c:pt idx="918">
                    <c:v>damian macetas</c:v>
                  </c:pt>
                  <c:pt idx="919">
                    <c:v>damian macetas</c:v>
                  </c:pt>
                  <c:pt idx="920">
                    <c:v>damian macetas</c:v>
                  </c:pt>
                  <c:pt idx="921">
                    <c:v>damian macetas</c:v>
                  </c:pt>
                  <c:pt idx="922">
                    <c:v>diego</c:v>
                  </c:pt>
                  <c:pt idx="923">
                    <c:v>damian macetas</c:v>
                  </c:pt>
                  <c:pt idx="924">
                    <c:v>damian macetas</c:v>
                  </c:pt>
                  <c:pt idx="925">
                    <c:v>diego</c:v>
                  </c:pt>
                  <c:pt idx="926">
                    <c:v>damian macetas</c:v>
                  </c:pt>
                  <c:pt idx="927">
                    <c:v>alvarez</c:v>
                  </c:pt>
                  <c:pt idx="928">
                    <c:v>alvarez</c:v>
                  </c:pt>
                  <c:pt idx="929">
                    <c:v>alvarez</c:v>
                  </c:pt>
                  <c:pt idx="930">
                    <c:v>alvarez</c:v>
                  </c:pt>
                  <c:pt idx="931">
                    <c:v>damian macetas</c:v>
                  </c:pt>
                  <c:pt idx="932">
                    <c:v>damian macetas</c:v>
                  </c:pt>
                  <c:pt idx="933">
                    <c:v>damian macetas</c:v>
                  </c:pt>
                  <c:pt idx="934">
                    <c:v>damian macetas</c:v>
                  </c:pt>
                  <c:pt idx="935">
                    <c:v>damian macetas</c:v>
                  </c:pt>
                  <c:pt idx="936">
                    <c:v>damian macetas</c:v>
                  </c:pt>
                  <c:pt idx="937">
                    <c:v>damian macetas</c:v>
                  </c:pt>
                  <c:pt idx="938">
                    <c:v>damian macetas</c:v>
                  </c:pt>
                  <c:pt idx="939">
                    <c:v>grispix</c:v>
                  </c:pt>
                  <c:pt idx="940">
                    <c:v>grispix</c:v>
                  </c:pt>
                  <c:pt idx="941">
                    <c:v>damian macetas</c:v>
                  </c:pt>
                  <c:pt idx="942">
                    <c:v>damian macetas</c:v>
                  </c:pt>
                  <c:pt idx="943">
                    <c:v>damian macetas</c:v>
                  </c:pt>
                  <c:pt idx="944">
                    <c:v>damian macetas</c:v>
                  </c:pt>
                  <c:pt idx="945">
                    <c:v>damian macetas</c:v>
                  </c:pt>
                  <c:pt idx="946">
                    <c:v>damian macetas</c:v>
                  </c:pt>
                  <c:pt idx="947">
                    <c:v>damian macetas</c:v>
                  </c:pt>
                  <c:pt idx="948">
                    <c:v>damian macetas</c:v>
                  </c:pt>
                  <c:pt idx="949">
                    <c:v>damian macetas</c:v>
                  </c:pt>
                  <c:pt idx="950">
                    <c:v>damian macetas</c:v>
                  </c:pt>
                  <c:pt idx="951">
                    <c:v>damian macetas</c:v>
                  </c:pt>
                  <c:pt idx="952">
                    <c:v>damian macetas</c:v>
                  </c:pt>
                  <c:pt idx="953">
                    <c:v>damian macetas</c:v>
                  </c:pt>
                  <c:pt idx="954">
                    <c:v>damian macetas</c:v>
                  </c:pt>
                  <c:pt idx="955">
                    <c:v>damian macetas</c:v>
                  </c:pt>
                  <c:pt idx="956">
                    <c:v>damian macetas</c:v>
                  </c:pt>
                  <c:pt idx="957">
                    <c:v>damian macetas</c:v>
                  </c:pt>
                  <c:pt idx="958">
                    <c:v>damian macetas</c:v>
                  </c:pt>
                  <c:pt idx="959">
                    <c:v>alvarez</c:v>
                  </c:pt>
                  <c:pt idx="960">
                    <c:v>damian macetas</c:v>
                  </c:pt>
                  <c:pt idx="961">
                    <c:v>alvarez</c:v>
                  </c:pt>
                  <c:pt idx="962">
                    <c:v>damian macetas</c:v>
                  </c:pt>
                  <c:pt idx="963">
                    <c:v>damian macetas</c:v>
                  </c:pt>
                  <c:pt idx="964">
                    <c:v>damian macetas</c:v>
                  </c:pt>
                  <c:pt idx="965">
                    <c:v>damian macetas</c:v>
                  </c:pt>
                  <c:pt idx="966">
                    <c:v>damian macetas</c:v>
                  </c:pt>
                  <c:pt idx="967">
                    <c:v>damian macetas</c:v>
                  </c:pt>
                  <c:pt idx="968">
                    <c:v>damian macetas</c:v>
                  </c:pt>
                  <c:pt idx="969">
                    <c:v>damian macetas</c:v>
                  </c:pt>
                  <c:pt idx="970">
                    <c:v>damian macetas</c:v>
                  </c:pt>
                  <c:pt idx="971">
                    <c:v>damian macetas</c:v>
                  </c:pt>
                  <c:pt idx="972">
                    <c:v>damian macetas</c:v>
                  </c:pt>
                  <c:pt idx="973">
                    <c:v>damian macetas</c:v>
                  </c:pt>
                  <c:pt idx="974">
                    <c:v>damian macetas</c:v>
                  </c:pt>
                  <c:pt idx="975">
                    <c:v>damian macetas</c:v>
                  </c:pt>
                  <c:pt idx="976">
                    <c:v>damian macetas</c:v>
                  </c:pt>
                  <c:pt idx="977">
                    <c:v>damian macetas</c:v>
                  </c:pt>
                  <c:pt idx="978">
                    <c:v>damian macetas</c:v>
                  </c:pt>
                  <c:pt idx="979">
                    <c:v>damian macetas</c:v>
                  </c:pt>
                  <c:pt idx="980">
                    <c:v>damian macetas</c:v>
                  </c:pt>
                  <c:pt idx="981">
                    <c:v>damian macetas</c:v>
                  </c:pt>
                  <c:pt idx="982">
                    <c:v>alvarez</c:v>
                  </c:pt>
                  <c:pt idx="983">
                    <c:v>damian macetas</c:v>
                  </c:pt>
                  <c:pt idx="984">
                    <c:v>maple vila</c:v>
                  </c:pt>
                  <c:pt idx="985">
                    <c:v>maple vila</c:v>
                  </c:pt>
                  <c:pt idx="986">
                    <c:v>maple vila</c:v>
                  </c:pt>
                  <c:pt idx="987">
                    <c:v>maple vila</c:v>
                  </c:pt>
                  <c:pt idx="988">
                    <c:v>maple vila</c:v>
                  </c:pt>
                  <c:pt idx="989">
                    <c:v>maple vila</c:v>
                  </c:pt>
                  <c:pt idx="990">
                    <c:v>maple vila</c:v>
                  </c:pt>
                  <c:pt idx="991">
                    <c:v>maple vila</c:v>
                  </c:pt>
                  <c:pt idx="992">
                    <c:v>maestro</c:v>
                  </c:pt>
                  <c:pt idx="993">
                    <c:v>damian macetas</c:v>
                  </c:pt>
                  <c:pt idx="994">
                    <c:v>maestro</c:v>
                  </c:pt>
                  <c:pt idx="995">
                    <c:v>maestro</c:v>
                  </c:pt>
                  <c:pt idx="996">
                    <c:v>damian macetas</c:v>
                  </c:pt>
                  <c:pt idx="997">
                    <c:v>damian macetas</c:v>
                  </c:pt>
                  <c:pt idx="998">
                    <c:v>damian macetas</c:v>
                  </c:pt>
                  <c:pt idx="999">
                    <c:v>damian macetas</c:v>
                  </c:pt>
                  <c:pt idx="1000">
                    <c:v>damian macetas</c:v>
                  </c:pt>
                  <c:pt idx="1001">
                    <c:v>damian macetas</c:v>
                  </c:pt>
                  <c:pt idx="1002">
                    <c:v>damian macetas</c:v>
                  </c:pt>
                  <c:pt idx="1003">
                    <c:v>damian macetas</c:v>
                  </c:pt>
                  <c:pt idx="1004">
                    <c:v>damian macetas</c:v>
                  </c:pt>
                  <c:pt idx="1005">
                    <c:v>damian macetas</c:v>
                  </c:pt>
                  <c:pt idx="1006">
                    <c:v>damian macetas</c:v>
                  </c:pt>
                  <c:pt idx="1007">
                    <c:v>damian macetas</c:v>
                  </c:pt>
                  <c:pt idx="1008">
                    <c:v>damian macetas</c:v>
                  </c:pt>
                  <c:pt idx="1009">
                    <c:v>damian macetas</c:v>
                  </c:pt>
                  <c:pt idx="1010">
                    <c:v>damian macetas</c:v>
                  </c:pt>
                  <c:pt idx="1011">
                    <c:v>damian macetas</c:v>
                  </c:pt>
                  <c:pt idx="1012">
                    <c:v>maestro</c:v>
                  </c:pt>
                  <c:pt idx="1013">
                    <c:v>damian macetas</c:v>
                  </c:pt>
                  <c:pt idx="1014">
                    <c:v>damian macetas</c:v>
                  </c:pt>
                  <c:pt idx="1015">
                    <c:v>damian macetas</c:v>
                  </c:pt>
                  <c:pt idx="1016">
                    <c:v>damian macetas</c:v>
                  </c:pt>
                  <c:pt idx="1017">
                    <c:v>damian macetas</c:v>
                  </c:pt>
                  <c:pt idx="1018">
                    <c:v>damian macetas</c:v>
                  </c:pt>
                  <c:pt idx="1019">
                    <c:v>damian macetas</c:v>
                  </c:pt>
                  <c:pt idx="1020">
                    <c:v>damian macetas</c:v>
                  </c:pt>
                  <c:pt idx="1021">
                    <c:v>damian macetas</c:v>
                  </c:pt>
                  <c:pt idx="1022">
                    <c:v>damian macetas</c:v>
                  </c:pt>
                  <c:pt idx="1023">
                    <c:v>damian macetas</c:v>
                  </c:pt>
                  <c:pt idx="1024">
                    <c:v>damian macetas</c:v>
                  </c:pt>
                  <c:pt idx="1025">
                    <c:v>ds</c:v>
                  </c:pt>
                  <c:pt idx="1026">
                    <c:v>damian macetas</c:v>
                  </c:pt>
                  <c:pt idx="1027">
                    <c:v>damian macetas</c:v>
                  </c:pt>
                  <c:pt idx="1028">
                    <c:v>damian macetas</c:v>
                  </c:pt>
                  <c:pt idx="1029">
                    <c:v>damian macetas</c:v>
                  </c:pt>
                  <c:pt idx="1030">
                    <c:v>damian macetas</c:v>
                  </c:pt>
                  <c:pt idx="1031">
                    <c:v>damian macetas</c:v>
                  </c:pt>
                  <c:pt idx="1032">
                    <c:v>damian macetas</c:v>
                  </c:pt>
                  <c:pt idx="1033">
                    <c:v>alvarez</c:v>
                  </c:pt>
                  <c:pt idx="1034">
                    <c:v>alvarez</c:v>
                  </c:pt>
                  <c:pt idx="1035">
                    <c:v>alvarez</c:v>
                  </c:pt>
                  <c:pt idx="1036">
                    <c:v>damian macetas</c:v>
                  </c:pt>
                  <c:pt idx="1037">
                    <c:v>damian macetas</c:v>
                  </c:pt>
                  <c:pt idx="1038">
                    <c:v>damian macetas</c:v>
                  </c:pt>
                  <c:pt idx="1039">
                    <c:v>damian macetas</c:v>
                  </c:pt>
                  <c:pt idx="1040">
                    <c:v>damian macetas</c:v>
                  </c:pt>
                  <c:pt idx="1041">
                    <c:v>damian macetas</c:v>
                  </c:pt>
                  <c:pt idx="1042">
                    <c:v>damian macetas</c:v>
                  </c:pt>
                  <c:pt idx="1043">
                    <c:v>damian macetas</c:v>
                  </c:pt>
                  <c:pt idx="1044">
                    <c:v>damian macetas</c:v>
                  </c:pt>
                  <c:pt idx="1045">
                    <c:v>damian macetas</c:v>
                  </c:pt>
                  <c:pt idx="1046">
                    <c:v>damian macetas</c:v>
                  </c:pt>
                  <c:pt idx="1047">
                    <c:v>damian macetas</c:v>
                  </c:pt>
                  <c:pt idx="1048">
                    <c:v>damian macetas</c:v>
                  </c:pt>
                  <c:pt idx="1049">
                    <c:v>damian macetas</c:v>
                  </c:pt>
                  <c:pt idx="1050">
                    <c:v>alvarez</c:v>
                  </c:pt>
                  <c:pt idx="1051">
                    <c:v>alvarez</c:v>
                  </c:pt>
                  <c:pt idx="1052">
                    <c:v>damian macetas</c:v>
                  </c:pt>
                  <c:pt idx="1053">
                    <c:v>casino</c:v>
                  </c:pt>
                  <c:pt idx="1054">
                    <c:v>alvarez</c:v>
                  </c:pt>
                  <c:pt idx="1055">
                    <c:v>alvarez</c:v>
                  </c:pt>
                  <c:pt idx="1056">
                    <c:v>alvarez</c:v>
                  </c:pt>
                  <c:pt idx="1057">
                    <c:v>grispix</c:v>
                  </c:pt>
                  <c:pt idx="1058">
                    <c:v>grispix</c:v>
                  </c:pt>
                  <c:pt idx="1059">
                    <c:v>grispix</c:v>
                  </c:pt>
                  <c:pt idx="1060">
                    <c:v>grispix</c:v>
                  </c:pt>
                  <c:pt idx="1061">
                    <c:v>grispix</c:v>
                  </c:pt>
                  <c:pt idx="1062">
                    <c:v>grispix</c:v>
                  </c:pt>
                  <c:pt idx="1063">
                    <c:v>damian macetas</c:v>
                  </c:pt>
                  <c:pt idx="1064">
                    <c:v>damian macetas</c:v>
                  </c:pt>
                  <c:pt idx="1065">
                    <c:v>grispix</c:v>
                  </c:pt>
                  <c:pt idx="1066">
                    <c:v>grispix</c:v>
                  </c:pt>
                  <c:pt idx="1067">
                    <c:v>diego</c:v>
                  </c:pt>
                  <c:pt idx="1068">
                    <c:v>damian macetas</c:v>
                  </c:pt>
                  <c:pt idx="1069">
                    <c:v>plastolit</c:v>
                  </c:pt>
                  <c:pt idx="1070">
                    <c:v>plastolit</c:v>
                  </c:pt>
                  <c:pt idx="1071">
                    <c:v>grispix</c:v>
                  </c:pt>
                  <c:pt idx="1072">
                    <c:v>damian macetas</c:v>
                  </c:pt>
                  <c:pt idx="1073">
                    <c:v>damian macetas</c:v>
                  </c:pt>
                  <c:pt idx="1074">
                    <c:v>damian macetas</c:v>
                  </c:pt>
                  <c:pt idx="1075">
                    <c:v>damian macetas</c:v>
                  </c:pt>
                  <c:pt idx="1076">
                    <c:v>damian macetas</c:v>
                  </c:pt>
                  <c:pt idx="1077">
                    <c:v>damian macetas</c:v>
                  </c:pt>
                  <c:pt idx="1078">
                    <c:v>grispix</c:v>
                  </c:pt>
                  <c:pt idx="1079">
                    <c:v>grispix</c:v>
                  </c:pt>
                  <c:pt idx="1080">
                    <c:v>damian macetas</c:v>
                  </c:pt>
                  <c:pt idx="1081">
                    <c:v>damian macetas</c:v>
                  </c:pt>
                  <c:pt idx="1082">
                    <c:v>damian macetas</c:v>
                  </c:pt>
                  <c:pt idx="1083">
                    <c:v>damian macetas</c:v>
                  </c:pt>
                  <c:pt idx="1084">
                    <c:v>damian macetas</c:v>
                  </c:pt>
                  <c:pt idx="1085">
                    <c:v>alvarez</c:v>
                  </c:pt>
                  <c:pt idx="1086">
                    <c:v>alvarez</c:v>
                  </c:pt>
                  <c:pt idx="1087">
                    <c:v>damian macetas</c:v>
                  </c:pt>
                  <c:pt idx="1088">
                    <c:v>damian macetas</c:v>
                  </c:pt>
                  <c:pt idx="1089">
                    <c:v>damian macetas</c:v>
                  </c:pt>
                  <c:pt idx="1090">
                    <c:v>damian macetas</c:v>
                  </c:pt>
                  <c:pt idx="1091">
                    <c:v>damian macetas</c:v>
                  </c:pt>
                  <c:pt idx="1092">
                    <c:v>damian macetas</c:v>
                  </c:pt>
                  <c:pt idx="1093">
                    <c:v>damian macetas</c:v>
                  </c:pt>
                  <c:pt idx="1094">
                    <c:v>damian macetas</c:v>
                  </c:pt>
                  <c:pt idx="1095">
                    <c:v>alvarez</c:v>
                  </c:pt>
                  <c:pt idx="1096">
                    <c:v>damian macetas</c:v>
                  </c:pt>
                  <c:pt idx="1097">
                    <c:v>damian macetas</c:v>
                  </c:pt>
                  <c:pt idx="1098">
                    <c:v>damian macetas</c:v>
                  </c:pt>
                  <c:pt idx="1099">
                    <c:v>damian macetas</c:v>
                  </c:pt>
                  <c:pt idx="1100">
                    <c:v>grspix</c:v>
                  </c:pt>
                  <c:pt idx="1101">
                    <c:v>grispix</c:v>
                  </c:pt>
                  <c:pt idx="1102">
                    <c:v>grispix</c:v>
                  </c:pt>
                  <c:pt idx="1103">
                    <c:v>grispix</c:v>
                  </c:pt>
                  <c:pt idx="1104">
                    <c:v>damian macetas</c:v>
                  </c:pt>
                  <c:pt idx="1105">
                    <c:v>damian macetas</c:v>
                  </c:pt>
                  <c:pt idx="1106">
                    <c:v>damian macetas</c:v>
                  </c:pt>
                  <c:pt idx="1107">
                    <c:v>damian macetas</c:v>
                  </c:pt>
                  <c:pt idx="1108">
                    <c:v>diego</c:v>
                  </c:pt>
                  <c:pt idx="1109">
                    <c:v>damian macetas</c:v>
                  </c:pt>
                  <c:pt idx="1110">
                    <c:v>damian macetas</c:v>
                  </c:pt>
                  <c:pt idx="1111">
                    <c:v>damian macetas</c:v>
                  </c:pt>
                  <c:pt idx="1112">
                    <c:v>damian macetas</c:v>
                  </c:pt>
                  <c:pt idx="1113">
                    <c:v>damian macetas</c:v>
                  </c:pt>
                  <c:pt idx="1114">
                    <c:v>damian macetas</c:v>
                  </c:pt>
                  <c:pt idx="1115">
                    <c:v>beltrame</c:v>
                  </c:pt>
                  <c:pt idx="1116">
                    <c:v>damian macetas</c:v>
                  </c:pt>
                  <c:pt idx="1117">
                    <c:v>damian macetas</c:v>
                  </c:pt>
                  <c:pt idx="1118">
                    <c:v>damian macetas</c:v>
                  </c:pt>
                  <c:pt idx="1119">
                    <c:v>damian macetas</c:v>
                  </c:pt>
                  <c:pt idx="1120">
                    <c:v>damian macetas</c:v>
                  </c:pt>
                  <c:pt idx="1121">
                    <c:v>damian macetas</c:v>
                  </c:pt>
                  <c:pt idx="1122">
                    <c:v>damian macetas</c:v>
                  </c:pt>
                  <c:pt idx="1123">
                    <c:v>damian macetas</c:v>
                  </c:pt>
                  <c:pt idx="1124">
                    <c:v>damian macetas</c:v>
                  </c:pt>
                  <c:pt idx="1125">
                    <c:v>damian macetas</c:v>
                  </c:pt>
                  <c:pt idx="1126">
                    <c:v>damian macetas</c:v>
                  </c:pt>
                  <c:pt idx="1127">
                    <c:v>damian macetas</c:v>
                  </c:pt>
                  <c:pt idx="1128">
                    <c:v>damian macetas</c:v>
                  </c:pt>
                  <c:pt idx="1129">
                    <c:v>damian macetas</c:v>
                  </c:pt>
                  <c:pt idx="1130">
                    <c:v>damian macetas</c:v>
                  </c:pt>
                  <c:pt idx="1131">
                    <c:v>damian macetas</c:v>
                  </c:pt>
                  <c:pt idx="1132">
                    <c:v>damian macetas</c:v>
                  </c:pt>
                  <c:pt idx="1133">
                    <c:v>damian macetas</c:v>
                  </c:pt>
                  <c:pt idx="1134">
                    <c:v>damian macetas</c:v>
                  </c:pt>
                  <c:pt idx="1135">
                    <c:v>damian macetas</c:v>
                  </c:pt>
                  <c:pt idx="1136">
                    <c:v>damian macetas</c:v>
                  </c:pt>
                  <c:pt idx="1137">
                    <c:v>damian macetas</c:v>
                  </c:pt>
                  <c:pt idx="1138">
                    <c:v>damian macetas</c:v>
                  </c:pt>
                  <c:pt idx="1139">
                    <c:v>damian macetas</c:v>
                  </c:pt>
                  <c:pt idx="1140">
                    <c:v>damian macetas</c:v>
                  </c:pt>
                  <c:pt idx="1141">
                    <c:v>damian macetas</c:v>
                  </c:pt>
                  <c:pt idx="1142">
                    <c:v>damian macetas</c:v>
                  </c:pt>
                  <c:pt idx="1143">
                    <c:v>damian macetas</c:v>
                  </c:pt>
                  <c:pt idx="1144">
                    <c:v>alvarez</c:v>
                  </c:pt>
                  <c:pt idx="1145">
                    <c:v>damian macetas</c:v>
                  </c:pt>
                  <c:pt idx="1146">
                    <c:v>alvarez</c:v>
                  </c:pt>
                  <c:pt idx="1147">
                    <c:v>damian macetas</c:v>
                  </c:pt>
                  <c:pt idx="1148">
                    <c:v>grispix</c:v>
                  </c:pt>
                  <c:pt idx="1149">
                    <c:v>grispix</c:v>
                  </c:pt>
                  <c:pt idx="1150">
                    <c:v>damian macetas</c:v>
                  </c:pt>
                  <c:pt idx="1151">
                    <c:v>damian macetas</c:v>
                  </c:pt>
                  <c:pt idx="1152">
                    <c:v>grispix</c:v>
                  </c:pt>
                  <c:pt idx="1153">
                    <c:v>grispix</c:v>
                  </c:pt>
                  <c:pt idx="1154">
                    <c:v>grispix</c:v>
                  </c:pt>
                  <c:pt idx="1155">
                    <c:v>damian macetas</c:v>
                  </c:pt>
                  <c:pt idx="1156">
                    <c:v>damian macetas</c:v>
                  </c:pt>
                  <c:pt idx="1157">
                    <c:v>damian macetas</c:v>
                  </c:pt>
                  <c:pt idx="1158">
                    <c:v>damian macetas</c:v>
                  </c:pt>
                  <c:pt idx="1159">
                    <c:v>damian macetas</c:v>
                  </c:pt>
                  <c:pt idx="1160">
                    <c:v>grispix</c:v>
                  </c:pt>
                  <c:pt idx="1161">
                    <c:v>grispix</c:v>
                  </c:pt>
                  <c:pt idx="1162">
                    <c:v>damian macetas</c:v>
                  </c:pt>
                  <c:pt idx="1163">
                    <c:v>grispix</c:v>
                  </c:pt>
                  <c:pt idx="1164">
                    <c:v>damian macetas</c:v>
                  </c:pt>
                  <c:pt idx="1165">
                    <c:v>damian macetas</c:v>
                  </c:pt>
                  <c:pt idx="1166">
                    <c:v>damian macetas</c:v>
                  </c:pt>
                  <c:pt idx="1167">
                    <c:v>damian macetas</c:v>
                  </c:pt>
                  <c:pt idx="1168">
                    <c:v>damian macetas</c:v>
                  </c:pt>
                  <c:pt idx="1169">
                    <c:v>damian macetas</c:v>
                  </c:pt>
                  <c:pt idx="1170">
                    <c:v>damian macetas</c:v>
                  </c:pt>
                  <c:pt idx="1171">
                    <c:v>damian macetas</c:v>
                  </c:pt>
                  <c:pt idx="1172">
                    <c:v>damian macetas</c:v>
                  </c:pt>
                  <c:pt idx="1173">
                    <c:v>damian macetas</c:v>
                  </c:pt>
                  <c:pt idx="1174">
                    <c:v>damian macetas</c:v>
                  </c:pt>
                  <c:pt idx="1175">
                    <c:v>damian macetas</c:v>
                  </c:pt>
                  <c:pt idx="1176">
                    <c:v>damian macetas</c:v>
                  </c:pt>
                  <c:pt idx="1177">
                    <c:v>damian macetas</c:v>
                  </c:pt>
                  <c:pt idx="1178">
                    <c:v>damian macetas</c:v>
                  </c:pt>
                  <c:pt idx="1179">
                    <c:v>damian macetas</c:v>
                  </c:pt>
                  <c:pt idx="1180">
                    <c:v>damian macetas</c:v>
                  </c:pt>
                  <c:pt idx="1181">
                    <c:v>damian macetas</c:v>
                  </c:pt>
                  <c:pt idx="1182">
                    <c:v>damian macetas</c:v>
                  </c:pt>
                  <c:pt idx="1183">
                    <c:v>damian macetas</c:v>
                  </c:pt>
                  <c:pt idx="1184">
                    <c:v>damian macetas</c:v>
                  </c:pt>
                  <c:pt idx="1185">
                    <c:v>damian macetas</c:v>
                  </c:pt>
                  <c:pt idx="1186">
                    <c:v>damian macetas</c:v>
                  </c:pt>
                  <c:pt idx="1187">
                    <c:v>grispix</c:v>
                  </c:pt>
                  <c:pt idx="1188">
                    <c:v>grispix</c:v>
                  </c:pt>
                  <c:pt idx="1189">
                    <c:v>grispix</c:v>
                  </c:pt>
                  <c:pt idx="1190">
                    <c:v>grispix</c:v>
                  </c:pt>
                  <c:pt idx="1191">
                    <c:v>grispix</c:v>
                  </c:pt>
                  <c:pt idx="1192">
                    <c:v>grispix</c:v>
                  </c:pt>
                  <c:pt idx="1193">
                    <c:v>grispix</c:v>
                  </c:pt>
                  <c:pt idx="1194">
                    <c:v>grispix</c:v>
                  </c:pt>
                  <c:pt idx="1195">
                    <c:v>grispix</c:v>
                  </c:pt>
                  <c:pt idx="1196">
                    <c:v>grispix</c:v>
                  </c:pt>
                  <c:pt idx="1197">
                    <c:v>damian macetas</c:v>
                  </c:pt>
                  <c:pt idx="1198">
                    <c:v>alvarez</c:v>
                  </c:pt>
                  <c:pt idx="1199">
                    <c:v>damian macetas</c:v>
                  </c:pt>
                  <c:pt idx="1200">
                    <c:v>damian macetas</c:v>
                  </c:pt>
                  <c:pt idx="1201">
                    <c:v>damian macetas</c:v>
                  </c:pt>
                  <c:pt idx="1202">
                    <c:v>damian macetas</c:v>
                  </c:pt>
                  <c:pt idx="1203">
                    <c:v>damian macetas</c:v>
                  </c:pt>
                  <c:pt idx="1204">
                    <c:v>damian macetas</c:v>
                  </c:pt>
                  <c:pt idx="1205">
                    <c:v>damian macetas</c:v>
                  </c:pt>
                  <c:pt idx="1206">
                    <c:v>damian macetas</c:v>
                  </c:pt>
                  <c:pt idx="1207">
                    <c:v>damian macetas</c:v>
                  </c:pt>
                  <c:pt idx="1208">
                    <c:v>damian macetas</c:v>
                  </c:pt>
                  <c:pt idx="1209">
                    <c:v>grispix</c:v>
                  </c:pt>
                  <c:pt idx="1210">
                    <c:v>damian macetas</c:v>
                  </c:pt>
                  <c:pt idx="1211">
                    <c:v>damian macetas</c:v>
                  </c:pt>
                  <c:pt idx="1212">
                    <c:v>damian macetas</c:v>
                  </c:pt>
                  <c:pt idx="1213">
                    <c:v>grispix</c:v>
                  </c:pt>
                  <c:pt idx="1214">
                    <c:v>grispix</c:v>
                  </c:pt>
                  <c:pt idx="1215">
                    <c:v>damian macetas</c:v>
                  </c:pt>
                  <c:pt idx="1216">
                    <c:v>damian macetas</c:v>
                  </c:pt>
                  <c:pt idx="1217">
                    <c:v>damian macetas</c:v>
                  </c:pt>
                  <c:pt idx="1218">
                    <c:v>beltrame</c:v>
                  </c:pt>
                  <c:pt idx="1219">
                    <c:v>beltrame</c:v>
                  </c:pt>
                  <c:pt idx="1220">
                    <c:v>beltrame</c:v>
                  </c:pt>
                  <c:pt idx="1221">
                    <c:v>beltrame</c:v>
                  </c:pt>
                  <c:pt idx="1222">
                    <c:v>beltrame</c:v>
                  </c:pt>
                  <c:pt idx="1223">
                    <c:v>grispix</c:v>
                  </c:pt>
                  <c:pt idx="1224">
                    <c:v>grispix</c:v>
                  </c:pt>
                  <c:pt idx="1225">
                    <c:v>grispix</c:v>
                  </c:pt>
                  <c:pt idx="1226">
                    <c:v>grispix</c:v>
                  </c:pt>
                  <c:pt idx="1227">
                    <c:v>grispix</c:v>
                  </c:pt>
                  <c:pt idx="1228">
                    <c:v>grispix</c:v>
                  </c:pt>
                  <c:pt idx="1229">
                    <c:v>grispix</c:v>
                  </c:pt>
                  <c:pt idx="1230">
                    <c:v>grispix</c:v>
                  </c:pt>
                  <c:pt idx="1231">
                    <c:v>grispix</c:v>
                  </c:pt>
                  <c:pt idx="1232">
                    <c:v>grispix</c:v>
                  </c:pt>
                  <c:pt idx="1233">
                    <c:v>grispix</c:v>
                  </c:pt>
                  <c:pt idx="1234">
                    <c:v>damian macetas</c:v>
                  </c:pt>
                  <c:pt idx="1235">
                    <c:v>damian macetas</c:v>
                  </c:pt>
                  <c:pt idx="1236">
                    <c:v>damian macetas</c:v>
                  </c:pt>
                  <c:pt idx="1237">
                    <c:v>damian macetas</c:v>
                  </c:pt>
                  <c:pt idx="1238">
                    <c:v>damian macetas</c:v>
                  </c:pt>
                  <c:pt idx="1239">
                    <c:v>damian macetas</c:v>
                  </c:pt>
                  <c:pt idx="1240">
                    <c:v>damian macetas</c:v>
                  </c:pt>
                  <c:pt idx="1241">
                    <c:v>damian macetas</c:v>
                  </c:pt>
                  <c:pt idx="1242">
                    <c:v>damian macetas</c:v>
                  </c:pt>
                  <c:pt idx="1243">
                    <c:v>damian macetas</c:v>
                  </c:pt>
                  <c:pt idx="1244">
                    <c:v>damian macetas</c:v>
                  </c:pt>
                  <c:pt idx="1245">
                    <c:v>diego</c:v>
                  </c:pt>
                  <c:pt idx="1246">
                    <c:v>damian macetas</c:v>
                  </c:pt>
                  <c:pt idx="1247">
                    <c:v>damian macetas</c:v>
                  </c:pt>
                  <c:pt idx="1249">
                    <c:v>maestro</c:v>
                  </c:pt>
                  <c:pt idx="1250">
                    <c:v>maestro</c:v>
                  </c:pt>
                  <c:pt idx="1251">
                    <c:v>casino</c:v>
                  </c:pt>
                  <c:pt idx="1252">
                    <c:v>maestro</c:v>
                  </c:pt>
                  <c:pt idx="1253">
                    <c:v>grispix</c:v>
                  </c:pt>
                  <c:pt idx="1254">
                    <c:v>diego</c:v>
                  </c:pt>
                  <c:pt idx="1255">
                    <c:v>insumos cultivador</c:v>
                  </c:pt>
                  <c:pt idx="1256">
                    <c:v>insumos cultivador</c:v>
                  </c:pt>
                  <c:pt idx="1257">
                    <c:v>insumos cultivador</c:v>
                  </c:pt>
                  <c:pt idx="1258">
                    <c:v>insumos cultivador</c:v>
                  </c:pt>
                  <c:pt idx="1259">
                    <c:v>insumos cultivador</c:v>
                  </c:pt>
                  <c:pt idx="1260">
                    <c:v>insumos cultivador</c:v>
                  </c:pt>
                  <c:pt idx="1261">
                    <c:v>grispix</c:v>
                  </c:pt>
                  <c:pt idx="1262">
                    <c:v>grispix</c:v>
                  </c:pt>
                  <c:pt idx="1263">
                    <c:v>grispix</c:v>
                  </c:pt>
                  <c:pt idx="1264">
                    <c:v>damian macetas</c:v>
                  </c:pt>
                  <c:pt idx="1265">
                    <c:v>damian macetas</c:v>
                  </c:pt>
                  <c:pt idx="1266">
                    <c:v>damian macetas</c:v>
                  </c:pt>
                  <c:pt idx="1267">
                    <c:v>damian macetas</c:v>
                  </c:pt>
                  <c:pt idx="1268">
                    <c:v>damian macetas</c:v>
                  </c:pt>
                  <c:pt idx="1269">
                    <c:v>damian macetas</c:v>
                  </c:pt>
                  <c:pt idx="1270">
                    <c:v>damian macetas</c:v>
                  </c:pt>
                  <c:pt idx="1271">
                    <c:v>damian macetas</c:v>
                  </c:pt>
                  <c:pt idx="1272">
                    <c:v>damian macetas</c:v>
                  </c:pt>
                  <c:pt idx="1273">
                    <c:v>damian macetas</c:v>
                  </c:pt>
                  <c:pt idx="1274">
                    <c:v>damian macetas</c:v>
                  </c:pt>
                  <c:pt idx="1275">
                    <c:v>damian macetas</c:v>
                  </c:pt>
                  <c:pt idx="1276">
                    <c:v>                                      ,              </c:v>
                  </c:pt>
                  <c:pt idx="1277">
                    <c:v>damian macetas</c:v>
                  </c:pt>
                  <c:pt idx="1278">
                    <c:v>grispix</c:v>
                  </c:pt>
                  <c:pt idx="1279">
                    <c:v>grispix</c:v>
                  </c:pt>
                  <c:pt idx="1280">
                    <c:v>grispix</c:v>
                  </c:pt>
                  <c:pt idx="1281">
                    <c:v>grispix</c:v>
                  </c:pt>
                  <c:pt idx="1282">
                    <c:v>grispix</c:v>
                  </c:pt>
                  <c:pt idx="1283">
                    <c:v>grispix</c:v>
                  </c:pt>
                  <c:pt idx="1284">
                    <c:v>plastolit</c:v>
                  </c:pt>
                  <c:pt idx="1285">
                    <c:v>plastolit</c:v>
                  </c:pt>
                  <c:pt idx="1286">
                    <c:v>plastolit</c:v>
                  </c:pt>
                  <c:pt idx="1287">
                    <c:v>plastolit</c:v>
                  </c:pt>
                  <c:pt idx="1288">
                    <c:v>damian macetas</c:v>
                  </c:pt>
                  <c:pt idx="1289">
                    <c:v>damian macetas</c:v>
                  </c:pt>
                  <c:pt idx="1290">
                    <c:v>mercoplant</c:v>
                  </c:pt>
                  <c:pt idx="1291">
                    <c:v>mercoplant</c:v>
                  </c:pt>
                  <c:pt idx="1292">
                    <c:v>damian macetas</c:v>
                  </c:pt>
                  <c:pt idx="1293">
                    <c:v>damian macetas1,22</c:v>
                  </c:pt>
                  <c:pt idx="1294">
                    <c:v>damian macetas</c:v>
                  </c:pt>
                  <c:pt idx="1295">
                    <c:v>damian macetas</c:v>
                  </c:pt>
                  <c:pt idx="1296">
                    <c:v>damian macetas</c:v>
                  </c:pt>
                  <c:pt idx="1297">
                    <c:v>damian macetas</c:v>
                  </c:pt>
                  <c:pt idx="1298">
                    <c:v>damian macetas</c:v>
                  </c:pt>
                  <c:pt idx="1299">
                    <c:v>damian macetas</c:v>
                  </c:pt>
                  <c:pt idx="1300">
                    <c:v>damian macetas</c:v>
                  </c:pt>
                  <c:pt idx="1301">
                    <c:v>damian macetas</c:v>
                  </c:pt>
                  <c:pt idx="1302">
                    <c:v>rial</c:v>
                  </c:pt>
                  <c:pt idx="1303">
                    <c:v>rial</c:v>
                  </c:pt>
                  <c:pt idx="1304">
                    <c:v>rial</c:v>
                  </c:pt>
                  <c:pt idx="1305">
                    <c:v>rial</c:v>
                  </c:pt>
                  <c:pt idx="1306">
                    <c:v>rial</c:v>
                  </c:pt>
                  <c:pt idx="1307">
                    <c:v>rial</c:v>
                  </c:pt>
                  <c:pt idx="1308">
                    <c:v>rial</c:v>
                  </c:pt>
                  <c:pt idx="1309">
                    <c:v>rial</c:v>
                  </c:pt>
                  <c:pt idx="1310">
                    <c:v>rial</c:v>
                  </c:pt>
                  <c:pt idx="1311">
                    <c:v>rial</c:v>
                  </c:pt>
                  <c:pt idx="1312">
                    <c:v>rial</c:v>
                  </c:pt>
                  <c:pt idx="1313">
                    <c:v>rial</c:v>
                  </c:pt>
                  <c:pt idx="1314">
                    <c:v>rial</c:v>
                  </c:pt>
                  <c:pt idx="1315">
                    <c:v>damian macetas</c:v>
                  </c:pt>
                  <c:pt idx="1316">
                    <c:v>damian macetas</c:v>
                  </c:pt>
                  <c:pt idx="1317">
                    <c:v>damian macetas</c:v>
                  </c:pt>
                  <c:pt idx="1318">
                    <c:v>damian macetas</c:v>
                  </c:pt>
                  <c:pt idx="1319">
                    <c:v>damian macetas</c:v>
                  </c:pt>
                  <c:pt idx="1320">
                    <c:v>damian macetas</c:v>
                  </c:pt>
                  <c:pt idx="1321">
                    <c:v>damian macetas</c:v>
                  </c:pt>
                  <c:pt idx="1322">
                    <c:v>damian macetas</c:v>
                  </c:pt>
                  <c:pt idx="1323">
                    <c:v>damian macetas</c:v>
                  </c:pt>
                  <c:pt idx="1324">
                    <c:v>damian macetas</c:v>
                  </c:pt>
                  <c:pt idx="1325">
                    <c:v>damian macetas</c:v>
                  </c:pt>
                  <c:pt idx="1326">
                    <c:v>damian macetas</c:v>
                  </c:pt>
                  <c:pt idx="1327">
                    <c:v>damian macetas</c:v>
                  </c:pt>
                  <c:pt idx="1328">
                    <c:v>damian macetas</c:v>
                  </c:pt>
                  <c:pt idx="1329">
                    <c:v>damian macetas</c:v>
                  </c:pt>
                  <c:pt idx="1330">
                    <c:v>damian macetas</c:v>
                  </c:pt>
                  <c:pt idx="1331">
                    <c:v>damian macetas</c:v>
                  </c:pt>
                  <c:pt idx="1332">
                    <c:v>damian macetas</c:v>
                  </c:pt>
                  <c:pt idx="1333">
                    <c:v>damian macetas</c:v>
                  </c:pt>
                  <c:pt idx="1334">
                    <c:v>damian macetas</c:v>
                  </c:pt>
                  <c:pt idx="1335">
                    <c:v>damian macetas</c:v>
                  </c:pt>
                  <c:pt idx="1336">
                    <c:v>damian macetas</c:v>
                  </c:pt>
                  <c:pt idx="1337">
                    <c:v>damian macetas</c:v>
                  </c:pt>
                  <c:pt idx="1338">
                    <c:v>damian macetas</c:v>
                  </c:pt>
                  <c:pt idx="1339">
                    <c:v>damian macetas</c:v>
                  </c:pt>
                  <c:pt idx="1340">
                    <c:v>damian macetas</c:v>
                  </c:pt>
                  <c:pt idx="1341">
                    <c:v>damian macetas</c:v>
                  </c:pt>
                  <c:pt idx="1342">
                    <c:v>casa cristina</c:v>
                  </c:pt>
                  <c:pt idx="1343">
                    <c:v>damian macetas</c:v>
                  </c:pt>
                  <c:pt idx="1344">
                    <c:v>damian macetas</c:v>
                  </c:pt>
                  <c:pt idx="1345">
                    <c:v>damian macetas</c:v>
                  </c:pt>
                  <c:pt idx="1346">
                    <c:v>damian macetas</c:v>
                  </c:pt>
                  <c:pt idx="1347">
                    <c:v>damian macetas</c:v>
                  </c:pt>
                  <c:pt idx="1348">
                    <c:v>damian macetas</c:v>
                  </c:pt>
                  <c:pt idx="1349">
                    <c:v>damian macetas</c:v>
                  </c:pt>
                  <c:pt idx="1350">
                    <c:v>damian macetas</c:v>
                  </c:pt>
                  <c:pt idx="1351">
                    <c:v>damian macetas</c:v>
                  </c:pt>
                  <c:pt idx="1352">
                    <c:v>damian macetas</c:v>
                  </c:pt>
                  <c:pt idx="1353">
                    <c:v>damian macetas</c:v>
                  </c:pt>
                  <c:pt idx="1354">
                    <c:v>damian macetas</c:v>
                  </c:pt>
                  <c:pt idx="1355">
                    <c:v>damian macetas</c:v>
                  </c:pt>
                  <c:pt idx="1356">
                    <c:v>damian macetas</c:v>
                  </c:pt>
                  <c:pt idx="1357">
                    <c:v>damian macetas</c:v>
                  </c:pt>
                  <c:pt idx="1358">
                    <c:v>damian macetas</c:v>
                  </c:pt>
                  <c:pt idx="1359">
                    <c:v>alvarez</c:v>
                  </c:pt>
                  <c:pt idx="1360">
                    <c:v>damian macetas</c:v>
                  </c:pt>
                  <c:pt idx="1361">
                    <c:v>damian macetas</c:v>
                  </c:pt>
                  <c:pt idx="1362">
                    <c:v>damian macetas</c:v>
                  </c:pt>
                  <c:pt idx="1363">
                    <c:v>damian macetas</c:v>
                  </c:pt>
                  <c:pt idx="1364">
                    <c:v>damian macetas</c:v>
                  </c:pt>
                  <c:pt idx="1365">
                    <c:v>damian macetas</c:v>
                  </c:pt>
                  <c:pt idx="1366">
                    <c:v>damian macetas</c:v>
                  </c:pt>
                  <c:pt idx="1367">
                    <c:v>damian macetas</c:v>
                  </c:pt>
                  <c:pt idx="1368">
                    <c:v>damian macetas</c:v>
                  </c:pt>
                  <c:pt idx="1369">
                    <c:v>damian macetas</c:v>
                  </c:pt>
                  <c:pt idx="1370">
                    <c:v>damian macetas</c:v>
                  </c:pt>
                  <c:pt idx="1371">
                    <c:v>damian macetas</c:v>
                  </c:pt>
                  <c:pt idx="1372">
                    <c:v>damian macetas</c:v>
                  </c:pt>
                  <c:pt idx="1373">
                    <c:v>damian macetas</c:v>
                  </c:pt>
                  <c:pt idx="1374">
                    <c:v>mercoplant</c:v>
                  </c:pt>
                  <c:pt idx="1375">
                    <c:v>grispix</c:v>
                  </c:pt>
                  <c:pt idx="1376">
                    <c:v>alvarez</c:v>
                  </c:pt>
                  <c:pt idx="1377">
                    <c:v>alvarez</c:v>
                  </c:pt>
                  <c:pt idx="1378">
                    <c:v>alvarez</c:v>
                  </c:pt>
                  <c:pt idx="1379">
                    <c:v>grispix</c:v>
                  </c:pt>
                  <c:pt idx="1380">
                    <c:v>damian macetas</c:v>
                  </c:pt>
                  <c:pt idx="1381">
                    <c:v>damian macetas</c:v>
                  </c:pt>
                  <c:pt idx="1382">
                    <c:v>damian macetas</c:v>
                  </c:pt>
                  <c:pt idx="1383">
                    <c:v>damian macetas</c:v>
                  </c:pt>
                  <c:pt idx="1384">
                    <c:v>damian macetas</c:v>
                  </c:pt>
                  <c:pt idx="1385">
                    <c:v>damian macetas</c:v>
                  </c:pt>
                  <c:pt idx="1386">
                    <c:v>alvarez</c:v>
                  </c:pt>
                  <c:pt idx="1388">
                    <c:v>damian macetas</c:v>
                  </c:pt>
                  <c:pt idx="1389">
                    <c:v>damian macetas</c:v>
                  </c:pt>
                  <c:pt idx="1390">
                    <c:v>damian macetas</c:v>
                  </c:pt>
                  <c:pt idx="1391">
                    <c:v>damian macetas</c:v>
                  </c:pt>
                  <c:pt idx="1392">
                    <c:v>damian macetas</c:v>
                  </c:pt>
                  <c:pt idx="1393">
                    <c:v>damian macetas</c:v>
                  </c:pt>
                  <c:pt idx="1394">
                    <c:v>alvarez</c:v>
                  </c:pt>
                  <c:pt idx="1395">
                    <c:v>alvarez</c:v>
                  </c:pt>
                  <c:pt idx="1396">
                    <c:v>alvarez</c:v>
                  </c:pt>
                  <c:pt idx="1397">
                    <c:v>alvarez</c:v>
                  </c:pt>
                  <c:pt idx="1398">
                    <c:v>alvarez</c:v>
                  </c:pt>
                  <c:pt idx="1399">
                    <c:v>damian macetas</c:v>
                  </c:pt>
                  <c:pt idx="1400">
                    <c:v>damian macetas</c:v>
                  </c:pt>
                  <c:pt idx="1401">
                    <c:v>damian macetas</c:v>
                  </c:pt>
                  <c:pt idx="1402">
                    <c:v>alvarez</c:v>
                  </c:pt>
                  <c:pt idx="1403">
                    <c:v>grispix</c:v>
                  </c:pt>
                  <c:pt idx="1404">
                    <c:v>grispix</c:v>
                  </c:pt>
                  <c:pt idx="1405">
                    <c:v>damian macetas</c:v>
                  </c:pt>
                  <c:pt idx="1406">
                    <c:v>damian macetas</c:v>
                  </c:pt>
                  <c:pt idx="1407">
                    <c:v>damian macetas</c:v>
                  </c:pt>
                  <c:pt idx="1408">
                    <c:v>damian macetas</c:v>
                  </c:pt>
                  <c:pt idx="1409">
                    <c:v>damian macetas</c:v>
                  </c:pt>
                  <c:pt idx="1410">
                    <c:v>damian macetas</c:v>
                  </c:pt>
                  <c:pt idx="1411">
                    <c:v>damian macetas</c:v>
                  </c:pt>
                  <c:pt idx="1412">
                    <c:v>damian macetas</c:v>
                  </c:pt>
                  <c:pt idx="1413">
                    <c:v>damian macetas</c:v>
                  </c:pt>
                  <c:pt idx="1414">
                    <c:v>damian macetas</c:v>
                  </c:pt>
                  <c:pt idx="1415">
                    <c:v>damian macetas</c:v>
                  </c:pt>
                  <c:pt idx="1416">
                    <c:v>damian macetas</c:v>
                  </c:pt>
                  <c:pt idx="1417">
                    <c:v>damian macetas</c:v>
                  </c:pt>
                  <c:pt idx="1418">
                    <c:v>damian macetas</c:v>
                  </c:pt>
                  <c:pt idx="1419">
                    <c:v>alvarez</c:v>
                  </c:pt>
                  <c:pt idx="1420">
                    <c:v>alvarez</c:v>
                  </c:pt>
                  <c:pt idx="1421">
                    <c:v>alvarez</c:v>
                  </c:pt>
                  <c:pt idx="1422">
                    <c:v>alvarez</c:v>
                  </c:pt>
                  <c:pt idx="1423">
                    <c:v>alvarez</c:v>
                  </c:pt>
                  <c:pt idx="1424">
                    <c:v>alvarez</c:v>
                  </c:pt>
                  <c:pt idx="1425">
                    <c:v>alvarez</c:v>
                  </c:pt>
                  <c:pt idx="1426">
                    <c:v>alvarez</c:v>
                  </c:pt>
                  <c:pt idx="1427">
                    <c:v>alvarez</c:v>
                  </c:pt>
                  <c:pt idx="1428">
                    <c:v>alvarez</c:v>
                  </c:pt>
                  <c:pt idx="1429">
                    <c:v>alvarez</c:v>
                  </c:pt>
                  <c:pt idx="1430">
                    <c:v>damian macetas</c:v>
                  </c:pt>
                  <c:pt idx="1431">
                    <c:v>damian macetas</c:v>
                  </c:pt>
                  <c:pt idx="1432">
                    <c:v>damian macetas</c:v>
                  </c:pt>
                  <c:pt idx="1433">
                    <c:v>grispix</c:v>
                  </c:pt>
                  <c:pt idx="1434">
                    <c:v>grispix</c:v>
                  </c:pt>
                  <c:pt idx="1436">
                    <c:v>cousa</c:v>
                  </c:pt>
                  <c:pt idx="1437">
                    <c:v>cousa</c:v>
                  </c:pt>
                  <c:pt idx="1438">
                    <c:v>cousa</c:v>
                  </c:pt>
                  <c:pt idx="1439">
                    <c:v>cousa</c:v>
                  </c:pt>
                  <c:pt idx="1441">
                    <c:v>baldivia</c:v>
                  </c:pt>
                  <c:pt idx="1442">
                    <c:v>baldivia</c:v>
                  </c:pt>
                  <c:pt idx="1443">
                    <c:v>magric</c:v>
                  </c:pt>
                  <c:pt idx="1444">
                    <c:v>baldivia</c:v>
                  </c:pt>
                  <c:pt idx="1445">
                    <c:v>baldivia</c:v>
                  </c:pt>
                  <c:pt idx="1446">
                    <c:v>baldivia</c:v>
                  </c:pt>
                  <c:pt idx="1447">
                    <c:v>baldivia</c:v>
                  </c:pt>
                  <c:pt idx="1448">
                    <c:v>baldivia</c:v>
                  </c:pt>
                  <c:pt idx="1449">
                    <c:v>agraciada</c:v>
                  </c:pt>
                  <c:pt idx="1450">
                    <c:v>agropecuaria agraciada</c:v>
                  </c:pt>
                  <c:pt idx="1452">
                    <c:v>diego</c:v>
                  </c:pt>
                  <c:pt idx="1453">
                    <c:v>diego</c:v>
                  </c:pt>
                  <c:pt idx="1454">
                    <c:v>diego</c:v>
                  </c:pt>
                  <c:pt idx="1456">
                    <c:v>damian macetas</c:v>
                  </c:pt>
                  <c:pt idx="1458">
                    <c:v>diego</c:v>
                  </c:pt>
                  <c:pt idx="1459">
                    <c:v>damian macetas</c:v>
                  </c:pt>
                  <c:pt idx="1460">
                    <c:v>damian macetas</c:v>
                  </c:pt>
                  <c:pt idx="1463">
                    <c:v>maple vila</c:v>
                  </c:pt>
                  <c:pt idx="1464">
                    <c:v>maple vila</c:v>
                  </c:pt>
                  <c:pt idx="1465">
                    <c:v>diego</c:v>
                  </c:pt>
                  <c:pt idx="1466">
                    <c:v>damian macetas</c:v>
                  </c:pt>
                  <c:pt idx="1468">
                    <c:v>distribuidora del sol</c:v>
                  </c:pt>
                  <c:pt idx="1469">
                    <c:v>ATMA</c:v>
                  </c:pt>
                  <c:pt idx="1470">
                    <c:v>casino</c:v>
                  </c:pt>
                  <c:pt idx="1474">
                    <c:v>agroinsumos</c:v>
                  </c:pt>
                  <c:pt idx="1475">
                    <c:v>agroinsumos</c:v>
                  </c:pt>
                  <c:pt idx="1476">
                    <c:v>beltrame</c:v>
                  </c:pt>
                  <c:pt idx="1477">
                    <c:v>beltrame</c:v>
                  </c:pt>
                  <c:pt idx="1478">
                    <c:v>valagu</c:v>
                  </c:pt>
                  <c:pt idx="1479">
                    <c:v>agroinsumos</c:v>
                  </c:pt>
                  <c:pt idx="1481">
                    <c:v>damian macetas</c:v>
                  </c:pt>
                  <c:pt idx="1483">
                    <c:v>damian macetas</c:v>
                  </c:pt>
                  <c:pt idx="1484">
                    <c:v>diego</c:v>
                  </c:pt>
                  <c:pt idx="1485">
                    <c:v>rimart</c:v>
                  </c:pt>
                  <c:pt idx="1486">
                    <c:v>mayans</c:v>
                  </c:pt>
                  <c:pt idx="1487">
                    <c:v>mayans</c:v>
                  </c:pt>
                  <c:pt idx="1488">
                    <c:v>casa cristina</c:v>
                  </c:pt>
                  <c:pt idx="1490">
                    <c:v>casa cristina</c:v>
                  </c:pt>
                  <c:pt idx="1491">
                    <c:v>diego</c:v>
                  </c:pt>
                  <c:pt idx="1492">
                    <c:v>diego</c:v>
                  </c:pt>
                  <c:pt idx="1493">
                    <c:v>diego</c:v>
                  </c:pt>
                  <c:pt idx="1494">
                    <c:v>diego</c:v>
                  </c:pt>
                  <c:pt idx="1495">
                    <c:v>diego</c:v>
                  </c:pt>
                  <c:pt idx="1496">
                    <c:v>damian macetas</c:v>
                  </c:pt>
                  <c:pt idx="1499">
                    <c:v>MAYORPET</c:v>
                  </c:pt>
                  <c:pt idx="1500">
                    <c:v>MAYORPET</c:v>
                  </c:pt>
                  <c:pt idx="1501">
                    <c:v>MAYORPET</c:v>
                  </c:pt>
                  <c:pt idx="1502">
                    <c:v>MAYORPET</c:v>
                  </c:pt>
                  <c:pt idx="1503">
                    <c:v>bioterra</c:v>
                  </c:pt>
                  <c:pt idx="1505">
                    <c:v>yaques</c:v>
                  </c:pt>
                  <c:pt idx="1506">
                    <c:v>musaco</c:v>
                  </c:pt>
                  <c:pt idx="1507">
                    <c:v>merlin</c:v>
                  </c:pt>
                  <c:pt idx="1508">
                    <c:v>beltrame</c:v>
                  </c:pt>
                  <c:pt idx="1509">
                    <c:v>beltrame</c:v>
                  </c:pt>
                  <c:pt idx="1510">
                    <c:v>MAYORPET</c:v>
                  </c:pt>
                  <c:pt idx="1511">
                    <c:v>valagu</c:v>
                  </c:pt>
                  <c:pt idx="1512">
                    <c:v>MAYORPET</c:v>
                  </c:pt>
                  <c:pt idx="1513">
                    <c:v>valagu</c:v>
                  </c:pt>
                  <c:pt idx="1514">
                    <c:v>valagu</c:v>
                  </c:pt>
                  <c:pt idx="1515">
                    <c:v>MAYORPET</c:v>
                  </c:pt>
                  <c:pt idx="1516">
                    <c:v>MAYORPET</c:v>
                  </c:pt>
                  <c:pt idx="1517">
                    <c:v>MAYORPET</c:v>
                  </c:pt>
                  <c:pt idx="1518">
                    <c:v>MAYORPET</c:v>
                  </c:pt>
                  <c:pt idx="1519">
                    <c:v>volpe</c:v>
                  </c:pt>
                  <c:pt idx="1520">
                    <c:v>volpe</c:v>
                  </c:pt>
                  <c:pt idx="1522">
                    <c:v>valagu</c:v>
                  </c:pt>
                  <c:pt idx="1523">
                    <c:v>valagu</c:v>
                  </c:pt>
                  <c:pt idx="1524">
                    <c:v>valagu</c:v>
                  </c:pt>
                  <c:pt idx="1525">
                    <c:v>valagu</c:v>
                  </c:pt>
                  <c:pt idx="1526">
                    <c:v>damian macetas</c:v>
                  </c:pt>
                  <c:pt idx="1527">
                    <c:v>musaco</c:v>
                  </c:pt>
                  <c:pt idx="1528">
                    <c:v>BELSIR</c:v>
                  </c:pt>
                  <c:pt idx="1529">
                    <c:v>exportagro</c:v>
                  </c:pt>
                  <c:pt idx="1530">
                    <c:v>magric</c:v>
                  </c:pt>
                  <c:pt idx="1531">
                    <c:v>magric</c:v>
                  </c:pt>
                  <c:pt idx="1532">
                    <c:v>alvarez</c:v>
                  </c:pt>
                  <c:pt idx="1533">
                    <c:v>damian macetas</c:v>
                  </c:pt>
                  <c:pt idx="1534">
                    <c:v>damian macetas</c:v>
                  </c:pt>
                  <c:pt idx="1535">
                    <c:v>damian macetas</c:v>
                  </c:pt>
                  <c:pt idx="1536">
                    <c:v>grispix</c:v>
                  </c:pt>
                  <c:pt idx="1537">
                    <c:v>damian macetas</c:v>
                  </c:pt>
                  <c:pt idx="1538">
                    <c:v>deribal</c:v>
                  </c:pt>
                  <c:pt idx="1539">
                    <c:v>damian macetas</c:v>
                  </c:pt>
                  <c:pt idx="1540">
                    <c:v>damian macetas</c:v>
                  </c:pt>
                  <c:pt idx="1541">
                    <c:v>MAYORPET</c:v>
                  </c:pt>
                  <c:pt idx="1542">
                    <c:v>damian macetas</c:v>
                  </c:pt>
                  <c:pt idx="1544">
                    <c:v>yaques</c:v>
                  </c:pt>
                  <c:pt idx="1545">
                    <c:v>yaques</c:v>
                  </c:pt>
                  <c:pt idx="1546">
                    <c:v>diego</c:v>
                  </c:pt>
                  <c:pt idx="1547">
                    <c:v>diego</c:v>
                  </c:pt>
                  <c:pt idx="1548">
                    <c:v>empack</c:v>
                  </c:pt>
                  <c:pt idx="1549">
                    <c:v>valagu</c:v>
                  </c:pt>
                  <c:pt idx="1550">
                    <c:v>valagu</c:v>
                  </c:pt>
                  <c:pt idx="1551">
                    <c:v>valagu</c:v>
                  </c:pt>
                  <c:pt idx="1552">
                    <c:v>beltrame</c:v>
                  </c:pt>
                  <c:pt idx="1553">
                    <c:v>uruquim</c:v>
                  </c:pt>
                  <c:pt idx="1554">
                    <c:v>uruquim</c:v>
                  </c:pt>
                  <c:pt idx="1555">
                    <c:v>lezama</c:v>
                  </c:pt>
                  <c:pt idx="1556">
                    <c:v>fermara</c:v>
                  </c:pt>
                  <c:pt idx="1557">
                    <c:v>FERMARA</c:v>
                  </c:pt>
                  <c:pt idx="1558">
                    <c:v>fermara</c:v>
                  </c:pt>
                  <c:pt idx="1559">
                    <c:v>fermara</c:v>
                  </c:pt>
                  <c:pt idx="1560">
                    <c:v>damian macetas</c:v>
                  </c:pt>
                  <c:pt idx="1567">
                    <c:v>valagu</c:v>
                  </c:pt>
                  <c:pt idx="1568">
                    <c:v>valagu</c:v>
                  </c:pt>
                  <c:pt idx="1570">
                    <c:v>belsir</c:v>
                  </c:pt>
                  <c:pt idx="1571">
                    <c:v>belsir</c:v>
                  </c:pt>
                  <c:pt idx="1572">
                    <c:v>valagu</c:v>
                  </c:pt>
                  <c:pt idx="1574">
                    <c:v>MAYORPET</c:v>
                  </c:pt>
                  <c:pt idx="1575">
                    <c:v>MAYORPET</c:v>
                  </c:pt>
                  <c:pt idx="1577">
                    <c:v>grispix</c:v>
                  </c:pt>
                  <c:pt idx="1579">
                    <c:v>damian macetas</c:v>
                  </c:pt>
                  <c:pt idx="1580">
                    <c:v>damian macetas</c:v>
                  </c:pt>
                  <c:pt idx="1581">
                    <c:v>damian macetas</c:v>
                  </c:pt>
                  <c:pt idx="1582">
                    <c:v>damian macetas</c:v>
                  </c:pt>
                  <c:pt idx="1583">
                    <c:v>alvarez</c:v>
                  </c:pt>
                  <c:pt idx="1587">
                    <c:v>bioterra</c:v>
                  </c:pt>
                  <c:pt idx="1588">
                    <c:v>negley</c:v>
                  </c:pt>
                  <c:pt idx="1589">
                    <c:v>negley</c:v>
                  </c:pt>
                  <c:pt idx="1590">
                    <c:v>negley</c:v>
                  </c:pt>
                  <c:pt idx="1591">
                    <c:v>distribuidora del sol</c:v>
                  </c:pt>
                  <c:pt idx="1592">
                    <c:v>distribuidora del sol</c:v>
                  </c:pt>
                  <c:pt idx="1594">
                    <c:v>fermara</c:v>
                  </c:pt>
                  <c:pt idx="1596">
                    <c:v>REMIPLAT</c:v>
                  </c:pt>
                  <c:pt idx="1597">
                    <c:v>REMIPLAT</c:v>
                  </c:pt>
                  <c:pt idx="1599">
                    <c:v>intor</c:v>
                  </c:pt>
                  <c:pt idx="1600">
                    <c:v>intor</c:v>
                  </c:pt>
                  <c:pt idx="1601">
                    <c:v>intor</c:v>
                  </c:pt>
                  <c:pt idx="1602">
                    <c:v>intor</c:v>
                  </c:pt>
                  <c:pt idx="1603">
                    <c:v>intor</c:v>
                  </c:pt>
                  <c:pt idx="1604">
                    <c:v>intor</c:v>
                  </c:pt>
                  <c:pt idx="1607">
                    <c:v>REMIPLAT</c:v>
                  </c:pt>
                  <c:pt idx="1609">
                    <c:v>REMIPLAT</c:v>
                  </c:pt>
                  <c:pt idx="1613">
                    <c:v>damian macetas</c:v>
                  </c:pt>
                  <c:pt idx="1615">
                    <c:v>fermara</c:v>
                  </c:pt>
                  <c:pt idx="1616">
                    <c:v>fermara</c:v>
                  </c:pt>
                  <c:pt idx="1618">
                    <c:v>negley</c:v>
                  </c:pt>
                  <c:pt idx="1619">
                    <c:v>negley</c:v>
                  </c:pt>
                  <c:pt idx="1620">
                    <c:v>intor</c:v>
                  </c:pt>
                  <c:pt idx="1621">
                    <c:v>damian macetas</c:v>
                  </c:pt>
                  <c:pt idx="1624">
                    <c:v>damian macetas</c:v>
                  </c:pt>
                  <c:pt idx="1625">
                    <c:v>negley</c:v>
                  </c:pt>
                  <c:pt idx="1626">
                    <c:v>negley</c:v>
                  </c:pt>
                  <c:pt idx="1627">
                    <c:v>belsir</c:v>
                  </c:pt>
                  <c:pt idx="1629">
                    <c:v>belsir</c:v>
                  </c:pt>
                  <c:pt idx="1630">
                    <c:v>belsir</c:v>
                  </c:pt>
                  <c:pt idx="1631">
                    <c:v>belsir</c:v>
                  </c:pt>
                  <c:pt idx="1632">
                    <c:v>belsir</c:v>
                  </c:pt>
                  <c:pt idx="1633">
                    <c:v>belsir</c:v>
                  </c:pt>
                  <c:pt idx="1634">
                    <c:v>distribuidora del sol</c:v>
                  </c:pt>
                  <c:pt idx="1635">
                    <c:v>distribuidora del sol</c:v>
                  </c:pt>
                  <c:pt idx="1636">
                    <c:v>distribuidora del sol</c:v>
                  </c:pt>
                  <c:pt idx="1637">
                    <c:v>distribuidora del sol</c:v>
                  </c:pt>
                  <c:pt idx="1638">
                    <c:v>distribuidora del sol</c:v>
                  </c:pt>
                  <c:pt idx="1639">
                    <c:v>distribuidora del sol</c:v>
                  </c:pt>
                  <c:pt idx="1640">
                    <c:v>distribuidora del sol</c:v>
                  </c:pt>
                  <c:pt idx="1641">
                    <c:v>negley</c:v>
                  </c:pt>
                  <c:pt idx="1642">
                    <c:v>negley</c:v>
                  </c:pt>
                  <c:pt idx="1643">
                    <c:v>negley</c:v>
                  </c:pt>
                  <c:pt idx="1644">
                    <c:v>negley</c:v>
                  </c:pt>
                  <c:pt idx="1645">
                    <c:v>negley</c:v>
                  </c:pt>
                  <c:pt idx="1646">
                    <c:v>negley</c:v>
                  </c:pt>
                  <c:pt idx="1647">
                    <c:v>negley</c:v>
                  </c:pt>
                  <c:pt idx="1649">
                    <c:v>valagu</c:v>
                  </c:pt>
                  <c:pt idx="1650">
                    <c:v>valagu</c:v>
                  </c:pt>
                  <c:pt idx="1651">
                    <c:v>beltrame</c:v>
                  </c:pt>
                  <c:pt idx="1652">
                    <c:v>valagu</c:v>
                  </c:pt>
                  <c:pt idx="1653">
                    <c:v>corona</c:v>
                  </c:pt>
                  <c:pt idx="1654">
                    <c:v>valagu</c:v>
                  </c:pt>
                  <c:pt idx="1655">
                    <c:v>valagu</c:v>
                  </c:pt>
                  <c:pt idx="1656">
                    <c:v>mayorpet</c:v>
                  </c:pt>
                  <c:pt idx="1657">
                    <c:v>valagu</c:v>
                  </c:pt>
                  <c:pt idx="1658">
                    <c:v>valagu</c:v>
                  </c:pt>
                  <c:pt idx="1659">
                    <c:v>valagu</c:v>
                  </c:pt>
                  <c:pt idx="1660">
                    <c:v>valagu</c:v>
                  </c:pt>
                  <c:pt idx="1661">
                    <c:v>valagu</c:v>
                  </c:pt>
                  <c:pt idx="1662">
                    <c:v>deribal</c:v>
                  </c:pt>
                  <c:pt idx="1663">
                    <c:v>deribal</c:v>
                  </c:pt>
                  <c:pt idx="1664">
                    <c:v>animalitos</c:v>
                  </c:pt>
                  <c:pt idx="1666">
                    <c:v>alvarez</c:v>
                  </c:pt>
                  <c:pt idx="1667">
                    <c:v>alvarez</c:v>
                  </c:pt>
                  <c:pt idx="1668">
                    <c:v>damian macetas</c:v>
                  </c:pt>
                  <c:pt idx="1669">
                    <c:v>MAYORPET</c:v>
                  </c:pt>
                  <c:pt idx="1670">
                    <c:v>ds</c:v>
                  </c:pt>
                  <c:pt idx="1671">
                    <c:v>damian macetas</c:v>
                  </c:pt>
                  <c:pt idx="1672">
                    <c:v>damian macetas</c:v>
                  </c:pt>
                  <c:pt idx="1674">
                    <c:v>fermara</c:v>
                  </c:pt>
                  <c:pt idx="1675">
                    <c:v>fermara</c:v>
                  </c:pt>
                  <c:pt idx="1676">
                    <c:v>fermara</c:v>
                  </c:pt>
                  <c:pt idx="1677">
                    <c:v>fermara</c:v>
                  </c:pt>
                  <c:pt idx="1678">
                    <c:v>DERIBAL</c:v>
                  </c:pt>
                  <c:pt idx="1679">
                    <c:v>DERIBAL</c:v>
                  </c:pt>
                  <c:pt idx="1680">
                    <c:v>DERIBAL</c:v>
                  </c:pt>
                  <c:pt idx="1681">
                    <c:v>fermara</c:v>
                  </c:pt>
                  <c:pt idx="1682">
                    <c:v>deribal</c:v>
                  </c:pt>
                  <c:pt idx="1683">
                    <c:v>deribal</c:v>
                  </c:pt>
                  <c:pt idx="1684">
                    <c:v>DERIBAL</c:v>
                  </c:pt>
                  <c:pt idx="1685">
                    <c:v>deribal</c:v>
                  </c:pt>
                  <c:pt idx="1686">
                    <c:v>deribal</c:v>
                  </c:pt>
                  <c:pt idx="1687">
                    <c:v>fermara</c:v>
                  </c:pt>
                  <c:pt idx="1688">
                    <c:v>fermara</c:v>
                  </c:pt>
                  <c:pt idx="1689">
                    <c:v>fermara</c:v>
                  </c:pt>
                  <c:pt idx="1690">
                    <c:v>damian macetas</c:v>
                  </c:pt>
                  <c:pt idx="1691">
                    <c:v>valagu</c:v>
                  </c:pt>
                  <c:pt idx="1693">
                    <c:v>valagu</c:v>
                  </c:pt>
                  <c:pt idx="1694">
                    <c:v>valagu</c:v>
                  </c:pt>
                  <c:pt idx="1695">
                    <c:v>valagu</c:v>
                  </c:pt>
                  <c:pt idx="1696">
                    <c:v>valagu</c:v>
                  </c:pt>
                  <c:pt idx="1697">
                    <c:v>valagu</c:v>
                  </c:pt>
                  <c:pt idx="1698">
                    <c:v>valagu</c:v>
                  </c:pt>
                  <c:pt idx="1699">
                    <c:v>diego</c:v>
                  </c:pt>
                  <c:pt idx="1700">
                    <c:v>valagu</c:v>
                  </c:pt>
                  <c:pt idx="1701">
                    <c:v>valagu</c:v>
                  </c:pt>
                  <c:pt idx="1702">
                    <c:v>valagu</c:v>
                  </c:pt>
                  <c:pt idx="1703">
                    <c:v>valagu</c:v>
                  </c:pt>
                  <c:pt idx="1704">
                    <c:v>diego</c:v>
                  </c:pt>
                  <c:pt idx="1705">
                    <c:v>diego</c:v>
                  </c:pt>
                  <c:pt idx="1706">
                    <c:v>damian macetas</c:v>
                  </c:pt>
                  <c:pt idx="1707">
                    <c:v>casa cristina</c:v>
                  </c:pt>
                  <c:pt idx="1709">
                    <c:v>valagu</c:v>
                  </c:pt>
                  <c:pt idx="1710">
                    <c:v>valagu</c:v>
                  </c:pt>
                  <c:pt idx="1711">
                    <c:v>valagu</c:v>
                  </c:pt>
                  <c:pt idx="1712">
                    <c:v>valagu</c:v>
                  </c:pt>
                  <c:pt idx="1713">
                    <c:v>valagu</c:v>
                  </c:pt>
                  <c:pt idx="1714">
                    <c:v>agropecuaria agraciada</c:v>
                  </c:pt>
                  <c:pt idx="1715">
                    <c:v>agraciada</c:v>
                  </c:pt>
                  <c:pt idx="1716">
                    <c:v>parque trebol</c:v>
                  </c:pt>
                  <c:pt idx="1717">
                    <c:v>damian macetas</c:v>
                  </c:pt>
                  <c:pt idx="1718">
                    <c:v>damian macetas</c:v>
                  </c:pt>
                  <c:pt idx="1719">
                    <c:v>damian macetas</c:v>
                  </c:pt>
                  <c:pt idx="1720">
                    <c:v>damian macetas</c:v>
                  </c:pt>
                  <c:pt idx="1721">
                    <c:v>damian macetas</c:v>
                  </c:pt>
                  <c:pt idx="1722">
                    <c:v>damian macetas</c:v>
                  </c:pt>
                  <c:pt idx="1723">
                    <c:v>damian macetas</c:v>
                  </c:pt>
                  <c:pt idx="1724">
                    <c:v>damian macetas</c:v>
                  </c:pt>
                </c:lvl>
                <c:lvl>
                  <c:pt idx="0">
                    <c:v>1 doc clavel 2 ilusion 2 rosas</c:v>
                  </c:pt>
                  <c:pt idx="1">
                    <c:v>100 c,c</c:v>
                  </c:pt>
                  <c:pt idx="2">
                    <c:v>100 cc</c:v>
                  </c:pt>
                  <c:pt idx="3">
                    <c:v>10litr</c:v>
                  </c:pt>
                  <c:pt idx="4">
                    <c:v>250 gr</c:v>
                  </c:pt>
                  <c:pt idx="5">
                    <c:v>1lt</c:v>
                  </c:pt>
                  <c:pt idx="6">
                    <c:v>100 cc</c:v>
                  </c:pt>
                  <c:pt idx="7">
                    <c:v>20lt</c:v>
                  </c:pt>
                  <c:pt idx="8">
                    <c:v>1 lt</c:v>
                  </c:pt>
                  <c:pt idx="9">
                    <c:v>1 LT</c:v>
                  </c:pt>
                  <c:pt idx="12">
                    <c:v>4pcs</c:v>
                  </c:pt>
                  <c:pt idx="13">
                    <c:v>600 cc</c:v>
                  </c:pt>
                  <c:pt idx="14">
                    <c:v>1,200 ltr</c:v>
                  </c:pt>
                  <c:pt idx="15">
                    <c:v>c/u</c:v>
                  </c:pt>
                  <c:pt idx="23">
                    <c:v>30 cm</c:v>
                  </c:pt>
                  <c:pt idx="24">
                    <c:v>1 kg</c:v>
                  </c:pt>
                  <c:pt idx="25">
                    <c:v>25 kg</c:v>
                  </c:pt>
                  <c:pt idx="26">
                    <c:v>350 ml</c:v>
                  </c:pt>
                  <c:pt idx="27">
                    <c:v>2,5L/mmrs-RS510</c:v>
                  </c:pt>
                  <c:pt idx="28">
                    <c:v>RS 290</c:v>
                  </c:pt>
                  <c:pt idx="29">
                    <c:v>rs-160</c:v>
                  </c:pt>
                  <c:pt idx="30">
                    <c:v>rs610</c:v>
                  </c:pt>
                  <c:pt idx="31">
                    <c:v>4w 4lt/min</c:v>
                  </c:pt>
                  <c:pt idx="32">
                    <c:v>5w4,5 1/min sile</c:v>
                  </c:pt>
                  <c:pt idx="33">
                    <c:v> 2,5lm  sl-2800</c:v>
                  </c:pt>
                  <c:pt idx="34">
                    <c:v>30 CC</c:v>
                  </c:pt>
                  <c:pt idx="35">
                    <c:v>11,5cm</c:v>
                  </c:pt>
                  <c:pt idx="36">
                    <c:v>60 cc</c:v>
                  </c:pt>
                  <c:pt idx="37">
                    <c:v>400 grs caja</c:v>
                  </c:pt>
                  <c:pt idx="38">
                    <c:v>10gr</c:v>
                  </c:pt>
                  <c:pt idx="39">
                    <c:v>250 gr</c:v>
                  </c:pt>
                  <c:pt idx="40">
                    <c:v>10 gr</c:v>
                  </c:pt>
                  <c:pt idx="41">
                    <c:v>100 gr</c:v>
                  </c:pt>
                  <c:pt idx="42">
                    <c:v>500gr</c:v>
                  </c:pt>
                  <c:pt idx="43">
                    <c:v>120 grs</c:v>
                  </c:pt>
                  <c:pt idx="44">
                    <c:v>100 gr</c:v>
                  </c:pt>
                  <c:pt idx="45">
                    <c:v>15 gr</c:v>
                  </c:pt>
                  <c:pt idx="46">
                    <c:v>500 gr</c:v>
                  </c:pt>
                  <c:pt idx="47">
                    <c:v>500 grs</c:v>
                  </c:pt>
                  <c:pt idx="48">
                    <c:v>270 grs</c:v>
                  </c:pt>
                  <c:pt idx="49">
                    <c:v>kg</c:v>
                  </c:pt>
                  <c:pt idx="50">
                    <c:v>500  GR</c:v>
                  </c:pt>
                  <c:pt idx="51">
                    <c:v>100 GR</c:v>
                  </c:pt>
                  <c:pt idx="52">
                    <c:v>50 gr</c:v>
                  </c:pt>
                  <c:pt idx="53">
                    <c:v>10 GR</c:v>
                  </c:pt>
                  <c:pt idx="54">
                    <c:v>1,1 kg</c:v>
                  </c:pt>
                  <c:pt idx="55">
                    <c:v>75 gr</c:v>
                  </c:pt>
                  <c:pt idx="56">
                    <c:v>1kg</c:v>
                  </c:pt>
                  <c:pt idx="57">
                    <c:v>100 gr</c:v>
                  </c:pt>
                  <c:pt idx="58">
                    <c:v>10 gr</c:v>
                  </c:pt>
                  <c:pt idx="59">
                    <c:v>400 CC</c:v>
                  </c:pt>
                  <c:pt idx="60">
                    <c:v>128 cv,</c:v>
                  </c:pt>
                  <c:pt idx="61">
                    <c:v>32 cav</c:v>
                  </c:pt>
                  <c:pt idx="62">
                    <c:v>50 cavidades</c:v>
                  </c:pt>
                  <c:pt idx="63">
                    <c:v> 105 CAVIDADES</c:v>
                  </c:pt>
                  <c:pt idx="64">
                    <c:v>288 cavidades</c:v>
                  </c:pt>
                  <c:pt idx="65">
                    <c:v>50 cavidades</c:v>
                  </c:pt>
                  <c:pt idx="66">
                    <c:v>98 cavidades</c:v>
                  </c:pt>
                  <c:pt idx="72">
                    <c:v>25 kg</c:v>
                  </c:pt>
                  <c:pt idx="73">
                    <c:v>1 kg</c:v>
                  </c:pt>
                  <c:pt idx="74">
                    <c:v>25 kg</c:v>
                  </c:pt>
                  <c:pt idx="75">
                    <c:v>1 kg</c:v>
                  </c:pt>
                  <c:pt idx="78">
                    <c:v>0</c:v>
                  </c:pt>
                  <c:pt idx="80">
                    <c:v>c/u</c:v>
                  </c:pt>
                  <c:pt idx="81">
                    <c:v>blister de 10 comp</c:v>
                  </c:pt>
                  <c:pt idx="82">
                    <c:v>caja 240 comp</c:v>
                  </c:pt>
                  <c:pt idx="83">
                    <c:v>20 CM</c:v>
                  </c:pt>
                  <c:pt idx="84">
                    <c:v>24 CM</c:v>
                  </c:pt>
                  <c:pt idx="85">
                    <c:v>30 cm</c:v>
                  </c:pt>
                  <c:pt idx="86">
                    <c:v>40 cm</c:v>
                  </c:pt>
                  <c:pt idx="87">
                    <c:v>70 cm</c:v>
                  </c:pt>
                  <c:pt idx="88">
                    <c:v>25 kg</c:v>
                  </c:pt>
                  <c:pt idx="89">
                    <c:v>kg</c:v>
                  </c:pt>
                  <c:pt idx="90">
                    <c:v>0</c:v>
                  </c:pt>
                  <c:pt idx="97">
                    <c:v>500 grs</c:v>
                  </c:pt>
                  <c:pt idx="98">
                    <c:v>kg</c:v>
                  </c:pt>
                  <c:pt idx="99">
                    <c:v>100 gr</c:v>
                  </c:pt>
                  <c:pt idx="100">
                    <c:v>C/U</c:v>
                  </c:pt>
                  <c:pt idx="102">
                    <c:v>kg</c:v>
                  </c:pt>
                  <c:pt idx="103">
                    <c:v>125 grs</c:v>
                  </c:pt>
                  <c:pt idx="104">
                    <c:v>50 gr</c:v>
                  </c:pt>
                  <c:pt idx="105">
                    <c:v>50gr</c:v>
                  </c:pt>
                  <c:pt idx="106">
                    <c:v>500 GRS</c:v>
                  </c:pt>
                  <c:pt idx="107">
                    <c:v>500 grs</c:v>
                  </c:pt>
                  <c:pt idx="108">
                    <c:v>50gr</c:v>
                  </c:pt>
                  <c:pt idx="109">
                    <c:v>21 LTS</c:v>
                  </c:pt>
                  <c:pt idx="110">
                    <c:v>141 cristal</c:v>
                  </c:pt>
                  <c:pt idx="111">
                    <c:v>46x32x10</c:v>
                  </c:pt>
                  <c:pt idx="112">
                    <c:v>40x27x7</c:v>
                  </c:pt>
                  <c:pt idx="113">
                    <c:v>0</c:v>
                  </c:pt>
                  <c:pt idx="115">
                    <c:v>c/u</c:v>
                  </c:pt>
                  <c:pt idx="116">
                    <c:v>gigante</c:v>
                  </c:pt>
                  <c:pt idx="117">
                    <c:v>350 ml</c:v>
                  </c:pt>
                  <c:pt idx="118">
                    <c:v>260ml</c:v>
                  </c:pt>
                  <c:pt idx="121">
                    <c:v>mts</c:v>
                  </c:pt>
                  <c:pt idx="122">
                    <c:v>20 c,c</c:v>
                  </c:pt>
                  <c:pt idx="123">
                    <c:v>20 c,c</c:v>
                  </c:pt>
                  <c:pt idx="124">
                    <c:v>30 c,c,</c:v>
                  </c:pt>
                  <c:pt idx="125">
                    <c:v>500 gr</c:v>
                  </c:pt>
                  <c:pt idx="126">
                    <c:v>100gr</c:v>
                  </c:pt>
                  <c:pt idx="127">
                    <c:v>1 ltr</c:v>
                  </c:pt>
                  <c:pt idx="128">
                    <c:v>1,8 ltr</c:v>
                  </c:pt>
                  <c:pt idx="129">
                    <c:v>3,5 LTR</c:v>
                  </c:pt>
                  <c:pt idx="130">
                    <c:v>6 lt</c:v>
                  </c:pt>
                  <c:pt idx="131">
                    <c:v>1,5 lts</c:v>
                  </c:pt>
                  <c:pt idx="132">
                    <c:v>1,5 lts</c:v>
                  </c:pt>
                  <c:pt idx="133">
                    <c:v>6 lt</c:v>
                  </c:pt>
                  <c:pt idx="134">
                    <c:v>125 ML</c:v>
                  </c:pt>
                  <c:pt idx="135">
                    <c:v>80ml</c:v>
                  </c:pt>
                  <c:pt idx="137">
                    <c:v>5 lt </c:v>
                  </c:pt>
                  <c:pt idx="138">
                    <c:v>7x16</c:v>
                  </c:pt>
                  <c:pt idx="139">
                    <c:v>300ml</c:v>
                  </c:pt>
                  <c:pt idx="140">
                    <c:v>50 ml</c:v>
                  </c:pt>
                  <c:pt idx="141">
                    <c:v>150 ml</c:v>
                  </c:pt>
                  <c:pt idx="142">
                    <c:v>c/u</c:v>
                  </c:pt>
                  <c:pt idx="143">
                    <c:v>0</c:v>
                  </c:pt>
                  <c:pt idx="145">
                    <c:v>c/u</c:v>
                  </c:pt>
                  <c:pt idx="146">
                    <c:v>c/u</c:v>
                  </c:pt>
                  <c:pt idx="148">
                    <c:v>0</c:v>
                  </c:pt>
                  <c:pt idx="149">
                    <c:v>c/u</c:v>
                  </c:pt>
                  <c:pt idx="151">
                    <c:v>17,8x10,5x10,5 cm</c:v>
                  </c:pt>
                  <c:pt idx="152">
                    <c:v>0</c:v>
                  </c:pt>
                  <c:pt idx="153">
                    <c:v>n 1</c:v>
                  </c:pt>
                  <c:pt idx="154">
                    <c:v>n 2</c:v>
                  </c:pt>
                  <c:pt idx="155">
                    <c:v>n 3</c:v>
                  </c:pt>
                  <c:pt idx="156">
                    <c:v>80 ml</c:v>
                  </c:pt>
                  <c:pt idx="157">
                    <c:v>500 ml</c:v>
                  </c:pt>
                  <c:pt idx="158">
                    <c:v>250 cc</c:v>
                  </c:pt>
                  <c:pt idx="159">
                    <c:v>1000 ml</c:v>
                  </c:pt>
                  <c:pt idx="160">
                    <c:v>1000 cc</c:v>
                  </c:pt>
                  <c:pt idx="161">
                    <c:v>kg</c:v>
                  </c:pt>
                  <c:pt idx="166">
                    <c:v>250 CC</c:v>
                  </c:pt>
                  <c:pt idx="167">
                    <c:v>600 cc</c:v>
                  </c:pt>
                  <c:pt idx="168">
                    <c:v>1 lt</c:v>
                  </c:pt>
                  <c:pt idx="169">
                    <c:v>10 ltr</c:v>
                  </c:pt>
                  <c:pt idx="170">
                    <c:v>1 litro suelto</c:v>
                  </c:pt>
                  <c:pt idx="171">
                    <c:v>1 ltr</c:v>
                  </c:pt>
                  <c:pt idx="172">
                    <c:v>20 ltr</c:v>
                  </c:pt>
                  <c:pt idx="173">
                    <c:v>5 lt</c:v>
                  </c:pt>
                  <c:pt idx="174">
                    <c:v>600 ml,</c:v>
                  </c:pt>
                  <c:pt idx="175">
                    <c:v>7lt</c:v>
                  </c:pt>
                  <c:pt idx="176">
                    <c:v>20 ltr</c:v>
                  </c:pt>
                  <c:pt idx="177">
                    <c:v>100 gr</c:v>
                  </c:pt>
                  <c:pt idx="178">
                    <c:v>500 gr</c:v>
                  </c:pt>
                  <c:pt idx="179">
                    <c:v>12 unidades</c:v>
                  </c:pt>
                  <c:pt idx="180">
                    <c:v>X 12 UNID.</c:v>
                  </c:pt>
                  <c:pt idx="181">
                    <c:v>15</c:v>
                  </c:pt>
                  <c:pt idx="182">
                    <c:v>20</c:v>
                  </c:pt>
                  <c:pt idx="183">
                    <c:v>25</c:v>
                  </c:pt>
                  <c:pt idx="184">
                    <c:v>30 cm</c:v>
                  </c:pt>
                  <c:pt idx="185">
                    <c:v>35</c:v>
                  </c:pt>
                  <c:pt idx="186">
                    <c:v>24</c:v>
                  </c:pt>
                  <c:pt idx="187">
                    <c:v>27</c:v>
                  </c:pt>
                  <c:pt idx="188">
                    <c:v>N20</c:v>
                  </c:pt>
                  <c:pt idx="189">
                    <c:v>N24</c:v>
                  </c:pt>
                  <c:pt idx="190">
                    <c:v>28</c:v>
                  </c:pt>
                  <c:pt idx="191">
                    <c:v>34</c:v>
                  </c:pt>
                  <c:pt idx="192">
                    <c:v>22</c:v>
                  </c:pt>
                  <c:pt idx="193">
                    <c:v>chico</c:v>
                  </c:pt>
                  <c:pt idx="194">
                    <c:v>gde</c:v>
                  </c:pt>
                  <c:pt idx="196">
                    <c:v>16cm</c:v>
                  </c:pt>
                  <c:pt idx="197">
                    <c:v>18cm</c:v>
                  </c:pt>
                  <c:pt idx="198">
                    <c:v>20cm</c:v>
                  </c:pt>
                  <c:pt idx="199">
                    <c:v>22 cm</c:v>
                  </c:pt>
                  <c:pt idx="200">
                    <c:v>25cm</c:v>
                  </c:pt>
                  <c:pt idx="201">
                    <c:v>20</c:v>
                  </c:pt>
                  <c:pt idx="202">
                    <c:v>25</c:v>
                  </c:pt>
                  <c:pt idx="203">
                    <c:v>1 kg</c:v>
                  </c:pt>
                  <c:pt idx="204">
                    <c:v>3 kg</c:v>
                  </c:pt>
                  <c:pt idx="205">
                    <c:v>5 kg</c:v>
                  </c:pt>
                  <c:pt idx="206">
                    <c:v>codigo 22</c:v>
                  </c:pt>
                  <c:pt idx="207">
                    <c:v>0</c:v>
                  </c:pt>
                  <c:pt idx="208">
                    <c:v>45x50</c:v>
                  </c:pt>
                  <c:pt idx="209">
                    <c:v>45x60</c:v>
                  </c:pt>
                  <c:pt idx="210">
                    <c:v>c/u</c:v>
                  </c:pt>
                  <c:pt idx="211">
                    <c:v>8x15</c:v>
                  </c:pt>
                  <c:pt idx="212">
                    <c:v>n 3</c:v>
                  </c:pt>
                  <c:pt idx="213">
                    <c:v>24X35 5 LTS</c:v>
                  </c:pt>
                  <c:pt idx="214">
                    <c:v>38X41 10 LTS</c:v>
                  </c:pt>
                  <c:pt idx="215">
                    <c:v>45X49 15 LTS</c:v>
                  </c:pt>
                  <c:pt idx="216">
                    <c:v>14x23 1 lt</c:v>
                  </c:pt>
                  <c:pt idx="217">
                    <c:v>20x24 2 lt</c:v>
                  </c:pt>
                  <c:pt idx="218">
                    <c:v>58x58c14,5</c:v>
                  </c:pt>
                  <c:pt idx="219">
                    <c:v>c/u</c:v>
                  </c:pt>
                  <c:pt idx="220">
                    <c:v>c/u</c:v>
                  </c:pt>
                  <c:pt idx="221">
                    <c:v>3w230lt/hr</c:v>
                  </c:pt>
                  <c:pt idx="222">
                    <c:v>rs-003 15w 1hr/1mts</c:v>
                  </c:pt>
                  <c:pt idx="223">
                    <c:v>RS-3400,12W,8801/H,1,2 MTR</c:v>
                  </c:pt>
                  <c:pt idx="224">
                    <c:v>RS-4100-A</c:v>
                  </c:pt>
                  <c:pt idx="225">
                    <c:v>rs-901</c:v>
                  </c:pt>
                  <c:pt idx="226">
                    <c:v>RS730</c:v>
                  </c:pt>
                  <c:pt idx="227">
                    <c:v>0</c:v>
                  </c:pt>
                  <c:pt idx="229">
                    <c:v>xl</c:v>
                  </c:pt>
                  <c:pt idx="230">
                    <c:v>4</c:v>
                  </c:pt>
                  <c:pt idx="231">
                    <c:v>5</c:v>
                  </c:pt>
                  <c:pt idx="232">
                    <c:v>6</c:v>
                  </c:pt>
                  <c:pt idx="233">
                    <c:v>8</c:v>
                  </c:pt>
                  <c:pt idx="234">
                    <c:v>230 c.c</c:v>
                  </c:pt>
                  <c:pt idx="235">
                    <c:v>40 cm</c:v>
                  </c:pt>
                  <c:pt idx="238">
                    <c:v>sachet</c:v>
                  </c:pt>
                  <c:pt idx="239">
                    <c:v>7 lt</c:v>
                  </c:pt>
                  <c:pt idx="240">
                    <c:v>2mm 120cm</c:v>
                  </c:pt>
                  <c:pt idx="241">
                    <c:v>180*3,5</c:v>
                  </c:pt>
                  <c:pt idx="242">
                    <c:v>3,5x1,5 mtr,</c:v>
                  </c:pt>
                  <c:pt idx="243">
                    <c:v>1,8*4</c:v>
                  </c:pt>
                  <c:pt idx="244">
                    <c:v>180x3,5</c:v>
                  </c:pt>
                  <c:pt idx="245">
                    <c:v>180x3,5</c:v>
                  </c:pt>
                  <c:pt idx="246">
                    <c:v>180x2,5</c:v>
                  </c:pt>
                  <c:pt idx="249">
                    <c:v>15 gr</c:v>
                  </c:pt>
                  <c:pt idx="250">
                    <c:v>30 grs</c:v>
                  </c:pt>
                  <c:pt idx="251">
                    <c:v>100 grs</c:v>
                  </c:pt>
                  <c:pt idx="252">
                    <c:v>30 w</c:v>
                  </c:pt>
                  <c:pt idx="253">
                    <c:v>100 w rs-688</c:v>
                  </c:pt>
                  <c:pt idx="254">
                    <c:v>300 w</c:v>
                  </c:pt>
                  <c:pt idx="256">
                    <c:v>29x29x33</c:v>
                  </c:pt>
                  <c:pt idx="257">
                    <c:v>34x34x36</c:v>
                  </c:pt>
                  <c:pt idx="260">
                    <c:v>mtr</c:v>
                  </c:pt>
                  <c:pt idx="261">
                    <c:v>100 grs,</c:v>
                  </c:pt>
                  <c:pt idx="262">
                    <c:v>100 gr</c:v>
                  </c:pt>
                  <c:pt idx="263">
                    <c:v>100grs</c:v>
                  </c:pt>
                  <c:pt idx="264">
                    <c:v>200 grs</c:v>
                  </c:pt>
                  <c:pt idx="265">
                    <c:v>1 kg</c:v>
                  </c:pt>
                  <c:pt idx="266">
                    <c:v>500 gr</c:v>
                  </c:pt>
                  <c:pt idx="267">
                    <c:v>150 grs</c:v>
                  </c:pt>
                  <c:pt idx="268">
                    <c:v>90 grs,</c:v>
                  </c:pt>
                  <c:pt idx="269">
                    <c:v>90 GR</c:v>
                  </c:pt>
                  <c:pt idx="270">
                    <c:v>500 gr</c:v>
                  </c:pt>
                  <c:pt idx="271">
                    <c:v>100 gr</c:v>
                  </c:pt>
                  <c:pt idx="272">
                    <c:v>14x8,5</c:v>
                  </c:pt>
                  <c:pt idx="273">
                    <c:v>45*35*55</c:v>
                  </c:pt>
                  <c:pt idx="274">
                    <c:v>400 grs caja</c:v>
                  </c:pt>
                  <c:pt idx="275">
                    <c:v>6</c:v>
                  </c:pt>
                  <c:pt idx="283">
                    <c:v>58X32</c:v>
                  </c:pt>
                  <c:pt idx="284">
                    <c:v>50x21</c:v>
                  </c:pt>
                  <c:pt idx="285">
                    <c:v>650 c,c,</c:v>
                  </c:pt>
                  <c:pt idx="286">
                    <c:v>180 cc</c:v>
                  </c:pt>
                  <c:pt idx="287">
                    <c:v>50 cm</c:v>
                  </c:pt>
                  <c:pt idx="288">
                    <c:v>300 CC</c:v>
                  </c:pt>
                  <c:pt idx="289">
                    <c:v>cebo 50 gr</c:v>
                  </c:pt>
                  <c:pt idx="290">
                    <c:v>650 c,c</c:v>
                  </c:pt>
                  <c:pt idx="291">
                    <c:v>100 gr</c:v>
                  </c:pt>
                  <c:pt idx="292">
                    <c:v>300 cc</c:v>
                  </c:pt>
                  <c:pt idx="293">
                    <c:v>650 cc</c:v>
                  </c:pt>
                  <c:pt idx="294">
                    <c:v>225</c:v>
                  </c:pt>
                  <c:pt idx="295">
                    <c:v>225 cc</c:v>
                  </c:pt>
                  <c:pt idx="296">
                    <c:v>650 cc</c:v>
                  </c:pt>
                  <c:pt idx="297">
                    <c:v>300 CC</c:v>
                  </c:pt>
                  <c:pt idx="298">
                    <c:v>300 c,c,</c:v>
                  </c:pt>
                  <c:pt idx="299">
                    <c:v>500 grs</c:v>
                  </c:pt>
                  <c:pt idx="300">
                    <c:v>100 grs</c:v>
                  </c:pt>
                  <c:pt idx="301">
                    <c:v>10 mts 2</c:v>
                  </c:pt>
                  <c:pt idx="302">
                    <c:v>25 mts 2</c:v>
                  </c:pt>
                  <c:pt idx="303">
                    <c:v>4kg</c:v>
                  </c:pt>
                  <c:pt idx="304">
                    <c:v>500 gr</c:v>
                  </c:pt>
                  <c:pt idx="305">
                    <c:v>250 gr</c:v>
                  </c:pt>
                  <c:pt idx="307">
                    <c:v>5 kg</c:v>
                  </c:pt>
                  <c:pt idx="308">
                    <c:v>2 MTS ANCHO</c:v>
                  </c:pt>
                  <c:pt idx="310">
                    <c:v>bolsa 4,250kg</c:v>
                  </c:pt>
                  <c:pt idx="316">
                    <c:v>100c,c,</c:v>
                  </c:pt>
                  <c:pt idx="317">
                    <c:v>1 ltr</c:v>
                  </c:pt>
                  <c:pt idx="318">
                    <c:v>1 lts</c:v>
                  </c:pt>
                  <c:pt idx="319">
                    <c:v>5 ltr</c:v>
                  </c:pt>
                  <c:pt idx="320">
                    <c:v>650 c,c</c:v>
                  </c:pt>
                  <c:pt idx="322">
                    <c:v>30 ml</c:v>
                  </c:pt>
                  <c:pt idx="323">
                    <c:v>15</c:v>
                  </c:pt>
                  <c:pt idx="324">
                    <c:v>25</c:v>
                  </c:pt>
                  <c:pt idx="325">
                    <c:v>35</c:v>
                  </c:pt>
                  <c:pt idx="326">
                    <c:v>40</c:v>
                  </c:pt>
                  <c:pt idx="327">
                    <c:v>10 lt</c:v>
                  </c:pt>
                  <c:pt idx="328">
                    <c:v>7,6</c:v>
                  </c:pt>
                  <c:pt idx="329">
                    <c:v>11,4 lt</c:v>
                  </c:pt>
                  <c:pt idx="330">
                    <c:v>220 lt</c:v>
                  </c:pt>
                  <c:pt idx="331">
                    <c:v>2 kg</c:v>
                  </c:pt>
                  <c:pt idx="335">
                    <c:v>54X2,5</c:v>
                  </c:pt>
                  <c:pt idx="336">
                    <c:v>31 cmx10mm con piedritas</c:v>
                  </c:pt>
                  <c:pt idx="337">
                    <c:v>3,mm 55cm</c:v>
                  </c:pt>
                  <c:pt idx="338">
                    <c:v>2 mm 40 cm</c:v>
                  </c:pt>
                  <c:pt idx="339">
                    <c:v>4mm 65cm</c:v>
                  </c:pt>
                  <c:pt idx="340">
                    <c:v>2,5x50cm</c:v>
                  </c:pt>
                  <c:pt idx="341">
                    <c:v>2,5x55 cm</c:v>
                  </c:pt>
                  <c:pt idx="342">
                    <c:v>2 cmx45cm</c:v>
                  </c:pt>
                  <c:pt idx="343">
                    <c:v>3,5 cmx65 cm</c:v>
                  </c:pt>
                  <c:pt idx="344">
                    <c:v>3,5 cmx75 cm</c:v>
                  </c:pt>
                  <c:pt idx="345">
                    <c:v>1,2 cm-30 cm</c:v>
                  </c:pt>
                  <c:pt idx="346">
                    <c:v>3 cm-60 cm</c:v>
                  </c:pt>
                  <c:pt idx="347">
                    <c:v>3cm *60cm doble cinta</c:v>
                  </c:pt>
                  <c:pt idx="348">
                    <c:v>1,2x25 cm</c:v>
                  </c:pt>
                  <c:pt idx="349">
                    <c:v>35 cm x 1 cm</c:v>
                  </c:pt>
                  <c:pt idx="350">
                    <c:v>40 cm</c:v>
                  </c:pt>
                  <c:pt idx="351">
                    <c:v>3,5x70</c:v>
                  </c:pt>
                  <c:pt idx="352">
                    <c:v>N6 </c:v>
                  </c:pt>
                  <c:pt idx="354">
                    <c:v>72 cm</c:v>
                  </c:pt>
                  <c:pt idx="355">
                    <c:v>63 cm</c:v>
                  </c:pt>
                  <c:pt idx="356">
                    <c:v>40cm</c:v>
                  </c:pt>
                  <c:pt idx="357">
                    <c:v>55x30</c:v>
                  </c:pt>
                  <c:pt idx="358">
                    <c:v>72 cm</c:v>
                  </c:pt>
                  <c:pt idx="359">
                    <c:v>65x4</c:v>
                  </c:pt>
                  <c:pt idx="360">
                    <c:v>80x5</c:v>
                  </c:pt>
                  <c:pt idx="363">
                    <c:v>0</c:v>
                  </c:pt>
                  <c:pt idx="364">
                    <c:v>13 gr</c:v>
                  </c:pt>
                  <c:pt idx="369">
                    <c:v>1 cm</c:v>
                  </c:pt>
                  <c:pt idx="370">
                    <c:v>40x1,5</c:v>
                  </c:pt>
                  <c:pt idx="371">
                    <c:v>36x1,5</c:v>
                  </c:pt>
                  <c:pt idx="372">
                    <c:v>39</c:v>
                  </c:pt>
                  <c:pt idx="373">
                    <c:v>0</c:v>
                  </c:pt>
                  <c:pt idx="374">
                    <c:v>63 cn</c:v>
                  </c:pt>
                  <c:pt idx="375">
                    <c:v>30x14</c:v>
                  </c:pt>
                  <c:pt idx="376">
                    <c:v>55 cm</c:v>
                  </c:pt>
                  <c:pt idx="377">
                    <c:v>72 cm</c:v>
                  </c:pt>
                  <c:pt idx="378">
                    <c:v>2,5mm45cm</c:v>
                  </c:pt>
                  <c:pt idx="379">
                    <c:v>4 mm60cm</c:v>
                  </c:pt>
                  <c:pt idx="380">
                    <c:v>1 CM</c:v>
                  </c:pt>
                  <c:pt idx="382">
                    <c:v>c/u</c:v>
                  </c:pt>
                  <c:pt idx="383">
                    <c:v>1kg</c:v>
                  </c:pt>
                  <c:pt idx="384">
                    <c:v>25 kg</c:v>
                  </c:pt>
                  <c:pt idx="385">
                    <c:v>22 cm</c:v>
                  </c:pt>
                  <c:pt idx="386">
                    <c:v>0</c:v>
                  </c:pt>
                  <c:pt idx="387">
                    <c:v>1100 ml</c:v>
                  </c:pt>
                  <c:pt idx="388">
                    <c:v>15cm</c:v>
                  </c:pt>
                  <c:pt idx="392">
                    <c:v>6,5X5</c:v>
                  </c:pt>
                  <c:pt idx="393">
                    <c:v>10X5</c:v>
                  </c:pt>
                  <c:pt idx="394">
                    <c:v>c/u</c:v>
                  </c:pt>
                  <c:pt idx="395">
                    <c:v>600 ml</c:v>
                  </c:pt>
                  <c:pt idx="396">
                    <c:v>300 ml </c:v>
                  </c:pt>
                  <c:pt idx="397">
                    <c:v>27x14,5</c:v>
                  </c:pt>
                  <c:pt idx="398">
                    <c:v>22 cm</c:v>
                  </c:pt>
                  <c:pt idx="399">
                    <c:v>30*16*5,5</c:v>
                  </c:pt>
                  <c:pt idx="400">
                    <c:v>23x12x3</c:v>
                  </c:pt>
                  <c:pt idx="401">
                    <c:v>22x6</c:v>
                  </c:pt>
                  <c:pt idx="402">
                    <c:v>14,8*3,8</c:v>
                  </c:pt>
                  <c:pt idx="403">
                    <c:v>c/u</c:v>
                  </c:pt>
                  <c:pt idx="405">
                    <c:v>c/u</c:v>
                  </c:pt>
                  <c:pt idx="406">
                    <c:v>0</c:v>
                  </c:pt>
                  <c:pt idx="407">
                    <c:v>grde</c:v>
                  </c:pt>
                  <c:pt idx="408">
                    <c:v>10 cm</c:v>
                  </c:pt>
                  <c:pt idx="409">
                    <c:v>50 cm</c:v>
                  </c:pt>
                  <c:pt idx="410">
                    <c:v>50 cm</c:v>
                  </c:pt>
                  <c:pt idx="411">
                    <c:v>12x8x3,5 cm</c:v>
                  </c:pt>
                  <c:pt idx="413">
                    <c:v>45cm lata</c:v>
                  </c:pt>
                  <c:pt idx="414">
                    <c:v>c/u</c:v>
                  </c:pt>
                  <c:pt idx="415">
                    <c:v>17,5x5</c:v>
                  </c:pt>
                  <c:pt idx="416">
                    <c:v>20 lt,</c:v>
                  </c:pt>
                  <c:pt idx="417">
                    <c:v>7</c:v>
                  </c:pt>
                  <c:pt idx="423">
                    <c:v>6 unidades</c:v>
                  </c:pt>
                  <c:pt idx="424">
                    <c:v>2 doc claveles</c:v>
                  </c:pt>
                  <c:pt idx="426">
                    <c:v>4 doc claveles</c:v>
                  </c:pt>
                  <c:pt idx="427">
                    <c:v>2,5 doc claveles ilusion flpilla</c:v>
                  </c:pt>
                  <c:pt idx="428">
                    <c:v>1,2*120</c:v>
                  </c:pt>
                  <c:pt idx="429">
                    <c:v>1,5x120</c:v>
                  </c:pt>
                  <c:pt idx="430">
                    <c:v>2x116</c:v>
                  </c:pt>
                  <c:pt idx="431">
                    <c:v>2,5x116</c:v>
                  </c:pt>
                  <c:pt idx="434">
                    <c:v>3,5 cm-110cm</c:v>
                  </c:pt>
                  <c:pt idx="435">
                    <c:v>3x110</c:v>
                  </c:pt>
                  <c:pt idx="436">
                    <c:v>resiste 15kg aprox,</c:v>
                  </c:pt>
                  <c:pt idx="437">
                    <c:v>bolsa</c:v>
                  </c:pt>
                  <c:pt idx="438">
                    <c:v>345 c,c</c:v>
                  </c:pt>
                  <c:pt idx="439">
                    <c:v>60 c,c</c:v>
                  </c:pt>
                  <c:pt idx="440">
                    <c:v>345 cc</c:v>
                  </c:pt>
                  <c:pt idx="441">
                    <c:v>345</c:v>
                  </c:pt>
                  <c:pt idx="442">
                    <c:v>600 grs</c:v>
                  </c:pt>
                  <c:pt idx="443">
                    <c:v>60 c,,c</c:v>
                  </c:pt>
                  <c:pt idx="444">
                    <c:v>600 grs</c:v>
                  </c:pt>
                  <c:pt idx="445">
                    <c:v>1,2lt</c:v>
                  </c:pt>
                  <c:pt idx="446">
                    <c:v>345 c,c,</c:v>
                  </c:pt>
                  <c:pt idx="447">
                    <c:v>600 grs</c:v>
                  </c:pt>
                  <c:pt idx="448">
                    <c:v>650 cc</c:v>
                  </c:pt>
                  <c:pt idx="449">
                    <c:v>345 c,c,</c:v>
                  </c:pt>
                  <c:pt idx="450">
                    <c:v>sachet 60 grs</c:v>
                  </c:pt>
                  <c:pt idx="451">
                    <c:v>ltr</c:v>
                  </c:pt>
                  <c:pt idx="452">
                    <c:v>1 ltr</c:v>
                  </c:pt>
                  <c:pt idx="453">
                    <c:v>1/2 ltr</c:v>
                  </c:pt>
                  <c:pt idx="454">
                    <c:v>1 ltr</c:v>
                  </c:pt>
                  <c:pt idx="455">
                    <c:v>1 ltr</c:v>
                  </c:pt>
                  <c:pt idx="456">
                    <c:v>500 c,c,</c:v>
                  </c:pt>
                  <c:pt idx="457">
                    <c:v>250 c.c.</c:v>
                  </c:pt>
                  <c:pt idx="458">
                    <c:v>1/2 ltr</c:v>
                  </c:pt>
                  <c:pt idx="460">
                    <c:v>100 gr</c:v>
                  </c:pt>
                  <c:pt idx="461">
                    <c:v>200 grs</c:v>
                  </c:pt>
                  <c:pt idx="462">
                    <c:v>0</c:v>
                  </c:pt>
                  <c:pt idx="463">
                    <c:v>100 grs</c:v>
                  </c:pt>
                  <c:pt idx="464">
                    <c:v>26 cm 2 nudos 2 pelotas</c:v>
                  </c:pt>
                  <c:pt idx="466">
                    <c:v>0</c:v>
                  </c:pt>
                  <c:pt idx="468">
                    <c:v>grande</c:v>
                  </c:pt>
                  <c:pt idx="469">
                    <c:v>mediana</c:v>
                  </c:pt>
                  <c:pt idx="470">
                    <c:v>chica</c:v>
                  </c:pt>
                  <c:pt idx="471">
                    <c:v>50v29x15</c:v>
                  </c:pt>
                  <c:pt idx="472">
                    <c:v>50*29*15</c:v>
                  </c:pt>
                  <c:pt idx="473">
                    <c:v>56*33*15</c:v>
                  </c:pt>
                  <c:pt idx="474">
                    <c:v>451 c,c</c:v>
                  </c:pt>
                  <c:pt idx="475">
                    <c:v>440 ml</c:v>
                  </c:pt>
                  <c:pt idx="477">
                    <c:v>1 ltr</c:v>
                  </c:pt>
                  <c:pt idx="478">
                    <c:v>47,5 gr</c:v>
                  </c:pt>
                  <c:pt idx="479">
                    <c:v>C/U</c:v>
                  </c:pt>
                  <c:pt idx="480">
                    <c:v>40 CC</c:v>
                  </c:pt>
                  <c:pt idx="481">
                    <c:v>100 CC</c:v>
                  </c:pt>
                  <c:pt idx="482">
                    <c:v>100gr</c:v>
                  </c:pt>
                  <c:pt idx="483">
                    <c:v>360 cc</c:v>
                  </c:pt>
                  <c:pt idx="484">
                    <c:v>50 lts</c:v>
                  </c:pt>
                  <c:pt idx="489">
                    <c:v>24</c:v>
                  </c:pt>
                  <c:pt idx="492">
                    <c:v>c/u</c:v>
                  </c:pt>
                  <c:pt idx="493">
                    <c:v>c/u</c:v>
                  </c:pt>
                  <c:pt idx="495">
                    <c:v>c/u</c:v>
                  </c:pt>
                  <c:pt idx="496">
                    <c:v>2 ltr</c:v>
                  </c:pt>
                  <c:pt idx="497">
                    <c:v>tejido en hilo</c:v>
                  </c:pt>
                  <c:pt idx="498">
                    <c:v>c/u</c:v>
                  </c:pt>
                  <c:pt idx="499">
                    <c:v>MEDIANIO</c:v>
                  </c:pt>
                  <c:pt idx="500">
                    <c:v>madera</c:v>
                  </c:pt>
                  <c:pt idx="502">
                    <c:v>900 gr</c:v>
                  </c:pt>
                  <c:pt idx="503">
                    <c:v>C/U</c:v>
                  </c:pt>
                  <c:pt idx="504">
                    <c:v>2</c:v>
                  </c:pt>
                  <c:pt idx="505">
                    <c:v>N28</c:v>
                  </c:pt>
                  <c:pt idx="507">
                    <c:v>2 lt</c:v>
                  </c:pt>
                  <c:pt idx="509">
                    <c:v>37X30</c:v>
                  </c:pt>
                  <c:pt idx="511">
                    <c:v>18 cm</c:v>
                  </c:pt>
                  <c:pt idx="512">
                    <c:v>12cm</c:v>
                  </c:pt>
                  <c:pt idx="513">
                    <c:v>C/U</c:v>
                  </c:pt>
                  <c:pt idx="516">
                    <c:v>200 grs</c:v>
                  </c:pt>
                  <c:pt idx="517">
                    <c:v>100 grs</c:v>
                  </c:pt>
                  <c:pt idx="519">
                    <c:v>100 gr</c:v>
                  </c:pt>
                  <c:pt idx="520">
                    <c:v>3</c:v>
                  </c:pt>
                  <c:pt idx="521">
                    <c:v>20 lt</c:v>
                  </c:pt>
                  <c:pt idx="522">
                    <c:v>12 PASTILLAS</c:v>
                  </c:pt>
                  <c:pt idx="526">
                    <c:v>5 a 10 kg</c:v>
                  </c:pt>
                  <c:pt idx="527">
                    <c:v>10 a 20 kg</c:v>
                  </c:pt>
                  <c:pt idx="528">
                    <c:v>20 a 40 kg</c:v>
                  </c:pt>
                  <c:pt idx="529">
                    <c:v>40 a 60 kg</c:v>
                  </c:pt>
                  <c:pt idx="530">
                    <c:v>0</c:v>
                  </c:pt>
                  <c:pt idx="532">
                    <c:v>2 kg</c:v>
                  </c:pt>
                  <c:pt idx="534">
                    <c:v>6 grs</c:v>
                  </c:pt>
                  <c:pt idx="535">
                    <c:v>15 kg</c:v>
                  </c:pt>
                  <c:pt idx="536">
                    <c:v>500 c,c,</c:v>
                  </c:pt>
                  <c:pt idx="537">
                    <c:v>100 grs</c:v>
                  </c:pt>
                  <c:pt idx="539">
                    <c:v>7,5 kg</c:v>
                  </c:pt>
                  <c:pt idx="540">
                    <c:v>5 lt c/roseta</c:v>
                  </c:pt>
                  <c:pt idx="541">
                    <c:v>1kg</c:v>
                  </c:pt>
                  <c:pt idx="544">
                    <c:v>23x23x72</c:v>
                  </c:pt>
                  <c:pt idx="545">
                    <c:v>paquete</c:v>
                  </c:pt>
                  <c:pt idx="546">
                    <c:v>c/u</c:v>
                  </c:pt>
                  <c:pt idx="547">
                    <c:v>pte 10</c:v>
                  </c:pt>
                  <c:pt idx="548">
                    <c:v>paq.</c:v>
                  </c:pt>
                  <c:pt idx="550">
                    <c:v>250cc</c:v>
                  </c:pt>
                  <c:pt idx="551">
                    <c:v>1/2lt</c:v>
                  </c:pt>
                  <c:pt idx="552">
                    <c:v>9 cm</c:v>
                  </c:pt>
                  <c:pt idx="553">
                    <c:v>5 cm</c:v>
                  </c:pt>
                  <c:pt idx="555">
                    <c:v>caja</c:v>
                  </c:pt>
                  <c:pt idx="556">
                    <c:v>c/u</c:v>
                  </c:pt>
                  <c:pt idx="558">
                    <c:v>20 ml</c:v>
                  </c:pt>
                  <c:pt idx="559">
                    <c:v>600 cc</c:v>
                  </c:pt>
                  <c:pt idx="560">
                    <c:v>700 cc</c:v>
                  </c:pt>
                  <c:pt idx="562">
                    <c:v>10 cm</c:v>
                  </c:pt>
                  <c:pt idx="563">
                    <c:v>50 grs</c:v>
                  </c:pt>
                  <c:pt idx="564">
                    <c:v>345 c,c,</c:v>
                  </c:pt>
                  <c:pt idx="565">
                    <c:v>4 l</c:v>
                  </c:pt>
                  <c:pt idx="566">
                    <c:v>32,5 gr</c:v>
                  </c:pt>
                  <c:pt idx="568">
                    <c:v>39 cm</c:v>
                  </c:pt>
                  <c:pt idx="569">
                    <c:v>c/u</c:v>
                  </c:pt>
                  <c:pt idx="571">
                    <c:v>40x45</c:v>
                  </c:pt>
                  <c:pt idx="572">
                    <c:v>24 dientes</c:v>
                  </c:pt>
                  <c:pt idx="579">
                    <c:v>20cm</c:v>
                  </c:pt>
                  <c:pt idx="582">
                    <c:v>cajax10</c:v>
                  </c:pt>
                  <c:pt idx="584">
                    <c:v>1x2 mt</c:v>
                  </c:pt>
                  <c:pt idx="586">
                    <c:v>c/u</c:v>
                  </c:pt>
                  <c:pt idx="587">
                    <c:v>blister</c:v>
                  </c:pt>
                  <c:pt idx="588">
                    <c:v>c/u</c:v>
                  </c:pt>
                  <c:pt idx="589">
                    <c:v>450 GR</c:v>
                  </c:pt>
                  <c:pt idx="590">
                    <c:v>25kg</c:v>
                  </c:pt>
                  <c:pt idx="591">
                    <c:v>1 kg</c:v>
                  </c:pt>
                  <c:pt idx="592">
                    <c:v>25 kg</c:v>
                  </c:pt>
                  <c:pt idx="593">
                    <c:v>1 kg</c:v>
                  </c:pt>
                  <c:pt idx="594">
                    <c:v>1 kg</c:v>
                  </c:pt>
                  <c:pt idx="595">
                    <c:v>1 kg</c:v>
                  </c:pt>
                  <c:pt idx="596">
                    <c:v>25 kg</c:v>
                  </c:pt>
                  <c:pt idx="597">
                    <c:v>100 gr</c:v>
                  </c:pt>
                  <c:pt idx="598">
                    <c:v>25kg</c:v>
                  </c:pt>
                  <c:pt idx="599">
                    <c:v>1 kg</c:v>
                  </c:pt>
                  <c:pt idx="600">
                    <c:v>25 kg</c:v>
                  </c:pt>
                  <c:pt idx="601">
                    <c:v>1 kg</c:v>
                  </c:pt>
                  <c:pt idx="602">
                    <c:v>25 kg</c:v>
                  </c:pt>
                  <c:pt idx="603">
                    <c:v>1 kg</c:v>
                  </c:pt>
                  <c:pt idx="604">
                    <c:v>100 gr</c:v>
                  </c:pt>
                  <c:pt idx="606">
                    <c:v>150 gr</c:v>
                  </c:pt>
                  <c:pt idx="607">
                    <c:v>1 kg</c:v>
                  </c:pt>
                  <c:pt idx="608">
                    <c:v>150 grs</c:v>
                  </c:pt>
                  <c:pt idx="609">
                    <c:v>150 gr</c:v>
                  </c:pt>
                  <c:pt idx="611">
                    <c:v>150 gr</c:v>
                  </c:pt>
                  <c:pt idx="612">
                    <c:v>150 gr</c:v>
                  </c:pt>
                  <c:pt idx="613">
                    <c:v>150 gr</c:v>
                  </c:pt>
                  <c:pt idx="614">
                    <c:v>50 ltr</c:v>
                  </c:pt>
                  <c:pt idx="615">
                    <c:v>200 grs</c:v>
                  </c:pt>
                  <c:pt idx="616">
                    <c:v>1 kg</c:v>
                  </c:pt>
                  <c:pt idx="617">
                    <c:v>200 gr</c:v>
                  </c:pt>
                  <c:pt idx="618">
                    <c:v>10 lt</c:v>
                  </c:pt>
                  <c:pt idx="619">
                    <c:v>1 carbon-2esponja</c:v>
                  </c:pt>
                  <c:pt idx="620">
                    <c:v>430 k</c:v>
                  </c:pt>
                  <c:pt idx="621">
                    <c:v>rs-230</c:v>
                  </c:pt>
                  <c:pt idx="622">
                    <c:v>rs-130 k</c:v>
                  </c:pt>
                  <c:pt idx="623">
                    <c:v>rs-280</c:v>
                  </c:pt>
                  <c:pt idx="624">
                    <c:v>RS-1000 600 LT/HR</c:v>
                  </c:pt>
                  <c:pt idx="625">
                    <c:v>RS188 12w 800lt hr</c:v>
                  </c:pt>
                  <c:pt idx="626">
                    <c:v>350 lt / hr</c:v>
                  </c:pt>
                  <c:pt idx="627">
                    <c:v>450 lt / hr</c:v>
                  </c:pt>
                  <c:pt idx="628">
                    <c:v>1000 lt/hr</c:v>
                  </c:pt>
                  <c:pt idx="629">
                    <c:v>600 lt/hr</c:v>
                  </c:pt>
                  <c:pt idx="630">
                    <c:v>300 lt/hr</c:v>
                  </c:pt>
                  <c:pt idx="631">
                    <c:v>c/u</c:v>
                  </c:pt>
                  <c:pt idx="632">
                    <c:v>rs-4500</c:v>
                  </c:pt>
                  <c:pt idx="633">
                    <c:v>250,c,c</c:v>
                  </c:pt>
                  <c:pt idx="634">
                    <c:v>5 ltr</c:v>
                  </c:pt>
                  <c:pt idx="635">
                    <c:v>250 c,c</c:v>
                  </c:pt>
                  <c:pt idx="636">
                    <c:v>250 cc</c:v>
                  </c:pt>
                  <c:pt idx="638">
                    <c:v>c/u</c:v>
                  </c:pt>
                  <c:pt idx="639">
                    <c:v>c/u</c:v>
                  </c:pt>
                  <c:pt idx="645">
                    <c:v>c/u</c:v>
                  </c:pt>
                  <c:pt idx="652">
                    <c:v>9,5X19</c:v>
                  </c:pt>
                  <c:pt idx="653">
                    <c:v>13X23,5</c:v>
                  </c:pt>
                  <c:pt idx="654">
                    <c:v>6X18,5</c:v>
                  </c:pt>
                  <c:pt idx="655">
                    <c:v>839X19</c:v>
                  </c:pt>
                  <c:pt idx="658">
                    <c:v>15 varas</c:v>
                  </c:pt>
                  <c:pt idx="659">
                    <c:v>1v</c:v>
                  </c:pt>
                  <c:pt idx="666">
                    <c:v>0</c:v>
                  </c:pt>
                  <c:pt idx="667">
                    <c:v>30 c,c</c:v>
                  </c:pt>
                  <c:pt idx="668">
                    <c:v>100 c,c</c:v>
                  </c:pt>
                  <c:pt idx="670">
                    <c:v>4 lts</c:v>
                  </c:pt>
                  <c:pt idx="671">
                    <c:v>1,9 lt</c:v>
                  </c:pt>
                  <c:pt idx="672">
                    <c:v>410 ml</c:v>
                  </c:pt>
                  <c:pt idx="673">
                    <c:v>1 LT</c:v>
                  </c:pt>
                  <c:pt idx="674">
                    <c:v>50 cc</c:v>
                  </c:pt>
                  <c:pt idx="675">
                    <c:v>1 ltr</c:v>
                  </c:pt>
                  <c:pt idx="676">
                    <c:v>100 c,c</c:v>
                  </c:pt>
                  <c:pt idx="679">
                    <c:v>10 kg</c:v>
                  </c:pt>
                  <c:pt idx="680">
                    <c:v>5 kg</c:v>
                  </c:pt>
                  <c:pt idx="681">
                    <c:v>7,5 kg</c:v>
                  </c:pt>
                  <c:pt idx="682">
                    <c:v>1/2 kg</c:v>
                  </c:pt>
                  <c:pt idx="683">
                    <c:v>25 kg</c:v>
                  </c:pt>
                  <c:pt idx="684">
                    <c:v>1/2 kg</c:v>
                  </c:pt>
                  <c:pt idx="685">
                    <c:v>7 kg</c:v>
                  </c:pt>
                  <c:pt idx="686">
                    <c:v>1/2 kg</c:v>
                  </c:pt>
                  <c:pt idx="687">
                    <c:v>1/2 kg</c:v>
                  </c:pt>
                  <c:pt idx="688">
                    <c:v>500 gr</c:v>
                  </c:pt>
                  <c:pt idx="689">
                    <c:v>1/2 kg</c:v>
                  </c:pt>
                  <c:pt idx="690">
                    <c:v>1/2 kg</c:v>
                  </c:pt>
                  <c:pt idx="691">
                    <c:v>15 kg</c:v>
                  </c:pt>
                  <c:pt idx="692">
                    <c:v>15 kg</c:v>
                  </c:pt>
                  <c:pt idx="693">
                    <c:v>1/2 kg</c:v>
                  </c:pt>
                  <c:pt idx="694">
                    <c:v>kg</c:v>
                  </c:pt>
                  <c:pt idx="695">
                    <c:v>1 KG</c:v>
                  </c:pt>
                  <c:pt idx="696">
                    <c:v>8 KG</c:v>
                  </c:pt>
                  <c:pt idx="697">
                    <c:v>7 KG</c:v>
                  </c:pt>
                  <c:pt idx="698">
                    <c:v>1 KG</c:v>
                  </c:pt>
                  <c:pt idx="699">
                    <c:v>1/2 kg</c:v>
                  </c:pt>
                  <c:pt idx="700">
                    <c:v>7,5 kg</c:v>
                  </c:pt>
                  <c:pt idx="701">
                    <c:v>15 kg</c:v>
                  </c:pt>
                  <c:pt idx="702">
                    <c:v>1/2 kg</c:v>
                  </c:pt>
                  <c:pt idx="703">
                    <c:v>0,5</c:v>
                  </c:pt>
                  <c:pt idx="704">
                    <c:v>7 kg</c:v>
                  </c:pt>
                  <c:pt idx="705">
                    <c:v>500 gr</c:v>
                  </c:pt>
                  <c:pt idx="706">
                    <c:v>10 kg</c:v>
                  </c:pt>
                  <c:pt idx="707">
                    <c:v>22</c:v>
                  </c:pt>
                  <c:pt idx="708">
                    <c:v>1/2 kg</c:v>
                  </c:pt>
                  <c:pt idx="709">
                    <c:v>15 kg</c:v>
                  </c:pt>
                  <c:pt idx="710">
                    <c:v>1/2 kg</c:v>
                  </c:pt>
                  <c:pt idx="711">
                    <c:v>10 kg</c:v>
                  </c:pt>
                  <c:pt idx="712">
                    <c:v>1/2 kg</c:v>
                  </c:pt>
                  <c:pt idx="713">
                    <c:v>8 kgr</c:v>
                  </c:pt>
                  <c:pt idx="714">
                    <c:v>20kg</c:v>
                  </c:pt>
                  <c:pt idx="715">
                    <c:v>60x35</c:v>
                  </c:pt>
                  <c:pt idx="716">
                    <c:v>1 kg</c:v>
                  </c:pt>
                  <c:pt idx="717">
                    <c:v>85grs</c:v>
                  </c:pt>
                  <c:pt idx="718">
                    <c:v>1/2 kg</c:v>
                  </c:pt>
                  <c:pt idx="719">
                    <c:v>1/2 kg</c:v>
                  </c:pt>
                  <c:pt idx="720">
                    <c:v>10kg</c:v>
                  </c:pt>
                  <c:pt idx="721">
                    <c:v>10kg</c:v>
                  </c:pt>
                  <c:pt idx="722">
                    <c:v>7kg</c:v>
                  </c:pt>
                  <c:pt idx="724">
                    <c:v>25 kg</c:v>
                  </c:pt>
                  <c:pt idx="725">
                    <c:v>kg</c:v>
                  </c:pt>
                  <c:pt idx="726">
                    <c:v>20 kg</c:v>
                  </c:pt>
                  <c:pt idx="727">
                    <c:v>kg</c:v>
                  </c:pt>
                  <c:pt idx="728">
                    <c:v>1 kg</c:v>
                  </c:pt>
                  <c:pt idx="729">
                    <c:v>200 gr</c:v>
                  </c:pt>
                  <c:pt idx="730">
                    <c:v>20 ltr</c:v>
                  </c:pt>
                  <c:pt idx="731">
                    <c:v>1 ltr</c:v>
                  </c:pt>
                  <c:pt idx="732">
                    <c:v>5 kg</c:v>
                  </c:pt>
                  <c:pt idx="733">
                    <c:v>500 c.c.</c:v>
                  </c:pt>
                  <c:pt idx="734">
                    <c:v>500 cc</c:v>
                  </c:pt>
                  <c:pt idx="735">
                    <c:v>250 ml</c:v>
                  </c:pt>
                  <c:pt idx="736">
                    <c:v>500 grs</c:v>
                  </c:pt>
                  <c:pt idx="740">
                    <c:v>j&amp;G</c:v>
                  </c:pt>
                  <c:pt idx="741">
                    <c:v>0</c:v>
                  </c:pt>
                  <c:pt idx="742">
                    <c:v>0</c:v>
                  </c:pt>
                  <c:pt idx="744">
                    <c:v>0</c:v>
                  </c:pt>
                  <c:pt idx="750">
                    <c:v>1 kg</c:v>
                  </c:pt>
                  <c:pt idx="751">
                    <c:v>100 c,c</c:v>
                  </c:pt>
                  <c:pt idx="752">
                    <c:v>1/4 lt</c:v>
                  </c:pt>
                  <c:pt idx="753">
                    <c:v>1/2 lt</c:v>
                  </c:pt>
                  <c:pt idx="754">
                    <c:v>100 cc</c:v>
                  </c:pt>
                  <c:pt idx="755">
                    <c:v>1 ltr</c:v>
                  </c:pt>
                  <c:pt idx="756">
                    <c:v>1 lt</c:v>
                  </c:pt>
                  <c:pt idx="757">
                    <c:v>20 lt</c:v>
                  </c:pt>
                  <c:pt idx="758">
                    <c:v>c/u</c:v>
                  </c:pt>
                  <c:pt idx="759">
                    <c:v>0</c:v>
                  </c:pt>
                  <c:pt idx="760">
                    <c:v>5 grs</c:v>
                  </c:pt>
                  <c:pt idx="761">
                    <c:v>10 ltr</c:v>
                  </c:pt>
                  <c:pt idx="762">
                    <c:v>c/u</c:v>
                  </c:pt>
                  <c:pt idx="764">
                    <c:v>100 gr</c:v>
                  </c:pt>
                  <c:pt idx="765">
                    <c:v>250 grs</c:v>
                  </c:pt>
                  <c:pt idx="766">
                    <c:v>500 grs</c:v>
                  </c:pt>
                  <c:pt idx="767">
                    <c:v>500 gr</c:v>
                  </c:pt>
                  <c:pt idx="768">
                    <c:v>250</c:v>
                  </c:pt>
                  <c:pt idx="769">
                    <c:v>100 gr</c:v>
                  </c:pt>
                  <c:pt idx="770">
                    <c:v>1 kg</c:v>
                  </c:pt>
                  <c:pt idx="771">
                    <c:v>1 kg</c:v>
                  </c:pt>
                  <c:pt idx="772">
                    <c:v>1 kg</c:v>
                  </c:pt>
                  <c:pt idx="773">
                    <c:v>100 gr</c:v>
                  </c:pt>
                  <c:pt idx="774">
                    <c:v>100 gr</c:v>
                  </c:pt>
                  <c:pt idx="777">
                    <c:v>c/u</c:v>
                  </c:pt>
                  <c:pt idx="778">
                    <c:v>c/u</c:v>
                  </c:pt>
                  <c:pt idx="779">
                    <c:v>24 unidades</c:v>
                  </c:pt>
                  <c:pt idx="780">
                    <c:v>1 unidad</c:v>
                  </c:pt>
                  <c:pt idx="781">
                    <c:v>pte. 5 huevos</c:v>
                  </c:pt>
                  <c:pt idx="782">
                    <c:v>2 lt </c:v>
                  </c:pt>
                  <c:pt idx="783">
                    <c:v>6 lt</c:v>
                  </c:pt>
                  <c:pt idx="784">
                    <c:v>4 lts</c:v>
                  </c:pt>
                  <c:pt idx="785">
                    <c:v>10 lts</c:v>
                  </c:pt>
                  <c:pt idx="786">
                    <c:v>360 cc</c:v>
                  </c:pt>
                  <c:pt idx="788">
                    <c:v>c/u</c:v>
                  </c:pt>
                  <c:pt idx="789">
                    <c:v>36*31*31</c:v>
                  </c:pt>
                  <c:pt idx="790">
                    <c:v>45*40*36</c:v>
                  </c:pt>
                  <c:pt idx="791">
                    <c:v>35*35</c:v>
                  </c:pt>
                  <c:pt idx="792">
                    <c:v>50 C.C</c:v>
                  </c:pt>
                  <c:pt idx="793">
                    <c:v>100 c,c</c:v>
                  </c:pt>
                  <c:pt idx="796">
                    <c:v>1 ltr</c:v>
                  </c:pt>
                  <c:pt idx="797">
                    <c:v>50 ml</c:v>
                  </c:pt>
                  <c:pt idx="799">
                    <c:v>1Lt</c:v>
                  </c:pt>
                  <c:pt idx="800">
                    <c:v>360 cc</c:v>
                  </c:pt>
                  <c:pt idx="801">
                    <c:v>100 cc</c:v>
                  </c:pt>
                  <c:pt idx="802">
                    <c:v>500</c:v>
                  </c:pt>
                  <c:pt idx="803">
                    <c:v>1 lt</c:v>
                  </c:pt>
                  <c:pt idx="804">
                    <c:v>5 lts</c:v>
                  </c:pt>
                  <c:pt idx="805">
                    <c:v>50 cm</c:v>
                  </c:pt>
                  <c:pt idx="806">
                    <c:v>31X16X12</c:v>
                  </c:pt>
                  <c:pt idx="807">
                    <c:v>35X14</c:v>
                  </c:pt>
                  <c:pt idx="808">
                    <c:v>44,5X14</c:v>
                  </c:pt>
                  <c:pt idx="809">
                    <c:v>57X22</c:v>
                  </c:pt>
                  <c:pt idx="810">
                    <c:v>DOBLE balcon</c:v>
                  </c:pt>
                  <c:pt idx="811">
                    <c:v>35 cm </c:v>
                  </c:pt>
                  <c:pt idx="812">
                    <c:v>80 cm </c:v>
                  </c:pt>
                  <c:pt idx="814">
                    <c:v>20 cm</c:v>
                  </c:pt>
                  <c:pt idx="815">
                    <c:v>30 cm</c:v>
                  </c:pt>
                  <c:pt idx="816">
                    <c:v>40 cm</c:v>
                  </c:pt>
                  <c:pt idx="817">
                    <c:v>50 cm</c:v>
                  </c:pt>
                  <c:pt idx="818">
                    <c:v>60 cm</c:v>
                  </c:pt>
                  <c:pt idx="819">
                    <c:v>jd45</c:v>
                  </c:pt>
                  <c:pt idx="820">
                    <c:v>jd33</c:v>
                  </c:pt>
                  <c:pt idx="821">
                    <c:v>20</c:v>
                  </c:pt>
                  <c:pt idx="822">
                    <c:v>36</c:v>
                  </c:pt>
                  <c:pt idx="823">
                    <c:v>30 cm</c:v>
                  </c:pt>
                  <c:pt idx="824">
                    <c:v>40 cm</c:v>
                  </c:pt>
                  <c:pt idx="825">
                    <c:v>50 cm</c:v>
                  </c:pt>
                  <c:pt idx="826">
                    <c:v>60 cm</c:v>
                  </c:pt>
                  <c:pt idx="827">
                    <c:v>50 cm</c:v>
                  </c:pt>
                  <c:pt idx="828">
                    <c:v>67 CM</c:v>
                  </c:pt>
                  <c:pt idx="829">
                    <c:v>31x16x13cm</c:v>
                  </c:pt>
                  <c:pt idx="832">
                    <c:v>73 CN</c:v>
                  </c:pt>
                  <c:pt idx="833">
                    <c:v>35</c:v>
                  </c:pt>
                  <c:pt idx="834">
                    <c:v>45</c:v>
                  </c:pt>
                  <c:pt idx="835">
                    <c:v>55</c:v>
                  </c:pt>
                  <c:pt idx="836">
                    <c:v>50cm</c:v>
                  </c:pt>
                  <c:pt idx="837">
                    <c:v>25cm</c:v>
                  </c:pt>
                  <c:pt idx="838">
                    <c:v>37x17x13 </c:v>
                  </c:pt>
                  <c:pt idx="839">
                    <c:v>40x19</c:v>
                  </c:pt>
                  <c:pt idx="840">
                    <c:v>31x16x13</c:v>
                  </c:pt>
                  <c:pt idx="841">
                    <c:v>35 cm</c:v>
                  </c:pt>
                  <c:pt idx="842">
                    <c:v>34,5x28x46</c:v>
                  </c:pt>
                  <c:pt idx="843">
                    <c:v>69x45x36</c:v>
                  </c:pt>
                  <c:pt idx="844">
                    <c:v>85x49x38</c:v>
                  </c:pt>
                  <c:pt idx="845">
                    <c:v>60x36x32</c:v>
                  </c:pt>
                  <c:pt idx="846">
                    <c:v>3 pisos</c:v>
                  </c:pt>
                  <c:pt idx="847">
                    <c:v>30x23x21</c:v>
                  </c:pt>
                  <c:pt idx="848">
                    <c:v>30*23*41</c:v>
                  </c:pt>
                  <c:pt idx="849">
                    <c:v>kg.</c:v>
                  </c:pt>
                  <c:pt idx="851">
                    <c:v>grande</c:v>
                  </c:pt>
                  <c:pt idx="852">
                    <c:v>c/u</c:v>
                  </c:pt>
                  <c:pt idx="853">
                    <c:v>30x23x39</c:v>
                  </c:pt>
                  <c:pt idx="854">
                    <c:v>76,46,46,d610</c:v>
                  </c:pt>
                  <c:pt idx="855">
                    <c:v>76x46x46,d610</c:v>
                  </c:pt>
                  <c:pt idx="857">
                    <c:v>30x23x39</c:v>
                  </c:pt>
                  <c:pt idx="858">
                    <c:v>30x23x39</c:v>
                  </c:pt>
                  <c:pt idx="859">
                    <c:v>60x36x32</c:v>
                  </c:pt>
                  <c:pt idx="860">
                    <c:v>30x23x39</c:v>
                  </c:pt>
                  <c:pt idx="861">
                    <c:v>30*23*39</c:v>
                  </c:pt>
                  <c:pt idx="863">
                    <c:v>6 grs</c:v>
                  </c:pt>
                  <c:pt idx="864">
                    <c:v>8 gr</c:v>
                  </c:pt>
                  <c:pt idx="865">
                    <c:v>6 gr</c:v>
                  </c:pt>
                  <c:pt idx="866">
                    <c:v>3 grs</c:v>
                  </c:pt>
                  <c:pt idx="867">
                    <c:v>c/u</c:v>
                  </c:pt>
                  <c:pt idx="868">
                    <c:v>3gr</c:v>
                  </c:pt>
                  <c:pt idx="870">
                    <c:v>300 cc</c:v>
                  </c:pt>
                  <c:pt idx="871">
                    <c:v>300cc</c:v>
                  </c:pt>
                  <c:pt idx="872">
                    <c:v>2 tarro</c:v>
                  </c:pt>
                  <c:pt idx="876">
                    <c:v>38x1,5</c:v>
                  </c:pt>
                  <c:pt idx="877">
                    <c:v>45X2</c:v>
                  </c:pt>
                  <c:pt idx="878">
                    <c:v>34X1</c:v>
                  </c:pt>
                  <c:pt idx="880">
                    <c:v>0</c:v>
                  </c:pt>
                  <c:pt idx="881">
                    <c:v>3 PIEZAS</c:v>
                  </c:pt>
                  <c:pt idx="882">
                    <c:v>0</c:v>
                  </c:pt>
                  <c:pt idx="886">
                    <c:v>20cm</c:v>
                  </c:pt>
                  <c:pt idx="887">
                    <c:v>1,5cm</c:v>
                  </c:pt>
                  <c:pt idx="888">
                    <c:v>1cm</c:v>
                  </c:pt>
                  <c:pt idx="891">
                    <c:v>40x4 cn</c:v>
                  </c:pt>
                  <c:pt idx="892">
                    <c:v>10 x2,5</c:v>
                  </c:pt>
                  <c:pt idx="893">
                    <c:v>12 CM</c:v>
                  </c:pt>
                  <c:pt idx="898">
                    <c:v>13 CM</c:v>
                  </c:pt>
                  <c:pt idx="899">
                    <c:v>7 cm</c:v>
                  </c:pt>
                  <c:pt idx="900">
                    <c:v>8 cm</c:v>
                  </c:pt>
                  <c:pt idx="901">
                    <c:v>7 cm</c:v>
                  </c:pt>
                  <c:pt idx="902">
                    <c:v>33 cm</c:v>
                  </c:pt>
                  <c:pt idx="903">
                    <c:v>30 CM</c:v>
                  </c:pt>
                  <c:pt idx="904">
                    <c:v>12 cm</c:v>
                  </c:pt>
                  <c:pt idx="905">
                    <c:v>2 unidades</c:v>
                  </c:pt>
                  <c:pt idx="907">
                    <c:v>c/u</c:v>
                  </c:pt>
                  <c:pt idx="908">
                    <c:v>x metro</c:v>
                  </c:pt>
                  <c:pt idx="909">
                    <c:v>10cm </c:v>
                  </c:pt>
                  <c:pt idx="910">
                    <c:v>15MT</c:v>
                  </c:pt>
                  <c:pt idx="911">
                    <c:v>1m </c:v>
                  </c:pt>
                  <c:pt idx="912">
                    <c:v>10 CM X 50 CM</c:v>
                  </c:pt>
                  <c:pt idx="914">
                    <c:v>40-60 CMS RS-68l</c:v>
                  </c:pt>
                  <c:pt idx="916">
                    <c:v>20 a 30 cm</c:v>
                  </c:pt>
                  <c:pt idx="917">
                    <c:v>c/u</c:v>
                  </c:pt>
                  <c:pt idx="918">
                    <c:v>n 12</c:v>
                  </c:pt>
                  <c:pt idx="920">
                    <c:v>b20</c:v>
                  </c:pt>
                  <c:pt idx="921">
                    <c:v>n 44  </c:v>
                  </c:pt>
                  <c:pt idx="922">
                    <c:v>13,6x12,5</c:v>
                  </c:pt>
                  <c:pt idx="923">
                    <c:v>16,5x13,5</c:v>
                  </c:pt>
                  <c:pt idx="925">
                    <c:v>c/u</c:v>
                  </c:pt>
                  <c:pt idx="926">
                    <c:v>18</c:v>
                  </c:pt>
                  <c:pt idx="927">
                    <c:v>2</c:v>
                  </c:pt>
                  <c:pt idx="928">
                    <c:v>4</c:v>
                  </c:pt>
                  <c:pt idx="929">
                    <c:v>6</c:v>
                  </c:pt>
                  <c:pt idx="930">
                    <c:v>7</c:v>
                  </c:pt>
                  <c:pt idx="931">
                    <c:v>14 cm</c:v>
                  </c:pt>
                  <c:pt idx="932">
                    <c:v>17 cm</c:v>
                  </c:pt>
                  <c:pt idx="933">
                    <c:v>20 cm</c:v>
                  </c:pt>
                  <c:pt idx="934">
                    <c:v>27 cm</c:v>
                  </c:pt>
                  <c:pt idx="935">
                    <c:v>23 cm</c:v>
                  </c:pt>
                  <c:pt idx="936">
                    <c:v>25 cm</c:v>
                  </c:pt>
                  <c:pt idx="937">
                    <c:v>30 CM</c:v>
                  </c:pt>
                  <c:pt idx="938">
                    <c:v>16</c:v>
                  </c:pt>
                  <c:pt idx="939">
                    <c:v>30X20,5</c:v>
                  </c:pt>
                  <c:pt idx="940">
                    <c:v>25X16,5</c:v>
                  </c:pt>
                  <c:pt idx="941">
                    <c:v>35X23,5</c:v>
                  </c:pt>
                  <c:pt idx="942">
                    <c:v>30X20</c:v>
                  </c:pt>
                  <c:pt idx="943">
                    <c:v>25X16,5</c:v>
                  </c:pt>
                  <c:pt idx="944">
                    <c:v>10cm</c:v>
                  </c:pt>
                  <c:pt idx="945">
                    <c:v>12 cm</c:v>
                  </c:pt>
                  <c:pt idx="946">
                    <c:v>14 cm</c:v>
                  </c:pt>
                  <c:pt idx="947">
                    <c:v>16cm</c:v>
                  </c:pt>
                  <c:pt idx="948">
                    <c:v>18cm</c:v>
                  </c:pt>
                  <c:pt idx="949">
                    <c:v>20cm</c:v>
                  </c:pt>
                  <c:pt idx="950">
                    <c:v>22cm</c:v>
                  </c:pt>
                  <c:pt idx="951">
                    <c:v>26cm</c:v>
                  </c:pt>
                  <c:pt idx="952">
                    <c:v>30 CM</c:v>
                  </c:pt>
                  <c:pt idx="953">
                    <c:v>7cm</c:v>
                  </c:pt>
                  <c:pt idx="954">
                    <c:v>8cm</c:v>
                  </c:pt>
                  <c:pt idx="955">
                    <c:v>No 3</c:v>
                  </c:pt>
                  <c:pt idx="956">
                    <c:v>23</c:v>
                  </c:pt>
                  <c:pt idx="957">
                    <c:v>29</c:v>
                  </c:pt>
                  <c:pt idx="958">
                    <c:v>36</c:v>
                  </c:pt>
                  <c:pt idx="959">
                    <c:v>0</c:v>
                  </c:pt>
                  <c:pt idx="960">
                    <c:v>38 cm</c:v>
                  </c:pt>
                  <c:pt idx="961">
                    <c:v>1</c:v>
                  </c:pt>
                  <c:pt idx="962">
                    <c:v>n 12</c:v>
                  </c:pt>
                  <c:pt idx="963">
                    <c:v>n 5</c:v>
                  </c:pt>
                  <c:pt idx="964">
                    <c:v>n 6</c:v>
                  </c:pt>
                  <c:pt idx="965">
                    <c:v>n 7</c:v>
                  </c:pt>
                  <c:pt idx="966">
                    <c:v>n 0</c:v>
                  </c:pt>
                  <c:pt idx="967">
                    <c:v>n 8</c:v>
                  </c:pt>
                  <c:pt idx="968">
                    <c:v>12</c:v>
                  </c:pt>
                  <c:pt idx="969">
                    <c:v>16</c:v>
                  </c:pt>
                  <c:pt idx="971">
                    <c:v>40</c:v>
                  </c:pt>
                  <c:pt idx="972">
                    <c:v>48</c:v>
                  </c:pt>
                  <c:pt idx="973">
                    <c:v>52</c:v>
                  </c:pt>
                  <c:pt idx="974">
                    <c:v>22</c:v>
                  </c:pt>
                  <c:pt idx="975">
                    <c:v>22 cm</c:v>
                  </c:pt>
                  <c:pt idx="977">
                    <c:v>20</c:v>
                  </c:pt>
                  <c:pt idx="978">
                    <c:v>40</c:v>
                  </c:pt>
                  <c:pt idx="979">
                    <c:v>50</c:v>
                  </c:pt>
                  <c:pt idx="980">
                    <c:v>n 1</c:v>
                  </c:pt>
                  <c:pt idx="981">
                    <c:v>n 2</c:v>
                  </c:pt>
                  <c:pt idx="982">
                    <c:v>0</c:v>
                  </c:pt>
                  <c:pt idx="984">
                    <c:v>11 cm</c:v>
                  </c:pt>
                  <c:pt idx="985">
                    <c:v>9 cm</c:v>
                  </c:pt>
                  <c:pt idx="986">
                    <c:v>11 cm</c:v>
                  </c:pt>
                  <c:pt idx="987">
                    <c:v>9 cm</c:v>
                  </c:pt>
                  <c:pt idx="988">
                    <c:v>4,5x4,5</c:v>
                  </c:pt>
                  <c:pt idx="989">
                    <c:v>6 cm</c:v>
                  </c:pt>
                  <c:pt idx="990">
                    <c:v>6 cn</c:v>
                  </c:pt>
                  <c:pt idx="991">
                    <c:v>4,5 x4,5-</c:v>
                  </c:pt>
                  <c:pt idx="998">
                    <c:v>20cm</c:v>
                  </c:pt>
                  <c:pt idx="999">
                    <c:v>30cm</c:v>
                  </c:pt>
                  <c:pt idx="1000">
                    <c:v>15cm</c:v>
                  </c:pt>
                  <c:pt idx="1001">
                    <c:v>25 cm</c:v>
                  </c:pt>
                  <c:pt idx="1002">
                    <c:v>c/u</c:v>
                  </c:pt>
                  <c:pt idx="1003">
                    <c:v>48</c:v>
                  </c:pt>
                  <c:pt idx="1004">
                    <c:v>23</c:v>
                  </c:pt>
                  <c:pt idx="1005">
                    <c:v>27</c:v>
                  </c:pt>
                  <c:pt idx="1006">
                    <c:v>32</c:v>
                  </c:pt>
                  <c:pt idx="1007">
                    <c:v>38</c:v>
                  </c:pt>
                  <c:pt idx="1008">
                    <c:v>43</c:v>
                  </c:pt>
                  <c:pt idx="1009">
                    <c:v>48</c:v>
                  </c:pt>
                  <c:pt idx="1010">
                    <c:v>54</c:v>
                  </c:pt>
                  <c:pt idx="1011">
                    <c:v>48</c:v>
                  </c:pt>
                  <c:pt idx="1012">
                    <c:v>6,5x6</c:v>
                  </c:pt>
                  <c:pt idx="1015">
                    <c:v>c/u</c:v>
                  </c:pt>
                  <c:pt idx="1016">
                    <c:v>c/u</c:v>
                  </c:pt>
                  <c:pt idx="1017">
                    <c:v>c/u</c:v>
                  </c:pt>
                  <c:pt idx="1018">
                    <c:v>12 cm</c:v>
                  </c:pt>
                  <c:pt idx="1019">
                    <c:v>14 cm</c:v>
                  </c:pt>
                  <c:pt idx="1020">
                    <c:v>18 cm</c:v>
                  </c:pt>
                  <c:pt idx="1021">
                    <c:v>22cm</c:v>
                  </c:pt>
                  <c:pt idx="1022">
                    <c:v>N22</c:v>
                  </c:pt>
                  <c:pt idx="1023">
                    <c:v>N35</c:v>
                  </c:pt>
                  <c:pt idx="1024">
                    <c:v>N28</c:v>
                  </c:pt>
                  <c:pt idx="1025">
                    <c:v>N35</c:v>
                  </c:pt>
                  <c:pt idx="1026">
                    <c:v>N16</c:v>
                  </c:pt>
                  <c:pt idx="1027">
                    <c:v>N22</c:v>
                  </c:pt>
                  <c:pt idx="1028">
                    <c:v>N28</c:v>
                  </c:pt>
                  <c:pt idx="1029">
                    <c:v>N35</c:v>
                  </c:pt>
                  <c:pt idx="1030">
                    <c:v>35</c:v>
                  </c:pt>
                  <c:pt idx="1031">
                    <c:v>40</c:v>
                  </c:pt>
                  <c:pt idx="1032">
                    <c:v>48</c:v>
                  </c:pt>
                  <c:pt idx="1033">
                    <c:v>cl24</c:v>
                  </c:pt>
                  <c:pt idx="1034">
                    <c:v>cl15</c:v>
                  </c:pt>
                  <c:pt idx="1035">
                    <c:v>cl19</c:v>
                  </c:pt>
                  <c:pt idx="1036">
                    <c:v>12</c:v>
                  </c:pt>
                  <c:pt idx="1037">
                    <c:v>14</c:v>
                  </c:pt>
                  <c:pt idx="1038">
                    <c:v>16</c:v>
                  </c:pt>
                  <c:pt idx="1039">
                    <c:v>18</c:v>
                  </c:pt>
                  <c:pt idx="1040">
                    <c:v>20</c:v>
                  </c:pt>
                  <c:pt idx="1041">
                    <c:v>22</c:v>
                  </c:pt>
                  <c:pt idx="1042">
                    <c:v>24</c:v>
                  </c:pt>
                  <c:pt idx="1043">
                    <c:v>26</c:v>
                  </c:pt>
                  <c:pt idx="1044">
                    <c:v>30</c:v>
                  </c:pt>
                  <c:pt idx="1045">
                    <c:v>35</c:v>
                  </c:pt>
                  <c:pt idx="1046">
                    <c:v>40</c:v>
                  </c:pt>
                  <c:pt idx="1047">
                    <c:v>17</c:v>
                  </c:pt>
                  <c:pt idx="1048">
                    <c:v>24</c:v>
                  </c:pt>
                  <c:pt idx="1049">
                    <c:v>35</c:v>
                  </c:pt>
                  <c:pt idx="1050">
                    <c:v>cl10</c:v>
                  </c:pt>
                  <c:pt idx="1051">
                    <c:v>cl13</c:v>
                  </c:pt>
                  <c:pt idx="1053">
                    <c:v>16,5x12,5x51</c:v>
                  </c:pt>
                  <c:pt idx="1054">
                    <c:v>C13</c:v>
                  </c:pt>
                  <c:pt idx="1055">
                    <c:v>C18</c:v>
                  </c:pt>
                  <c:pt idx="1056">
                    <c:v>C21</c:v>
                  </c:pt>
                  <c:pt idx="1057">
                    <c:v>14,5x25,5</c:v>
                  </c:pt>
                  <c:pt idx="1058">
                    <c:v>11,5x20</c:v>
                  </c:pt>
                  <c:pt idx="1059">
                    <c:v>23,5x14,5cm</c:v>
                  </c:pt>
                  <c:pt idx="1061">
                    <c:v>20x12</c:v>
                  </c:pt>
                  <c:pt idx="1062">
                    <c:v>24X15</c:v>
                  </c:pt>
                  <c:pt idx="1063">
                    <c:v>20X13</c:v>
                  </c:pt>
                  <c:pt idx="1064">
                    <c:v>20X12</c:v>
                  </c:pt>
                  <c:pt idx="1068">
                    <c:v>37x29</c:v>
                  </c:pt>
                  <c:pt idx="1069">
                    <c:v>grde</c:v>
                  </c:pt>
                  <c:pt idx="1070">
                    <c:v>med</c:v>
                  </c:pt>
                  <c:pt idx="1071">
                    <c:v>20x16</c:v>
                  </c:pt>
                  <c:pt idx="1079">
                    <c:v>18x18x14,5</c:v>
                  </c:pt>
                  <c:pt idx="1084">
                    <c:v>21</c:v>
                  </c:pt>
                  <c:pt idx="1085">
                    <c:v>1,5</c:v>
                  </c:pt>
                  <c:pt idx="1086">
                    <c:v>2</c:v>
                  </c:pt>
                  <c:pt idx="1087">
                    <c:v>16 cm</c:v>
                  </c:pt>
                  <c:pt idx="1088">
                    <c:v>23 cm</c:v>
                  </c:pt>
                  <c:pt idx="1089">
                    <c:v>30 cm</c:v>
                  </c:pt>
                  <c:pt idx="1090">
                    <c:v>36 cm</c:v>
                  </c:pt>
                  <c:pt idx="1091">
                    <c:v>7 cm</c:v>
                  </c:pt>
                  <c:pt idx="1092">
                    <c:v>26 cm</c:v>
                  </c:pt>
                  <c:pt idx="1093">
                    <c:v>38 cm</c:v>
                  </c:pt>
                  <c:pt idx="1094">
                    <c:v>c/u</c:v>
                  </c:pt>
                  <c:pt idx="1095">
                    <c:v>1</c:v>
                  </c:pt>
                  <c:pt idx="1096">
                    <c:v>2</c:v>
                  </c:pt>
                  <c:pt idx="1097">
                    <c:v>4</c:v>
                  </c:pt>
                  <c:pt idx="1098">
                    <c:v>c/u</c:v>
                  </c:pt>
                  <c:pt idx="1103">
                    <c:v>26X11</c:v>
                  </c:pt>
                  <c:pt idx="1106">
                    <c:v>n 15</c:v>
                  </c:pt>
                  <c:pt idx="1107">
                    <c:v>23X12X11</c:v>
                  </c:pt>
                  <c:pt idx="1109">
                    <c:v>12 cm</c:v>
                  </c:pt>
                  <c:pt idx="1110">
                    <c:v>20lts</c:v>
                  </c:pt>
                  <c:pt idx="1111">
                    <c:v>11 lts</c:v>
                  </c:pt>
                  <c:pt idx="1112">
                    <c:v>5lt</c:v>
                  </c:pt>
                  <c:pt idx="1113">
                    <c:v>3lt</c:v>
                  </c:pt>
                  <c:pt idx="1114">
                    <c:v>2lt</c:v>
                  </c:pt>
                  <c:pt idx="1115">
                    <c:v>12 CM</c:v>
                  </c:pt>
                  <c:pt idx="1116">
                    <c:v>12 cm</c:v>
                  </c:pt>
                  <c:pt idx="1117">
                    <c:v>9 cm</c:v>
                  </c:pt>
                  <c:pt idx="1118">
                    <c:v>15lts</c:v>
                  </c:pt>
                  <c:pt idx="1119">
                    <c:v>15</c:v>
                  </c:pt>
                  <c:pt idx="1120">
                    <c:v>19</c:v>
                  </c:pt>
                  <c:pt idx="1122">
                    <c:v>15</c:v>
                  </c:pt>
                  <c:pt idx="1123">
                    <c:v>19</c:v>
                  </c:pt>
                  <c:pt idx="1124">
                    <c:v>17</c:v>
                  </c:pt>
                  <c:pt idx="1125">
                    <c:v>21</c:v>
                  </c:pt>
                  <c:pt idx="1126">
                    <c:v>25</c:v>
                  </c:pt>
                  <c:pt idx="1127">
                    <c:v>negra</c:v>
                  </c:pt>
                  <c:pt idx="1128">
                    <c:v>12</c:v>
                  </c:pt>
                  <c:pt idx="1129">
                    <c:v>14</c:v>
                  </c:pt>
                  <c:pt idx="1130">
                    <c:v>16</c:v>
                  </c:pt>
                  <c:pt idx="1131">
                    <c:v>N18</c:v>
                  </c:pt>
                  <c:pt idx="1132">
                    <c:v>N20</c:v>
                  </c:pt>
                  <c:pt idx="1133">
                    <c:v>N23</c:v>
                  </c:pt>
                  <c:pt idx="1134">
                    <c:v>N26</c:v>
                  </c:pt>
                  <c:pt idx="1135">
                    <c:v>N30</c:v>
                  </c:pt>
                  <c:pt idx="1136">
                    <c:v>22 cm</c:v>
                  </c:pt>
                  <c:pt idx="1137">
                    <c:v>25 cm</c:v>
                  </c:pt>
                  <c:pt idx="1138">
                    <c:v>30 cm</c:v>
                  </c:pt>
                  <c:pt idx="1139">
                    <c:v>34 cm</c:v>
                  </c:pt>
                  <c:pt idx="1140">
                    <c:v>38 cm</c:v>
                  </c:pt>
                  <c:pt idx="1141">
                    <c:v>43 cm</c:v>
                  </c:pt>
                  <c:pt idx="1142">
                    <c:v>20</c:v>
                  </c:pt>
                  <c:pt idx="1143">
                    <c:v>21,5x 18 cm</c:v>
                  </c:pt>
                  <c:pt idx="1144">
                    <c:v>ca21</c:v>
                  </c:pt>
                  <c:pt idx="1145">
                    <c:v>24 cm</c:v>
                  </c:pt>
                  <c:pt idx="1146">
                    <c:v>13 cm</c:v>
                  </c:pt>
                  <c:pt idx="1147">
                    <c:v>35X19,5X14,5</c:v>
                  </c:pt>
                  <c:pt idx="1148">
                    <c:v>43x21,5x16,5</c:v>
                  </c:pt>
                  <c:pt idx="1149">
                    <c:v>31x16x13</c:v>
                  </c:pt>
                  <c:pt idx="1150">
                    <c:v>31x16x13</c:v>
                  </c:pt>
                  <c:pt idx="1151">
                    <c:v>37X17X13</c:v>
                  </c:pt>
                  <c:pt idx="1152">
                    <c:v>45X20X14</c:v>
                  </c:pt>
                  <c:pt idx="1153">
                    <c:v>57x22x14</c:v>
                  </c:pt>
                  <c:pt idx="1154">
                    <c:v>35x20x14</c:v>
                  </c:pt>
                  <c:pt idx="1155">
                    <c:v>22</c:v>
                  </c:pt>
                  <c:pt idx="1158">
                    <c:v>17x13</c:v>
                  </c:pt>
                  <c:pt idx="1159">
                    <c:v>18x15x10</c:v>
                  </c:pt>
                  <c:pt idx="1160">
                    <c:v>42x29</c:v>
                  </c:pt>
                  <c:pt idx="1161">
                    <c:v>19x15</c:v>
                  </c:pt>
                  <c:pt idx="1162">
                    <c:v>30X23X17,5</c:v>
                  </c:pt>
                  <c:pt idx="1163">
                    <c:v>21X17X12</c:v>
                  </c:pt>
                  <c:pt idx="1164">
                    <c:v>16</c:v>
                  </c:pt>
                  <c:pt idx="1165">
                    <c:v>20</c:v>
                  </c:pt>
                  <c:pt idx="1166">
                    <c:v>c/u</c:v>
                  </c:pt>
                  <c:pt idx="1167">
                    <c:v>15 cm</c:v>
                  </c:pt>
                  <c:pt idx="1168">
                    <c:v>20 cm</c:v>
                  </c:pt>
                  <c:pt idx="1169">
                    <c:v>20 CM</c:v>
                  </c:pt>
                  <c:pt idx="1170">
                    <c:v>12 cm</c:v>
                  </c:pt>
                  <c:pt idx="1171">
                    <c:v>7 cm</c:v>
                  </c:pt>
                  <c:pt idx="1172">
                    <c:v>10cm</c:v>
                  </c:pt>
                  <c:pt idx="1173">
                    <c:v>14 cm</c:v>
                  </c:pt>
                  <c:pt idx="1174">
                    <c:v>16 cm</c:v>
                  </c:pt>
                  <c:pt idx="1175">
                    <c:v>18 cm</c:v>
                  </c:pt>
                  <c:pt idx="1176">
                    <c:v>20 cm</c:v>
                  </c:pt>
                  <c:pt idx="1177">
                    <c:v>35</c:v>
                  </c:pt>
                  <c:pt idx="1178">
                    <c:v>14</c:v>
                  </c:pt>
                  <c:pt idx="1179">
                    <c:v>16</c:v>
                  </c:pt>
                  <c:pt idx="1180">
                    <c:v>18</c:v>
                  </c:pt>
                  <c:pt idx="1181">
                    <c:v>12 CM</c:v>
                  </c:pt>
                  <c:pt idx="1182">
                    <c:v>c/u</c:v>
                  </c:pt>
                  <c:pt idx="1183">
                    <c:v>c/u</c:v>
                  </c:pt>
                  <c:pt idx="1184">
                    <c:v>N22</c:v>
                  </c:pt>
                  <c:pt idx="1185">
                    <c:v>N35</c:v>
                  </c:pt>
                  <c:pt idx="1186">
                    <c:v>N35</c:v>
                  </c:pt>
                  <c:pt idx="1188">
                    <c:v>31,5X25</c:v>
                  </c:pt>
                  <c:pt idx="1189">
                    <c:v>31,5X18</c:v>
                  </c:pt>
                  <c:pt idx="1190">
                    <c:v>15X12,5</c:v>
                  </c:pt>
                  <c:pt idx="1191">
                    <c:v>18X14,5</c:v>
                  </c:pt>
                  <c:pt idx="1192">
                    <c:v>35X27</c:v>
                  </c:pt>
                  <c:pt idx="1193">
                    <c:v>25X19,5</c:v>
                  </c:pt>
                  <c:pt idx="1194">
                    <c:v>30,5x23,5</c:v>
                  </c:pt>
                  <c:pt idx="1195">
                    <c:v>30,5/23,5</c:v>
                  </c:pt>
                  <c:pt idx="1196">
                    <c:v>22x22</c:v>
                  </c:pt>
                  <c:pt idx="1197">
                    <c:v>c/u</c:v>
                  </c:pt>
                  <c:pt idx="1198">
                    <c:v>25 lts</c:v>
                  </c:pt>
                  <c:pt idx="1199">
                    <c:v>14</c:v>
                  </c:pt>
                  <c:pt idx="1200">
                    <c:v>18</c:v>
                  </c:pt>
                  <c:pt idx="1203">
                    <c:v>15 cm</c:v>
                  </c:pt>
                  <c:pt idx="1204">
                    <c:v>14 cm</c:v>
                  </c:pt>
                  <c:pt idx="1205">
                    <c:v>18 cm</c:v>
                  </c:pt>
                  <c:pt idx="1206">
                    <c:v>22 CM</c:v>
                  </c:pt>
                  <c:pt idx="1207">
                    <c:v>35</c:v>
                  </c:pt>
                  <c:pt idx="1208">
                    <c:v>23</c:v>
                  </c:pt>
                  <c:pt idx="1209">
                    <c:v>25x22,5x19</c:v>
                  </c:pt>
                  <c:pt idx="1210">
                    <c:v>TA</c:v>
                  </c:pt>
                  <c:pt idx="1211">
                    <c:v>ch</c:v>
                  </c:pt>
                  <c:pt idx="1212">
                    <c:v>gde</c:v>
                  </c:pt>
                  <c:pt idx="1213">
                    <c:v>13X16X14</c:v>
                  </c:pt>
                  <c:pt idx="1215">
                    <c:v>18</c:v>
                  </c:pt>
                  <c:pt idx="1216">
                    <c:v>22</c:v>
                  </c:pt>
                  <c:pt idx="1217">
                    <c:v>27</c:v>
                  </c:pt>
                  <c:pt idx="1218">
                    <c:v>29 cm</c:v>
                  </c:pt>
                  <c:pt idx="1219">
                    <c:v>24 cm</c:v>
                  </c:pt>
                  <c:pt idx="1220">
                    <c:v>18</c:v>
                  </c:pt>
                  <c:pt idx="1221">
                    <c:v>20 cm</c:v>
                  </c:pt>
                  <c:pt idx="1222">
                    <c:v>35 cm</c:v>
                  </c:pt>
                  <c:pt idx="1223">
                    <c:v>67cm</c:v>
                  </c:pt>
                  <c:pt idx="1224">
                    <c:v>29x22</c:v>
                  </c:pt>
                  <c:pt idx="1225">
                    <c:v>25X20</c:v>
                  </c:pt>
                  <c:pt idx="1226">
                    <c:v>23x18cm</c:v>
                  </c:pt>
                  <c:pt idx="1227">
                    <c:v>19x20</c:v>
                  </c:pt>
                  <c:pt idx="1228">
                    <c:v>14x15</c:v>
                  </c:pt>
                  <c:pt idx="1229">
                    <c:v>10,5x11</c:v>
                  </c:pt>
                  <c:pt idx="1230">
                    <c:v>18x24</c:v>
                  </c:pt>
                  <c:pt idx="1231">
                    <c:v>16,5x18,5</c:v>
                  </c:pt>
                  <c:pt idx="1232">
                    <c:v>13,5x13</c:v>
                  </c:pt>
                  <c:pt idx="1233">
                    <c:v>18 x13</c:v>
                  </c:pt>
                  <c:pt idx="1235">
                    <c:v>N35</c:v>
                  </c:pt>
                  <c:pt idx="1236">
                    <c:v>N45</c:v>
                  </c:pt>
                  <c:pt idx="1237">
                    <c:v>17</c:v>
                  </c:pt>
                  <c:pt idx="1238">
                    <c:v>20</c:v>
                  </c:pt>
                  <c:pt idx="1239">
                    <c:v>24</c:v>
                  </c:pt>
                  <c:pt idx="1240">
                    <c:v>30</c:v>
                  </c:pt>
                  <c:pt idx="1241">
                    <c:v>17</c:v>
                  </c:pt>
                  <c:pt idx="1242">
                    <c:v>20</c:v>
                  </c:pt>
                  <c:pt idx="1243">
                    <c:v>24</c:v>
                  </c:pt>
                  <c:pt idx="1244">
                    <c:v>30</c:v>
                  </c:pt>
                  <c:pt idx="1245">
                    <c:v>34x18x14</c:v>
                  </c:pt>
                  <c:pt idx="1246">
                    <c:v>16x13</c:v>
                  </c:pt>
                  <c:pt idx="1247">
                    <c:v>0</c:v>
                  </c:pt>
                  <c:pt idx="1248">
                    <c:v>43x18x14</c:v>
                  </c:pt>
                  <c:pt idx="1249">
                    <c:v>15,5x12,3</c:v>
                  </c:pt>
                  <c:pt idx="1250">
                    <c:v>7,8x7</c:v>
                  </c:pt>
                  <c:pt idx="1251">
                    <c:v>25x20</c:v>
                  </c:pt>
                  <c:pt idx="1252">
                    <c:v>15,5x12,3</c:v>
                  </c:pt>
                  <c:pt idx="1253">
                    <c:v>20x16</c:v>
                  </c:pt>
                  <c:pt idx="1255">
                    <c:v>19 lts</c:v>
                  </c:pt>
                  <c:pt idx="1256">
                    <c:v>14 lts</c:v>
                  </c:pt>
                  <c:pt idx="1257">
                    <c:v>11 lts</c:v>
                  </c:pt>
                  <c:pt idx="1258">
                    <c:v>7 lts</c:v>
                  </c:pt>
                  <c:pt idx="1259">
                    <c:v>5 lts</c:v>
                  </c:pt>
                  <c:pt idx="1260">
                    <c:v>3 lts</c:v>
                  </c:pt>
                  <c:pt idx="1262">
                    <c:v>25x20</c:v>
                  </c:pt>
                  <c:pt idx="1263">
                    <c:v>20x16</c:v>
                  </c:pt>
                  <c:pt idx="1264">
                    <c:v>c/u</c:v>
                  </c:pt>
                  <c:pt idx="1265">
                    <c:v>0</c:v>
                  </c:pt>
                  <c:pt idx="1266">
                    <c:v>20</c:v>
                  </c:pt>
                  <c:pt idx="1267">
                    <c:v>12 CM</c:v>
                  </c:pt>
                  <c:pt idx="1268">
                    <c:v>16</c:v>
                  </c:pt>
                  <c:pt idx="1269">
                    <c:v>18</c:v>
                  </c:pt>
                  <c:pt idx="1270">
                    <c:v>20</c:v>
                  </c:pt>
                  <c:pt idx="1271">
                    <c:v>24</c:v>
                  </c:pt>
                  <c:pt idx="1274">
                    <c:v>,75 LT</c:v>
                  </c:pt>
                  <c:pt idx="1275">
                    <c:v>1,6 LT</c:v>
                  </c:pt>
                  <c:pt idx="1276">
                    <c:v>3 lts</c:v>
                  </c:pt>
                  <c:pt idx="1277">
                    <c:v>4,3 LT</c:v>
                  </c:pt>
                  <c:pt idx="1278">
                    <c:v>16X13</c:v>
                  </c:pt>
                  <c:pt idx="1279">
                    <c:v>39X29</c:v>
                  </c:pt>
                  <c:pt idx="1280">
                    <c:v>36X26</c:v>
                  </c:pt>
                  <c:pt idx="1281">
                    <c:v>32X24</c:v>
                  </c:pt>
                  <c:pt idx="1282">
                    <c:v>16X21</c:v>
                  </c:pt>
                  <c:pt idx="1283">
                    <c:v>43 x31</c:v>
                  </c:pt>
                  <c:pt idx="1288">
                    <c:v>24</c:v>
                  </c:pt>
                  <c:pt idx="1290">
                    <c:v>24x28</c:v>
                  </c:pt>
                  <c:pt idx="1291">
                    <c:v>36x40</c:v>
                  </c:pt>
                  <c:pt idx="1293">
                    <c:v>12</c:v>
                  </c:pt>
                  <c:pt idx="1294">
                    <c:v>15</c:v>
                  </c:pt>
                  <c:pt idx="1295">
                    <c:v>17</c:v>
                  </c:pt>
                  <c:pt idx="1296">
                    <c:v>20</c:v>
                  </c:pt>
                  <c:pt idx="1297">
                    <c:v>6</c:v>
                  </c:pt>
                  <c:pt idx="1298">
                    <c:v>8</c:v>
                  </c:pt>
                  <c:pt idx="1299">
                    <c:v>10</c:v>
                  </c:pt>
                  <c:pt idx="1300">
                    <c:v>12</c:v>
                  </c:pt>
                  <c:pt idx="1301">
                    <c:v>14</c:v>
                  </c:pt>
                  <c:pt idx="1302">
                    <c:v>DX1</c:v>
                  </c:pt>
                  <c:pt idx="1303">
                    <c:v>DX2</c:v>
                  </c:pt>
                  <c:pt idx="1304">
                    <c:v>DX3</c:v>
                  </c:pt>
                  <c:pt idx="1305">
                    <c:v>DX4</c:v>
                  </c:pt>
                  <c:pt idx="1306">
                    <c:v>7S2</c:v>
                  </c:pt>
                  <c:pt idx="1307">
                    <c:v>7S3</c:v>
                  </c:pt>
                  <c:pt idx="1308">
                    <c:v>7F2</c:v>
                  </c:pt>
                  <c:pt idx="1309">
                    <c:v>YT2</c:v>
                  </c:pt>
                  <c:pt idx="1310">
                    <c:v>YT3</c:v>
                  </c:pt>
                  <c:pt idx="1311">
                    <c:v>WLI</c:v>
                  </c:pt>
                  <c:pt idx="1312">
                    <c:v>GP3</c:v>
                  </c:pt>
                  <c:pt idx="1313">
                    <c:v>GP4</c:v>
                  </c:pt>
                  <c:pt idx="1314">
                    <c:v>X0</c:v>
                  </c:pt>
                  <c:pt idx="1315">
                    <c:v>JVER 24</c:v>
                  </c:pt>
                  <c:pt idx="1316">
                    <c:v>JVER 33</c:v>
                  </c:pt>
                  <c:pt idx="1317">
                    <c:v>JVER 42</c:v>
                  </c:pt>
                  <c:pt idx="1318">
                    <c:v>IVOM 30</c:v>
                  </c:pt>
                  <c:pt idx="1319">
                    <c:v>IVOM 38</c:v>
                  </c:pt>
                  <c:pt idx="1320">
                    <c:v>IVPM 25</c:v>
                  </c:pt>
                  <c:pt idx="1321">
                    <c:v>IVQM20</c:v>
                  </c:pt>
                  <c:pt idx="1322">
                    <c:v>JVEO 41</c:v>
                  </c:pt>
                  <c:pt idx="1323">
                    <c:v>JVEF 34</c:v>
                  </c:pt>
                  <c:pt idx="1324">
                    <c:v>JVEF 42</c:v>
                  </c:pt>
                  <c:pt idx="1325">
                    <c:v>IVEC 33</c:v>
                  </c:pt>
                  <c:pt idx="1326">
                    <c:v>JVEO 55</c:v>
                  </c:pt>
                  <c:pt idx="1327">
                    <c:v>JVHR 42</c:v>
                  </c:pt>
                  <c:pt idx="1328">
                    <c:v>JVHR33</c:v>
                  </c:pt>
                  <c:pt idx="1329">
                    <c:v>JVUM 30 S</c:v>
                  </c:pt>
                  <c:pt idx="1330">
                    <c:v>JVUM 38</c:v>
                  </c:pt>
                  <c:pt idx="1331">
                    <c:v>JFQF 67</c:v>
                  </c:pt>
                  <c:pt idx="1332">
                    <c:v>JFQF 77</c:v>
                  </c:pt>
                  <c:pt idx="1333">
                    <c:v>JVQM20</c:v>
                  </c:pt>
                  <c:pt idx="1334">
                    <c:v>45</c:v>
                  </c:pt>
                  <c:pt idx="1335">
                    <c:v>34</c:v>
                  </c:pt>
                  <c:pt idx="1336">
                    <c:v>25</c:v>
                  </c:pt>
                  <c:pt idx="1337">
                    <c:v>33</c:v>
                  </c:pt>
                  <c:pt idx="1339">
                    <c:v>28</c:v>
                  </c:pt>
                  <c:pt idx="1340">
                    <c:v>35</c:v>
                  </c:pt>
                  <c:pt idx="1341">
                    <c:v>45</c:v>
                  </c:pt>
                  <c:pt idx="1342">
                    <c:v>JVERH 33</c:v>
                  </c:pt>
                  <c:pt idx="1343">
                    <c:v>33</c:v>
                  </c:pt>
                  <c:pt idx="1344">
                    <c:v>JVLL45</c:v>
                  </c:pt>
                  <c:pt idx="1346">
                    <c:v>IVIP 34</c:v>
                  </c:pt>
                  <c:pt idx="1347">
                    <c:v>JVQM30</c:v>
                  </c:pt>
                  <c:pt idx="1348">
                    <c:v>IVQM36</c:v>
                  </c:pt>
                  <c:pt idx="1349">
                    <c:v>JVMO38C</c:v>
                  </c:pt>
                  <c:pt idx="1353">
                    <c:v>JVCB 30</c:v>
                  </c:pt>
                  <c:pt idx="1354">
                    <c:v>JVQM36</c:v>
                  </c:pt>
                  <c:pt idx="1355">
                    <c:v>37AC</c:v>
                  </c:pt>
                  <c:pt idx="1356">
                    <c:v>46 AC</c:v>
                  </c:pt>
                  <c:pt idx="1357">
                    <c:v>57 AC</c:v>
                  </c:pt>
                  <c:pt idx="1360">
                    <c:v>IVIP 43</c:v>
                  </c:pt>
                  <c:pt idx="1361">
                    <c:v>25</c:v>
                  </c:pt>
                  <c:pt idx="1362">
                    <c:v>20</c:v>
                  </c:pt>
                  <c:pt idx="1363">
                    <c:v>16</c:v>
                  </c:pt>
                  <c:pt idx="1364">
                    <c:v>23</c:v>
                  </c:pt>
                  <c:pt idx="1365">
                    <c:v>8</c:v>
                  </c:pt>
                  <c:pt idx="1366">
                    <c:v>10</c:v>
                  </c:pt>
                  <c:pt idx="1367">
                    <c:v>12</c:v>
                  </c:pt>
                  <c:pt idx="1368">
                    <c:v>14</c:v>
                  </c:pt>
                  <c:pt idx="1369">
                    <c:v>18</c:v>
                  </c:pt>
                  <c:pt idx="1370">
                    <c:v>12</c:v>
                  </c:pt>
                  <c:pt idx="1371">
                    <c:v>15</c:v>
                  </c:pt>
                  <c:pt idx="1372">
                    <c:v>17</c:v>
                  </c:pt>
                  <c:pt idx="1373">
                    <c:v>20</c:v>
                  </c:pt>
                  <c:pt idx="1374">
                    <c:v>30x40</c:v>
                  </c:pt>
                  <c:pt idx="1375">
                    <c:v>40X30</c:v>
                  </c:pt>
                  <c:pt idx="1376">
                    <c:v>11 cm</c:v>
                  </c:pt>
                  <c:pt idx="1377">
                    <c:v>14 cm</c:v>
                  </c:pt>
                  <c:pt idx="1378">
                    <c:v>19 cm</c:v>
                  </c:pt>
                  <c:pt idx="1379">
                    <c:v>16X13X9</c:v>
                  </c:pt>
                  <c:pt idx="1380">
                    <c:v>14</c:v>
                  </c:pt>
                  <c:pt idx="1381">
                    <c:v>18</c:v>
                  </c:pt>
                  <c:pt idx="1382">
                    <c:v>ch 8 cm </c:v>
                  </c:pt>
                  <c:pt idx="1383">
                    <c:v>gde</c:v>
                  </c:pt>
                  <c:pt idx="1384">
                    <c:v>7 cmx7</c:v>
                  </c:pt>
                  <c:pt idx="1385">
                    <c:v>9 cm</c:v>
                  </c:pt>
                  <c:pt idx="1386">
                    <c:v>1,5</c:v>
                  </c:pt>
                  <c:pt idx="1388">
                    <c:v>*</c:v>
                  </c:pt>
                  <c:pt idx="1389">
                    <c:v>n 5</c:v>
                  </c:pt>
                  <c:pt idx="1390">
                    <c:v>n 6</c:v>
                  </c:pt>
                  <c:pt idx="1391">
                    <c:v>n 7</c:v>
                  </c:pt>
                  <c:pt idx="1392">
                    <c:v>3,5</c:v>
                  </c:pt>
                  <c:pt idx="1393">
                    <c:v>5</c:v>
                  </c:pt>
                  <c:pt idx="1402">
                    <c:v>3</c:v>
                  </c:pt>
                  <c:pt idx="1403">
                    <c:v>30X24</c:v>
                  </c:pt>
                  <c:pt idx="1404">
                    <c:v>26x20</c:v>
                  </c:pt>
                  <c:pt idx="1405">
                    <c:v>33 cm</c:v>
                  </c:pt>
                  <c:pt idx="1406">
                    <c:v>18 cm</c:v>
                  </c:pt>
                  <c:pt idx="1407">
                    <c:v>colores brillosos</c:v>
                  </c:pt>
                  <c:pt idx="1408">
                    <c:v>13</c:v>
                  </c:pt>
                  <c:pt idx="1409">
                    <c:v>15</c:v>
                  </c:pt>
                  <c:pt idx="1410">
                    <c:v>17</c:v>
                  </c:pt>
                  <c:pt idx="1411">
                    <c:v>19</c:v>
                  </c:pt>
                  <c:pt idx="1412">
                    <c:v>21</c:v>
                  </c:pt>
                  <c:pt idx="1413">
                    <c:v>24</c:v>
                  </c:pt>
                  <c:pt idx="1414">
                    <c:v>27</c:v>
                  </c:pt>
                  <c:pt idx="1415">
                    <c:v>30</c:v>
                  </c:pt>
                  <c:pt idx="1416">
                    <c:v>35</c:v>
                  </c:pt>
                  <c:pt idx="1417">
                    <c:v>40</c:v>
                  </c:pt>
                  <c:pt idx="1418">
                    <c:v>60</c:v>
                  </c:pt>
                  <c:pt idx="1419">
                    <c:v>3,6 lt</c:v>
                  </c:pt>
                  <c:pt idx="1420">
                    <c:v>5 lts</c:v>
                  </c:pt>
                  <c:pt idx="1421">
                    <c:v>8,5 lt</c:v>
                  </c:pt>
                  <c:pt idx="1422">
                    <c:v>7 lts</c:v>
                  </c:pt>
                  <c:pt idx="1423">
                    <c:v>10 lts</c:v>
                  </c:pt>
                  <c:pt idx="1424">
                    <c:v>11 lt</c:v>
                  </c:pt>
                  <c:pt idx="1425">
                    <c:v>14,3 lt</c:v>
                  </c:pt>
                  <c:pt idx="1426">
                    <c:v>18 lt</c:v>
                  </c:pt>
                  <c:pt idx="1427">
                    <c:v>33 lts</c:v>
                  </c:pt>
                  <c:pt idx="1428">
                    <c:v>39,5 lt</c:v>
                  </c:pt>
                  <c:pt idx="1429">
                    <c:v>50 lt</c:v>
                  </c:pt>
                  <c:pt idx="1433">
                    <c:v>21x17x12</c:v>
                  </c:pt>
                  <c:pt idx="1435">
                    <c:v>18</c:v>
                  </c:pt>
                  <c:pt idx="1436">
                    <c:v>1 kg</c:v>
                  </c:pt>
                  <c:pt idx="1437">
                    <c:v>25 kg</c:v>
                  </c:pt>
                  <c:pt idx="1438">
                    <c:v>25 kg</c:v>
                  </c:pt>
                  <c:pt idx="1439">
                    <c:v>1 kg</c:v>
                  </c:pt>
                  <c:pt idx="1440">
                    <c:v>20 ml</c:v>
                  </c:pt>
                  <c:pt idx="1441">
                    <c:v>mtr</c:v>
                  </c:pt>
                  <c:pt idx="1442">
                    <c:v>mtr</c:v>
                  </c:pt>
                  <c:pt idx="1443">
                    <c:v>mtr</c:v>
                  </c:pt>
                  <c:pt idx="1444">
                    <c:v>2,1</c:v>
                  </c:pt>
                  <c:pt idx="1446">
                    <c:v>100 mts</c:v>
                  </c:pt>
                  <c:pt idx="1447">
                    <c:v>1 mt lineal</c:v>
                  </c:pt>
                  <c:pt idx="1448">
                    <c:v>mt cuadrado</c:v>
                  </c:pt>
                  <c:pt idx="1449">
                    <c:v>0</c:v>
                  </c:pt>
                  <c:pt idx="1452">
                    <c:v>50 pies</c:v>
                  </c:pt>
                  <c:pt idx="1453">
                    <c:v>3/4x100mtr</c:v>
                  </c:pt>
                  <c:pt idx="1454">
                    <c:v>0</c:v>
                  </c:pt>
                  <c:pt idx="1455">
                    <c:v>10 mt</c:v>
                  </c:pt>
                  <c:pt idx="1456">
                    <c:v>15 mt</c:v>
                  </c:pt>
                  <c:pt idx="1457">
                    <c:v>15 mt</c:v>
                  </c:pt>
                  <c:pt idx="1458">
                    <c:v>60 pies</c:v>
                  </c:pt>
                  <c:pt idx="1460">
                    <c:v>10 CM X 50 CM</c:v>
                  </c:pt>
                  <c:pt idx="1461">
                    <c:v>20 cn</c:v>
                  </c:pt>
                  <c:pt idx="1463">
                    <c:v>120maples</c:v>
                  </c:pt>
                  <c:pt idx="1464">
                    <c:v>c/u</c:v>
                  </c:pt>
                  <c:pt idx="1466">
                    <c:v>1,2 kg</c:v>
                  </c:pt>
                  <c:pt idx="1467">
                    <c:v>100gr</c:v>
                  </c:pt>
                  <c:pt idx="1468">
                    <c:v>360 c,c</c:v>
                  </c:pt>
                  <c:pt idx="1470">
                    <c:v>30x52</c:v>
                  </c:pt>
                  <c:pt idx="1471">
                    <c:v>24 blister</c:v>
                  </c:pt>
                  <c:pt idx="1472">
                    <c:v>pastilla</c:v>
                  </c:pt>
                  <c:pt idx="1473">
                    <c:v>blister</c:v>
                  </c:pt>
                  <c:pt idx="1474">
                    <c:v> 500 grs1 ltr</c:v>
                  </c:pt>
                  <c:pt idx="1475">
                    <c:v>125 grs(250cc)</c:v>
                  </c:pt>
                  <c:pt idx="1476">
                    <c:v>1 ltr</c:v>
                  </c:pt>
                  <c:pt idx="1477">
                    <c:v>50 ml</c:v>
                  </c:pt>
                  <c:pt idx="1478">
                    <c:v>30 ml</c:v>
                  </c:pt>
                  <c:pt idx="1479">
                    <c:v>15 gr</c:v>
                  </c:pt>
                  <c:pt idx="1481">
                    <c:v>c/u</c:v>
                  </c:pt>
                  <c:pt idx="1482">
                    <c:v>16 lt</c:v>
                  </c:pt>
                  <c:pt idx="1483">
                    <c:v>34x25x42</c:v>
                  </c:pt>
                  <c:pt idx="1484">
                    <c:v>0</c:v>
                  </c:pt>
                  <c:pt idx="1485">
                    <c:v>25 kg</c:v>
                  </c:pt>
                  <c:pt idx="1486">
                    <c:v>40 kg</c:v>
                  </c:pt>
                  <c:pt idx="1487">
                    <c:v>kgr</c:v>
                  </c:pt>
                  <c:pt idx="1493">
                    <c:v>c/u</c:v>
                  </c:pt>
                  <c:pt idx="1494">
                    <c:v>0</c:v>
                  </c:pt>
                  <c:pt idx="1495">
                    <c:v>0</c:v>
                  </c:pt>
                  <c:pt idx="1496">
                    <c:v>45 cn</c:v>
                  </c:pt>
                  <c:pt idx="1497">
                    <c:v>600 ml</c:v>
                  </c:pt>
                  <c:pt idx="1498">
                    <c:v>2 unidades</c:v>
                  </c:pt>
                  <c:pt idx="1499">
                    <c:v>50 mm</c:v>
                  </c:pt>
                  <c:pt idx="1500">
                    <c:v>70mm</c:v>
                  </c:pt>
                  <c:pt idx="1501">
                    <c:v>80 mm</c:v>
                  </c:pt>
                  <c:pt idx="1502">
                    <c:v>90 mm</c:v>
                  </c:pt>
                  <c:pt idx="1503">
                    <c:v>50 lt</c:v>
                  </c:pt>
                  <c:pt idx="1506">
                    <c:v>10 lt</c:v>
                  </c:pt>
                  <c:pt idx="1507">
                    <c:v>30 c.c.</c:v>
                  </c:pt>
                  <c:pt idx="1508">
                    <c:v>caja 12</c:v>
                  </c:pt>
                  <c:pt idx="1509">
                    <c:v>20c,c,</c:v>
                  </c:pt>
                  <c:pt idx="1510">
                    <c:v>24x10x10</c:v>
                  </c:pt>
                  <c:pt idx="1512">
                    <c:v>11,5X11,5X24</c:v>
                  </c:pt>
                  <c:pt idx="1513">
                    <c:v>0</c:v>
                  </c:pt>
                  <c:pt idx="1514">
                    <c:v>c/u</c:v>
                  </c:pt>
                  <c:pt idx="1515">
                    <c:v>c/u</c:v>
                  </c:pt>
                  <c:pt idx="1517">
                    <c:v>10x6</c:v>
                  </c:pt>
                  <c:pt idx="1518">
                    <c:v>c/u</c:v>
                  </c:pt>
                  <c:pt idx="1519">
                    <c:v>1 tr</c:v>
                  </c:pt>
                  <c:pt idx="1520">
                    <c:v>100 c,c</c:v>
                  </c:pt>
                  <c:pt idx="1522">
                    <c:v>450 grs,</c:v>
                  </c:pt>
                  <c:pt idx="1523">
                    <c:v>325 grs</c:v>
                  </c:pt>
                  <c:pt idx="1524">
                    <c:v>5 KG</c:v>
                  </c:pt>
                  <c:pt idx="1525">
                    <c:v>100 GRS</c:v>
                  </c:pt>
                  <c:pt idx="1527">
                    <c:v>c/u</c:v>
                  </c:pt>
                  <c:pt idx="1528">
                    <c:v>85 GRS</c:v>
                  </c:pt>
                  <c:pt idx="1529">
                    <c:v>850 gr</c:v>
                  </c:pt>
                  <c:pt idx="1530">
                    <c:v>kg</c:v>
                  </c:pt>
                  <c:pt idx="1531">
                    <c:v>100 gr</c:v>
                  </c:pt>
                  <c:pt idx="1532">
                    <c:v>c/u</c:v>
                  </c:pt>
                  <c:pt idx="1534">
                    <c:v>67 cn</c:v>
                  </c:pt>
                  <c:pt idx="1535">
                    <c:v>c/u</c:v>
                  </c:pt>
                  <c:pt idx="1536">
                    <c:v>30x8 cm</c:v>
                  </c:pt>
                  <c:pt idx="1537">
                    <c:v>26 cm</c:v>
                  </c:pt>
                  <c:pt idx="1538">
                    <c:v>12</c:v>
                  </c:pt>
                  <c:pt idx="1539">
                    <c:v>0</c:v>
                  </c:pt>
                  <c:pt idx="1541">
                    <c:v>35x8</c:v>
                  </c:pt>
                  <c:pt idx="1542">
                    <c:v>25 x9</c:v>
                  </c:pt>
                  <c:pt idx="1543">
                    <c:v>bolsita 5 gr</c:v>
                  </c:pt>
                  <c:pt idx="1546">
                    <c:v>0</c:v>
                  </c:pt>
                  <c:pt idx="1547">
                    <c:v>0</c:v>
                  </c:pt>
                  <c:pt idx="1548">
                    <c:v>kg</c:v>
                  </c:pt>
                  <c:pt idx="1549">
                    <c:v>160 gr</c:v>
                  </c:pt>
                  <c:pt idx="1550">
                    <c:v>600 grs</c:v>
                  </c:pt>
                  <c:pt idx="1551">
                    <c:v>160 ggr</c:v>
                  </c:pt>
                  <c:pt idx="1553">
                    <c:v>186 gr</c:v>
                  </c:pt>
                  <c:pt idx="1554">
                    <c:v>93 grs</c:v>
                  </c:pt>
                  <c:pt idx="1555">
                    <c:v>c/u</c:v>
                  </c:pt>
                  <c:pt idx="1556">
                    <c:v>10-25 kg</c:v>
                  </c:pt>
                  <c:pt idx="1557">
                    <c:v>25-50</c:v>
                  </c:pt>
                  <c:pt idx="1558">
                    <c:v>4-10kg</c:v>
                  </c:pt>
                  <c:pt idx="1559">
                    <c:v>2-4 kg</c:v>
                  </c:pt>
                  <c:pt idx="1560">
                    <c:v>150 grs</c:v>
                  </c:pt>
                  <c:pt idx="1561">
                    <c:v>80x40x25en 4 mm</c:v>
                  </c:pt>
                  <c:pt idx="1562">
                    <c:v>40x40x25 en 4 mm</c:v>
                  </c:pt>
                  <c:pt idx="1563">
                    <c:v>33x30x17</c:v>
                  </c:pt>
                  <c:pt idx="1564">
                    <c:v>38x20x16</c:v>
                  </c:pt>
                  <c:pt idx="1565">
                    <c:v>40x27x16</c:v>
                  </c:pt>
                  <c:pt idx="1566">
                    <c:v>80 x25x 40 h</c:v>
                  </c:pt>
                  <c:pt idx="1567">
                    <c:v>RS 380 C</c:v>
                  </c:pt>
                  <c:pt idx="1568">
                    <c:v>30 LTRS380A</c:v>
                  </c:pt>
                  <c:pt idx="1569">
                    <c:v>17x15</c:v>
                  </c:pt>
                  <c:pt idx="1570">
                    <c:v>8 kg</c:v>
                  </c:pt>
                  <c:pt idx="1571">
                    <c:v>21 kg</c:v>
                  </c:pt>
                  <c:pt idx="1572">
                    <c:v>19x26</c:v>
                  </c:pt>
                  <c:pt idx="1574">
                    <c:v>1*29cm</c:v>
                  </c:pt>
                  <c:pt idx="1575">
                    <c:v>caja 24 unidades</c:v>
                  </c:pt>
                  <c:pt idx="1577">
                    <c:v>3  u nidades</c:v>
                  </c:pt>
                  <c:pt idx="1582">
                    <c:v>35 cm</c:v>
                  </c:pt>
                  <c:pt idx="1584">
                    <c:v>125dm3</c:v>
                  </c:pt>
                  <c:pt idx="1585">
                    <c:v>50 lt-11kg</c:v>
                  </c:pt>
                  <c:pt idx="1586">
                    <c:v>200 gr</c:v>
                  </c:pt>
                  <c:pt idx="1587">
                    <c:v>50 ltr</c:v>
                  </c:pt>
                  <c:pt idx="1588">
                    <c:v>7 kgr</c:v>
                  </c:pt>
                  <c:pt idx="1589">
                    <c:v>15 kg</c:v>
                  </c:pt>
                  <c:pt idx="1590">
                    <c:v>7kg</c:v>
                  </c:pt>
                  <c:pt idx="1591">
                    <c:v>25 kg</c:v>
                  </c:pt>
                  <c:pt idx="1592">
                    <c:v>1 kg</c:v>
                  </c:pt>
                  <c:pt idx="1593">
                    <c:v>25 kg</c:v>
                  </c:pt>
                  <c:pt idx="1594">
                    <c:v>1 kg</c:v>
                  </c:pt>
                  <c:pt idx="1595">
                    <c:v>7 kg</c:v>
                  </c:pt>
                  <c:pt idx="1596">
                    <c:v>1 KG</c:v>
                  </c:pt>
                  <c:pt idx="1597">
                    <c:v>10,1 KG</c:v>
                  </c:pt>
                  <c:pt idx="1598">
                    <c:v>25kg</c:v>
                  </c:pt>
                  <c:pt idx="1599">
                    <c:v>18 kg</c:v>
                  </c:pt>
                  <c:pt idx="1600">
                    <c:v>1kg</c:v>
                  </c:pt>
                  <c:pt idx="1601">
                    <c:v>7kg</c:v>
                  </c:pt>
                  <c:pt idx="1602">
                    <c:v>18 kg</c:v>
                  </c:pt>
                  <c:pt idx="1603">
                    <c:v>1kg</c:v>
                  </c:pt>
                  <c:pt idx="1604">
                    <c:v>8kg</c:v>
                  </c:pt>
                  <c:pt idx="1605">
                    <c:v>22 kg</c:v>
                  </c:pt>
                  <c:pt idx="1606">
                    <c:v>1 kg</c:v>
                  </c:pt>
                  <c:pt idx="1607">
                    <c:v>8 KG</c:v>
                  </c:pt>
                  <c:pt idx="1608">
                    <c:v>8 kg</c:v>
                  </c:pt>
                  <c:pt idx="1609">
                    <c:v>7 KG</c:v>
                  </c:pt>
                  <c:pt idx="1610">
                    <c:v>8 kg</c:v>
                  </c:pt>
                  <c:pt idx="1611">
                    <c:v>24 kg</c:v>
                  </c:pt>
                  <c:pt idx="1612">
                    <c:v>1 kg</c:v>
                  </c:pt>
                  <c:pt idx="1613">
                    <c:v>24 kg</c:v>
                  </c:pt>
                  <c:pt idx="1614">
                    <c:v>kg</c:v>
                  </c:pt>
                  <c:pt idx="1615">
                    <c:v>7,5 KG</c:v>
                  </c:pt>
                  <c:pt idx="1616">
                    <c:v>1 kg</c:v>
                  </c:pt>
                  <c:pt idx="1617">
                    <c:v>15 kg</c:v>
                  </c:pt>
                  <c:pt idx="1618">
                    <c:v>7 kgr</c:v>
                  </c:pt>
                  <c:pt idx="1619">
                    <c:v>25 kgr</c:v>
                  </c:pt>
                  <c:pt idx="1620">
                    <c:v>15 kg</c:v>
                  </c:pt>
                  <c:pt idx="1621">
                    <c:v>22 kg</c:v>
                  </c:pt>
                  <c:pt idx="1622">
                    <c:v>10 kg</c:v>
                  </c:pt>
                  <c:pt idx="1623">
                    <c:v>1 kg</c:v>
                  </c:pt>
                  <c:pt idx="1624">
                    <c:v>21 kg</c:v>
                  </c:pt>
                  <c:pt idx="1625">
                    <c:v>8 kg</c:v>
                  </c:pt>
                  <c:pt idx="1626">
                    <c:v>25 kg</c:v>
                  </c:pt>
                  <c:pt idx="1627">
                    <c:v>8 kg</c:v>
                  </c:pt>
                  <c:pt idx="1628">
                    <c:v>21 kg</c:v>
                  </c:pt>
                  <c:pt idx="1629">
                    <c:v>21 kg</c:v>
                  </c:pt>
                  <c:pt idx="1630">
                    <c:v>8 kg</c:v>
                  </c:pt>
                  <c:pt idx="1631">
                    <c:v>1 kgr</c:v>
                  </c:pt>
                  <c:pt idx="1632">
                    <c:v>21 kg</c:v>
                  </c:pt>
                  <c:pt idx="1633">
                    <c:v>1 kg</c:v>
                  </c:pt>
                  <c:pt idx="1634">
                    <c:v>1 kg</c:v>
                  </c:pt>
                  <c:pt idx="1635">
                    <c:v>7 kg</c:v>
                  </c:pt>
                  <c:pt idx="1636">
                    <c:v>20</c:v>
                  </c:pt>
                  <c:pt idx="1637">
                    <c:v>1 kg</c:v>
                  </c:pt>
                  <c:pt idx="1638">
                    <c:v>1 kg</c:v>
                  </c:pt>
                  <c:pt idx="1639">
                    <c:v>20 kg</c:v>
                  </c:pt>
                  <c:pt idx="1640">
                    <c:v>20 kg</c:v>
                  </c:pt>
                  <c:pt idx="1641">
                    <c:v>8 kg</c:v>
                  </c:pt>
                  <c:pt idx="1642">
                    <c:v>15 kg</c:v>
                  </c:pt>
                  <c:pt idx="1643">
                    <c:v>25 kg</c:v>
                  </c:pt>
                  <c:pt idx="1644">
                    <c:v>5 kg</c:v>
                  </c:pt>
                  <c:pt idx="1645">
                    <c:v>15 kg</c:v>
                  </c:pt>
                  <c:pt idx="1646">
                    <c:v>25 kg</c:v>
                  </c:pt>
                  <c:pt idx="1647">
                    <c:v>8 kg</c:v>
                  </c:pt>
                  <c:pt idx="1648">
                    <c:v>8 kg</c:v>
                  </c:pt>
                  <c:pt idx="1651">
                    <c:v>50 gr</c:v>
                  </c:pt>
                  <c:pt idx="1654">
                    <c:v>8</c:v>
                  </c:pt>
                  <c:pt idx="1655">
                    <c:v>47 gr</c:v>
                  </c:pt>
                  <c:pt idx="1656">
                    <c:v>22 gr</c:v>
                  </c:pt>
                  <c:pt idx="1658">
                    <c:v>10"</c:v>
                  </c:pt>
                  <c:pt idx="1659">
                    <c:v>4"</c:v>
                  </c:pt>
                  <c:pt idx="1660">
                    <c:v>6"</c:v>
                  </c:pt>
                  <c:pt idx="1661">
                    <c:v>c/u</c:v>
                  </c:pt>
                  <c:pt idx="1662">
                    <c:v>2 kg</c:v>
                  </c:pt>
                  <c:pt idx="1663">
                    <c:v>4 kg</c:v>
                  </c:pt>
                  <c:pt idx="1664">
                    <c:v>1,7kg</c:v>
                  </c:pt>
                  <c:pt idx="1665">
                    <c:v>3,800 litros</c:v>
                  </c:pt>
                  <c:pt idx="1666">
                    <c:v>15 kg</c:v>
                  </c:pt>
                  <c:pt idx="1667">
                    <c:v>1 kg</c:v>
                  </c:pt>
                  <c:pt idx="1668">
                    <c:v>500 GR</c:v>
                  </c:pt>
                  <c:pt idx="1669">
                    <c:v>45x17</c:v>
                  </c:pt>
                  <c:pt idx="1670">
                    <c:v>0</c:v>
                  </c:pt>
                  <c:pt idx="1671">
                    <c:v>1835 cm</c:v>
                  </c:pt>
                  <c:pt idx="1672">
                    <c:v>100 cc</c:v>
                  </c:pt>
                  <c:pt idx="1673">
                    <c:v>50 grs</c:v>
                  </c:pt>
                  <c:pt idx="1674">
                    <c:v>10-20 kg</c:v>
                  </c:pt>
                  <c:pt idx="1675">
                    <c:v>hasta 10 kg</c:v>
                  </c:pt>
                  <c:pt idx="1676">
                    <c:v>2-10 kg</c:v>
                  </c:pt>
                  <c:pt idx="1677">
                    <c:v>10-20kg</c:v>
                  </c:pt>
                  <c:pt idx="1678">
                    <c:v>hasta 4 kg</c:v>
                  </c:pt>
                  <c:pt idx="1679">
                    <c:v>mas de 4 kg</c:v>
                  </c:pt>
                  <c:pt idx="1680">
                    <c:v>5A10 KG</c:v>
                  </c:pt>
                  <c:pt idx="1681">
                    <c:v>10-kg</c:v>
                  </c:pt>
                  <c:pt idx="1682">
                    <c:v>10-25 kg</c:v>
                  </c:pt>
                  <c:pt idx="1683">
                    <c:v>25-40 kg</c:v>
                  </c:pt>
                  <c:pt idx="1684">
                    <c:v>HASTA 5 KG</c:v>
                  </c:pt>
                  <c:pt idx="1685">
                    <c:v>mas de 4kg</c:v>
                  </c:pt>
                  <c:pt idx="1686">
                    <c:v>hasta 4 kg</c:v>
                  </c:pt>
                  <c:pt idx="1687">
                    <c:v>0</c:v>
                  </c:pt>
                  <c:pt idx="1688">
                    <c:v>20 a 40 kg</c:v>
                  </c:pt>
                  <c:pt idx="1689">
                    <c:v>gato</c:v>
                  </c:pt>
                  <c:pt idx="1690">
                    <c:v>3</c:v>
                  </c:pt>
                  <c:pt idx="1693">
                    <c:v>16*10*14</c:v>
                  </c:pt>
                  <c:pt idx="1694">
                    <c:v>12*5*28</c:v>
                  </c:pt>
                  <c:pt idx="1695">
                    <c:v>7*3*29</c:v>
                  </c:pt>
                  <c:pt idx="1697">
                    <c:v>12x11</c:v>
                  </c:pt>
                  <c:pt idx="1698">
                    <c:v>c/u</c:v>
                  </c:pt>
                  <c:pt idx="1699">
                    <c:v>0</c:v>
                  </c:pt>
                  <c:pt idx="1700">
                    <c:v>1221</c:v>
                  </c:pt>
                  <c:pt idx="1701">
                    <c:v>frondosa9x6x25</c:v>
                  </c:pt>
                  <c:pt idx="1702">
                    <c:v>30 cm</c:v>
                  </c:pt>
                  <c:pt idx="1704">
                    <c:v>c/u</c:v>
                  </c:pt>
                  <c:pt idx="1705">
                    <c:v>0</c:v>
                  </c:pt>
                  <c:pt idx="1709">
                    <c:v>c/u</c:v>
                  </c:pt>
                  <c:pt idx="1710">
                    <c:v>bolsa 20 cm x 2 unidades</c:v>
                  </c:pt>
                  <c:pt idx="1711">
                    <c:v>30 cm</c:v>
                  </c:pt>
                  <c:pt idx="1712">
                    <c:v>40 cm</c:v>
                  </c:pt>
                  <c:pt idx="1714">
                    <c:v>160 cc</c:v>
                  </c:pt>
                  <c:pt idx="1715">
                    <c:v>160 CC</c:v>
                  </c:pt>
                  <c:pt idx="1716">
                    <c:v>2 plat</c:v>
                  </c:pt>
                  <c:pt idx="1717">
                    <c:v>20</c:v>
                  </c:pt>
                  <c:pt idx="1718">
                    <c:v>25</c:v>
                  </c:pt>
                  <c:pt idx="1719">
                    <c:v>30</c:v>
                  </c:pt>
                  <c:pt idx="1720">
                    <c:v>15x15</c:v>
                  </c:pt>
                  <c:pt idx="1721">
                    <c:v>20x20</c:v>
                  </c:pt>
                  <c:pt idx="1722">
                    <c:v>27x27</c:v>
                  </c:pt>
                  <c:pt idx="1723">
                    <c:v>n 11</c:v>
                  </c:pt>
                  <c:pt idx="1724">
                    <c:v>n 14</c:v>
                  </c:pt>
                </c:lvl>
                <c:lvl>
                  <c:pt idx="0">
                    <c:v> pie sepelio mediano grde</c:v>
                  </c:pt>
                  <c:pt idx="1">
                    <c:v>abamectina100 c,c,</c:v>
                  </c:pt>
                  <c:pt idx="2">
                    <c:v>ABATOP(abamectina)</c:v>
                  </c:pt>
                  <c:pt idx="3">
                    <c:v>Abono de mar</c:v>
                  </c:pt>
                  <c:pt idx="4">
                    <c:v>Abono de mar </c:v>
                  </c:pt>
                  <c:pt idx="5">
                    <c:v>aceite</c:v>
                  </c:pt>
                  <c:pt idx="6">
                    <c:v>aceite</c:v>
                  </c:pt>
                  <c:pt idx="7">
                    <c:v>aceite</c:v>
                  </c:pt>
                  <c:pt idx="8">
                    <c:v>aceite de neem</c:v>
                  </c:pt>
                  <c:pt idx="9">
                    <c:v>ACEITE DE NEEM</c:v>
                  </c:pt>
                  <c:pt idx="10">
                    <c:v>acople para manguera</c:v>
                  </c:pt>
                  <c:pt idx="11">
                    <c:v>acoples para manguera 3 piezas</c:v>
                  </c:pt>
                  <c:pt idx="12">
                    <c:v>acoples plastico p/manguera</c:v>
                  </c:pt>
                  <c:pt idx="13">
                    <c:v>activador </c:v>
                  </c:pt>
                  <c:pt idx="14">
                    <c:v>activador de  flores</c:v>
                  </c:pt>
                  <c:pt idx="15">
                    <c:v>adaptador 1/2</c:v>
                  </c:pt>
                  <c:pt idx="16">
                    <c:v>adaptador 1/2a3/4</c:v>
                  </c:pt>
                  <c:pt idx="17">
                    <c:v>adorno de corazon</c:v>
                  </c:pt>
                  <c:pt idx="18">
                    <c:v>adorno mica</c:v>
                  </c:pt>
                  <c:pt idx="19">
                    <c:v>adorno pecera</c:v>
                  </c:pt>
                  <c:pt idx="20">
                    <c:v>adorno pecera</c:v>
                  </c:pt>
                  <c:pt idx="21">
                    <c:v>adorno pecera</c:v>
                  </c:pt>
                  <c:pt idx="22">
                    <c:v>adorno pecera</c:v>
                  </c:pt>
                  <c:pt idx="23">
                    <c:v>adorno pecera</c:v>
                  </c:pt>
                  <c:pt idx="24">
                    <c:v>afrechillo molido de trigo</c:v>
                  </c:pt>
                  <c:pt idx="25">
                    <c:v>afrechillo molido de trigo </c:v>
                  </c:pt>
                  <c:pt idx="26">
                    <c:v>ahuyentador perro y gatos</c:v>
                  </c:pt>
                  <c:pt idx="27">
                    <c:v>aireador 1 salida 3w</c:v>
                  </c:pt>
                  <c:pt idx="28">
                    <c:v>aireador 1 salida 3w</c:v>
                  </c:pt>
                  <c:pt idx="29">
                    <c:v>aireador 1 salida rs-160</c:v>
                  </c:pt>
                  <c:pt idx="30">
                    <c:v>aireador 2 salida 5w</c:v>
                  </c:pt>
                  <c:pt idx="31">
                    <c:v>aireador 2 salidas rs-360</c:v>
                  </c:pt>
                  <c:pt idx="32">
                    <c:v>aireador 2 salidas rs-390</c:v>
                  </c:pt>
                  <c:pt idx="33">
                    <c:v>aireador 2,5lm  sl-2800</c:v>
                  </c:pt>
                  <c:pt idx="34">
                    <c:v>AKITO</c:v>
                  </c:pt>
                  <c:pt idx="35">
                    <c:v>alicate p/mascota</c:v>
                  </c:pt>
                  <c:pt idx="36">
                    <c:v>alimemtos p/plantas</c:v>
                  </c:pt>
                  <c:pt idx="37">
                    <c:v>alimento de tortuga</c:v>
                  </c:pt>
                  <c:pt idx="38">
                    <c:v>alimento gammarus</c:v>
                  </c:pt>
                  <c:pt idx="39">
                    <c:v>alimento gammarus</c:v>
                  </c:pt>
                  <c:pt idx="40">
                    <c:v>alimento gammarus</c:v>
                  </c:pt>
                  <c:pt idx="41">
                    <c:v>alimento gammarus</c:v>
                  </c:pt>
                  <c:pt idx="42">
                    <c:v>alimento godlfish flakes</c:v>
                  </c:pt>
                  <c:pt idx="43">
                    <c:v>alimento goldfish colour bits</c:v>
                  </c:pt>
                  <c:pt idx="44">
                    <c:v>alimento goldfish flakes </c:v>
                  </c:pt>
                  <c:pt idx="45">
                    <c:v>alimento goldfish flakes </c:v>
                  </c:pt>
                  <c:pt idx="46">
                    <c:v>alimento golfish </c:v>
                  </c:pt>
                  <c:pt idx="47">
                    <c:v>alimento grano mediano marron-verde</c:v>
                  </c:pt>
                  <c:pt idx="48">
                    <c:v>alimento p/tortugas alcon</c:v>
                  </c:pt>
                  <c:pt idx="49">
                    <c:v>alimento para estanque</c:v>
                  </c:pt>
                  <c:pt idx="50">
                    <c:v>alimento peleteado floatin green p/peces</c:v>
                  </c:pt>
                  <c:pt idx="51">
                    <c:v>alimento peleteado floatin green p/peces</c:v>
                  </c:pt>
                  <c:pt idx="52">
                    <c:v>alimento peleteado floatin green p/peces</c:v>
                  </c:pt>
                  <c:pt idx="53">
                    <c:v>alimento peleteado floatin green p/peces</c:v>
                  </c:pt>
                  <c:pt idx="54">
                    <c:v>alimento tortuga reptolife balde1,100 kg</c:v>
                  </c:pt>
                  <c:pt idx="55">
                    <c:v>alimento tortugaalcon</c:v>
                  </c:pt>
                  <c:pt idx="56">
                    <c:v>alimento tortugas tartafood</c:v>
                  </c:pt>
                  <c:pt idx="57">
                    <c:v>alimento tortugas tartafood</c:v>
                  </c:pt>
                  <c:pt idx="58">
                    <c:v>alimento tortugas tartafood</c:v>
                  </c:pt>
                  <c:pt idx="59">
                    <c:v>alimentos p/plantas CRECE MAS</c:v>
                  </c:pt>
                  <c:pt idx="60">
                    <c:v>almaciguera</c:v>
                  </c:pt>
                  <c:pt idx="61">
                    <c:v>almaciguera</c:v>
                  </c:pt>
                  <c:pt idx="62">
                    <c:v>almaciguera</c:v>
                  </c:pt>
                  <c:pt idx="63">
                    <c:v>ALMACIGUERA </c:v>
                  </c:pt>
                  <c:pt idx="64">
                    <c:v>almaciguera 288 cavidades</c:v>
                  </c:pt>
                  <c:pt idx="65">
                    <c:v>almaciguera 50 cavidades </c:v>
                  </c:pt>
                  <c:pt idx="66">
                    <c:v>almacigueras</c:v>
                  </c:pt>
                  <c:pt idx="67">
                    <c:v>almacigueras x 106 espacios</c:v>
                  </c:pt>
                  <c:pt idx="68">
                    <c:v>almacigueras x 200 espacios</c:v>
                  </c:pt>
                  <c:pt idx="69">
                    <c:v>almacigueras x 21 espacios</c:v>
                  </c:pt>
                  <c:pt idx="70">
                    <c:v>almacigueras x 32 espacios</c:v>
                  </c:pt>
                  <c:pt idx="71">
                    <c:v>almohadon corazon</c:v>
                  </c:pt>
                  <c:pt idx="72">
                    <c:v>alpiste</c:v>
                  </c:pt>
                  <c:pt idx="73">
                    <c:v>alpiste</c:v>
                  </c:pt>
                  <c:pt idx="74">
                    <c:v>alpiste</c:v>
                  </c:pt>
                  <c:pt idx="75">
                    <c:v>alpiste</c:v>
                  </c:pt>
                  <c:pt idx="76">
                    <c:v>antorcha</c:v>
                  </c:pt>
                  <c:pt idx="77">
                    <c:v>antorcha</c:v>
                  </c:pt>
                  <c:pt idx="78">
                    <c:v>antorcha 120cc</c:v>
                  </c:pt>
                  <c:pt idx="79">
                    <c:v>antorcha 150cc</c:v>
                  </c:pt>
                  <c:pt idx="80">
                    <c:v>appril antiparasitario</c:v>
                  </c:pt>
                  <c:pt idx="81">
                    <c:v>appril antiparasitario</c:v>
                  </c:pt>
                  <c:pt idx="82">
                    <c:v>appril antiparasitario</c:v>
                  </c:pt>
                  <c:pt idx="83">
                    <c:v>ARO MIMBRE CHICO</c:v>
                  </c:pt>
                  <c:pt idx="84">
                    <c:v>ARO MIMBRE GRANDE</c:v>
                  </c:pt>
                  <c:pt idx="85">
                    <c:v>aros coronas</c:v>
                  </c:pt>
                  <c:pt idx="86">
                    <c:v>aros coronas</c:v>
                  </c:pt>
                  <c:pt idx="87">
                    <c:v>aros coronas</c:v>
                  </c:pt>
                  <c:pt idx="88">
                    <c:v>arrozin</c:v>
                  </c:pt>
                  <c:pt idx="89">
                    <c:v>arrozin</c:v>
                  </c:pt>
                  <c:pt idx="90">
                    <c:v>aspersor giratorio</c:v>
                  </c:pt>
                  <c:pt idx="91">
                    <c:v>ASPERSOR GIRATORIO</c:v>
                  </c:pt>
                  <c:pt idx="92">
                    <c:v>aspersor giratorio</c:v>
                  </c:pt>
                  <c:pt idx="93">
                    <c:v>ATADO FOLLAJE X 3 HOJAS VERDES</c:v>
                  </c:pt>
                  <c:pt idx="94">
                    <c:v>atado ilusion</c:v>
                  </c:pt>
                  <c:pt idx="95">
                    <c:v>atado rosa</c:v>
                  </c:pt>
                  <c:pt idx="96">
                    <c:v>atado x 6 cala</c:v>
                  </c:pt>
                  <c:pt idx="97">
                    <c:v>azomite</c:v>
                  </c:pt>
                  <c:pt idx="98">
                    <c:v>azufre en polvo industrial</c:v>
                  </c:pt>
                  <c:pt idx="99">
                    <c:v>azufre en polvo industrial</c:v>
                  </c:pt>
                  <c:pt idx="100">
                    <c:v>azufre mojable </c:v>
                  </c:pt>
                  <c:pt idx="101">
                    <c:v>azufre mojable sulfagro</c:v>
                  </c:pt>
                  <c:pt idx="102">
                    <c:v>azufre seco</c:v>
                  </c:pt>
                  <c:pt idx="103">
                    <c:v>babocol</c:v>
                  </c:pt>
                  <c:pt idx="104">
                    <c:v>baboxan organico pellet</c:v>
                  </c:pt>
                  <c:pt idx="105">
                    <c:v>baboxan pelets</c:v>
                  </c:pt>
                  <c:pt idx="106">
                    <c:v>baboxan pellets </c:v>
                  </c:pt>
                  <c:pt idx="107">
                    <c:v>baboxan polvo</c:v>
                  </c:pt>
                  <c:pt idx="108">
                    <c:v>baboxan polvo</c:v>
                  </c:pt>
                  <c:pt idx="109">
                    <c:v>BALDE ACERO INOX </c:v>
                  </c:pt>
                  <c:pt idx="110">
                    <c:v>bandeja plastico c/escamas</c:v>
                  </c:pt>
                  <c:pt idx="111">
                    <c:v>bandeja sanitaria</c:v>
                  </c:pt>
                  <c:pt idx="112">
                    <c:v>bandeja sanitaria</c:v>
                  </c:pt>
                  <c:pt idx="113">
                    <c:v>bandeja sanitaria alta luxo</c:v>
                  </c:pt>
                  <c:pt idx="114">
                    <c:v>bañera grande</c:v>
                  </c:pt>
                  <c:pt idx="115">
                    <c:v>bañera plastica chica</c:v>
                  </c:pt>
                  <c:pt idx="116">
                    <c:v>bañera plastica gigante</c:v>
                  </c:pt>
                  <c:pt idx="117">
                    <c:v>bañera plastica grande</c:v>
                  </c:pt>
                  <c:pt idx="118">
                    <c:v>bañera plastica mediada</c:v>
                  </c:pt>
                  <c:pt idx="119">
                    <c:v>barco galeon</c:v>
                  </c:pt>
                  <c:pt idx="120">
                    <c:v>barco hundido</c:v>
                  </c:pt>
                  <c:pt idx="121">
                    <c:v>barrera antihormigas</c:v>
                  </c:pt>
                  <c:pt idx="122">
                    <c:v>barricade </c:v>
                  </c:pt>
                  <c:pt idx="123">
                    <c:v>barricade 36 frascos</c:v>
                  </c:pt>
                  <c:pt idx="124">
                    <c:v>barrisan</c:v>
                  </c:pt>
                  <c:pt idx="125">
                    <c:v>Bat Guano</c:v>
                  </c:pt>
                  <c:pt idx="126">
                    <c:v>Bat Guano</c:v>
                  </c:pt>
                  <c:pt idx="127">
                    <c:v>bat guano</c:v>
                  </c:pt>
                  <c:pt idx="128">
                    <c:v>bat guano</c:v>
                  </c:pt>
                  <c:pt idx="129">
                    <c:v>BEBEDERO</c:v>
                  </c:pt>
                  <c:pt idx="130">
                    <c:v>bebedero </c:v>
                  </c:pt>
                  <c:pt idx="131">
                    <c:v>bebedero </c:v>
                  </c:pt>
                  <c:pt idx="132">
                    <c:v>bebedero con asa</c:v>
                  </c:pt>
                  <c:pt idx="133">
                    <c:v>bebedero con asa</c:v>
                  </c:pt>
                  <c:pt idx="134">
                    <c:v>BEBEDERO HAMSTER</c:v>
                  </c:pt>
                  <c:pt idx="135">
                    <c:v>bebedero hamster</c:v>
                  </c:pt>
                  <c:pt idx="136">
                    <c:v>bebedero jaula pajaro</c:v>
                  </c:pt>
                  <c:pt idx="137">
                    <c:v>bebedero nacional</c:v>
                  </c:pt>
                  <c:pt idx="138">
                    <c:v>bebedero p/pajaro grande</c:v>
                  </c:pt>
                  <c:pt idx="139">
                    <c:v>bebedero p/pajaro tubo</c:v>
                  </c:pt>
                  <c:pt idx="140">
                    <c:v>bebedero p/pajaros tubo</c:v>
                  </c:pt>
                  <c:pt idx="141">
                    <c:v>bebedero p/pajaros tubo</c:v>
                  </c:pt>
                  <c:pt idx="142">
                    <c:v>bebedero picaflor</c:v>
                  </c:pt>
                  <c:pt idx="143">
                    <c:v>bebedero picaflor 3 flores</c:v>
                  </c:pt>
                  <c:pt idx="144">
                    <c:v>bebedero picaflor beija flor gold</c:v>
                  </c:pt>
                  <c:pt idx="145">
                    <c:v>bebedero picaflor beija flor premium</c:v>
                  </c:pt>
                  <c:pt idx="146">
                    <c:v>bebedero picaflor chico</c:v>
                  </c:pt>
                  <c:pt idx="147">
                    <c:v>bebedero picaflor chico</c:v>
                  </c:pt>
                  <c:pt idx="148">
                    <c:v>bebedero picaflor especial</c:v>
                  </c:pt>
                  <c:pt idx="149">
                    <c:v>bebedero picaflor grande</c:v>
                  </c:pt>
                  <c:pt idx="150">
                    <c:v>bebedero picaflor mediano</c:v>
                  </c:pt>
                  <c:pt idx="151">
                    <c:v>bebedero picflor grande</c:v>
                  </c:pt>
                  <c:pt idx="152">
                    <c:v>bebedero picflor grande</c:v>
                  </c:pt>
                  <c:pt idx="153">
                    <c:v>bebedero plastico</c:v>
                  </c:pt>
                  <c:pt idx="154">
                    <c:v>bebedero plastico</c:v>
                  </c:pt>
                  <c:pt idx="155">
                    <c:v>bebedero plastico grande</c:v>
                  </c:pt>
                  <c:pt idx="156">
                    <c:v>bebedero plastico punta metal</c:v>
                  </c:pt>
                  <c:pt idx="157">
                    <c:v>bebedero plastico punta metal</c:v>
                  </c:pt>
                  <c:pt idx="158">
                    <c:v>bebedero plastico punta metal</c:v>
                  </c:pt>
                  <c:pt idx="159">
                    <c:v>bebedero plastico punta metal</c:v>
                  </c:pt>
                  <c:pt idx="160">
                    <c:v>bebedero plastico punta metal</c:v>
                  </c:pt>
                  <c:pt idx="161">
                    <c:v>bicarbonato de sodio</c:v>
                  </c:pt>
                  <c:pt idx="162">
                    <c:v>BICI METAL</c:v>
                  </c:pt>
                  <c:pt idx="163">
                    <c:v>BICI METAL GRANDE</c:v>
                  </c:pt>
                  <c:pt idx="164">
                    <c:v>BICI METAL MINI</c:v>
                  </c:pt>
                  <c:pt idx="165">
                    <c:v>bicicleta adorno</c:v>
                  </c:pt>
                  <c:pt idx="166">
                    <c:v>big one floraCION</c:v>
                  </c:pt>
                  <c:pt idx="167">
                    <c:v>bio funguicida</c:v>
                  </c:pt>
                  <c:pt idx="168">
                    <c:v>bio insecticida</c:v>
                  </c:pt>
                  <c:pt idx="169">
                    <c:v>bio-fertilizante</c:v>
                  </c:pt>
                  <c:pt idx="170">
                    <c:v>bio-fertilizante</c:v>
                  </c:pt>
                  <c:pt idx="171">
                    <c:v>bio-fertilizantes</c:v>
                  </c:pt>
                  <c:pt idx="172">
                    <c:v>biopellet compomite</c:v>
                  </c:pt>
                  <c:pt idx="173">
                    <c:v>biopellet componite</c:v>
                  </c:pt>
                  <c:pt idx="174">
                    <c:v>biorepelente</c:v>
                  </c:pt>
                  <c:pt idx="175">
                    <c:v>biosustrato</c:v>
                  </c:pt>
                  <c:pt idx="176">
                    <c:v>biosustrato</c:v>
                  </c:pt>
                  <c:pt idx="177">
                    <c:v>biscrok</c:v>
                  </c:pt>
                  <c:pt idx="178">
                    <c:v>biscrok</c:v>
                  </c:pt>
                  <c:pt idx="179">
                    <c:v>BLISTER COLLARES MASCOTAS /SONAJERO</c:v>
                  </c:pt>
                  <c:pt idx="180">
                    <c:v>BLISTER COLLARES MASCOTAS MOÑAC /SONAJERO</c:v>
                  </c:pt>
                  <c:pt idx="181">
                    <c:v>BOLS COCO 15</c:v>
                  </c:pt>
                  <c:pt idx="182">
                    <c:v>bols coco bols 20</c:v>
                  </c:pt>
                  <c:pt idx="183">
                    <c:v>bols coco bols 25</c:v>
                  </c:pt>
                  <c:pt idx="184">
                    <c:v>bols coco bols 30</c:v>
                  </c:pt>
                  <c:pt idx="185">
                    <c:v>bols coco bols 35</c:v>
                  </c:pt>
                  <c:pt idx="186">
                    <c:v>bols coco con plato y linga</c:v>
                  </c:pt>
                  <c:pt idx="187">
                    <c:v>bols coco con plato y linga</c:v>
                  </c:pt>
                  <c:pt idx="188">
                    <c:v>bols COLOR c/plato</c:v>
                  </c:pt>
                  <c:pt idx="189">
                    <c:v>bols COLOR c/plato</c:v>
                  </c:pt>
                  <c:pt idx="190">
                    <c:v>bols con cadena </c:v>
                  </c:pt>
                  <c:pt idx="191">
                    <c:v>bols con cadena </c:v>
                  </c:pt>
                  <c:pt idx="192">
                    <c:v>bols con cadena </c:v>
                  </c:pt>
                  <c:pt idx="193">
                    <c:v>bols con cadena chino</c:v>
                  </c:pt>
                  <c:pt idx="194">
                    <c:v>bols con cadena chino</c:v>
                  </c:pt>
                  <c:pt idx="195">
                    <c:v>BOLS RATAN</c:v>
                  </c:pt>
                  <c:pt idx="196">
                    <c:v>bols s/plato vicenza</c:v>
                  </c:pt>
                  <c:pt idx="197">
                    <c:v>bols s/plato VICENZA</c:v>
                  </c:pt>
                  <c:pt idx="198">
                    <c:v>bols s/plato VICENZA</c:v>
                  </c:pt>
                  <c:pt idx="199">
                    <c:v>bols s/plato VICENZA</c:v>
                  </c:pt>
                  <c:pt idx="200">
                    <c:v>bols s/plato VICENZA</c:v>
                  </c:pt>
                  <c:pt idx="201">
                    <c:v>BOLS TERRA</c:v>
                  </c:pt>
                  <c:pt idx="202">
                    <c:v>BOLS TERRA</c:v>
                  </c:pt>
                  <c:pt idx="203">
                    <c:v>bolsa 20x30</c:v>
                  </c:pt>
                  <c:pt idx="204">
                    <c:v>bolsa 28x40</c:v>
                  </c:pt>
                  <c:pt idx="205">
                    <c:v>bolsa 35x50</c:v>
                  </c:pt>
                  <c:pt idx="206">
                    <c:v>BOLSA CAMISETA-</c:v>
                  </c:pt>
                  <c:pt idx="207">
                    <c:v>bolsa camiseta con fuelle</c:v>
                  </c:pt>
                  <c:pt idx="208">
                    <c:v>bolsa camiseta recicble</c:v>
                  </c:pt>
                  <c:pt idx="209">
                    <c:v>bolsa camiseta recicble</c:v>
                  </c:pt>
                  <c:pt idx="210">
                    <c:v>bolsa p/ lavarropa</c:v>
                  </c:pt>
                  <c:pt idx="211">
                    <c:v>bolsa p/semilla p/p</c:v>
                  </c:pt>
                  <c:pt idx="212">
                    <c:v>bolsa papel n 3</c:v>
                  </c:pt>
                  <c:pt idx="213">
                    <c:v>bolsa vivero/kg</c:v>
                  </c:pt>
                  <c:pt idx="214">
                    <c:v>bolsa vivero/kg</c:v>
                  </c:pt>
                  <c:pt idx="215">
                    <c:v>bolsa vivero/kg</c:v>
                  </c:pt>
                  <c:pt idx="216">
                    <c:v>bolsa vivero/kg -1 LTR</c:v>
                  </c:pt>
                  <c:pt idx="217">
                    <c:v>bolsa vivero/kg-2 LTR</c:v>
                  </c:pt>
                  <c:pt idx="218">
                    <c:v>bolsoc/cierre</c:v>
                  </c:pt>
                  <c:pt idx="219">
                    <c:v>bolsos chicos</c:v>
                  </c:pt>
                  <c:pt idx="220">
                    <c:v>bolsos grande</c:v>
                  </c:pt>
                  <c:pt idx="221">
                    <c:v>bomba de agua</c:v>
                  </c:pt>
                  <c:pt idx="222">
                    <c:v>bomba de agua</c:v>
                  </c:pt>
                  <c:pt idx="223">
                    <c:v>Bomba de agua </c:v>
                  </c:pt>
                  <c:pt idx="224">
                    <c:v>bomba de agua 40 w 2000 ltr, hr 2 mtr h</c:v>
                  </c:pt>
                  <c:pt idx="225">
                    <c:v>bomba de agua 5 w350 ltr /h0,65 hrs-901</c:v>
                  </c:pt>
                  <c:pt idx="226">
                    <c:v>BOMBA DE AGUA AQUARIUM</c:v>
                  </c:pt>
                  <c:pt idx="227">
                    <c:v>botelle con rocedor</c:v>
                  </c:pt>
                  <c:pt idx="228">
                    <c:v>boyas con 3 tanzas</c:v>
                  </c:pt>
                  <c:pt idx="229">
                    <c:v>bozal cuero</c:v>
                  </c:pt>
                  <c:pt idx="230">
                    <c:v>bozal plastico</c:v>
                  </c:pt>
                  <c:pt idx="231">
                    <c:v>bozal plastico</c:v>
                  </c:pt>
                  <c:pt idx="232">
                    <c:v>bozal plastico</c:v>
                  </c:pt>
                  <c:pt idx="233">
                    <c:v>bozal plastico</c:v>
                  </c:pt>
                  <c:pt idx="234">
                    <c:v>brillo p/hojas</c:v>
                  </c:pt>
                  <c:pt idx="235">
                    <c:v>buche</c:v>
                  </c:pt>
                  <c:pt idx="236">
                    <c:v>BUD PACK top crop</c:v>
                  </c:pt>
                  <c:pt idx="237">
                    <c:v>cable alambre forrado de atar</c:v>
                  </c:pt>
                  <c:pt idx="238">
                    <c:v>cactus</c:v>
                  </c:pt>
                  <c:pt idx="239">
                    <c:v>cactus mix</c:v>
                  </c:pt>
                  <c:pt idx="240">
                    <c:v>cadena c/mauser y manija antides</c:v>
                  </c:pt>
                  <c:pt idx="241">
                    <c:v>cadena soldada para perro</c:v>
                  </c:pt>
                  <c:pt idx="242">
                    <c:v>cadena soldada para perro</c:v>
                  </c:pt>
                  <c:pt idx="243">
                    <c:v>cadena soldada para perro</c:v>
                  </c:pt>
                  <c:pt idx="244">
                    <c:v>cadena soldada para perro</c:v>
                  </c:pt>
                  <c:pt idx="245">
                    <c:v>cadena soldada para perro</c:v>
                  </c:pt>
                  <c:pt idx="246">
                    <c:v>cadena soldada para perro</c:v>
                  </c:pt>
                  <c:pt idx="247">
                    <c:v>caja anzuelos</c:v>
                  </c:pt>
                  <c:pt idx="248">
                    <c:v>CAJON AGROBOX</c:v>
                  </c:pt>
                  <c:pt idx="249">
                    <c:v>calcio p/tortuga</c:v>
                  </c:pt>
                  <c:pt idx="250">
                    <c:v>calcio-p/tortugas</c:v>
                  </c:pt>
                  <c:pt idx="251">
                    <c:v>caldo bordoles </c:v>
                  </c:pt>
                  <c:pt idx="252">
                    <c:v>calecfator30w</c:v>
                  </c:pt>
                  <c:pt idx="253">
                    <c:v>CALEFACTOR100 W</c:v>
                  </c:pt>
                  <c:pt idx="254">
                    <c:v>calefator </c:v>
                  </c:pt>
                  <c:pt idx="255">
                    <c:v>calefator 75w</c:v>
                  </c:pt>
                  <c:pt idx="256">
                    <c:v>cama mascota rayada</c:v>
                  </c:pt>
                  <c:pt idx="257">
                    <c:v>cama mascota rayada</c:v>
                  </c:pt>
                  <c:pt idx="258">
                    <c:v>CANASTO</c:v>
                  </c:pt>
                  <c:pt idx="259">
                    <c:v>CANTO RODADO</c:v>
                  </c:pt>
                  <c:pt idx="260">
                    <c:v>caño p/pecera</c:v>
                  </c:pt>
                  <c:pt idx="261">
                    <c:v>caracolicida</c:v>
                  </c:pt>
                  <c:pt idx="262">
                    <c:v>caracolicida + hormiguicida</c:v>
                  </c:pt>
                  <c:pt idx="263">
                    <c:v>caracolicida agrol granulado</c:v>
                  </c:pt>
                  <c:pt idx="264">
                    <c:v>caracolicida cara-ba pellets -caja de 24-</c:v>
                  </c:pt>
                  <c:pt idx="265">
                    <c:v>caracolicida metazon</c:v>
                  </c:pt>
                  <c:pt idx="266">
                    <c:v>caracolicida metazon</c:v>
                  </c:pt>
                  <c:pt idx="267">
                    <c:v>caracolicida metazon</c:v>
                  </c:pt>
                  <c:pt idx="268">
                    <c:v>caramelode miel</c:v>
                  </c:pt>
                  <c:pt idx="269">
                    <c:v>CARAMELOS DE MIEL</c:v>
                  </c:pt>
                  <c:pt idx="270">
                    <c:v>carbon activado</c:v>
                  </c:pt>
                  <c:pt idx="271">
                    <c:v>carbon activado polvo</c:v>
                  </c:pt>
                  <c:pt idx="272">
                    <c:v>cardina plastica</c:v>
                  </c:pt>
                  <c:pt idx="273">
                    <c:v>cascada </c:v>
                  </c:pt>
                  <c:pt idx="274">
                    <c:v>cascara de pino</c:v>
                  </c:pt>
                  <c:pt idx="275">
                    <c:v>casita trampa p/cucarachas</c:v>
                  </c:pt>
                  <c:pt idx="276">
                    <c:v>castillo</c:v>
                  </c:pt>
                  <c:pt idx="277">
                    <c:v>castillo 4 puntas y puente</c:v>
                  </c:pt>
                  <c:pt idx="278">
                    <c:v>cepillo silicona</c:v>
                  </c:pt>
                  <c:pt idx="279">
                    <c:v>CERAMICA CHICA</c:v>
                  </c:pt>
                  <c:pt idx="280">
                    <c:v>CERAMICA MEDIANA</c:v>
                  </c:pt>
                  <c:pt idx="281">
                    <c:v>CERAMICA OLLAS</c:v>
                  </c:pt>
                  <c:pt idx="282">
                    <c:v>cerca con hojas</c:v>
                  </c:pt>
                  <c:pt idx="283">
                    <c:v>CERCO PLASTICO COLONIAL</c:v>
                  </c:pt>
                  <c:pt idx="284">
                    <c:v>cerco plastico valla para jardin</c:v>
                  </c:pt>
                  <c:pt idx="285">
                    <c:v>cero plaga 3 en 1</c:v>
                  </c:pt>
                  <c:pt idx="286">
                    <c:v>CERO PLAGA BIO insc polvo diat</c:v>
                  </c:pt>
                  <c:pt idx="287">
                    <c:v>cero plaga brrera antihormigas</c:v>
                  </c:pt>
                  <c:pt idx="288">
                    <c:v>CERO PLAGA CARACOLICIDA</c:v>
                  </c:pt>
                  <c:pt idx="289">
                    <c:v>CERO PLAGA CARACOLICIDA</c:v>
                  </c:pt>
                  <c:pt idx="290">
                    <c:v>cero plaga epray recambio</c:v>
                  </c:pt>
                  <c:pt idx="291">
                    <c:v>cero plaga hormiguicida</c:v>
                  </c:pt>
                  <c:pt idx="292">
                    <c:v>cero plaga hormiguicida</c:v>
                  </c:pt>
                  <c:pt idx="293">
                    <c:v>CERO PLAGA ins org 4 en 1</c:v>
                  </c:pt>
                  <c:pt idx="294">
                    <c:v>CERO PLAGA INSECT ORG CONCENTRADO</c:v>
                  </c:pt>
                  <c:pt idx="295">
                    <c:v>cero plaga insecticida concentrado</c:v>
                  </c:pt>
                  <c:pt idx="296">
                    <c:v>cero plaga jabon potasico spray</c:v>
                  </c:pt>
                  <c:pt idx="297">
                    <c:v>CERO PLAGA RECAMBIO INSECTICIDA</c:v>
                  </c:pt>
                  <c:pt idx="298">
                    <c:v>CERO PLAGA spray organico</c:v>
                  </c:pt>
                  <c:pt idx="299">
                    <c:v>cesped axonopus</c:v>
                  </c:pt>
                  <c:pt idx="300">
                    <c:v>cesped axonopus</c:v>
                  </c:pt>
                  <c:pt idx="301">
                    <c:v>cesped inteligente</c:v>
                  </c:pt>
                  <c:pt idx="302">
                    <c:v>cesped inteligente</c:v>
                  </c:pt>
                  <c:pt idx="303">
                    <c:v>cesped loliumperenne esquire</c:v>
                  </c:pt>
                  <c:pt idx="304">
                    <c:v>cesped mezcla estándar bolsa</c:v>
                  </c:pt>
                  <c:pt idx="305">
                    <c:v>cesped mezcla estándar bolsa</c:v>
                  </c:pt>
                  <c:pt idx="306">
                    <c:v>cesped mezcla estándar disp caja</c:v>
                  </c:pt>
                  <c:pt idx="307">
                    <c:v>cesped premiun ultra rapido</c:v>
                  </c:pt>
                  <c:pt idx="308">
                    <c:v>CESPED SINTETICO</c:v>
                  </c:pt>
                  <c:pt idx="309">
                    <c:v>chip de coco</c:v>
                  </c:pt>
                  <c:pt idx="310">
                    <c:v>chip de pino</c:v>
                  </c:pt>
                  <c:pt idx="311">
                    <c:v>cinta aisladora</c:v>
                  </c:pt>
                  <c:pt idx="312">
                    <c:v>cinta aisladora</c:v>
                  </c:pt>
                  <c:pt idx="313">
                    <c:v>CINTA ATAR</c:v>
                  </c:pt>
                  <c:pt idx="314">
                    <c:v>cinta para insectos</c:v>
                  </c:pt>
                  <c:pt idx="315">
                    <c:v>cinta pegajosa moscas</c:v>
                  </c:pt>
                  <c:pt idx="316">
                    <c:v>cipermetrina</c:v>
                  </c:pt>
                  <c:pt idx="317">
                    <c:v>cipermetrina</c:v>
                  </c:pt>
                  <c:pt idx="318">
                    <c:v>cipermetrina ectosules</c:v>
                  </c:pt>
                  <c:pt idx="319">
                    <c:v>cipermic</c:v>
                  </c:pt>
                  <c:pt idx="320">
                    <c:v>CITRONELLA cero plaga</c:v>
                  </c:pt>
                  <c:pt idx="321">
                    <c:v>clavel grande</c:v>
                  </c:pt>
                  <c:pt idx="322">
                    <c:v>cloraqua liq anticloro</c:v>
                  </c:pt>
                  <c:pt idx="323">
                    <c:v>coco bols 15</c:v>
                  </c:pt>
                  <c:pt idx="324">
                    <c:v>coco bols 25</c:v>
                  </c:pt>
                  <c:pt idx="325">
                    <c:v>coco bols 35</c:v>
                  </c:pt>
                  <c:pt idx="326">
                    <c:v>coco bols 40</c:v>
                  </c:pt>
                  <c:pt idx="327">
                    <c:v>coco expandido</c:v>
                  </c:pt>
                  <c:pt idx="328">
                    <c:v>coigro coco cannablend</c:v>
                  </c:pt>
                  <c:pt idx="329">
                    <c:v>coigro coco cannablend</c:v>
                  </c:pt>
                  <c:pt idx="330">
                    <c:v>coigro coco cannablend</c:v>
                  </c:pt>
                  <c:pt idx="331">
                    <c:v>colchon sanitario ecologico</c:v>
                  </c:pt>
                  <c:pt idx="332">
                    <c:v>colgante n 1</c:v>
                  </c:pt>
                  <c:pt idx="333">
                    <c:v>colgante n 3</c:v>
                  </c:pt>
                  <c:pt idx="334">
                    <c:v>colgante n2</c:v>
                  </c:pt>
                  <c:pt idx="335">
                    <c:v>COLLAR</c:v>
                  </c:pt>
                  <c:pt idx="336">
                    <c:v>collar </c:v>
                  </c:pt>
                  <c:pt idx="337">
                    <c:v>collar ahorque </c:v>
                  </c:pt>
                  <c:pt idx="338">
                    <c:v>collar ahorque </c:v>
                  </c:pt>
                  <c:pt idx="339">
                    <c:v>collar ahorque </c:v>
                  </c:pt>
                  <c:pt idx="340">
                    <c:v>collar cinta lisa</c:v>
                  </c:pt>
                  <c:pt idx="341">
                    <c:v>collar cinta lisa</c:v>
                  </c:pt>
                  <c:pt idx="342">
                    <c:v>collar cinta lisa</c:v>
                  </c:pt>
                  <c:pt idx="343">
                    <c:v>collar cinta lisa</c:v>
                  </c:pt>
                  <c:pt idx="344">
                    <c:v>collar cinta lisa</c:v>
                  </c:pt>
                  <c:pt idx="345">
                    <c:v>collar cinta lisa</c:v>
                  </c:pt>
                  <c:pt idx="346">
                    <c:v>collar cinta lisa </c:v>
                  </c:pt>
                  <c:pt idx="347">
                    <c:v>collar cinta lisa </c:v>
                  </c:pt>
                  <c:pt idx="348">
                    <c:v>collar cinta lisa </c:v>
                  </c:pt>
                  <c:pt idx="349">
                    <c:v>collar cinta lisa 1,5 cm </c:v>
                  </c:pt>
                  <c:pt idx="350">
                    <c:v>collar cinta lisa 2 cm</c:v>
                  </c:pt>
                  <c:pt idx="351">
                    <c:v>collar cinta lisa doble cinta</c:v>
                  </c:pt>
                  <c:pt idx="352">
                    <c:v>COLLAR COLOR CUERO </c:v>
                  </c:pt>
                  <c:pt idx="353">
                    <c:v>collar con huellita</c:v>
                  </c:pt>
                  <c:pt idx="354">
                    <c:v>collar de perro</c:v>
                  </c:pt>
                  <c:pt idx="355">
                    <c:v>collar de perro</c:v>
                  </c:pt>
                  <c:pt idx="356">
                    <c:v>collar de perro</c:v>
                  </c:pt>
                  <c:pt idx="357">
                    <c:v>collar doble cocido</c:v>
                  </c:pt>
                  <c:pt idx="358">
                    <c:v>collar doble fila de ojales</c:v>
                  </c:pt>
                  <c:pt idx="359">
                    <c:v>collar doble ojalillo</c:v>
                  </c:pt>
                  <c:pt idx="360">
                    <c:v>collar doble ojalillo</c:v>
                  </c:pt>
                  <c:pt idx="361">
                    <c:v>collar dominal cachorro</c:v>
                  </c:pt>
                  <c:pt idx="362">
                    <c:v>collar dominal extra grande</c:v>
                  </c:pt>
                  <c:pt idx="363">
                    <c:v>collar dominal gato</c:v>
                  </c:pt>
                  <c:pt idx="364">
                    <c:v>collar dominal gato</c:v>
                  </c:pt>
                  <c:pt idx="365">
                    <c:v>collar dominal gatos</c:v>
                  </c:pt>
                  <c:pt idx="366">
                    <c:v>collar dominal grande</c:v>
                  </c:pt>
                  <c:pt idx="367">
                    <c:v>collar dominal mediano</c:v>
                  </c:pt>
                  <c:pt idx="368">
                    <c:v>collar domiunal mediano</c:v>
                  </c:pt>
                  <c:pt idx="369">
                    <c:v>collar galon </c:v>
                  </c:pt>
                  <c:pt idx="370">
                    <c:v>COLLAR GOM</c:v>
                  </c:pt>
                  <c:pt idx="371">
                    <c:v>collar jyg</c:v>
                  </c:pt>
                  <c:pt idx="372">
                    <c:v>collar jyg</c:v>
                  </c:pt>
                  <c:pt idx="373">
                    <c:v>collar lisoc/moña blister</c:v>
                  </c:pt>
                  <c:pt idx="374">
                    <c:v>collar nylondoble fila ojales</c:v>
                  </c:pt>
                  <c:pt idx="375">
                    <c:v>collar p/gatosperro chico</c:v>
                  </c:pt>
                  <c:pt idx="376">
                    <c:v>collar perro </c:v>
                  </c:pt>
                  <c:pt idx="377">
                    <c:v>collar perro doble filas de ojales</c:v>
                  </c:pt>
                  <c:pt idx="378">
                    <c:v>collar pincho s </c:v>
                  </c:pt>
                  <c:pt idx="379">
                    <c:v>collar pincho xl</c:v>
                  </c:pt>
                  <c:pt idx="380">
                    <c:v>COLLAR REGULABLE BANDANA</c:v>
                  </c:pt>
                  <c:pt idx="381">
                    <c:v>COLLAR REGULABLECON GALON</c:v>
                  </c:pt>
                  <c:pt idx="382">
                    <c:v>collar silicona p/gato</c:v>
                  </c:pt>
                  <c:pt idx="383">
                    <c:v>colza </c:v>
                  </c:pt>
                  <c:pt idx="384">
                    <c:v>colza </c:v>
                  </c:pt>
                  <c:pt idx="385">
                    <c:v>comeder doble</c:v>
                  </c:pt>
                  <c:pt idx="386">
                    <c:v>comedero</c:v>
                  </c:pt>
                  <c:pt idx="387">
                    <c:v>comedero </c:v>
                  </c:pt>
                  <c:pt idx="388">
                    <c:v>comedero acero inox</c:v>
                  </c:pt>
                  <c:pt idx="389">
                    <c:v>comedero acero inox loro  grande</c:v>
                  </c:pt>
                  <c:pt idx="390">
                    <c:v>comedero automatico pajaro</c:v>
                  </c:pt>
                  <c:pt idx="391">
                    <c:v>comedero automatico premier</c:v>
                  </c:pt>
                  <c:pt idx="392">
                    <c:v>COMEDERO BEBEDERO CERAMICA</c:v>
                  </c:pt>
                  <c:pt idx="393">
                    <c:v>COMEDERO BEBEDERO CERAMICA</c:v>
                  </c:pt>
                  <c:pt idx="394">
                    <c:v>comedero bebedero p/pajaro-resorte externo</c:v>
                  </c:pt>
                  <c:pt idx="395">
                    <c:v>COMEDERO CON PATITAS</c:v>
                  </c:pt>
                  <c:pt idx="396">
                    <c:v>COMEDERO CON PATITAS</c:v>
                  </c:pt>
                  <c:pt idx="397">
                    <c:v>comedero doble</c:v>
                  </c:pt>
                  <c:pt idx="398">
                    <c:v>comedero doble</c:v>
                  </c:pt>
                  <c:pt idx="399">
                    <c:v>comedero doble de melamina</c:v>
                  </c:pt>
                  <c:pt idx="400">
                    <c:v>comedero doble p/gato</c:v>
                  </c:pt>
                  <c:pt idx="401">
                    <c:v>comedero economico </c:v>
                  </c:pt>
                  <c:pt idx="402">
                    <c:v>comedero economico bowl</c:v>
                  </c:pt>
                  <c:pt idx="403">
                    <c:v>comedero exterior</c:v>
                  </c:pt>
                  <c:pt idx="404">
                    <c:v>comedero interior</c:v>
                  </c:pt>
                  <c:pt idx="405">
                    <c:v>comedero oval 2agujeros c/gancho</c:v>
                  </c:pt>
                  <c:pt idx="406">
                    <c:v>comedero oval 3 agujeros</c:v>
                  </c:pt>
                  <c:pt idx="407">
                    <c:v>comedero pajaro</c:v>
                  </c:pt>
                  <c:pt idx="408">
                    <c:v>comedero plastico</c:v>
                  </c:pt>
                  <c:pt idx="409">
                    <c:v>comedero rancho plastico</c:v>
                  </c:pt>
                  <c:pt idx="410">
                    <c:v>comedero rancho plastico</c:v>
                  </c:pt>
                  <c:pt idx="411">
                    <c:v>comedero rect,hamster</c:v>
                  </c:pt>
                  <c:pt idx="412">
                    <c:v>comedero silvestre automatico</c:v>
                  </c:pt>
                  <c:pt idx="413">
                    <c:v>comedero tipo rancho</c:v>
                  </c:pt>
                  <c:pt idx="414">
                    <c:v>comedero tubo tolva</c:v>
                  </c:pt>
                  <c:pt idx="415">
                    <c:v>comederoeconomico c/ dibujos</c:v>
                  </c:pt>
                  <c:pt idx="416">
                    <c:v>compost premiun</c:v>
                  </c:pt>
                  <c:pt idx="417">
                    <c:v>compost premiun</c:v>
                  </c:pt>
                  <c:pt idx="418">
                    <c:v>conector de manguera</c:v>
                  </c:pt>
                  <c:pt idx="419">
                    <c:v>conector de manguera</c:v>
                  </c:pt>
                  <c:pt idx="420">
                    <c:v>conector p manguera</c:v>
                  </c:pt>
                  <c:pt idx="421">
                    <c:v>conexiom t</c:v>
                  </c:pt>
                  <c:pt idx="422">
                    <c:v>coral naranja</c:v>
                  </c:pt>
                  <c:pt idx="423">
                    <c:v>corazon espuma</c:v>
                  </c:pt>
                  <c:pt idx="424">
                    <c:v>Corona chica</c:v>
                  </c:pt>
                  <c:pt idx="425">
                    <c:v>Corona extra grande  claveles rosas y lilium</c:v>
                  </c:pt>
                  <c:pt idx="426">
                    <c:v>Corona grande claveles</c:v>
                  </c:pt>
                  <c:pt idx="427">
                    <c:v>corona mediana</c:v>
                  </c:pt>
                  <c:pt idx="428">
                    <c:v>CORREA CINTA LISA GALV</c:v>
                  </c:pt>
                  <c:pt idx="429">
                    <c:v>CORREA CINTA LISA GALV</c:v>
                  </c:pt>
                  <c:pt idx="430">
                    <c:v>CORREA CINTA LISA GALV</c:v>
                  </c:pt>
                  <c:pt idx="431">
                    <c:v>CORREA CINTA LISA GALV</c:v>
                  </c:pt>
                  <c:pt idx="432">
                    <c:v>correa con arnes</c:v>
                  </c:pt>
                  <c:pt idx="433">
                    <c:v>CORREA CON MANIJA Y RESORTE</c:v>
                  </c:pt>
                  <c:pt idx="434">
                    <c:v>correa lisa</c:v>
                  </c:pt>
                  <c:pt idx="435">
                    <c:v>correa lisa</c:v>
                  </c:pt>
                  <c:pt idx="436">
                    <c:v>correa retractil 5mts</c:v>
                  </c:pt>
                  <c:pt idx="437">
                    <c:v>corteza pino</c:v>
                  </c:pt>
                  <c:pt idx="438">
                    <c:v>CRECE MAS ACTIVADOR de flores </c:v>
                  </c:pt>
                  <c:pt idx="439">
                    <c:v>CRECE MAS ACTIVADOR de flores sachet</c:v>
                  </c:pt>
                  <c:pt idx="440">
                    <c:v>crece mas alim p/ todas plantas</c:v>
                  </c:pt>
                  <c:pt idx="441">
                    <c:v>crece mas alimento para cactus</c:v>
                  </c:pt>
                  <c:pt idx="442">
                    <c:v>crece mas arboles y frutales</c:v>
                  </c:pt>
                  <c:pt idx="443">
                    <c:v>crece mas enraizador sachett</c:v>
                  </c:pt>
                  <c:pt idx="444">
                    <c:v>crece mas jardin y huerta</c:v>
                  </c:pt>
                  <c:pt idx="445">
                    <c:v>crece mas p/ todas las plantas</c:v>
                  </c:pt>
                  <c:pt idx="446">
                    <c:v>crece mas p/helechos</c:v>
                  </c:pt>
                  <c:pt idx="447">
                    <c:v>crece mas rosas y flores</c:v>
                  </c:pt>
                  <c:pt idx="448">
                    <c:v>crece mas todas plantas FOLIAR</c:v>
                  </c:pt>
                  <c:pt idx="449">
                    <c:v>crece ms organico p/plantas</c:v>
                  </c:pt>
                  <c:pt idx="450">
                    <c:v>crecemas cactus y suculentas</c:v>
                  </c:pt>
                  <c:pt idx="451">
                    <c:v>creolina</c:v>
                  </c:pt>
                  <c:pt idx="452">
                    <c:v>creolina aromas</c:v>
                  </c:pt>
                  <c:pt idx="453">
                    <c:v>creolina buena estrella</c:v>
                  </c:pt>
                  <c:pt idx="454">
                    <c:v>creolina buena estrella</c:v>
                  </c:pt>
                  <c:pt idx="455">
                    <c:v>creolina concentrada</c:v>
                  </c:pt>
                  <c:pt idx="456">
                    <c:v>creolina concentrada</c:v>
                  </c:pt>
                  <c:pt idx="457">
                    <c:v>creolina concentrada</c:v>
                  </c:pt>
                  <c:pt idx="458">
                    <c:v>creolinas aromas</c:v>
                  </c:pt>
                  <c:pt idx="459">
                    <c:v>CROTON 65 CM</c:v>
                  </c:pt>
                  <c:pt idx="460">
                    <c:v>cucarachicida fulmoline</c:v>
                  </c:pt>
                  <c:pt idx="461">
                    <c:v>cucarachicida fulmolini</c:v>
                  </c:pt>
                  <c:pt idx="462">
                    <c:v>cucarachicida green choice</c:v>
                  </c:pt>
                  <c:pt idx="463">
                    <c:v>cucarachicida talquera</c:v>
                  </c:pt>
                  <c:pt idx="464">
                    <c:v>cuerda</c:v>
                  </c:pt>
                  <c:pt idx="465">
                    <c:v>cuerda con agasrre</c:v>
                  </c:pt>
                  <c:pt idx="466">
                    <c:v>cuerde 3 nudos-pelotas de goma</c:v>
                  </c:pt>
                  <c:pt idx="467">
                    <c:v>cuna 3 piezas</c:v>
                  </c:pt>
                  <c:pt idx="468">
                    <c:v>cuna de tela</c:v>
                  </c:pt>
                  <c:pt idx="469">
                    <c:v>cuna de tela</c:v>
                  </c:pt>
                  <c:pt idx="470">
                    <c:v>cuna de tela</c:v>
                  </c:pt>
                  <c:pt idx="471">
                    <c:v>cuna oval</c:v>
                  </c:pt>
                  <c:pt idx="472">
                    <c:v>cuna oval desmontable chico</c:v>
                  </c:pt>
                  <c:pt idx="473">
                    <c:v>cuna oval desmontable mediano</c:v>
                  </c:pt>
                  <c:pt idx="474">
                    <c:v>curabichera fibrusules</c:v>
                  </c:pt>
                  <c:pt idx="475">
                    <c:v>curabichera fleant ag spray</c:v>
                  </c:pt>
                  <c:pt idx="476">
                    <c:v>d</c:v>
                  </c:pt>
                  <c:pt idx="477">
                    <c:v>deeper under groun</c:v>
                  </c:pt>
                  <c:pt idx="478">
                    <c:v>dentastix</c:v>
                  </c:pt>
                  <c:pt idx="479">
                    <c:v>des</c:v>
                  </c:pt>
                  <c:pt idx="480">
                    <c:v>des</c:v>
                  </c:pt>
                  <c:pt idx="481">
                    <c:v>des</c:v>
                  </c:pt>
                  <c:pt idx="482">
                    <c:v>des</c:v>
                  </c:pt>
                  <c:pt idx="483">
                    <c:v>des</c:v>
                  </c:pt>
                  <c:pt idx="484">
                    <c:v>des</c:v>
                  </c:pt>
                  <c:pt idx="485">
                    <c:v>DES</c:v>
                  </c:pt>
                  <c:pt idx="486">
                    <c:v>DES</c:v>
                  </c:pt>
                  <c:pt idx="487">
                    <c:v>DES</c:v>
                  </c:pt>
                  <c:pt idx="488">
                    <c:v>des</c:v>
                  </c:pt>
                  <c:pt idx="489">
                    <c:v>des</c:v>
                  </c:pt>
                  <c:pt idx="490">
                    <c:v>des</c:v>
                  </c:pt>
                  <c:pt idx="491">
                    <c:v>des</c:v>
                  </c:pt>
                  <c:pt idx="492">
                    <c:v>des</c:v>
                  </c:pt>
                  <c:pt idx="493">
                    <c:v>des</c:v>
                  </c:pt>
                  <c:pt idx="494">
                    <c:v>des</c:v>
                  </c:pt>
                  <c:pt idx="495">
                    <c:v>des</c:v>
                  </c:pt>
                  <c:pt idx="496">
                    <c:v>des</c:v>
                  </c:pt>
                  <c:pt idx="497">
                    <c:v>des</c:v>
                  </c:pt>
                  <c:pt idx="498">
                    <c:v>des</c:v>
                  </c:pt>
                  <c:pt idx="499">
                    <c:v>des</c:v>
                  </c:pt>
                  <c:pt idx="500">
                    <c:v>des</c:v>
                  </c:pt>
                  <c:pt idx="501">
                    <c:v>des</c:v>
                  </c:pt>
                  <c:pt idx="502">
                    <c:v>des</c:v>
                  </c:pt>
                  <c:pt idx="503">
                    <c:v>des</c:v>
                  </c:pt>
                  <c:pt idx="504">
                    <c:v>des</c:v>
                  </c:pt>
                  <c:pt idx="505">
                    <c:v>des</c:v>
                  </c:pt>
                  <c:pt idx="506">
                    <c:v>des</c:v>
                  </c:pt>
                  <c:pt idx="507">
                    <c:v>des</c:v>
                  </c:pt>
                  <c:pt idx="508">
                    <c:v>des</c:v>
                  </c:pt>
                  <c:pt idx="509">
                    <c:v>des</c:v>
                  </c:pt>
                  <c:pt idx="510">
                    <c:v>des</c:v>
                  </c:pt>
                  <c:pt idx="511">
                    <c:v>des</c:v>
                  </c:pt>
                  <c:pt idx="512">
                    <c:v>des</c:v>
                  </c:pt>
                  <c:pt idx="513">
                    <c:v>des</c:v>
                  </c:pt>
                  <c:pt idx="514">
                    <c:v>des</c:v>
                  </c:pt>
                  <c:pt idx="515">
                    <c:v>des</c:v>
                  </c:pt>
                  <c:pt idx="516">
                    <c:v>des</c:v>
                  </c:pt>
                  <c:pt idx="517">
                    <c:v>des</c:v>
                  </c:pt>
                  <c:pt idx="518">
                    <c:v>des</c:v>
                  </c:pt>
                  <c:pt idx="519">
                    <c:v>des</c:v>
                  </c:pt>
                  <c:pt idx="520">
                    <c:v>des</c:v>
                  </c:pt>
                  <c:pt idx="521">
                    <c:v>des</c:v>
                  </c:pt>
                  <c:pt idx="522">
                    <c:v>des</c:v>
                  </c:pt>
                  <c:pt idx="523">
                    <c:v>des</c:v>
                  </c:pt>
                  <c:pt idx="524">
                    <c:v>des</c:v>
                  </c:pt>
                  <c:pt idx="525">
                    <c:v>des</c:v>
                  </c:pt>
                  <c:pt idx="526">
                    <c:v>des</c:v>
                  </c:pt>
                  <c:pt idx="527">
                    <c:v>des</c:v>
                  </c:pt>
                  <c:pt idx="528">
                    <c:v>des</c:v>
                  </c:pt>
                  <c:pt idx="529">
                    <c:v>des</c:v>
                  </c:pt>
                  <c:pt idx="530">
                    <c:v>des</c:v>
                  </c:pt>
                  <c:pt idx="531">
                    <c:v>des</c:v>
                  </c:pt>
                  <c:pt idx="532">
                    <c:v>des</c:v>
                  </c:pt>
                  <c:pt idx="533">
                    <c:v>des</c:v>
                  </c:pt>
                  <c:pt idx="534">
                    <c:v>des</c:v>
                  </c:pt>
                  <c:pt idx="535">
                    <c:v>des</c:v>
                  </c:pt>
                  <c:pt idx="536">
                    <c:v>des</c:v>
                  </c:pt>
                  <c:pt idx="537">
                    <c:v>des</c:v>
                  </c:pt>
                  <c:pt idx="538">
                    <c:v>des</c:v>
                  </c:pt>
                  <c:pt idx="539">
                    <c:v>des</c:v>
                  </c:pt>
                  <c:pt idx="540">
                    <c:v>des</c:v>
                  </c:pt>
                  <c:pt idx="541">
                    <c:v>des</c:v>
                  </c:pt>
                  <c:pt idx="542">
                    <c:v>des</c:v>
                  </c:pt>
                  <c:pt idx="543">
                    <c:v>des</c:v>
                  </c:pt>
                  <c:pt idx="544">
                    <c:v>des</c:v>
                  </c:pt>
                  <c:pt idx="545">
                    <c:v>des</c:v>
                  </c:pt>
                  <c:pt idx="546">
                    <c:v>des</c:v>
                  </c:pt>
                  <c:pt idx="547">
                    <c:v>des</c:v>
                  </c:pt>
                  <c:pt idx="548">
                    <c:v>des</c:v>
                  </c:pt>
                  <c:pt idx="549">
                    <c:v>des</c:v>
                  </c:pt>
                  <c:pt idx="550">
                    <c:v>des</c:v>
                  </c:pt>
                  <c:pt idx="551">
                    <c:v>des</c:v>
                  </c:pt>
                  <c:pt idx="552">
                    <c:v>destorcedor galvanizado n4</c:v>
                  </c:pt>
                  <c:pt idx="553">
                    <c:v>destorcedor galvanizado n8</c:v>
                  </c:pt>
                  <c:pt idx="554">
                    <c:v>dimetoato</c:v>
                  </c:pt>
                  <c:pt idx="555">
                    <c:v>dispersona</c:v>
                  </c:pt>
                  <c:pt idx="556">
                    <c:v>dispersona</c:v>
                  </c:pt>
                  <c:pt idx="557">
                    <c:v>ecovaso con plato y linga</c:v>
                  </c:pt>
                  <c:pt idx="558">
                    <c:v>ectosules</c:v>
                  </c:pt>
                  <c:pt idx="559">
                    <c:v>educador y ahuyentador perro y gato</c:v>
                  </c:pt>
                  <c:pt idx="560">
                    <c:v>eliminador olores para pisos</c:v>
                  </c:pt>
                  <c:pt idx="561">
                    <c:v>embudo grande</c:v>
                  </c:pt>
                  <c:pt idx="562">
                    <c:v>embudo mediano chico</c:v>
                  </c:pt>
                  <c:pt idx="563">
                    <c:v>enraizador</c:v>
                  </c:pt>
                  <c:pt idx="564">
                    <c:v>enraizador 345</c:v>
                  </c:pt>
                  <c:pt idx="565">
                    <c:v>enraizaor</c:v>
                  </c:pt>
                  <c:pt idx="566">
                    <c:v>equipex</c:v>
                  </c:pt>
                  <c:pt idx="567">
                    <c:v>ESCARDILLA DOBLE </c:v>
                  </c:pt>
                  <c:pt idx="568">
                    <c:v>escardillo de mano</c:v>
                  </c:pt>
                  <c:pt idx="569">
                    <c:v>escardillo p/jardin</c:v>
                  </c:pt>
                  <c:pt idx="570">
                    <c:v>escardillo tridente de jardineria</c:v>
                  </c:pt>
                  <c:pt idx="571">
                    <c:v>escoba de jardin</c:v>
                  </c:pt>
                  <c:pt idx="572">
                    <c:v>escoba plastico c/mango</c:v>
                  </c:pt>
                  <c:pt idx="573">
                    <c:v>escobas paja</c:v>
                  </c:pt>
                  <c:pt idx="574">
                    <c:v>escobilla de plastico naranja</c:v>
                  </c:pt>
                  <c:pt idx="575">
                    <c:v>escobilla jardin</c:v>
                  </c:pt>
                  <c:pt idx="576">
                    <c:v>escobilla metal</c:v>
                  </c:pt>
                  <c:pt idx="577">
                    <c:v>escobilla plastica sin cabo</c:v>
                  </c:pt>
                  <c:pt idx="578">
                    <c:v>escobilla plastica sin cabo</c:v>
                  </c:pt>
                  <c:pt idx="579">
                    <c:v>esfera acrilica de hamster</c:v>
                  </c:pt>
                  <c:pt idx="580">
                    <c:v>esfera hamster mediana</c:v>
                  </c:pt>
                  <c:pt idx="581">
                    <c:v>espinillo</c:v>
                  </c:pt>
                  <c:pt idx="582">
                    <c:v>espirales jumo</c:v>
                  </c:pt>
                  <c:pt idx="583">
                    <c:v>estaca</c:v>
                  </c:pt>
                  <c:pt idx="584">
                    <c:v>esterilla</c:v>
                  </c:pt>
                  <c:pt idx="585">
                    <c:v>estrangulador</c:v>
                  </c:pt>
                  <c:pt idx="586">
                    <c:v>estrobal</c:v>
                  </c:pt>
                  <c:pt idx="587">
                    <c:v>estrobal comprimidos</c:v>
                  </c:pt>
                  <c:pt idx="588">
                    <c:v>estrobal inyectable</c:v>
                  </c:pt>
                  <c:pt idx="589">
                    <c:v>FERT FERROSO</c:v>
                  </c:pt>
                  <c:pt idx="590">
                    <c:v>fert hakaphos rojo 18x18x18</c:v>
                  </c:pt>
                  <c:pt idx="591">
                    <c:v>fert hakaphos rojo 18x18x18</c:v>
                  </c:pt>
                  <c:pt idx="592">
                    <c:v>fert urea</c:v>
                  </c:pt>
                  <c:pt idx="593">
                    <c:v>fert urea</c:v>
                  </c:pt>
                  <c:pt idx="594">
                    <c:v>fert urea</c:v>
                  </c:pt>
                  <c:pt idx="595">
                    <c:v>fertilizante 15-15-15</c:v>
                  </c:pt>
                  <c:pt idx="596">
                    <c:v>fertilizante 15-15-15-</c:v>
                  </c:pt>
                  <c:pt idx="597">
                    <c:v>fertilizante AKAFOS ROSADO 18-18-18</c:v>
                  </c:pt>
                  <c:pt idx="598">
                    <c:v>fertilizante blaukorn 12-8-16 azul</c:v>
                  </c:pt>
                  <c:pt idx="599">
                    <c:v>fertilizante blaukorn 12-8-16 azul</c:v>
                  </c:pt>
                  <c:pt idx="600">
                    <c:v>fertilizante blaukorn classic</c:v>
                  </c:pt>
                  <c:pt idx="601">
                    <c:v>fertilizante blaukorn classic</c:v>
                  </c:pt>
                  <c:pt idx="602">
                    <c:v>fertilizante bleu korn</c:v>
                  </c:pt>
                  <c:pt idx="603">
                    <c:v>fertilizante bleu korn</c:v>
                  </c:pt>
                  <c:pt idx="604">
                    <c:v>fertilizante granos azules act. Flores y frutos</c:v>
                  </c:pt>
                  <c:pt idx="605">
                    <c:v>fertilizante helecho</c:v>
                  </c:pt>
                  <c:pt idx="606">
                    <c:v>fertilizante helechos</c:v>
                  </c:pt>
                  <c:pt idx="607">
                    <c:v>fertilizante orquidea</c:v>
                  </c:pt>
                  <c:pt idx="608">
                    <c:v>fertilizante orquidea</c:v>
                  </c:pt>
                  <c:pt idx="609">
                    <c:v>fertilizante orquideas</c:v>
                  </c:pt>
                  <c:pt idx="610">
                    <c:v>fertilizante orquideas</c:v>
                  </c:pt>
                  <c:pt idx="611">
                    <c:v>fertilizante violetas</c:v>
                  </c:pt>
                  <c:pt idx="612">
                    <c:v>fertilizantes helechos samambaias </c:v>
                  </c:pt>
                  <c:pt idx="613">
                    <c:v>fetilizante cactus</c:v>
                  </c:pt>
                  <c:pt idx="614">
                    <c:v>fibra de coco</c:v>
                  </c:pt>
                  <c:pt idx="615">
                    <c:v>fibra de coco</c:v>
                  </c:pt>
                  <c:pt idx="616">
                    <c:v>fibra de coco</c:v>
                  </c:pt>
                  <c:pt idx="617">
                    <c:v>fibra de coco</c:v>
                  </c:pt>
                  <c:pt idx="618">
                    <c:v>fibra de coco expandido</c:v>
                  </c:pt>
                  <c:pt idx="619">
                    <c:v>filtro  638 b</c:v>
                  </c:pt>
                  <c:pt idx="620">
                    <c:v>filtro bioesponja</c:v>
                  </c:pt>
                  <c:pt idx="621">
                    <c:v>filtro bioesponja</c:v>
                  </c:pt>
                  <c:pt idx="622">
                    <c:v>filtro bioesponja</c:v>
                  </c:pt>
                  <c:pt idx="623">
                    <c:v>filtro bioesponja</c:v>
                  </c:pt>
                  <c:pt idx="624">
                    <c:v>filtro externo mochila</c:v>
                  </c:pt>
                  <c:pt idx="625">
                    <c:v>filtro humedo seco </c:v>
                  </c:pt>
                  <c:pt idx="626">
                    <c:v>filtro interno 3w  rs 072</c:v>
                  </c:pt>
                  <c:pt idx="627">
                    <c:v>filtro interno 6w450 rs 082A</c:v>
                  </c:pt>
                  <c:pt idx="628">
                    <c:v>filtro interno rs 2001 8 W</c:v>
                  </c:pt>
                  <c:pt idx="629">
                    <c:v>filtro interno rs 201 8W</c:v>
                  </c:pt>
                  <c:pt idx="630">
                    <c:v>filtro interno rs-062A2W </c:v>
                  </c:pt>
                  <c:pt idx="631">
                    <c:v>filtro mochila 3000</c:v>
                  </c:pt>
                  <c:pt idx="632">
                    <c:v>filtro-cabeza de poder</c:v>
                  </c:pt>
                  <c:pt idx="633">
                    <c:v>flit derribador</c:v>
                  </c:pt>
                  <c:pt idx="634">
                    <c:v>flit dezenur </c:v>
                  </c:pt>
                  <c:pt idx="635">
                    <c:v>flit dezenur 1/4250 c,c</c:v>
                  </c:pt>
                  <c:pt idx="636">
                    <c:v>flit dezenur envasado</c:v>
                  </c:pt>
                  <c:pt idx="637">
                    <c:v>flor artificial</c:v>
                  </c:pt>
                  <c:pt idx="638">
                    <c:v>flor artificial</c:v>
                  </c:pt>
                  <c:pt idx="639">
                    <c:v>flor de pajarito </c:v>
                  </c:pt>
                  <c:pt idx="640">
                    <c:v>FLOR DE REGADERA PARA BOTELLA</c:v>
                  </c:pt>
                  <c:pt idx="641">
                    <c:v>flor goma eva</c:v>
                  </c:pt>
                  <c:pt idx="642">
                    <c:v>FLORERO</c:v>
                  </c:pt>
                  <c:pt idx="643">
                    <c:v>FLORERO</c:v>
                  </c:pt>
                  <c:pt idx="644">
                    <c:v>FLORERO</c:v>
                  </c:pt>
                  <c:pt idx="645">
                    <c:v>florero labrado</c:v>
                  </c:pt>
                  <c:pt idx="646">
                    <c:v>FLORERO PECERA</c:v>
                  </c:pt>
                  <c:pt idx="647">
                    <c:v>florero vidrio</c:v>
                  </c:pt>
                  <c:pt idx="648">
                    <c:v>florero vidrio</c:v>
                  </c:pt>
                  <c:pt idx="649">
                    <c:v>florero vidrio</c:v>
                  </c:pt>
                  <c:pt idx="650">
                    <c:v>florero vidrio</c:v>
                  </c:pt>
                  <c:pt idx="651">
                    <c:v>florero vidrio caja</c:v>
                  </c:pt>
                  <c:pt idx="652">
                    <c:v>FLORERO VIDRIO LABRADO</c:v>
                  </c:pt>
                  <c:pt idx="653">
                    <c:v>FLORERO VIDRIO LABRADO</c:v>
                  </c:pt>
                  <c:pt idx="654">
                    <c:v>FLORERO VIDRIO LABRADO</c:v>
                  </c:pt>
                  <c:pt idx="655">
                    <c:v>FLORERO VIDRIO LABRADO</c:v>
                  </c:pt>
                  <c:pt idx="656">
                    <c:v>florero vidrio labrado</c:v>
                  </c:pt>
                  <c:pt idx="657">
                    <c:v>flores aleli</c:v>
                  </c:pt>
                  <c:pt idx="658">
                    <c:v>flores astromelias</c:v>
                  </c:pt>
                  <c:pt idx="659">
                    <c:v>flores astromelias c/arreglo</c:v>
                  </c:pt>
                  <c:pt idx="660">
                    <c:v>FOLLAJE  CASPIA FLOR SECA CON CELOFAN</c:v>
                  </c:pt>
                  <c:pt idx="661">
                    <c:v>FOLLAJE COLITA DE RATON</c:v>
                  </c:pt>
                  <c:pt idx="662">
                    <c:v>FOLLAJE FLOR SECA</c:v>
                  </c:pt>
                  <c:pt idx="663">
                    <c:v>FOLLAJE SECO</c:v>
                  </c:pt>
                  <c:pt idx="664">
                    <c:v>FOLLAJE SECO</c:v>
                  </c:pt>
                  <c:pt idx="665">
                    <c:v>FOLLAJE SECO</c:v>
                  </c:pt>
                  <c:pt idx="666">
                    <c:v>franela micro fibra</c:v>
                  </c:pt>
                  <c:pt idx="667">
                    <c:v>frascos</c:v>
                  </c:pt>
                  <c:pt idx="668">
                    <c:v>frascos</c:v>
                  </c:pt>
                  <c:pt idx="669">
                    <c:v>fuente cascada</c:v>
                  </c:pt>
                  <c:pt idx="670">
                    <c:v>fumigador</c:v>
                  </c:pt>
                  <c:pt idx="671">
                    <c:v>fumigador</c:v>
                  </c:pt>
                  <c:pt idx="672">
                    <c:v>fumigator</c:v>
                  </c:pt>
                  <c:pt idx="673">
                    <c:v>FUNGOXAN</c:v>
                  </c:pt>
                  <c:pt idx="674">
                    <c:v>fungoxan mixto-caja  36 fc,</c:v>
                  </c:pt>
                  <c:pt idx="675">
                    <c:v>gallinol</c:v>
                  </c:pt>
                  <c:pt idx="676">
                    <c:v>gallinol</c:v>
                  </c:pt>
                  <c:pt idx="677">
                    <c:v>gancho hierro</c:v>
                  </c:pt>
                  <c:pt idx="678">
                    <c:v>gatillos</c:v>
                  </c:pt>
                  <c:pt idx="679">
                    <c:v>gato  castrado wiskas</c:v>
                  </c:pt>
                  <c:pt idx="680">
                    <c:v>gato 7 vidas</c:v>
                  </c:pt>
                  <c:pt idx="681">
                    <c:v>gato adulto equilibrio</c:v>
                  </c:pt>
                  <c:pt idx="682">
                    <c:v>gato adulto equilibrio </c:v>
                  </c:pt>
                  <c:pt idx="683">
                    <c:v>gato beny</c:v>
                  </c:pt>
                  <c:pt idx="684">
                    <c:v>gato beny</c:v>
                  </c:pt>
                  <c:pt idx="685">
                    <c:v>gato birbo</c:v>
                  </c:pt>
                  <c:pt idx="686">
                    <c:v>gato birbo</c:v>
                  </c:pt>
                  <c:pt idx="687">
                    <c:v>gato castrado</c:v>
                  </c:pt>
                  <c:pt idx="688">
                    <c:v>gato castrado RAZA carne y pollo</c:v>
                  </c:pt>
                  <c:pt idx="689">
                    <c:v>gato castrados wiskas</c:v>
                  </c:pt>
                  <c:pt idx="690">
                    <c:v>gato cat chow </c:v>
                  </c:pt>
                  <c:pt idx="691">
                    <c:v>gato cat chow </c:v>
                  </c:pt>
                  <c:pt idx="692">
                    <c:v>gato cat chow adulto</c:v>
                  </c:pt>
                  <c:pt idx="693">
                    <c:v>gato cat chow gatito</c:v>
                  </c:pt>
                  <c:pt idx="694">
                    <c:v>gato catrado-carne y pollo</c:v>
                  </c:pt>
                  <c:pt idx="695">
                    <c:v>GATO CHARRUA ADULTO</c:v>
                  </c:pt>
                  <c:pt idx="696">
                    <c:v>GATO CHARRUA ADULTO</c:v>
                  </c:pt>
                  <c:pt idx="697">
                    <c:v>GATO CRIOLLA ADULTO</c:v>
                  </c:pt>
                  <c:pt idx="698">
                    <c:v>GATO CRIOLLA ADULTO</c:v>
                  </c:pt>
                  <c:pt idx="699">
                    <c:v>gato equilibrio filote</c:v>
                  </c:pt>
                  <c:pt idx="700">
                    <c:v>gato equilibrio filote</c:v>
                  </c:pt>
                  <c:pt idx="701">
                    <c:v>gato gati</c:v>
                  </c:pt>
                  <c:pt idx="702">
                    <c:v>gato gati</c:v>
                  </c:pt>
                  <c:pt idx="703">
                    <c:v>GATO LE ROY COCKTAIL</c:v>
                  </c:pt>
                  <c:pt idx="704">
                    <c:v>gato pelusa</c:v>
                  </c:pt>
                  <c:pt idx="705">
                    <c:v>gato pelusa</c:v>
                  </c:pt>
                  <c:pt idx="706">
                    <c:v>gato primogato</c:v>
                  </c:pt>
                  <c:pt idx="707">
                    <c:v>gato primogato  blend</c:v>
                  </c:pt>
                  <c:pt idx="708">
                    <c:v>gato primogato  blend</c:v>
                  </c:pt>
                  <c:pt idx="709">
                    <c:v>gato primogato castrado</c:v>
                  </c:pt>
                  <c:pt idx="710">
                    <c:v>gato primogato castrado</c:v>
                  </c:pt>
                  <c:pt idx="711">
                    <c:v>gato primogato premiun filhotes</c:v>
                  </c:pt>
                  <c:pt idx="712">
                    <c:v>gato primogato premiun filhotes</c:v>
                  </c:pt>
                  <c:pt idx="713">
                    <c:v>gato prot cat</c:v>
                  </c:pt>
                  <c:pt idx="714">
                    <c:v>gato prot cat</c:v>
                  </c:pt>
                  <c:pt idx="715">
                    <c:v>gato salmon</c:v>
                  </c:pt>
                  <c:pt idx="716">
                    <c:v>gato salmon</c:v>
                  </c:pt>
                  <c:pt idx="717">
                    <c:v>gato salsa whiskas carne</c:v>
                  </c:pt>
                  <c:pt idx="718">
                    <c:v>gato whiskas</c:v>
                  </c:pt>
                  <c:pt idx="719">
                    <c:v>gato whiskas gatitos</c:v>
                  </c:pt>
                  <c:pt idx="720">
                    <c:v>gato whiskas gatitos</c:v>
                  </c:pt>
                  <c:pt idx="721">
                    <c:v>gato whiskas pescado-pollo y leche-carne</c:v>
                  </c:pt>
                  <c:pt idx="722">
                    <c:v>GATO-sushi cat</c:v>
                  </c:pt>
                  <c:pt idx="723">
                    <c:v>GEL REFRESCANTE RELAJANTE</c:v>
                  </c:pt>
                  <c:pt idx="724">
                    <c:v>girasol</c:v>
                  </c:pt>
                  <c:pt idx="725">
                    <c:v>girasol</c:v>
                  </c:pt>
                  <c:pt idx="726">
                    <c:v>girasol confitero</c:v>
                  </c:pt>
                  <c:pt idx="727">
                    <c:v>girasol confitero</c:v>
                  </c:pt>
                  <c:pt idx="728">
                    <c:v>girasol pelado</c:v>
                  </c:pt>
                  <c:pt idx="729">
                    <c:v>girasol pelado</c:v>
                  </c:pt>
                  <c:pt idx="730">
                    <c:v>glifosato improsate</c:v>
                  </c:pt>
                  <c:pt idx="731">
                    <c:v>glifosato improsate</c:v>
                  </c:pt>
                  <c:pt idx="732">
                    <c:v>gr1287</c:v>
                  </c:pt>
                  <c:pt idx="733">
                    <c:v>GRAN AMOR cannabis abono organico</c:v>
                  </c:pt>
                  <c:pt idx="734">
                    <c:v>gran amor educador</c:v>
                  </c:pt>
                  <c:pt idx="735">
                    <c:v>green explosion</c:v>
                  </c:pt>
                  <c:pt idx="736">
                    <c:v>guano-rojoo</c:v>
                  </c:pt>
                  <c:pt idx="737">
                    <c:v>guante </c:v>
                  </c:pt>
                  <c:pt idx="738">
                    <c:v>guante de descarne</c:v>
                  </c:pt>
                  <c:pt idx="739">
                    <c:v>GUANTE DE TRABAJO</c:v>
                  </c:pt>
                  <c:pt idx="740">
                    <c:v>guante de trabajo</c:v>
                  </c:pt>
                  <c:pt idx="741">
                    <c:v>guante de trabajo tela y cuero</c:v>
                  </c:pt>
                  <c:pt idx="742">
                    <c:v>guante multiuso</c:v>
                  </c:pt>
                  <c:pt idx="743">
                    <c:v>guia de flores</c:v>
                  </c:pt>
                  <c:pt idx="744">
                    <c:v>guia de hojas</c:v>
                  </c:pt>
                  <c:pt idx="745">
                    <c:v>guia hojas x 12</c:v>
                  </c:pt>
                  <c:pt idx="746">
                    <c:v>guia hojas x2</c:v>
                  </c:pt>
                  <c:pt idx="747">
                    <c:v>hacha mango fibra</c:v>
                  </c:pt>
                  <c:pt idx="748">
                    <c:v>hacha mango madera</c:v>
                  </c:pt>
                  <c:pt idx="749">
                    <c:v>harina de hueso</c:v>
                  </c:pt>
                  <c:pt idx="750">
                    <c:v>harina de hueso </c:v>
                  </c:pt>
                  <c:pt idx="751">
                    <c:v>herbicida</c:v>
                  </c:pt>
                  <c:pt idx="752">
                    <c:v>herbicida</c:v>
                  </c:pt>
                  <c:pt idx="753">
                    <c:v>herbicida</c:v>
                  </c:pt>
                  <c:pt idx="754">
                    <c:v>herbicida fluidamina -hoja ancha</c:v>
                  </c:pt>
                  <c:pt idx="755">
                    <c:v>herbicida glifosol  envasado</c:v>
                  </c:pt>
                  <c:pt idx="756">
                    <c:v>herbicida glifosol suelta</c:v>
                  </c:pt>
                  <c:pt idx="757">
                    <c:v>herbicida gliseb sum</c:v>
                  </c:pt>
                  <c:pt idx="758">
                    <c:v>herramienta de jardin</c:v>
                  </c:pt>
                  <c:pt idx="759">
                    <c:v>herramienta de jardin</c:v>
                  </c:pt>
                  <c:pt idx="760">
                    <c:v>hierba gatuna</c:v>
                  </c:pt>
                  <c:pt idx="761">
                    <c:v>hiploclorito</c:v>
                  </c:pt>
                  <c:pt idx="762">
                    <c:v>hiploclorito</c:v>
                  </c:pt>
                  <c:pt idx="763">
                    <c:v>hoja jazmin</c:v>
                  </c:pt>
                  <c:pt idx="764">
                    <c:v>hormiguicida en grano</c:v>
                  </c:pt>
                  <c:pt idx="765">
                    <c:v>hormiguicida folimur polvo60</c:v>
                  </c:pt>
                  <c:pt idx="766">
                    <c:v>hormiguicida fomilur 40</c:v>
                  </c:pt>
                  <c:pt idx="767">
                    <c:v>hormiguicida grano lampo30</c:v>
                  </c:pt>
                  <c:pt idx="768">
                    <c:v>hormiguicida grano lampo40</c:v>
                  </c:pt>
                  <c:pt idx="769">
                    <c:v>hormiguicida grano lampo65</c:v>
                  </c:pt>
                  <c:pt idx="770">
                    <c:v>hormiguicida grano lampo-caja 15 pte,</c:v>
                  </c:pt>
                  <c:pt idx="771">
                    <c:v>hormiguicida polvo</c:v>
                  </c:pt>
                  <c:pt idx="772">
                    <c:v>hormiguicida polvo folimur-caja20 pte</c:v>
                  </c:pt>
                  <c:pt idx="773">
                    <c:v>hormiguicida polvo-caja 120,precio x50</c:v>
                  </c:pt>
                  <c:pt idx="774">
                    <c:v>hormiguicida talquera </c:v>
                  </c:pt>
                  <c:pt idx="775">
                    <c:v>hornito chico</c:v>
                  </c:pt>
                  <c:pt idx="776">
                    <c:v>hueso con chifle</c:v>
                  </c:pt>
                  <c:pt idx="777">
                    <c:v>hueso digerible</c:v>
                  </c:pt>
                  <c:pt idx="778">
                    <c:v>hueso digerible</c:v>
                  </c:pt>
                  <c:pt idx="779">
                    <c:v>huevos juguete</c:v>
                  </c:pt>
                  <c:pt idx="780">
                    <c:v>huevos juguete</c:v>
                  </c:pt>
                  <c:pt idx="781">
                    <c:v>huevos p/canarios</c:v>
                  </c:pt>
                  <c:pt idx="782">
                    <c:v>humus</c:v>
                  </c:pt>
                  <c:pt idx="783">
                    <c:v>humus</c:v>
                  </c:pt>
                  <c:pt idx="784">
                    <c:v>humus de lombriz</c:v>
                  </c:pt>
                  <c:pt idx="785">
                    <c:v>humus de lombriz</c:v>
                  </c:pt>
                  <c:pt idx="786">
                    <c:v>ibnsecticida mata cucaracha sapolio</c:v>
                  </c:pt>
                  <c:pt idx="787">
                    <c:v>ICTIO ML LABCON</c:v>
                  </c:pt>
                  <c:pt idx="788">
                    <c:v>identificadores c/marco</c:v>
                  </c:pt>
                  <c:pt idx="789">
                    <c:v>igloo casa chico</c:v>
                  </c:pt>
                  <c:pt idx="790">
                    <c:v>igloo casa mediano</c:v>
                  </c:pt>
                  <c:pt idx="791">
                    <c:v>IGLOO con orejas</c:v>
                  </c:pt>
                  <c:pt idx="792">
                    <c:v>incectisida dezenurCE</c:v>
                  </c:pt>
                  <c:pt idx="793">
                    <c:v>incesan oil</c:v>
                  </c:pt>
                  <c:pt idx="794">
                    <c:v>incienso</c:v>
                  </c:pt>
                  <c:pt idx="795">
                    <c:v>insecticida</c:v>
                  </c:pt>
                  <c:pt idx="796">
                    <c:v>insecticida dezenur CE(rogor)</c:v>
                  </c:pt>
                  <c:pt idx="797">
                    <c:v>insecticida dezenur(rogor)</c:v>
                  </c:pt>
                  <c:pt idx="798">
                    <c:v>insecticida mata mosca</c:v>
                  </c:pt>
                  <c:pt idx="799">
                    <c:v>insecticida mata pulgas</c:v>
                  </c:pt>
                  <c:pt idx="800">
                    <c:v>insecticida mata todo</c:v>
                  </c:pt>
                  <c:pt idx="801">
                    <c:v>jabon potasico</c:v>
                  </c:pt>
                  <c:pt idx="802">
                    <c:v>jabon potasico</c:v>
                  </c:pt>
                  <c:pt idx="803">
                    <c:v>jabon potasico</c:v>
                  </c:pt>
                  <c:pt idx="804">
                    <c:v>jabon potasico</c:v>
                  </c:pt>
                  <c:pt idx="805">
                    <c:v>jardinera</c:v>
                  </c:pt>
                  <c:pt idx="806">
                    <c:v>JARDINERA</c:v>
                  </c:pt>
                  <c:pt idx="807">
                    <c:v>JARDINERA</c:v>
                  </c:pt>
                  <c:pt idx="808">
                    <c:v>JARDINERA</c:v>
                  </c:pt>
                  <c:pt idx="809">
                    <c:v>JARDINERA</c:v>
                  </c:pt>
                  <c:pt idx="810">
                    <c:v>JARDINERA BULCANICA</c:v>
                  </c:pt>
                  <c:pt idx="811">
                    <c:v>jardinera c/plat</c:v>
                  </c:pt>
                  <c:pt idx="812">
                    <c:v>jardinera c/plato</c:v>
                  </c:pt>
                  <c:pt idx="813">
                    <c:v>jardinera chica</c:v>
                  </c:pt>
                  <c:pt idx="814">
                    <c:v>jardinera de colores</c:v>
                  </c:pt>
                  <c:pt idx="815">
                    <c:v>jardinera de colores</c:v>
                  </c:pt>
                  <c:pt idx="816">
                    <c:v>jardinera de colores</c:v>
                  </c:pt>
                  <c:pt idx="817">
                    <c:v>jardinera de colores</c:v>
                  </c:pt>
                  <c:pt idx="818">
                    <c:v>jardinera de colores</c:v>
                  </c:pt>
                  <c:pt idx="819">
                    <c:v>jardinera ecovaso</c:v>
                  </c:pt>
                  <c:pt idx="820">
                    <c:v>jardinera ecovaso</c:v>
                  </c:pt>
                  <c:pt idx="821">
                    <c:v>JARDINERA MINI</c:v>
                  </c:pt>
                  <c:pt idx="822">
                    <c:v>JARDINERA MINI</c:v>
                  </c:pt>
                  <c:pt idx="823">
                    <c:v>JARDINERA NEGRA</c:v>
                  </c:pt>
                  <c:pt idx="824">
                    <c:v>JARDINERA NEGRA</c:v>
                  </c:pt>
                  <c:pt idx="825">
                    <c:v>JARDINERA NEGRA</c:v>
                  </c:pt>
                  <c:pt idx="826">
                    <c:v>JARDINERA NEGRA</c:v>
                  </c:pt>
                  <c:pt idx="827">
                    <c:v>jardinera nutriplant c/plato</c:v>
                  </c:pt>
                  <c:pt idx="828">
                    <c:v>JARDINERA OCRE</c:v>
                  </c:pt>
                  <c:pt idx="829">
                    <c:v>jardinera plastico s/plato</c:v>
                  </c:pt>
                  <c:pt idx="830">
                    <c:v>JARDINERA PREMIUN</c:v>
                  </c:pt>
                  <c:pt idx="831">
                    <c:v>JARDINERA PUNTO</c:v>
                  </c:pt>
                  <c:pt idx="832">
                    <c:v>jardinera retomoldeada JFQM780</c:v>
                  </c:pt>
                  <c:pt idx="833">
                    <c:v>jardinera rocio</c:v>
                  </c:pt>
                  <c:pt idx="834">
                    <c:v>jardinera rocio</c:v>
                  </c:pt>
                  <c:pt idx="835">
                    <c:v>jardinera rocio</c:v>
                  </c:pt>
                  <c:pt idx="836">
                    <c:v>jardinera rotomoldeada</c:v>
                  </c:pt>
                  <c:pt idx="837">
                    <c:v>jardinera rotomoldeada</c:v>
                  </c:pt>
                  <c:pt idx="838">
                    <c:v>jardinera s/´lat</c:v>
                  </c:pt>
                  <c:pt idx="839">
                    <c:v>jardinera sampa</c:v>
                  </c:pt>
                  <c:pt idx="840">
                    <c:v>jardinera s-plato</c:v>
                  </c:pt>
                  <c:pt idx="841">
                    <c:v>jardineras</c:v>
                  </c:pt>
                  <c:pt idx="842">
                    <c:v>jaula </c:v>
                  </c:pt>
                  <c:pt idx="843">
                    <c:v>jaula conejo mediana</c:v>
                  </c:pt>
                  <c:pt idx="844">
                    <c:v>jaula conejos grande</c:v>
                  </c:pt>
                  <c:pt idx="845">
                    <c:v>jaula conejos grande</c:v>
                  </c:pt>
                  <c:pt idx="846">
                    <c:v>jaula hamster grande</c:v>
                  </c:pt>
                  <c:pt idx="847">
                    <c:v>jaula hamster R/ beb/ com</c:v>
                  </c:pt>
                  <c:pt idx="848">
                    <c:v>jaula hamster rued/cas/beb 2 pisos</c:v>
                  </c:pt>
                  <c:pt idx="849">
                    <c:v>vitamina alcon</c:v>
                  </c:pt>
                  <c:pt idx="850">
                    <c:v>jaula loro alambre</c:v>
                  </c:pt>
                  <c:pt idx="851">
                    <c:v>jaula p/australiabno </c:v>
                  </c:pt>
                  <c:pt idx="852">
                    <c:v>jaula p/cria</c:v>
                  </c:pt>
                  <c:pt idx="853">
                    <c:v>jaula pagoda</c:v>
                  </c:pt>
                  <c:pt idx="854">
                    <c:v>jaula pajarera median</c:v>
                  </c:pt>
                  <c:pt idx="855">
                    <c:v>jaula pajarera median</c:v>
                  </c:pt>
                  <c:pt idx="856">
                    <c:v>jaula pajaro alta doble campanario</c:v>
                  </c:pt>
                  <c:pt idx="857">
                    <c:v>Jaula pajaro curva chica</c:v>
                  </c:pt>
                  <c:pt idx="858">
                    <c:v>Jaula pajaro rancho chica</c:v>
                  </c:pt>
                  <c:pt idx="859">
                    <c:v>jaula para conejo</c:v>
                  </c:pt>
                  <c:pt idx="860">
                    <c:v>jaula techo recto</c:v>
                  </c:pt>
                  <c:pt idx="861">
                    <c:v>jaula volado</c:v>
                  </c:pt>
                  <c:pt idx="862">
                    <c:v>jaulas p/australianos</c:v>
                  </c:pt>
                  <c:pt idx="863">
                    <c:v>jeringa cucarachicida vigilante</c:v>
                  </c:pt>
                  <c:pt idx="864">
                    <c:v>jeringa fulmoline p/cucaracha</c:v>
                  </c:pt>
                  <c:pt idx="865">
                    <c:v>jeringa p/cucaracha</c:v>
                  </c:pt>
                  <c:pt idx="866">
                    <c:v>jeringa p/cucaracha raid max</c:v>
                  </c:pt>
                  <c:pt idx="867">
                    <c:v>jeringa p/hormiga</c:v>
                  </c:pt>
                  <c:pt idx="868">
                    <c:v>jeringa para cucaracha</c:v>
                  </c:pt>
                  <c:pt idx="869">
                    <c:v>jhaula hamster</c:v>
                  </c:pt>
                  <c:pt idx="870">
                    <c:v>jimo mata cucaracha</c:v>
                  </c:pt>
                  <c:pt idx="871">
                    <c:v>jimo mata cucarachas aerosol</c:v>
                  </c:pt>
                  <c:pt idx="872">
                    <c:v>jimo-gas</c:v>
                  </c:pt>
                  <c:pt idx="873">
                    <c:v>juego ceramica n12</c:v>
                  </c:pt>
                  <c:pt idx="874">
                    <c:v>juego ceramica n23</c:v>
                  </c:pt>
                  <c:pt idx="875">
                    <c:v>juego ceramica n6</c:v>
                  </c:pt>
                  <c:pt idx="876">
                    <c:v>juego collar correa multicolor</c:v>
                  </c:pt>
                  <c:pt idx="877">
                    <c:v>juego collar correa multicolor</c:v>
                  </c:pt>
                  <c:pt idx="878">
                    <c:v>juego collar correa multicolor</c:v>
                  </c:pt>
                  <c:pt idx="879">
                    <c:v>juego collar y correa</c:v>
                  </c:pt>
                  <c:pt idx="880">
                    <c:v>juego de jardin</c:v>
                  </c:pt>
                  <c:pt idx="881">
                    <c:v>juego de jardin 3 piezas</c:v>
                  </c:pt>
                  <c:pt idx="882">
                    <c:v>juego de jardin 3 piezas-wantok</c:v>
                  </c:pt>
                  <c:pt idx="883">
                    <c:v>juego jardin</c:v>
                  </c:pt>
                  <c:pt idx="884">
                    <c:v>juego palitas mini </c:v>
                  </c:pt>
                  <c:pt idx="885">
                    <c:v>juego palitas mini acero inox</c:v>
                  </c:pt>
                  <c:pt idx="886">
                    <c:v>juego pretal c/correa</c:v>
                  </c:pt>
                  <c:pt idx="887">
                    <c:v>juego pretal c/correa </c:v>
                  </c:pt>
                  <c:pt idx="888">
                    <c:v>juego pretal c/correa poliester</c:v>
                  </c:pt>
                  <c:pt idx="889">
                    <c:v>juegos con pinchitos</c:v>
                  </c:pt>
                  <c:pt idx="890">
                    <c:v>juguerte pata polloc/chifle</c:v>
                  </c:pt>
                  <c:pt idx="891">
                    <c:v>juguete 2 salchichas c/cuerda</c:v>
                  </c:pt>
                  <c:pt idx="892">
                    <c:v>juguete chuleta c/chifle</c:v>
                  </c:pt>
                  <c:pt idx="893">
                    <c:v>JUGUETE GATO PELOTA CON RATON</c:v>
                  </c:pt>
                  <c:pt idx="894">
                    <c:v>JUGUETE MASCOTA</c:v>
                  </c:pt>
                  <c:pt idx="895">
                    <c:v>juguete mascota pelota con pinchos</c:v>
                  </c:pt>
                  <c:pt idx="896">
                    <c:v>juguete para mascota pelota con chifle</c:v>
                  </c:pt>
                  <c:pt idx="897">
                    <c:v>juguete para mascota pelota tenis por 3 unid</c:v>
                  </c:pt>
                  <c:pt idx="898">
                    <c:v>JUGUETE PATA DE POLLO</c:v>
                  </c:pt>
                  <c:pt idx="899">
                    <c:v>juguete pelota c/chifle</c:v>
                  </c:pt>
                  <c:pt idx="900">
                    <c:v>juguete pelota cuerda</c:v>
                  </c:pt>
                  <c:pt idx="901">
                    <c:v>juguete pelota de goma c/pincho</c:v>
                  </c:pt>
                  <c:pt idx="902">
                    <c:v>juguete pollo</c:v>
                  </c:pt>
                  <c:pt idx="903">
                    <c:v>JUGUETE POLLO AMARILLO MED</c:v>
                  </c:pt>
                  <c:pt idx="904">
                    <c:v>juguete raton sisal con plumas</c:v>
                  </c:pt>
                  <c:pt idx="905">
                    <c:v>jupiter-bomba de gas</c:v>
                  </c:pt>
                  <c:pt idx="906">
                    <c:v>kit de jardinero</c:v>
                  </c:pt>
                  <c:pt idx="907">
                    <c:v>ladrillo de coco</c:v>
                  </c:pt>
                  <c:pt idx="908">
                    <c:v>Lamina 40cm ancho simple faz</c:v>
                  </c:pt>
                  <c:pt idx="909">
                    <c:v>Lamina 40cm ancho simple faz</c:v>
                  </c:pt>
                  <c:pt idx="910">
                    <c:v>lamina 40cm doble faz</c:v>
                  </c:pt>
                  <c:pt idx="911">
                    <c:v>lamina 40cm doble faz</c:v>
                  </c:pt>
                  <c:pt idx="912">
                    <c:v>lamina doble faz 50 cm</c:v>
                  </c:pt>
                  <c:pt idx="913">
                    <c:v>lampara 400 led</c:v>
                  </c:pt>
                  <c:pt idx="914">
                    <c:v>lampara 42 led 4w</c:v>
                  </c:pt>
                  <c:pt idx="915">
                    <c:v>lampara 500 led</c:v>
                  </c:pt>
                  <c:pt idx="916">
                    <c:v>lampara rs306 7w 20 </c:v>
                  </c:pt>
                  <c:pt idx="917">
                    <c:v>lampara rs-308 13w largo 40-50 cm</c:v>
                  </c:pt>
                  <c:pt idx="918">
                    <c:v>lata cobre</c:v>
                  </c:pt>
                  <c:pt idx="919">
                    <c:v>lingas</c:v>
                  </c:pt>
                  <c:pt idx="920">
                    <c:v>maceta</c:v>
                  </c:pt>
                  <c:pt idx="921">
                    <c:v>maceta </c:v>
                  </c:pt>
                  <c:pt idx="922">
                    <c:v>maceta </c:v>
                  </c:pt>
                  <c:pt idx="923">
                    <c:v>maceta </c:v>
                  </c:pt>
                  <c:pt idx="924">
                    <c:v>maceta  plastica</c:v>
                  </c:pt>
                  <c:pt idx="925">
                    <c:v>maceta 32 espacios</c:v>
                  </c:pt>
                  <c:pt idx="926">
                    <c:v>maceta A teja </c:v>
                  </c:pt>
                  <c:pt idx="927">
                    <c:v>maceta aquinop barro</c:v>
                  </c:pt>
                  <c:pt idx="928">
                    <c:v>maceta aquinop barro</c:v>
                  </c:pt>
                  <c:pt idx="929">
                    <c:v>maceta aquinop barro</c:v>
                  </c:pt>
                  <c:pt idx="930">
                    <c:v>maceta aquinop barro</c:v>
                  </c:pt>
                  <c:pt idx="931">
                    <c:v>maceta atractive</c:v>
                  </c:pt>
                  <c:pt idx="932">
                    <c:v>maceta atractive</c:v>
                  </c:pt>
                  <c:pt idx="933">
                    <c:v>maceta atractive</c:v>
                  </c:pt>
                  <c:pt idx="934">
                    <c:v>maceta atractive</c:v>
                  </c:pt>
                  <c:pt idx="935">
                    <c:v>maceta atractive</c:v>
                  </c:pt>
                  <c:pt idx="936">
                    <c:v>maceta atractive</c:v>
                  </c:pt>
                  <c:pt idx="937">
                    <c:v>maceta atractive</c:v>
                  </c:pt>
                  <c:pt idx="938">
                    <c:v>maceta bage</c:v>
                  </c:pt>
                  <c:pt idx="939">
                    <c:v>MACETA BARRIL</c:v>
                  </c:pt>
                  <c:pt idx="940">
                    <c:v>MACETA BARRIL</c:v>
                  </c:pt>
                  <c:pt idx="941">
                    <c:v>MACETA BARRIL NEGRA</c:v>
                  </c:pt>
                  <c:pt idx="942">
                    <c:v>MACETA BARRIL NEGRA</c:v>
                  </c:pt>
                  <c:pt idx="943">
                    <c:v>MACETA BARRIL NEGRA</c:v>
                  </c:pt>
                  <c:pt idx="944">
                    <c:v>maceta barro</c:v>
                  </c:pt>
                  <c:pt idx="945">
                    <c:v>maceta barro</c:v>
                  </c:pt>
                  <c:pt idx="946">
                    <c:v>maceta barro</c:v>
                  </c:pt>
                  <c:pt idx="947">
                    <c:v>maceta barro</c:v>
                  </c:pt>
                  <c:pt idx="948">
                    <c:v>maceta barro</c:v>
                  </c:pt>
                  <c:pt idx="949">
                    <c:v>maceta barro</c:v>
                  </c:pt>
                  <c:pt idx="950">
                    <c:v>maceta barro</c:v>
                  </c:pt>
                  <c:pt idx="951">
                    <c:v>maceta barro</c:v>
                  </c:pt>
                  <c:pt idx="952">
                    <c:v>maceta barro</c:v>
                  </c:pt>
                  <c:pt idx="953">
                    <c:v>maceta barro</c:v>
                  </c:pt>
                  <c:pt idx="954">
                    <c:v>maceta barro</c:v>
                  </c:pt>
                  <c:pt idx="955">
                    <c:v>maceta barro acuarium</c:v>
                  </c:pt>
                  <c:pt idx="956">
                    <c:v>maceta barro americana</c:v>
                  </c:pt>
                  <c:pt idx="957">
                    <c:v>maceta barro americana</c:v>
                  </c:pt>
                  <c:pt idx="958">
                    <c:v>maceta barro americana</c:v>
                  </c:pt>
                  <c:pt idx="959">
                    <c:v>Maceta barro aquario n5</c:v>
                  </c:pt>
                  <c:pt idx="960">
                    <c:v>maceta barro cilindro bajo</c:v>
                  </c:pt>
                  <c:pt idx="961">
                    <c:v>Maceta barro COIMBRA</c:v>
                  </c:pt>
                  <c:pt idx="962">
                    <c:v>maceta barro comun</c:v>
                  </c:pt>
                  <c:pt idx="963">
                    <c:v>maceta barro comun</c:v>
                  </c:pt>
                  <c:pt idx="964">
                    <c:v>maceta barro comun</c:v>
                  </c:pt>
                  <c:pt idx="965">
                    <c:v>maceta barro comun</c:v>
                  </c:pt>
                  <c:pt idx="966">
                    <c:v>maceta barro comun</c:v>
                  </c:pt>
                  <c:pt idx="967">
                    <c:v>maceta barro comun</c:v>
                  </c:pt>
                  <c:pt idx="968">
                    <c:v>maceta barro icono</c:v>
                  </c:pt>
                  <c:pt idx="969">
                    <c:v>maceta barro icono</c:v>
                  </c:pt>
                  <c:pt idx="970">
                    <c:v>maceta barro icono</c:v>
                  </c:pt>
                  <c:pt idx="971">
                    <c:v>maceta barro italiana</c:v>
                  </c:pt>
                  <c:pt idx="972">
                    <c:v>maceta barro italiana</c:v>
                  </c:pt>
                  <c:pt idx="973">
                    <c:v>maceta barro italiana</c:v>
                  </c:pt>
                  <c:pt idx="974">
                    <c:v>maceta barro lebrillo</c:v>
                  </c:pt>
                  <c:pt idx="975">
                    <c:v>maceta barro legsino</c:v>
                  </c:pt>
                  <c:pt idx="976">
                    <c:v>maceta barro nido paloma</c:v>
                  </c:pt>
                  <c:pt idx="977">
                    <c:v>maceta barro porteña</c:v>
                  </c:pt>
                  <c:pt idx="978">
                    <c:v>maceta barro porteña</c:v>
                  </c:pt>
                  <c:pt idx="979">
                    <c:v>maceta barro porteña</c:v>
                  </c:pt>
                  <c:pt idx="980">
                    <c:v>maceta barro redentor</c:v>
                  </c:pt>
                  <c:pt idx="981">
                    <c:v>maceta barro redentor</c:v>
                  </c:pt>
                  <c:pt idx="982">
                    <c:v>Maceta barro SAO PAULO</c:v>
                  </c:pt>
                  <c:pt idx="983">
                    <c:v>maceta barro suculkenta</c:v>
                  </c:pt>
                  <c:pt idx="984">
                    <c:v>maceta biodegradable</c:v>
                  </c:pt>
                  <c:pt idx="985">
                    <c:v>maceta biodegradable</c:v>
                  </c:pt>
                  <c:pt idx="986">
                    <c:v>maceta biodegradable (120maceta)</c:v>
                  </c:pt>
                  <c:pt idx="987">
                    <c:v>maceta biodegradable (300 maceta)</c:v>
                  </c:pt>
                  <c:pt idx="988">
                    <c:v>maceta biodegradable 4,5 x4,5</c:v>
                  </c:pt>
                  <c:pt idx="989">
                    <c:v>maceta biodegradable olivo</c:v>
                  </c:pt>
                  <c:pt idx="990">
                    <c:v>maceta biodegradable olivos-</c:v>
                  </c:pt>
                  <c:pt idx="991">
                    <c:v>maceta biodegradable-( 600 macetas)</c:v>
                  </c:pt>
                  <c:pt idx="992">
                    <c:v>maceta blanca cilindrica</c:v>
                  </c:pt>
                  <c:pt idx="993">
                    <c:v>MACETA BLANCA CUADRADA</c:v>
                  </c:pt>
                  <c:pt idx="994">
                    <c:v>maceta blanca cuadrada</c:v>
                  </c:pt>
                  <c:pt idx="995">
                    <c:v>maceta blanca rayas horizontales</c:v>
                  </c:pt>
                  <c:pt idx="996">
                    <c:v>MACETA BLANXA CILINDRICA</c:v>
                  </c:pt>
                  <c:pt idx="997">
                    <c:v>maceta bonsai elegance</c:v>
                  </c:pt>
                  <c:pt idx="998">
                    <c:v>maceta bonsai ovalada</c:v>
                  </c:pt>
                  <c:pt idx="999">
                    <c:v>maceta bonsai ovalada</c:v>
                  </c:pt>
                  <c:pt idx="1000">
                    <c:v>maceta bonsai rectangular</c:v>
                  </c:pt>
                  <c:pt idx="1001">
                    <c:v>maceta bonsai rectangular</c:v>
                  </c:pt>
                  <c:pt idx="1002">
                    <c:v>maceta bonsai terracota</c:v>
                  </c:pt>
                  <c:pt idx="1003">
                    <c:v>maceta campana color con plato</c:v>
                  </c:pt>
                  <c:pt idx="1004">
                    <c:v>maceta campana con plato</c:v>
                  </c:pt>
                  <c:pt idx="1005">
                    <c:v>maceta campana con plato</c:v>
                  </c:pt>
                  <c:pt idx="1006">
                    <c:v>maceta campana con plato</c:v>
                  </c:pt>
                  <c:pt idx="1007">
                    <c:v>maceta campana con plato</c:v>
                  </c:pt>
                  <c:pt idx="1008">
                    <c:v>maceta campana con plato</c:v>
                  </c:pt>
                  <c:pt idx="1009">
                    <c:v>maceta campana con plato</c:v>
                  </c:pt>
                  <c:pt idx="1010">
                    <c:v>maceta campana con plato</c:v>
                  </c:pt>
                  <c:pt idx="1011">
                    <c:v>maceta campana negra sin plato</c:v>
                  </c:pt>
                  <c:pt idx="1012">
                    <c:v>maceta ceramica</c:v>
                  </c:pt>
                  <c:pt idx="1013">
                    <c:v>maceta ceramica blanca</c:v>
                  </c:pt>
                  <c:pt idx="1014">
                    <c:v>maceta ceramica blanca</c:v>
                  </c:pt>
                  <c:pt idx="1015">
                    <c:v>maceta ceramica cruda</c:v>
                  </c:pt>
                  <c:pt idx="1016">
                    <c:v>maceta ceramica cruda</c:v>
                  </c:pt>
                  <c:pt idx="1017">
                    <c:v>maceta cerramica chata azul</c:v>
                  </c:pt>
                  <c:pt idx="1018">
                    <c:v>maceta cilindrica barro</c:v>
                  </c:pt>
                  <c:pt idx="1019">
                    <c:v>maceta cilindrica barro</c:v>
                  </c:pt>
                  <c:pt idx="1020">
                    <c:v>maceta cilindrica barro</c:v>
                  </c:pt>
                  <c:pt idx="1021">
                    <c:v>maceta cilindrica barro</c:v>
                  </c:pt>
                  <c:pt idx="1022">
                    <c:v>maceta cilindrica negra</c:v>
                  </c:pt>
                  <c:pt idx="1023">
                    <c:v>maceta cilindrica negra</c:v>
                  </c:pt>
                  <c:pt idx="1024">
                    <c:v>maceta cilindrica negra </c:v>
                  </c:pt>
                  <c:pt idx="1025">
                    <c:v>maceta cilindrica S/plato</c:v>
                  </c:pt>
                  <c:pt idx="1026">
                    <c:v>maceta cilindrica TEJA con plato</c:v>
                  </c:pt>
                  <c:pt idx="1027">
                    <c:v>maceta cilindrica TEJA con plato</c:v>
                  </c:pt>
                  <c:pt idx="1028">
                    <c:v>maceta cilindrica TEJA con plato</c:v>
                  </c:pt>
                  <c:pt idx="1029">
                    <c:v>maceta cilindrica TEJA con plato</c:v>
                  </c:pt>
                  <c:pt idx="1030">
                    <c:v>MACETA CIOTOLA</c:v>
                  </c:pt>
                  <c:pt idx="1031">
                    <c:v>MACETA CIOTOLA</c:v>
                  </c:pt>
                  <c:pt idx="1032">
                    <c:v>MACETA CIOTOLA</c:v>
                  </c:pt>
                  <c:pt idx="1033">
                    <c:v>maceta clasic ecovaso</c:v>
                  </c:pt>
                  <c:pt idx="1034">
                    <c:v>maceta clasic ecovaso</c:v>
                  </c:pt>
                  <c:pt idx="1035">
                    <c:v>maceta clasic ecovaso</c:v>
                  </c:pt>
                  <c:pt idx="1036">
                    <c:v>maceta clasica barro</c:v>
                  </c:pt>
                  <c:pt idx="1037">
                    <c:v>maceta clasica barro</c:v>
                  </c:pt>
                  <c:pt idx="1038">
                    <c:v>maceta clasica barro</c:v>
                  </c:pt>
                  <c:pt idx="1039">
                    <c:v>maceta clasica barro</c:v>
                  </c:pt>
                  <c:pt idx="1040">
                    <c:v>maceta clasica barro</c:v>
                  </c:pt>
                  <c:pt idx="1041">
                    <c:v>maceta clasica barro</c:v>
                  </c:pt>
                  <c:pt idx="1042">
                    <c:v>maceta clasica barro</c:v>
                  </c:pt>
                  <c:pt idx="1043">
                    <c:v>maceta clasica barro</c:v>
                  </c:pt>
                  <c:pt idx="1044">
                    <c:v>maceta clasica barro</c:v>
                  </c:pt>
                  <c:pt idx="1045">
                    <c:v>maceta clasica barro</c:v>
                  </c:pt>
                  <c:pt idx="1046">
                    <c:v>maceta clasica barro</c:v>
                  </c:pt>
                  <c:pt idx="1047">
                    <c:v>maceta clasica c/plato</c:v>
                  </c:pt>
                  <c:pt idx="1048">
                    <c:v>maceta clasica c/plato</c:v>
                  </c:pt>
                  <c:pt idx="1049">
                    <c:v>maceta clasica c/plato</c:v>
                  </c:pt>
                  <c:pt idx="1050">
                    <c:v>maceta clasica ecovaso</c:v>
                  </c:pt>
                  <c:pt idx="1051">
                    <c:v>maceta clasica ecovaso</c:v>
                  </c:pt>
                  <c:pt idx="1052">
                    <c:v>MACETA COCO CUADRADA COLGAR</c:v>
                  </c:pt>
                  <c:pt idx="1053">
                    <c:v>maceta colgante</c:v>
                  </c:pt>
                  <c:pt idx="1054">
                    <c:v>maceta colgar</c:v>
                  </c:pt>
                  <c:pt idx="1055">
                    <c:v>maceta colgar</c:v>
                  </c:pt>
                  <c:pt idx="1056">
                    <c:v>maceta colgar</c:v>
                  </c:pt>
                  <c:pt idx="1057">
                    <c:v>maceta colgar</c:v>
                  </c:pt>
                  <c:pt idx="1058">
                    <c:v>maceta colgar</c:v>
                  </c:pt>
                  <c:pt idx="1059">
                    <c:v>maceta colgar </c:v>
                  </c:pt>
                  <c:pt idx="1060">
                    <c:v>MACETA COLGAR C/CADENA </c:v>
                  </c:pt>
                  <c:pt idx="1061">
                    <c:v>maceta colgar cadena</c:v>
                  </c:pt>
                  <c:pt idx="1062">
                    <c:v>MACETA COLGAR CON CADENA</c:v>
                  </c:pt>
                  <c:pt idx="1063">
                    <c:v>MACETA COLGAR CON CADENA</c:v>
                  </c:pt>
                  <c:pt idx="1064">
                    <c:v>MACETA COLGAR CON CADENA</c:v>
                  </c:pt>
                  <c:pt idx="1065">
                    <c:v>maceta colgar simil ratan</c:v>
                  </c:pt>
                  <c:pt idx="1066">
                    <c:v>maceta colgar simil ratan</c:v>
                  </c:pt>
                  <c:pt idx="1067">
                    <c:v>maceta con planta</c:v>
                  </c:pt>
                  <c:pt idx="1068">
                    <c:v>maceta copa</c:v>
                  </c:pt>
                  <c:pt idx="1069">
                    <c:v>maceta copa</c:v>
                  </c:pt>
                  <c:pt idx="1070">
                    <c:v>maceta copa</c:v>
                  </c:pt>
                  <c:pt idx="1071">
                    <c:v>maceta copa</c:v>
                  </c:pt>
                  <c:pt idx="1072">
                    <c:v>MACETA CRAQUELADA</c:v>
                  </c:pt>
                  <c:pt idx="1073">
                    <c:v>MACETA CRAQUELADA</c:v>
                  </c:pt>
                  <c:pt idx="1074">
                    <c:v>MACETA CRAQUELADA</c:v>
                  </c:pt>
                  <c:pt idx="1075">
                    <c:v>MACETA CRAQUELADA</c:v>
                  </c:pt>
                  <c:pt idx="1076">
                    <c:v>MACETA CRAQUELADA</c:v>
                  </c:pt>
                  <c:pt idx="1077">
                    <c:v>maceta cua</c:v>
                  </c:pt>
                  <c:pt idx="1078">
                    <c:v>maceta cuadrada c/plat</c:v>
                  </c:pt>
                  <c:pt idx="1079">
                    <c:v>maceta cuadrada c/plat</c:v>
                  </c:pt>
                  <c:pt idx="1080">
                    <c:v>Maceta cuadrada chica plas garden</c:v>
                  </c:pt>
                  <c:pt idx="1081">
                    <c:v>maceta cuadrada N23</c:v>
                  </c:pt>
                  <c:pt idx="1082">
                    <c:v>maceta cuadrada N28</c:v>
                  </c:pt>
                  <c:pt idx="1083">
                    <c:v>maceta cuadrada N33</c:v>
                  </c:pt>
                  <c:pt idx="1084">
                    <c:v>maceta cuadrada N35</c:v>
                  </c:pt>
                  <c:pt idx="1085">
                    <c:v>maceta cuia</c:v>
                  </c:pt>
                  <c:pt idx="1086">
                    <c:v>maceta cuia</c:v>
                  </c:pt>
                  <c:pt idx="1087">
                    <c:v>maceta cuia 1,5</c:v>
                  </c:pt>
                  <c:pt idx="1088">
                    <c:v>maceta cuia 2</c:v>
                  </c:pt>
                  <c:pt idx="1089">
                    <c:v>maceta cuia 3</c:v>
                  </c:pt>
                  <c:pt idx="1090">
                    <c:v>maceta cuia 4</c:v>
                  </c:pt>
                  <c:pt idx="1091">
                    <c:v>maceta de barro</c:v>
                  </c:pt>
                  <c:pt idx="1092">
                    <c:v>maceta de barro</c:v>
                  </c:pt>
                  <c:pt idx="1093">
                    <c:v>maceta de barro</c:v>
                  </c:pt>
                  <c:pt idx="1094">
                    <c:v>maceta de barro aerea</c:v>
                  </c:pt>
                  <c:pt idx="1095">
                    <c:v>Maceta de barro FARAO</c:v>
                  </c:pt>
                  <c:pt idx="1096">
                    <c:v>Maceta de cococ/ plato</c:v>
                  </c:pt>
                  <c:pt idx="1097">
                    <c:v>Maceta de cococ/ plato</c:v>
                  </c:pt>
                  <c:pt idx="1098">
                    <c:v>maceta de colgar c/ cadena</c:v>
                  </c:pt>
                  <c:pt idx="1099">
                    <c:v>MACETA DE COLGAR C/ CADENA</c:v>
                  </c:pt>
                  <c:pt idx="1100">
                    <c:v>maceta de colgar c/cadena</c:v>
                  </c:pt>
                  <c:pt idx="1101">
                    <c:v>MACETA DE COLGAR CON CADENA</c:v>
                  </c:pt>
                  <c:pt idx="1102">
                    <c:v>MACETA DE COLGAR CON CADENA</c:v>
                  </c:pt>
                  <c:pt idx="1103">
                    <c:v>MACETA DE COLGAR CON CADENA</c:v>
                  </c:pt>
                  <c:pt idx="1104">
                    <c:v>MACETA DE COLGAR CON CADENA</c:v>
                  </c:pt>
                  <c:pt idx="1105">
                    <c:v>MACETA DE COLGAR CON CADENA</c:v>
                  </c:pt>
                  <c:pt idx="1106">
                    <c:v>maceta de orquidea</c:v>
                  </c:pt>
                  <c:pt idx="1107">
                    <c:v>MACETA DE PLASTICO DE PARED</c:v>
                  </c:pt>
                  <c:pt idx="1108">
                    <c:v>maceta decorada</c:v>
                  </c:pt>
                  <c:pt idx="1109">
                    <c:v>maceta descartable</c:v>
                  </c:pt>
                  <c:pt idx="1110">
                    <c:v>maceta descartable canadience</c:v>
                  </c:pt>
                  <c:pt idx="1111">
                    <c:v>maceta descartable canadience</c:v>
                  </c:pt>
                  <c:pt idx="1112">
                    <c:v>maceta descartable canadience</c:v>
                  </c:pt>
                  <c:pt idx="1113">
                    <c:v>maceta descartable canadience</c:v>
                  </c:pt>
                  <c:pt idx="1114">
                    <c:v>maceta descartable canadience</c:v>
                  </c:pt>
                  <c:pt idx="1115">
                    <c:v>maceta descartable vivero</c:v>
                  </c:pt>
                  <c:pt idx="1116">
                    <c:v>maceta descartable vivero-1000 maceta</c:v>
                  </c:pt>
                  <c:pt idx="1117">
                    <c:v>maceta descartable vivero-2000 maceta</c:v>
                  </c:pt>
                  <c:pt idx="1118">
                    <c:v>maceta descatable canadience</c:v>
                  </c:pt>
                  <c:pt idx="1119">
                    <c:v>maceta diamante</c:v>
                  </c:pt>
                  <c:pt idx="1120">
                    <c:v>maceta diamante</c:v>
                  </c:pt>
                  <c:pt idx="1121">
                    <c:v>MACETA DIAMANTE</c:v>
                  </c:pt>
                  <c:pt idx="1122">
                    <c:v>MACETA DIAMANTE</c:v>
                  </c:pt>
                  <c:pt idx="1123">
                    <c:v>MACETA DIAMANTE</c:v>
                  </c:pt>
                  <c:pt idx="1124">
                    <c:v>maceta duo</c:v>
                  </c:pt>
                  <c:pt idx="1125">
                    <c:v>maceta duo</c:v>
                  </c:pt>
                  <c:pt idx="1126">
                    <c:v>maceta duo</c:v>
                  </c:pt>
                  <c:pt idx="1127">
                    <c:v>maceta ecologica n 2</c:v>
                  </c:pt>
                  <c:pt idx="1128">
                    <c:v>maceta elegant S/plato</c:v>
                  </c:pt>
                  <c:pt idx="1129">
                    <c:v>maceta elegant S/plato</c:v>
                  </c:pt>
                  <c:pt idx="1130">
                    <c:v>maceta elegant S/plato</c:v>
                  </c:pt>
                  <c:pt idx="1131">
                    <c:v>maceta elegant S/plato</c:v>
                  </c:pt>
                  <c:pt idx="1132">
                    <c:v>maceta elegant S/plato</c:v>
                  </c:pt>
                  <c:pt idx="1133">
                    <c:v>maceta elegant S/plato</c:v>
                  </c:pt>
                  <c:pt idx="1134">
                    <c:v>maceta elegant S/plato</c:v>
                  </c:pt>
                  <c:pt idx="1135">
                    <c:v>maceta elegant S/plato</c:v>
                  </c:pt>
                  <c:pt idx="1136">
                    <c:v>maceta estampada blanca lineasc/p</c:v>
                  </c:pt>
                  <c:pt idx="1137">
                    <c:v>maceta estampada blanca lineasc/p</c:v>
                  </c:pt>
                  <c:pt idx="1138">
                    <c:v>maceta estampada blanca lineasc/p</c:v>
                  </c:pt>
                  <c:pt idx="1139">
                    <c:v>maceta estampada blanca lineasc/p</c:v>
                  </c:pt>
                  <c:pt idx="1140">
                    <c:v>maceta estampada blanca lineasc/p</c:v>
                  </c:pt>
                  <c:pt idx="1141">
                    <c:v>maceta estampada blanca lineasc/p</c:v>
                  </c:pt>
                  <c:pt idx="1142">
                    <c:v>maceta facetada</c:v>
                  </c:pt>
                  <c:pt idx="1143">
                    <c:v>maceta flor c/plato</c:v>
                  </c:pt>
                  <c:pt idx="1144">
                    <c:v>maceta guia ecovaso</c:v>
                  </c:pt>
                  <c:pt idx="1145">
                    <c:v>maceta hexagonal</c:v>
                  </c:pt>
                  <c:pt idx="1146">
                    <c:v>maceta holambra</c:v>
                  </c:pt>
                  <c:pt idx="1147">
                    <c:v>MACETA JARDINERA CON PLATO</c:v>
                  </c:pt>
                  <c:pt idx="1148">
                    <c:v>maceta jardinera de pared</c:v>
                  </c:pt>
                  <c:pt idx="1149">
                    <c:v>maceta jardinera plasticos/plato</c:v>
                  </c:pt>
                  <c:pt idx="1150">
                    <c:v>maceta jardinera plstico s/plato</c:v>
                  </c:pt>
                  <c:pt idx="1151">
                    <c:v>MACETA JARDINERA S/PLATO</c:v>
                  </c:pt>
                  <c:pt idx="1152">
                    <c:v>MACETA JARDINERA S/PLATO</c:v>
                  </c:pt>
                  <c:pt idx="1153">
                    <c:v>MACETA JARDINERA TERRACOTA</c:v>
                  </c:pt>
                  <c:pt idx="1154">
                    <c:v>MACETA JARDINERA TERRACOTA</c:v>
                  </c:pt>
                  <c:pt idx="1155">
                    <c:v>maceta lebrillo</c:v>
                  </c:pt>
                  <c:pt idx="1156">
                    <c:v>MACETA MARRON CUADRADA</c:v>
                  </c:pt>
                  <c:pt idx="1157">
                    <c:v>MACETA MARRON CUADRADA</c:v>
                  </c:pt>
                  <c:pt idx="1158">
                    <c:v>maceta marron lisa c/plato</c:v>
                  </c:pt>
                  <c:pt idx="1159">
                    <c:v>maceta marron lisa c/plato</c:v>
                  </c:pt>
                  <c:pt idx="1160">
                    <c:v>MACETA marron lisa c/plato</c:v>
                  </c:pt>
                  <c:pt idx="1161">
                    <c:v>maceta marron lisa c/plato</c:v>
                  </c:pt>
                  <c:pt idx="1162">
                    <c:v>MACETA marron lisa redonda</c:v>
                  </c:pt>
                  <c:pt idx="1163">
                    <c:v>MACETA marrron lisac/plato</c:v>
                  </c:pt>
                  <c:pt idx="1164">
                    <c:v>maceta milan</c:v>
                  </c:pt>
                  <c:pt idx="1165">
                    <c:v>maceta milan</c:v>
                  </c:pt>
                  <c:pt idx="1166">
                    <c:v>maceta mini c/plat</c:v>
                  </c:pt>
                  <c:pt idx="1167">
                    <c:v>maceta N3 color c/plato</c:v>
                  </c:pt>
                  <c:pt idx="1168">
                    <c:v>maceta N4 color c/plato</c:v>
                  </c:pt>
                  <c:pt idx="1169">
                    <c:v>maceta N5 color c/plato</c:v>
                  </c:pt>
                  <c:pt idx="1170">
                    <c:v>maceta nacional </c:v>
                  </c:pt>
                  <c:pt idx="1171">
                    <c:v>maceta nacional A</c:v>
                  </c:pt>
                  <c:pt idx="1172">
                    <c:v>maceta nacional A</c:v>
                  </c:pt>
                  <c:pt idx="1173">
                    <c:v>maceta nacional A</c:v>
                  </c:pt>
                  <c:pt idx="1174">
                    <c:v>maceta nacional A</c:v>
                  </c:pt>
                  <c:pt idx="1175">
                    <c:v>maceta nacional A</c:v>
                  </c:pt>
                  <c:pt idx="1176">
                    <c:v>maceta nacional A</c:v>
                  </c:pt>
                  <c:pt idx="1177">
                    <c:v>maceta nacional A </c:v>
                  </c:pt>
                  <c:pt idx="1178">
                    <c:v>maceta nacional A negra</c:v>
                  </c:pt>
                  <c:pt idx="1179">
                    <c:v>maceta nacional A negra</c:v>
                  </c:pt>
                  <c:pt idx="1180">
                    <c:v>maceta nacional A negra</c:v>
                  </c:pt>
                  <c:pt idx="1181">
                    <c:v>maceta nacional A NEGRA</c:v>
                  </c:pt>
                  <c:pt idx="1182">
                    <c:v>maceta negra c/blanco</c:v>
                  </c:pt>
                  <c:pt idx="1183">
                    <c:v>maceta negra c/blanco</c:v>
                  </c:pt>
                  <c:pt idx="1184">
                    <c:v>maceta negra cilindrica</c:v>
                  </c:pt>
                  <c:pt idx="1185">
                    <c:v>maceta negra cilindrica</c:v>
                  </c:pt>
                  <c:pt idx="1186">
                    <c:v>maceta negra cilindricaC/PLATO</c:v>
                  </c:pt>
                  <c:pt idx="1187">
                    <c:v>MACETA NEGRA CUADRADA RALLADA</c:v>
                  </c:pt>
                  <c:pt idx="1188">
                    <c:v>MACETA NEGRA FLOR C/ PLATO</c:v>
                  </c:pt>
                  <c:pt idx="1189">
                    <c:v>MACETA NEGRA FLOR C/ PLATO</c:v>
                  </c:pt>
                  <c:pt idx="1190">
                    <c:v>MACETA NEGRA FLOR C/ PLATO</c:v>
                  </c:pt>
                  <c:pt idx="1191">
                    <c:v>MACETA NEGRA FLOR C/ PLATO</c:v>
                  </c:pt>
                  <c:pt idx="1192">
                    <c:v>MACETA NEGRA LABRADA</c:v>
                  </c:pt>
                  <c:pt idx="1193">
                    <c:v>MACETA NEGRA LABRADA</c:v>
                  </c:pt>
                  <c:pt idx="1194">
                    <c:v>maceta negra labrada c/plato</c:v>
                  </c:pt>
                  <c:pt idx="1195">
                    <c:v>MACETA NEGRA LABRADA CON PLATO</c:v>
                  </c:pt>
                  <c:pt idx="1196">
                    <c:v>MACETA NEGRA+B1896 CUADRADA RALLADA</c:v>
                  </c:pt>
                  <c:pt idx="1197">
                    <c:v>maceta negto c/blanco</c:v>
                  </c:pt>
                  <c:pt idx="1198">
                    <c:v>maceta nutriplant</c:v>
                  </c:pt>
                  <c:pt idx="1199">
                    <c:v>maceta orquidea</c:v>
                  </c:pt>
                  <c:pt idx="1200">
                    <c:v>maceta orquidea</c:v>
                  </c:pt>
                  <c:pt idx="1201">
                    <c:v>MACETA ORQUIDEA COLOR FLUOR</c:v>
                  </c:pt>
                  <c:pt idx="1202">
                    <c:v>maceta orquidea grande</c:v>
                  </c:pt>
                  <c:pt idx="1203">
                    <c:v>MACETA ORQUIDEA TRANSPARENTE</c:v>
                  </c:pt>
                  <c:pt idx="1204">
                    <c:v>MACETA ORQUIDEA TRANSPARENTE</c:v>
                  </c:pt>
                  <c:pt idx="1205">
                    <c:v>MACETA ORQUIDEA TRANSPARENTE</c:v>
                  </c:pt>
                  <c:pt idx="1206">
                    <c:v>MACETA ORQUIDEA TRANSPARENTE</c:v>
                  </c:pt>
                  <c:pt idx="1207">
                    <c:v>maceta paila 35</c:v>
                  </c:pt>
                  <c:pt idx="1208">
                    <c:v>maceta paila c/p</c:v>
                  </c:pt>
                  <c:pt idx="1209">
                    <c:v>maceta pared</c:v>
                  </c:pt>
                  <c:pt idx="1210">
                    <c:v>maceta pared</c:v>
                  </c:pt>
                  <c:pt idx="1211">
                    <c:v>maceta pared</c:v>
                  </c:pt>
                  <c:pt idx="1212">
                    <c:v>maceta pared</c:v>
                  </c:pt>
                  <c:pt idx="1213">
                    <c:v>maceta pared</c:v>
                  </c:pt>
                  <c:pt idx="1214">
                    <c:v>maceta pared plastico</c:v>
                  </c:pt>
                  <c:pt idx="1215">
                    <c:v>maceta paris</c:v>
                  </c:pt>
                  <c:pt idx="1216">
                    <c:v>maceta paris</c:v>
                  </c:pt>
                  <c:pt idx="1217">
                    <c:v>maceta paris</c:v>
                  </c:pt>
                  <c:pt idx="1218">
                    <c:v>maceta paula  c/plato</c:v>
                  </c:pt>
                  <c:pt idx="1219">
                    <c:v>maceta paula c/plato</c:v>
                  </c:pt>
                  <c:pt idx="1220">
                    <c:v>maceta paula c/plato</c:v>
                  </c:pt>
                  <c:pt idx="1221">
                    <c:v>maceta paula c/plato</c:v>
                  </c:pt>
                  <c:pt idx="1222">
                    <c:v>maceta paula c/plato</c:v>
                  </c:pt>
                  <c:pt idx="1223">
                    <c:v>maceta piramidal con luz  N67</c:v>
                  </c:pt>
                  <c:pt idx="1224">
                    <c:v>maceta piso c/ PLATO</c:v>
                  </c:pt>
                  <c:pt idx="1225">
                    <c:v>MACETA PISO C/ PLATO</c:v>
                  </c:pt>
                  <c:pt idx="1226">
                    <c:v>MACETA PISO C/ PLATO</c:v>
                  </c:pt>
                  <c:pt idx="1227">
                    <c:v>maceta piso con plato</c:v>
                  </c:pt>
                  <c:pt idx="1228">
                    <c:v>maceta piso con plato</c:v>
                  </c:pt>
                  <c:pt idx="1229">
                    <c:v>maceta piso con plato</c:v>
                  </c:pt>
                  <c:pt idx="1230">
                    <c:v>maceta piso cuadradacon plato</c:v>
                  </c:pt>
                  <c:pt idx="1231">
                    <c:v>maceta piso cuadradacon plato</c:v>
                  </c:pt>
                  <c:pt idx="1232">
                    <c:v>maceta piso cuadradacon plato</c:v>
                  </c:pt>
                  <c:pt idx="1233">
                    <c:v>MACETA piso MARRON c/plat</c:v>
                  </c:pt>
                  <c:pt idx="1234">
                    <c:v>maceta piza</c:v>
                  </c:pt>
                  <c:pt idx="1235">
                    <c:v>maceta pl</c:v>
                  </c:pt>
                  <c:pt idx="1236">
                    <c:v>maceta pl</c:v>
                  </c:pt>
                  <c:pt idx="1237">
                    <c:v>maceta pl COLOR</c:v>
                  </c:pt>
                  <c:pt idx="1238">
                    <c:v>maceta pl COLOR</c:v>
                  </c:pt>
                  <c:pt idx="1239">
                    <c:v>maceta pl COLOR</c:v>
                  </c:pt>
                  <c:pt idx="1240">
                    <c:v>maceta pl COLOR</c:v>
                  </c:pt>
                  <c:pt idx="1241">
                    <c:v>MACETA PL NEGRA</c:v>
                  </c:pt>
                  <c:pt idx="1242">
                    <c:v>MACETA PL NEGRA</c:v>
                  </c:pt>
                  <c:pt idx="1243">
                    <c:v>MACETA PL NEGRA</c:v>
                  </c:pt>
                  <c:pt idx="1244">
                    <c:v>MACETA PL NEGRA</c:v>
                  </c:pt>
                  <c:pt idx="1245">
                    <c:v>maceta plastica</c:v>
                  </c:pt>
                  <c:pt idx="1246">
                    <c:v>maceta plastica</c:v>
                  </c:pt>
                  <c:pt idx="1247">
                    <c:v>maceta plastica</c:v>
                  </c:pt>
                  <c:pt idx="1248">
                    <c:v>maceta plastica</c:v>
                  </c:pt>
                  <c:pt idx="1249">
                    <c:v>maceta plastica</c:v>
                  </c:pt>
                  <c:pt idx="1250">
                    <c:v>maceta plastica</c:v>
                  </c:pt>
                  <c:pt idx="1251">
                    <c:v>maceta plastica </c:v>
                  </c:pt>
                  <c:pt idx="1252">
                    <c:v>maceta plastica blanca</c:v>
                  </c:pt>
                  <c:pt idx="1253">
                    <c:v>MACETA PLASTICA COPA</c:v>
                  </c:pt>
                  <c:pt idx="1254">
                    <c:v>maceta plastica gris</c:v>
                  </c:pt>
                  <c:pt idx="1255">
                    <c:v>maceta plastico cuadrada</c:v>
                  </c:pt>
                  <c:pt idx="1256">
                    <c:v>maceta plastico cuadrada</c:v>
                  </c:pt>
                  <c:pt idx="1257">
                    <c:v>maceta plastico cuadrada</c:v>
                  </c:pt>
                  <c:pt idx="1258">
                    <c:v>maceta plastico cuadrada</c:v>
                  </c:pt>
                  <c:pt idx="1259">
                    <c:v>maceta plastico cuadrada</c:v>
                  </c:pt>
                  <c:pt idx="1260">
                    <c:v>maceta plastico cuadrada</c:v>
                  </c:pt>
                  <c:pt idx="1261">
                    <c:v>maceta plastico jardinera s/</c:v>
                  </c:pt>
                  <c:pt idx="1262">
                    <c:v>maceta plastico labrada</c:v>
                  </c:pt>
                  <c:pt idx="1263">
                    <c:v>maceta plastico labrada</c:v>
                  </c:pt>
                  <c:pt idx="1264">
                    <c:v>maceta plastico n11</c:v>
                  </c:pt>
                  <c:pt idx="1265">
                    <c:v>maceta plastico n8</c:v>
                  </c:pt>
                  <c:pt idx="1266">
                    <c:v>maceta porteña </c:v>
                  </c:pt>
                  <c:pt idx="1267">
                    <c:v>MACETA PREMIUN clasica</c:v>
                  </c:pt>
                  <c:pt idx="1268">
                    <c:v>MACETA PREMIUN clasica</c:v>
                  </c:pt>
                  <c:pt idx="1269">
                    <c:v>MACETA PREMIUN clasica</c:v>
                  </c:pt>
                  <c:pt idx="1270">
                    <c:v>MACETA PREMIUN clasica</c:v>
                  </c:pt>
                  <c:pt idx="1271">
                    <c:v>MACETA PREMIUN clasica</c:v>
                  </c:pt>
                  <c:pt idx="1272">
                    <c:v>maceta premiun redonda blanca </c:v>
                  </c:pt>
                  <c:pt idx="1273">
                    <c:v>MACETA PRISMA CODIGO</c:v>
                  </c:pt>
                  <c:pt idx="1274">
                    <c:v>MACETA PUNTO 1</c:v>
                  </c:pt>
                  <c:pt idx="1275">
                    <c:v>MACETA PUNTO 2</c:v>
                  </c:pt>
                  <c:pt idx="1276">
                    <c:v>MACETA PUNTO 3</c:v>
                  </c:pt>
                  <c:pt idx="1277">
                    <c:v>MACETA PUNTO 4</c:v>
                  </c:pt>
                  <c:pt idx="1278">
                    <c:v>MACETA RAYADA PLASTICO</c:v>
                  </c:pt>
                  <c:pt idx="1279">
                    <c:v>MACETA RAYADA TERRACOTA</c:v>
                  </c:pt>
                  <c:pt idx="1280">
                    <c:v>MACETA RAYADA TERRACOTA</c:v>
                  </c:pt>
                  <c:pt idx="1281">
                    <c:v>MACETA RAYADA TERRACOTA</c:v>
                  </c:pt>
                  <c:pt idx="1282">
                    <c:v>MACETA RAYADA TERRACOTA</c:v>
                  </c:pt>
                  <c:pt idx="1283">
                    <c:v>maceta rayadaterracota</c:v>
                  </c:pt>
                  <c:pt idx="1284">
                    <c:v>maceta redonda decorada c/plato</c:v>
                  </c:pt>
                  <c:pt idx="1285">
                    <c:v>maceta redonda decorada c/plato</c:v>
                  </c:pt>
                  <c:pt idx="1286">
                    <c:v>maceta redonda decorada c/plato</c:v>
                  </c:pt>
                  <c:pt idx="1287">
                    <c:v>maceta redonda decorada c/plato</c:v>
                  </c:pt>
                  <c:pt idx="1288">
                    <c:v>maceta redonda europea</c:v>
                  </c:pt>
                  <c:pt idx="1289">
                    <c:v>MACETA REDONDA SIMIL PETRE 10 CM</c:v>
                  </c:pt>
                  <c:pt idx="1290">
                    <c:v>maceta relevo</c:v>
                  </c:pt>
                  <c:pt idx="1291">
                    <c:v>maceta relevo</c:v>
                  </c:pt>
                  <c:pt idx="1292">
                    <c:v>maceta rio</c:v>
                  </c:pt>
                  <c:pt idx="1293">
                    <c:v>maceta rocio </c:v>
                  </c:pt>
                  <c:pt idx="1294">
                    <c:v>maceta rocio </c:v>
                  </c:pt>
                  <c:pt idx="1295">
                    <c:v>maceta rocio </c:v>
                  </c:pt>
                  <c:pt idx="1296">
                    <c:v>maceta rocio </c:v>
                  </c:pt>
                  <c:pt idx="1297">
                    <c:v>maceta rocio de colores</c:v>
                  </c:pt>
                  <c:pt idx="1298">
                    <c:v>maceta rocio de colores</c:v>
                  </c:pt>
                  <c:pt idx="1299">
                    <c:v>maceta rocio de colores</c:v>
                  </c:pt>
                  <c:pt idx="1300">
                    <c:v>maceta rocio de colores</c:v>
                  </c:pt>
                  <c:pt idx="1301">
                    <c:v>maceta rocio de colores</c:v>
                  </c:pt>
                  <c:pt idx="1302">
                    <c:v>maceta rotomoldeada</c:v>
                  </c:pt>
                  <c:pt idx="1303">
                    <c:v>maceta rotomoldeada</c:v>
                  </c:pt>
                  <c:pt idx="1304">
                    <c:v>maceta rotomoldeada</c:v>
                  </c:pt>
                  <c:pt idx="1305">
                    <c:v>maceta rotomoldeada</c:v>
                  </c:pt>
                  <c:pt idx="1306">
                    <c:v>maceta rotomoldeada</c:v>
                  </c:pt>
                  <c:pt idx="1307">
                    <c:v>maceta rotomoldeada</c:v>
                  </c:pt>
                  <c:pt idx="1308">
                    <c:v>maceta rotomoldeada</c:v>
                  </c:pt>
                  <c:pt idx="1309">
                    <c:v>maceta rotomoldeada</c:v>
                  </c:pt>
                  <c:pt idx="1310">
                    <c:v>maceta rotomoldeada</c:v>
                  </c:pt>
                  <c:pt idx="1311">
                    <c:v>maceta rotomoldeada</c:v>
                  </c:pt>
                  <c:pt idx="1312">
                    <c:v>maceta rotomoldeada</c:v>
                  </c:pt>
                  <c:pt idx="1313">
                    <c:v>maceta rotomoldeada</c:v>
                  </c:pt>
                  <c:pt idx="1314">
                    <c:v>maceta rotomoldeada</c:v>
                  </c:pt>
                  <c:pt idx="1315">
                    <c:v>MACETA ROTOMOLDEADA</c:v>
                  </c:pt>
                  <c:pt idx="1316">
                    <c:v>MACETA ROTOMOLDEADA</c:v>
                  </c:pt>
                  <c:pt idx="1317">
                    <c:v>MACETA ROTOMOLDEADA</c:v>
                  </c:pt>
                  <c:pt idx="1318">
                    <c:v>MACETA ROTOMOLDEADA</c:v>
                  </c:pt>
                  <c:pt idx="1319">
                    <c:v>MACETA ROTOMOLDEADA</c:v>
                  </c:pt>
                  <c:pt idx="1320">
                    <c:v>MACETA ROTOMOLDEADA</c:v>
                  </c:pt>
                  <c:pt idx="1321">
                    <c:v>MACETA ROTOMOLDEADA</c:v>
                  </c:pt>
                  <c:pt idx="1322">
                    <c:v>maceta rotomoldeada</c:v>
                  </c:pt>
                  <c:pt idx="1323">
                    <c:v>MACETA ROTOMOLDEADA</c:v>
                  </c:pt>
                  <c:pt idx="1324">
                    <c:v>MACETA ROTOMOLDEADA</c:v>
                  </c:pt>
                  <c:pt idx="1325">
                    <c:v>MACETA ROTOMOLDEADA</c:v>
                  </c:pt>
                  <c:pt idx="1326">
                    <c:v>MACETA ROTOMOLDEADA</c:v>
                  </c:pt>
                  <c:pt idx="1327">
                    <c:v>MACETA ROTOMOLDEADA</c:v>
                  </c:pt>
                  <c:pt idx="1328">
                    <c:v>MACETA ROTOMOLDEADA</c:v>
                  </c:pt>
                  <c:pt idx="1329">
                    <c:v>MACETA ROTOMOLDEADA</c:v>
                  </c:pt>
                  <c:pt idx="1330">
                    <c:v>MACETA ROTOMOLDEADA</c:v>
                  </c:pt>
                  <c:pt idx="1331">
                    <c:v>MACETA ROTOMOLDEADA</c:v>
                  </c:pt>
                  <c:pt idx="1332">
                    <c:v>MACETA ROTOMOLDEADA</c:v>
                  </c:pt>
                  <c:pt idx="1333">
                    <c:v>MACETA ROTOMOLDEADA</c:v>
                  </c:pt>
                  <c:pt idx="1334">
                    <c:v>MACETA ROTOMOLDEADA</c:v>
                  </c:pt>
                  <c:pt idx="1335">
                    <c:v>MACETA ROTOMOLDEADA</c:v>
                  </c:pt>
                  <c:pt idx="1336">
                    <c:v>MACETA ROTOMOLDEADA</c:v>
                  </c:pt>
                  <c:pt idx="1337">
                    <c:v>MACETA ROTOMOLDEADA</c:v>
                  </c:pt>
                  <c:pt idx="1338">
                    <c:v>MACETA ROTOMOLDEADA</c:v>
                  </c:pt>
                  <c:pt idx="1339">
                    <c:v>MACETA ROTOMOLDEADA</c:v>
                  </c:pt>
                  <c:pt idx="1340">
                    <c:v>MACETA ROTOMOLDEADA</c:v>
                  </c:pt>
                  <c:pt idx="1341">
                    <c:v>MACETA ROTOMOLDEADA</c:v>
                  </c:pt>
                  <c:pt idx="1342">
                    <c:v>MACETA ROTOMOLDEADA</c:v>
                  </c:pt>
                  <c:pt idx="1343">
                    <c:v>MACETA ROTOMOLDEADA</c:v>
                  </c:pt>
                  <c:pt idx="1344">
                    <c:v>MACETA ROTOMOLDEADA</c:v>
                  </c:pt>
                  <c:pt idx="1345">
                    <c:v>MACETA ROTOMOLDEADA</c:v>
                  </c:pt>
                  <c:pt idx="1346">
                    <c:v>MACETA ROTOMOLDEADA </c:v>
                  </c:pt>
                  <c:pt idx="1347">
                    <c:v>maceta rotomoldeada </c:v>
                  </c:pt>
                  <c:pt idx="1348">
                    <c:v>maceta rotomoldeada </c:v>
                  </c:pt>
                  <c:pt idx="1349">
                    <c:v>maceta rotomoldeada </c:v>
                  </c:pt>
                  <c:pt idx="1350">
                    <c:v>MACETA ROTOMOLDEADA </c:v>
                  </c:pt>
                  <c:pt idx="1351">
                    <c:v>MACETA ROTOMOLDEADA </c:v>
                  </c:pt>
                  <c:pt idx="1352">
                    <c:v>MACETA ROTOMOLDEADA </c:v>
                  </c:pt>
                  <c:pt idx="1353">
                    <c:v>MACETA ROTOMOLDEADA </c:v>
                  </c:pt>
                  <c:pt idx="1354">
                    <c:v>maceta rotomoldeada </c:v>
                  </c:pt>
                  <c:pt idx="1355">
                    <c:v>MACETA ROTOMOLDEADA OCRE</c:v>
                  </c:pt>
                  <c:pt idx="1356">
                    <c:v>MACETA ROTOMOLDEADA OCRE</c:v>
                  </c:pt>
                  <c:pt idx="1357">
                    <c:v>MACETA ROTOMOLDEADA OCRE</c:v>
                  </c:pt>
                  <c:pt idx="1358">
                    <c:v>MACETA ROTOMOLDEADA OCRE</c:v>
                  </c:pt>
                  <c:pt idx="1359">
                    <c:v>maceta rotomoldeada vogue mini beta mini</c:v>
                  </c:pt>
                  <c:pt idx="1360">
                    <c:v>MACETA ROTOMOLDEALA</c:v>
                  </c:pt>
                  <c:pt idx="1361">
                    <c:v>maceta sampa</c:v>
                  </c:pt>
                  <c:pt idx="1362">
                    <c:v>maceta sampa</c:v>
                  </c:pt>
                  <c:pt idx="1363">
                    <c:v>maceta sampa</c:v>
                  </c:pt>
                  <c:pt idx="1364">
                    <c:v>maceta sampa</c:v>
                  </c:pt>
                  <c:pt idx="1365">
                    <c:v>maceta sampa</c:v>
                  </c:pt>
                  <c:pt idx="1366">
                    <c:v>maceta sampa</c:v>
                  </c:pt>
                  <c:pt idx="1367">
                    <c:v>maceta sampa</c:v>
                  </c:pt>
                  <c:pt idx="1368">
                    <c:v>maceta sampa</c:v>
                  </c:pt>
                  <c:pt idx="1369">
                    <c:v>maceta sampa</c:v>
                  </c:pt>
                  <c:pt idx="1370">
                    <c:v>maceta SURA</c:v>
                  </c:pt>
                  <c:pt idx="1371">
                    <c:v>maceta SURA</c:v>
                  </c:pt>
                  <c:pt idx="1372">
                    <c:v>maceta SURA</c:v>
                  </c:pt>
                  <c:pt idx="1373">
                    <c:v>maceta SURA</c:v>
                  </c:pt>
                  <c:pt idx="1374">
                    <c:v>maceta terra</c:v>
                  </c:pt>
                  <c:pt idx="1375">
                    <c:v>MACETA TERRACOTA</c:v>
                  </c:pt>
                  <c:pt idx="1376">
                    <c:v>maceta terracota</c:v>
                  </c:pt>
                  <c:pt idx="1377">
                    <c:v>maceta terracota</c:v>
                  </c:pt>
                  <c:pt idx="1378">
                    <c:v>maceta terracota</c:v>
                  </c:pt>
                  <c:pt idx="1379">
                    <c:v>MACETA TERRACOTA</c:v>
                  </c:pt>
                  <c:pt idx="1380">
                    <c:v>maceta transparente p/orquidia</c:v>
                  </c:pt>
                  <c:pt idx="1381">
                    <c:v>maceta transparente p/orquidia</c:v>
                  </c:pt>
                  <c:pt idx="1382">
                    <c:v>maceta tuna cuadrada</c:v>
                  </c:pt>
                  <c:pt idx="1383">
                    <c:v>maceta tuna cuadrada</c:v>
                  </c:pt>
                  <c:pt idx="1384">
                    <c:v>maceta tuna redonda</c:v>
                  </c:pt>
                  <c:pt idx="1385">
                    <c:v>maceta tuna redonda</c:v>
                  </c:pt>
                  <c:pt idx="1386">
                    <c:v>maceta vaso acuarela</c:v>
                  </c:pt>
                  <c:pt idx="1387">
                    <c:v>maceta vaso duo brancografiti</c:v>
                  </c:pt>
                  <c:pt idx="1388">
                    <c:v>maceta vaso negro</c:v>
                  </c:pt>
                  <c:pt idx="1389">
                    <c:v>maceta vaso negro</c:v>
                  </c:pt>
                  <c:pt idx="1390">
                    <c:v>maceta vaso negro</c:v>
                  </c:pt>
                  <c:pt idx="1391">
                    <c:v>maceta vaso negro</c:v>
                  </c:pt>
                  <c:pt idx="1392">
                    <c:v>maceta vaso redondo</c:v>
                  </c:pt>
                  <c:pt idx="1393">
                    <c:v>maceta vaso redondo</c:v>
                  </c:pt>
                  <c:pt idx="1394">
                    <c:v>maceta vechio americano N°1</c:v>
                  </c:pt>
                  <c:pt idx="1395">
                    <c:v>maceta vechio americano N°3</c:v>
                  </c:pt>
                  <c:pt idx="1396">
                    <c:v>maceta vechio cachepo bally N°1</c:v>
                  </c:pt>
                  <c:pt idx="1397">
                    <c:v>maceta vechio cachepo bola N°1</c:v>
                  </c:pt>
                  <c:pt idx="1398">
                    <c:v>maceta verona con plato set x 5</c:v>
                  </c:pt>
                  <c:pt idx="1399">
                    <c:v>maceta vivero</c:v>
                  </c:pt>
                  <c:pt idx="1400">
                    <c:v>maceta xaxim con cadena ch</c:v>
                  </c:pt>
                  <c:pt idx="1401">
                    <c:v>maceta xaxim con cadena med</c:v>
                  </c:pt>
                  <c:pt idx="1402">
                    <c:v>macetacui nobleproductor</c:v>
                  </c:pt>
                  <c:pt idx="1403">
                    <c:v>MACETAlisa</c:v>
                  </c:pt>
                  <c:pt idx="1404">
                    <c:v>MACETAlisa</c:v>
                  </c:pt>
                  <c:pt idx="1405">
                    <c:v>macetas barro cilindro alto</c:v>
                  </c:pt>
                  <c:pt idx="1406">
                    <c:v>macetas barro cilindro alto</c:v>
                  </c:pt>
                  <c:pt idx="1407">
                    <c:v>macetas bombe c/ plato</c:v>
                  </c:pt>
                  <c:pt idx="1408">
                    <c:v>macetas clasicas blancas</c:v>
                  </c:pt>
                  <c:pt idx="1409">
                    <c:v>macetas clasicas blancas</c:v>
                  </c:pt>
                  <c:pt idx="1410">
                    <c:v>macetas clasicas blancas</c:v>
                  </c:pt>
                  <c:pt idx="1411">
                    <c:v>macetas clasicas blancas</c:v>
                  </c:pt>
                  <c:pt idx="1412">
                    <c:v>macetas clasicas blancas</c:v>
                  </c:pt>
                  <c:pt idx="1413">
                    <c:v>macetas clasicas blancas</c:v>
                  </c:pt>
                  <c:pt idx="1414">
                    <c:v>macetas clasicas blancas</c:v>
                  </c:pt>
                  <c:pt idx="1415">
                    <c:v>macetas clasicas blancas</c:v>
                  </c:pt>
                  <c:pt idx="1416">
                    <c:v>macetas clasicas blancas</c:v>
                  </c:pt>
                  <c:pt idx="1417">
                    <c:v>macetas clasicas blancas</c:v>
                  </c:pt>
                  <c:pt idx="1418">
                    <c:v>macetas clasicas blancas</c:v>
                  </c:pt>
                  <c:pt idx="1419">
                    <c:v>macetas nutriplant negra</c:v>
                  </c:pt>
                  <c:pt idx="1420">
                    <c:v>macetas nutriplant negra</c:v>
                  </c:pt>
                  <c:pt idx="1421">
                    <c:v>macetas nutriplant negra</c:v>
                  </c:pt>
                  <c:pt idx="1422">
                    <c:v>macetas nutriplant negra</c:v>
                  </c:pt>
                  <c:pt idx="1423">
                    <c:v>macetas nutriplant negra</c:v>
                  </c:pt>
                  <c:pt idx="1424">
                    <c:v>macetas nutriplant negra</c:v>
                  </c:pt>
                  <c:pt idx="1425">
                    <c:v>macetas nutriplant negra</c:v>
                  </c:pt>
                  <c:pt idx="1426">
                    <c:v>macetas nutriplant negra</c:v>
                  </c:pt>
                  <c:pt idx="1427">
                    <c:v>macetas nutriplant negra</c:v>
                  </c:pt>
                  <c:pt idx="1428">
                    <c:v>macetas nutriplant negra</c:v>
                  </c:pt>
                  <c:pt idx="1429">
                    <c:v>macetas nutriplant negra</c:v>
                  </c:pt>
                  <c:pt idx="1430">
                    <c:v>MACETERO COLGAR RATAN CH</c:v>
                  </c:pt>
                  <c:pt idx="1431">
                    <c:v>MACETERO COLGAR RATAN GDE</c:v>
                  </c:pt>
                  <c:pt idx="1432">
                    <c:v>MACETERO COLGAR RATAN MED</c:v>
                  </c:pt>
                  <c:pt idx="1433">
                    <c:v>macetta plastico pared</c:v>
                  </c:pt>
                  <c:pt idx="1434">
                    <c:v>macetta plastico pared</c:v>
                  </c:pt>
                  <c:pt idx="1435">
                    <c:v>machete tramontina</c:v>
                  </c:pt>
                  <c:pt idx="1436">
                    <c:v>maiz entero</c:v>
                  </c:pt>
                  <c:pt idx="1437">
                    <c:v>maiz entero</c:v>
                  </c:pt>
                  <c:pt idx="1438">
                    <c:v>maiz quebrado</c:v>
                  </c:pt>
                  <c:pt idx="1439">
                    <c:v>maiz quebrado</c:v>
                  </c:pt>
                  <c:pt idx="1440">
                    <c:v>malbitraz</c:v>
                  </c:pt>
                  <c:pt idx="1441">
                    <c:v>malla negra n 4</c:v>
                  </c:pt>
                  <c:pt idx="1442">
                    <c:v>malla negra n2</c:v>
                  </c:pt>
                  <c:pt idx="1443">
                    <c:v>malla para helada</c:v>
                  </c:pt>
                  <c:pt idx="1444">
                    <c:v>malla sombra 50 %</c:v>
                  </c:pt>
                  <c:pt idx="1445">
                    <c:v>malla sombra 50 %</c:v>
                  </c:pt>
                  <c:pt idx="1446">
                    <c:v>malla sombra 80 % 4 mts ancho</c:v>
                  </c:pt>
                  <c:pt idx="1447">
                    <c:v>malla sombra 80 % 4 mts ancho</c:v>
                  </c:pt>
                  <c:pt idx="1448">
                    <c:v>malla sombra 80 % 4 mts ancho</c:v>
                  </c:pt>
                  <c:pt idx="1449">
                    <c:v>mancoceb</c:v>
                  </c:pt>
                  <c:pt idx="1450">
                    <c:v>mancozeb</c:v>
                  </c:pt>
                  <c:pt idx="1451">
                    <c:v>mancozeb</c:v>
                  </c:pt>
                  <c:pt idx="1452">
                    <c:v>manguer extensible </c:v>
                  </c:pt>
                  <c:pt idx="1453">
                    <c:v>manguera</c:v>
                  </c:pt>
                  <c:pt idx="1454">
                    <c:v>manguera</c:v>
                  </c:pt>
                  <c:pt idx="1455">
                    <c:v>manguera de tela</c:v>
                  </c:pt>
                  <c:pt idx="1456">
                    <c:v>manguera extensible</c:v>
                  </c:pt>
                  <c:pt idx="1457">
                    <c:v>manguera extensible</c:v>
                  </c:pt>
                  <c:pt idx="1458">
                    <c:v>manguera extensiblo</c:v>
                  </c:pt>
                  <c:pt idx="1459">
                    <c:v>MANTA DE COCO</c:v>
                  </c:pt>
                  <c:pt idx="1460">
                    <c:v>MANTA DE COCO</c:v>
                  </c:pt>
                  <c:pt idx="1461">
                    <c:v>manta de coco</c:v>
                  </c:pt>
                  <c:pt idx="1462">
                    <c:v>MANZANILLA</c:v>
                  </c:pt>
                  <c:pt idx="1463">
                    <c:v>maple de huevo-</c:v>
                  </c:pt>
                  <c:pt idx="1464">
                    <c:v>maples de huevo</c:v>
                  </c:pt>
                  <c:pt idx="1465">
                    <c:v>maquina de flit</c:v>
                  </c:pt>
                  <c:pt idx="1466">
                    <c:v>marmolina </c:v>
                  </c:pt>
                  <c:pt idx="1467">
                    <c:v>mata polillas </c:v>
                  </c:pt>
                  <c:pt idx="1468">
                    <c:v>mata todo</c:v>
                  </c:pt>
                  <c:pt idx="1469">
                    <c:v>MATAMOSCAS</c:v>
                  </c:pt>
                  <c:pt idx="1470">
                    <c:v>mcetero colgante</c:v>
                  </c:pt>
                  <c:pt idx="1471">
                    <c:v>medroxi</c:v>
                  </c:pt>
                  <c:pt idx="1472">
                    <c:v>medroxi</c:v>
                  </c:pt>
                  <c:pt idx="1473">
                    <c:v>medroxi</c:v>
                  </c:pt>
                  <c:pt idx="1474">
                    <c:v>melaza</c:v>
                  </c:pt>
                  <c:pt idx="1475">
                    <c:v>Melaza</c:v>
                  </c:pt>
                  <c:pt idx="1476">
                    <c:v>mercaptathion</c:v>
                  </c:pt>
                  <c:pt idx="1477">
                    <c:v>mercaptothion</c:v>
                  </c:pt>
                  <c:pt idx="1478">
                    <c:v>metilaqua azul</c:v>
                  </c:pt>
                  <c:pt idx="1479">
                    <c:v>microvita</c:v>
                  </c:pt>
                  <c:pt idx="1480">
                    <c:v>mini bola</c:v>
                  </c:pt>
                  <c:pt idx="1481">
                    <c:v>mixtos</c:v>
                  </c:pt>
                  <c:pt idx="1482">
                    <c:v>mochila fumigadora</c:v>
                  </c:pt>
                  <c:pt idx="1483">
                    <c:v>mochila plastico</c:v>
                  </c:pt>
                  <c:pt idx="1484">
                    <c:v>mochila roceador</c:v>
                  </c:pt>
                  <c:pt idx="1485">
                    <c:v>moha</c:v>
                  </c:pt>
                  <c:pt idx="1486">
                    <c:v>moha</c:v>
                  </c:pt>
                  <c:pt idx="1487">
                    <c:v>moha</c:v>
                  </c:pt>
                  <c:pt idx="1488">
                    <c:v>MOLINETE CHICO</c:v>
                  </c:pt>
                  <c:pt idx="1489">
                    <c:v>molinete flor</c:v>
                  </c:pt>
                  <c:pt idx="1490">
                    <c:v>MOLINETE GRANDE</c:v>
                  </c:pt>
                  <c:pt idx="1491">
                    <c:v>molino</c:v>
                  </c:pt>
                  <c:pt idx="1492">
                    <c:v>molino</c:v>
                  </c:pt>
                  <c:pt idx="1493">
                    <c:v>molino</c:v>
                  </c:pt>
                  <c:pt idx="1494">
                    <c:v>molino</c:v>
                  </c:pt>
                  <c:pt idx="1495">
                    <c:v>molino</c:v>
                  </c:pt>
                  <c:pt idx="1496">
                    <c:v>molino</c:v>
                  </c:pt>
                  <c:pt idx="1497">
                    <c:v>moscaxan</c:v>
                  </c:pt>
                  <c:pt idx="1498">
                    <c:v>moscaxan platillos</c:v>
                  </c:pt>
                  <c:pt idx="1499">
                    <c:v>mosqueton c/destorcedor</c:v>
                  </c:pt>
                  <c:pt idx="1500">
                    <c:v>mosqueton c/destorcedor</c:v>
                  </c:pt>
                  <c:pt idx="1501">
                    <c:v>mosqueton c/destorcedor</c:v>
                  </c:pt>
                  <c:pt idx="1502">
                    <c:v>mosqueton c/destorcedor</c:v>
                  </c:pt>
                  <c:pt idx="1503">
                    <c:v>mulch </c:v>
                  </c:pt>
                  <c:pt idx="1504">
                    <c:v>Mulch sol</c:v>
                  </c:pt>
                  <c:pt idx="1505">
                    <c:v>musgo</c:v>
                  </c:pt>
                  <c:pt idx="1506">
                    <c:v>musgo natural</c:v>
                  </c:pt>
                  <c:pt idx="1507">
                    <c:v>neen super</c:v>
                  </c:pt>
                  <c:pt idx="1508">
                    <c:v>neodip</c:v>
                  </c:pt>
                  <c:pt idx="1509">
                    <c:v>neodip</c:v>
                  </c:pt>
                  <c:pt idx="1510">
                    <c:v>nido cotorra australiana</c:v>
                  </c:pt>
                  <c:pt idx="1511">
                    <c:v>nido de canario alambre y cuerda</c:v>
                  </c:pt>
                  <c:pt idx="1512">
                    <c:v>NIDO JUNCO</c:v>
                  </c:pt>
                  <c:pt idx="1513">
                    <c:v>NIDO jute CANARIO</c:v>
                  </c:pt>
                  <c:pt idx="1514">
                    <c:v>nido loro australiano</c:v>
                  </c:pt>
                  <c:pt idx="1515">
                    <c:v>nido p/pajaro grande</c:v>
                  </c:pt>
                  <c:pt idx="1516">
                    <c:v>nido para canario piola</c:v>
                  </c:pt>
                  <c:pt idx="1517">
                    <c:v>nido yute p/canario</c:v>
                  </c:pt>
                  <c:pt idx="1518">
                    <c:v>nido yute p/canarios</c:v>
                  </c:pt>
                  <c:pt idx="1519">
                    <c:v>nitro sulfa aviar</c:v>
                  </c:pt>
                  <c:pt idx="1520">
                    <c:v>nitro sulfa aviar</c:v>
                  </c:pt>
                  <c:pt idx="1521">
                    <c:v>nogales europeo</c:v>
                  </c:pt>
                  <c:pt idx="1522">
                    <c:v>nutricion p/canarios</c:v>
                  </c:pt>
                  <c:pt idx="1523">
                    <c:v>nutricion p/canarios</c:v>
                  </c:pt>
                  <c:pt idx="1524">
                    <c:v>nutricion p/canarios</c:v>
                  </c:pt>
                  <c:pt idx="1525">
                    <c:v>nutricion p/canarios</c:v>
                  </c:pt>
                  <c:pt idx="1526">
                    <c:v>oasis biodegradable</c:v>
                  </c:pt>
                  <c:pt idx="1527">
                    <c:v>oasis-ladrillo de espuma floral</c:v>
                  </c:pt>
                  <c:pt idx="1528">
                    <c:v>OPTIMUN GATOS CASTRADOS</c:v>
                  </c:pt>
                  <c:pt idx="1529">
                    <c:v>OSMOCOTE fertilizante</c:v>
                  </c:pt>
                  <c:pt idx="1530">
                    <c:v>oxicloruro de cobre-fanavid</c:v>
                  </c:pt>
                  <c:pt idx="1531">
                    <c:v>oxicloruro de cobre-fanavid</c:v>
                  </c:pt>
                  <c:pt idx="1532">
                    <c:v>pala ancha</c:v>
                  </c:pt>
                  <c:pt idx="1533">
                    <c:v>pala ancha /fina de jardineria</c:v>
                  </c:pt>
                  <c:pt idx="1534">
                    <c:v>pala anchamango de madera</c:v>
                  </c:pt>
                  <c:pt idx="1535">
                    <c:v>pala de jardin</c:v>
                  </c:pt>
                  <c:pt idx="1536">
                    <c:v>pala plastico para jardin</c:v>
                  </c:pt>
                  <c:pt idx="1537">
                    <c:v>pala sanitaria</c:v>
                  </c:pt>
                  <c:pt idx="1538">
                    <c:v>palillos de ropa</c:v>
                  </c:pt>
                  <c:pt idx="1539">
                    <c:v>palita angosta cabo de madera</c:v>
                  </c:pt>
                  <c:pt idx="1540">
                    <c:v>PALITA METALICA</c:v>
                  </c:pt>
                  <c:pt idx="1541">
                    <c:v>palita p/jardin mango madera</c:v>
                  </c:pt>
                  <c:pt idx="1542">
                    <c:v>palita sanitaria c/cara de gato</c:v>
                  </c:pt>
                  <c:pt idx="1543">
                    <c:v>palo santo </c:v>
                  </c:pt>
                  <c:pt idx="1544">
                    <c:v>panel pasto hoja larga</c:v>
                  </c:pt>
                  <c:pt idx="1545">
                    <c:v>panel pasto trebol</c:v>
                  </c:pt>
                  <c:pt idx="1546">
                    <c:v>pantalla luz blanca</c:v>
                  </c:pt>
                  <c:pt idx="1547">
                    <c:v>pantalla luz blanca</c:v>
                  </c:pt>
                  <c:pt idx="1548">
                    <c:v>papel pino 50 /25 cm</c:v>
                  </c:pt>
                  <c:pt idx="1549">
                    <c:v>papilla p/ pajaros</c:v>
                  </c:pt>
                  <c:pt idx="1550">
                    <c:v>papilla p/pajaros</c:v>
                  </c:pt>
                  <c:pt idx="1551">
                    <c:v>papillap/psitacidos-tarro azul</c:v>
                  </c:pt>
                  <c:pt idx="1552">
                    <c:v>paquette semilla aromatica</c:v>
                  </c:pt>
                  <c:pt idx="1553">
                    <c:v>paradicloro</c:v>
                  </c:pt>
                  <c:pt idx="1554">
                    <c:v>paradicloro</c:v>
                  </c:pt>
                  <c:pt idx="1555">
                    <c:v>parrilleros</c:v>
                  </c:pt>
                  <c:pt idx="1556">
                    <c:v>pastilla nexgard dog L c/u</c:v>
                  </c:pt>
                  <c:pt idx="1557">
                    <c:v>pastilla nexgard dog XL C/U</c:v>
                  </c:pt>
                  <c:pt idx="1558">
                    <c:v>pastillas nexgard dog M c/u</c:v>
                  </c:pt>
                  <c:pt idx="1559">
                    <c:v>pastillas nexgard dog S C/U</c:v>
                  </c:pt>
                  <c:pt idx="1560">
                    <c:v>pate de carne</c:v>
                  </c:pt>
                  <c:pt idx="1561">
                    <c:v>pecera</c:v>
                  </c:pt>
                  <c:pt idx="1562">
                    <c:v>pecera</c:v>
                  </c:pt>
                  <c:pt idx="1563">
                    <c:v>pecera</c:v>
                  </c:pt>
                  <c:pt idx="1564">
                    <c:v>pecera</c:v>
                  </c:pt>
                  <c:pt idx="1565">
                    <c:v>pecera</c:v>
                  </c:pt>
                  <c:pt idx="1566">
                    <c:v>pecera</c:v>
                  </c:pt>
                  <c:pt idx="1567">
                    <c:v>PECERA ACRILICO 39X26X49</c:v>
                  </c:pt>
                  <c:pt idx="1568">
                    <c:v>PECERA ACRILICO38X22X41</c:v>
                  </c:pt>
                  <c:pt idx="1569">
                    <c:v>pecera de vidrio</c:v>
                  </c:pt>
                  <c:pt idx="1570">
                    <c:v>pedigree razas pequeñas</c:v>
                  </c:pt>
                  <c:pt idx="1571">
                    <c:v>pedigree razas pequeñas</c:v>
                  </c:pt>
                  <c:pt idx="1572">
                    <c:v>pegamento p/rata</c:v>
                  </c:pt>
                  <c:pt idx="1573">
                    <c:v>pelones</c:v>
                  </c:pt>
                  <c:pt idx="1574">
                    <c:v>pelota de tenis</c:v>
                  </c:pt>
                  <c:pt idx="1575">
                    <c:v>pelota maciza</c:v>
                  </c:pt>
                  <c:pt idx="1576">
                    <c:v>pelota soga</c:v>
                  </c:pt>
                  <c:pt idx="1577">
                    <c:v>pelota tenis goma</c:v>
                  </c:pt>
                  <c:pt idx="1578">
                    <c:v>pelota vinilo erizo con luz</c:v>
                  </c:pt>
                  <c:pt idx="1579">
                    <c:v>peluche conejo con corazon</c:v>
                  </c:pt>
                  <c:pt idx="1580">
                    <c:v>peluche oso c/enterito smile 70 cm-4 colores </c:v>
                  </c:pt>
                  <c:pt idx="1581">
                    <c:v>peluche oso corazon te amo grande</c:v>
                  </c:pt>
                  <c:pt idx="1582">
                    <c:v>peluche perro corazon te amo</c:v>
                  </c:pt>
                  <c:pt idx="1583">
                    <c:v>PERCHAS</c:v>
                  </c:pt>
                  <c:pt idx="1584">
                    <c:v>perlita</c:v>
                  </c:pt>
                  <c:pt idx="1585">
                    <c:v>perlita</c:v>
                  </c:pt>
                  <c:pt idx="1586">
                    <c:v>perlita</c:v>
                  </c:pt>
                  <c:pt idx="1587">
                    <c:v>perlita</c:v>
                  </c:pt>
                  <c:pt idx="1588">
                    <c:v>perro bandido</c:v>
                  </c:pt>
                  <c:pt idx="1589">
                    <c:v>perro bandido</c:v>
                  </c:pt>
                  <c:pt idx="1590">
                    <c:v>perro bandido</c:v>
                  </c:pt>
                  <c:pt idx="1591">
                    <c:v>perro beny</c:v>
                  </c:pt>
                  <c:pt idx="1592">
                    <c:v>perro beny</c:v>
                  </c:pt>
                  <c:pt idx="1593">
                    <c:v>perro beny</c:v>
                  </c:pt>
                  <c:pt idx="1594">
                    <c:v>perro birbo cachorro</c:v>
                  </c:pt>
                  <c:pt idx="1595">
                    <c:v>perro birbo cachorro</c:v>
                  </c:pt>
                  <c:pt idx="1596">
                    <c:v>PERRO BRABO BABY</c:v>
                  </c:pt>
                  <c:pt idx="1597">
                    <c:v>PERRO BRAVO FRANGO E LEGUMES</c:v>
                  </c:pt>
                  <c:pt idx="1598">
                    <c:v>perro burny</c:v>
                  </c:pt>
                  <c:pt idx="1599">
                    <c:v>perro cannel</c:v>
                  </c:pt>
                  <c:pt idx="1600">
                    <c:v>perro cannel</c:v>
                  </c:pt>
                  <c:pt idx="1601">
                    <c:v>perro cannel</c:v>
                  </c:pt>
                  <c:pt idx="1602">
                    <c:v>perro cannel mix</c:v>
                  </c:pt>
                  <c:pt idx="1603">
                    <c:v>perro cannel mix</c:v>
                  </c:pt>
                  <c:pt idx="1604">
                    <c:v>perro cannel mix</c:v>
                  </c:pt>
                  <c:pt idx="1605">
                    <c:v>perro champmix de carne</c:v>
                  </c:pt>
                  <c:pt idx="1606">
                    <c:v>perro champmix de carne</c:v>
                  </c:pt>
                  <c:pt idx="1607">
                    <c:v>PERRO CHARRUA ADULTO</c:v>
                  </c:pt>
                  <c:pt idx="1608">
                    <c:v>perro conni adulto </c:v>
                  </c:pt>
                  <c:pt idx="1609">
                    <c:v>PERRO CRIOLLA ADULTO</c:v>
                  </c:pt>
                  <c:pt idx="1610">
                    <c:v>perro dogui cachorro</c:v>
                  </c:pt>
                  <c:pt idx="1611">
                    <c:v>perro dogui cachorro</c:v>
                  </c:pt>
                  <c:pt idx="1612">
                    <c:v>perro dogui cachorro</c:v>
                  </c:pt>
                  <c:pt idx="1613">
                    <c:v>perro dogui cer,car,arroz</c:v>
                  </c:pt>
                  <c:pt idx="1614">
                    <c:v>perro dogui cer,car,arroz</c:v>
                  </c:pt>
                  <c:pt idx="1615">
                    <c:v>perro equilibrio raza pequeña</c:v>
                  </c:pt>
                  <c:pt idx="1616">
                    <c:v>perro equilibrio raza pequeña</c:v>
                  </c:pt>
                  <c:pt idx="1617">
                    <c:v>perro especial dog</c:v>
                  </c:pt>
                  <c:pt idx="1618">
                    <c:v>perro fridy</c:v>
                  </c:pt>
                  <c:pt idx="1619">
                    <c:v>perro fridy</c:v>
                  </c:pt>
                  <c:pt idx="1620">
                    <c:v>perro intor cachorro</c:v>
                  </c:pt>
                  <c:pt idx="1621">
                    <c:v>perro lager</c:v>
                  </c:pt>
                  <c:pt idx="1622">
                    <c:v>perro lager</c:v>
                  </c:pt>
                  <c:pt idx="1623">
                    <c:v>perro lager</c:v>
                  </c:pt>
                  <c:pt idx="1624">
                    <c:v>perro mimos plus</c:v>
                  </c:pt>
                  <c:pt idx="1625">
                    <c:v>perro ny dog</c:v>
                  </c:pt>
                  <c:pt idx="1626">
                    <c:v>perro ny dog</c:v>
                  </c:pt>
                  <c:pt idx="1627">
                    <c:v>perro pedrighe cachorro</c:v>
                  </c:pt>
                  <c:pt idx="1628">
                    <c:v>perro pedrighe cachorro</c:v>
                  </c:pt>
                  <c:pt idx="1629">
                    <c:v>perro pedrigree</c:v>
                  </c:pt>
                  <c:pt idx="1630">
                    <c:v>perro pedrigree carne pollos y cereales</c:v>
                  </c:pt>
                  <c:pt idx="1631">
                    <c:v>perro pedrigree raza pequeña</c:v>
                  </c:pt>
                  <c:pt idx="1632">
                    <c:v>perro pedrigue razas pequeñas</c:v>
                  </c:pt>
                  <c:pt idx="1633">
                    <c:v>perro pedrigue razas pequeñas</c:v>
                  </c:pt>
                  <c:pt idx="1634">
                    <c:v>perro primocao filhotes</c:v>
                  </c:pt>
                  <c:pt idx="1635">
                    <c:v>perro primocao original negra</c:v>
                  </c:pt>
                  <c:pt idx="1636">
                    <c:v>perro primocao original negro </c:v>
                  </c:pt>
                  <c:pt idx="1637">
                    <c:v>perro primocao original negro </c:v>
                  </c:pt>
                  <c:pt idx="1638">
                    <c:v>perro primocao premiun filohotes</c:v>
                  </c:pt>
                  <c:pt idx="1639">
                    <c:v>perro primocao premiun filohotes</c:v>
                  </c:pt>
                  <c:pt idx="1640">
                    <c:v>perro primocao premiun raza pequeña</c:v>
                  </c:pt>
                  <c:pt idx="1641">
                    <c:v>perro pro 21</c:v>
                  </c:pt>
                  <c:pt idx="1642">
                    <c:v>perro pro 21 </c:v>
                  </c:pt>
                  <c:pt idx="1643">
                    <c:v>perro pro 21 </c:v>
                  </c:pt>
                  <c:pt idx="1644">
                    <c:v>perro pro 27</c:v>
                  </c:pt>
                  <c:pt idx="1645">
                    <c:v>perro pro 27</c:v>
                  </c:pt>
                  <c:pt idx="1646">
                    <c:v>perro urupet</c:v>
                  </c:pt>
                  <c:pt idx="1647">
                    <c:v>perro urupet</c:v>
                  </c:pt>
                  <c:pt idx="1648">
                    <c:v>perro wits</c:v>
                  </c:pt>
                  <c:pt idx="1649">
                    <c:v>pez doris</c:v>
                  </c:pt>
                  <c:pt idx="1650">
                    <c:v>pez payaso con cartel</c:v>
                  </c:pt>
                  <c:pt idx="1651">
                    <c:v>phaltan 80 wdg</c:v>
                  </c:pt>
                  <c:pt idx="1652">
                    <c:v>pico de placa nacional</c:v>
                  </c:pt>
                  <c:pt idx="1653">
                    <c:v>pie sepelio chica</c:v>
                  </c:pt>
                  <c:pt idx="1654">
                    <c:v>piedra  porosa </c:v>
                  </c:pt>
                  <c:pt idx="1655">
                    <c:v>piedra de calcio</c:v>
                  </c:pt>
                  <c:pt idx="1656">
                    <c:v>piedra de calcio</c:v>
                  </c:pt>
                  <c:pt idx="1657">
                    <c:v>PIEDRA DE CALCIO</c:v>
                  </c:pt>
                  <c:pt idx="1658">
                    <c:v>piedra porosa azul</c:v>
                  </c:pt>
                  <c:pt idx="1659">
                    <c:v>piedra porosa azul</c:v>
                  </c:pt>
                  <c:pt idx="1660">
                    <c:v>piedra porosa azul</c:v>
                  </c:pt>
                  <c:pt idx="1661">
                    <c:v>piedra porosa redonda</c:v>
                  </c:pt>
                  <c:pt idx="1662">
                    <c:v>piedra sanitaria</c:v>
                  </c:pt>
                  <c:pt idx="1663">
                    <c:v>piedra sanitaria</c:v>
                  </c:pt>
                  <c:pt idx="1664">
                    <c:v>piedra sanitaria animalitos sanipel</c:v>
                  </c:pt>
                  <c:pt idx="1665">
                    <c:v>piedra sanitaria c/gel silica</c:v>
                  </c:pt>
                  <c:pt idx="1666">
                    <c:v>piedras blancas</c:v>
                  </c:pt>
                  <c:pt idx="1667">
                    <c:v>piedras blancas</c:v>
                  </c:pt>
                  <c:pt idx="1668">
                    <c:v>PIEDRAS COLORES</c:v>
                  </c:pt>
                  <c:pt idx="1669">
                    <c:v>piedras de calcio</c:v>
                  </c:pt>
                  <c:pt idx="1670">
                    <c:v>pinza </c:v>
                  </c:pt>
                  <c:pt idx="1671">
                    <c:v>pinza de corte</c:v>
                  </c:pt>
                  <c:pt idx="1672">
                    <c:v>pioner</c:v>
                  </c:pt>
                  <c:pt idx="1673">
                    <c:v>piperacina</c:v>
                  </c:pt>
                  <c:pt idx="1674">
                    <c:v>pipeta efinol</c:v>
                  </c:pt>
                  <c:pt idx="1675">
                    <c:v>pipeta efinol</c:v>
                  </c:pt>
                  <c:pt idx="1676">
                    <c:v>pipeta frontline plus</c:v>
                  </c:pt>
                  <c:pt idx="1677">
                    <c:v>pipeta frontline plus</c:v>
                  </c:pt>
                  <c:pt idx="1678">
                    <c:v>pipeta gato  pulgout</c:v>
                  </c:pt>
                  <c:pt idx="1679">
                    <c:v>pipeta gato  pulgout</c:v>
                  </c:pt>
                  <c:pt idx="1680">
                    <c:v>PIPETA PERRO</c:v>
                  </c:pt>
                  <c:pt idx="1681">
                    <c:v>pipeta perro pulgout</c:v>
                  </c:pt>
                  <c:pt idx="1682">
                    <c:v>pipeta perro pulgout</c:v>
                  </c:pt>
                  <c:pt idx="1683">
                    <c:v>pipeta perro pulgout</c:v>
                  </c:pt>
                  <c:pt idx="1684">
                    <c:v>pipeta perro pulgout</c:v>
                  </c:pt>
                  <c:pt idx="1685">
                    <c:v>pipeta pipeton gato</c:v>
                  </c:pt>
                  <c:pt idx="1686">
                    <c:v>pipeta pipeton gato</c:v>
                  </c:pt>
                  <c:pt idx="1687">
                    <c:v>pipetas efinol gato</c:v>
                  </c:pt>
                  <c:pt idx="1688">
                    <c:v>pipetas frontline</c:v>
                  </c:pt>
                  <c:pt idx="1689">
                    <c:v>pipete frontline</c:v>
                  </c:pt>
                  <c:pt idx="1690">
                    <c:v>pistola naranja puntero de bronce</c:v>
                  </c:pt>
                  <c:pt idx="1691">
                    <c:v>placa nacional</c:v>
                  </c:pt>
                  <c:pt idx="1692">
                    <c:v>planta</c:v>
                  </c:pt>
                  <c:pt idx="1693">
                    <c:v>planta</c:v>
                  </c:pt>
                  <c:pt idx="1694">
                    <c:v>planta</c:v>
                  </c:pt>
                  <c:pt idx="1695">
                    <c:v>planta</c:v>
                  </c:pt>
                  <c:pt idx="1696">
                    <c:v>planta adorno arbol amarillo</c:v>
                  </c:pt>
                  <c:pt idx="1697">
                    <c:v>planta adorno arbol violeta</c:v>
                  </c:pt>
                  <c:pt idx="1698">
                    <c:v>planta adornoarbol amarillo</c:v>
                  </c:pt>
                  <c:pt idx="1699">
                    <c:v>planta artificial </c:v>
                  </c:pt>
                  <c:pt idx="1700">
                    <c:v>planta artificial pecera</c:v>
                  </c:pt>
                  <c:pt idx="1701">
                    <c:v>planta artificial pecera</c:v>
                  </c:pt>
                  <c:pt idx="1702">
                    <c:v>planta artificial pecera</c:v>
                  </c:pt>
                  <c:pt idx="1703">
                    <c:v>planta chica x 2 unidades</c:v>
                  </c:pt>
                  <c:pt idx="1704">
                    <c:v>planta colgante</c:v>
                  </c:pt>
                  <c:pt idx="1705">
                    <c:v>planta colgante</c:v>
                  </c:pt>
                  <c:pt idx="1706">
                    <c:v>PLANTA PHILODENDRO 90 CM</c:v>
                  </c:pt>
                  <c:pt idx="1707">
                    <c:v>PLANTA PIMPOLLO COLGAR</c:v>
                  </c:pt>
                  <c:pt idx="1708">
                    <c:v>planta pincho</c:v>
                  </c:pt>
                  <c:pt idx="1709">
                    <c:v>plantas</c:v>
                  </c:pt>
                  <c:pt idx="1710">
                    <c:v>plantas artf plasticas</c:v>
                  </c:pt>
                  <c:pt idx="1711">
                    <c:v>plantas artf plasticas</c:v>
                  </c:pt>
                  <c:pt idx="1712">
                    <c:v>plantas artf plasticas</c:v>
                  </c:pt>
                  <c:pt idx="1713">
                    <c:v>plantas artf. chicas</c:v>
                  </c:pt>
                  <c:pt idx="1714">
                    <c:v>plantiflor</c:v>
                  </c:pt>
                  <c:pt idx="1715">
                    <c:v>PLANTIFLOR</c:v>
                  </c:pt>
                  <c:pt idx="1716">
                    <c:v>platillos cebo nosca</c:v>
                  </c:pt>
                  <c:pt idx="1717">
                    <c:v>plato cuadrado gris</c:v>
                  </c:pt>
                  <c:pt idx="1718">
                    <c:v>plato cuadrado gris</c:v>
                  </c:pt>
                  <c:pt idx="1719">
                    <c:v>plato cuadrado gris</c:v>
                  </c:pt>
                  <c:pt idx="1720">
                    <c:v>plato cuadrado negro</c:v>
                  </c:pt>
                  <c:pt idx="1721">
                    <c:v>plato cuadrado negro</c:v>
                  </c:pt>
                  <c:pt idx="1722">
                    <c:v>plato cuadrado negro</c:v>
                  </c:pt>
                  <c:pt idx="1723">
                    <c:v>plato de barro</c:v>
                  </c:pt>
                  <c:pt idx="1724">
                    <c:v>plato de barro</c:v>
                  </c:pt>
                </c:lvl>
                <c:lvl>
                  <c:pt idx="1">
                    <c:v>10</c:v>
                  </c:pt>
                  <c:pt idx="3">
                    <c:v>-</c:v>
                  </c:pt>
                  <c:pt idx="5">
                    <c:v>320</c:v>
                  </c:pt>
                  <c:pt idx="6">
                    <c:v>320</c:v>
                  </c:pt>
                  <c:pt idx="9">
                    <c:v>magric</c:v>
                  </c:pt>
                  <c:pt idx="10">
                    <c:v>gr9675</c:v>
                  </c:pt>
                  <c:pt idx="11">
                    <c:v>gr 9675</c:v>
                  </c:pt>
                  <c:pt idx="12">
                    <c:v>GR11371</c:v>
                  </c:pt>
                  <c:pt idx="13">
                    <c:v>act600d</c:v>
                  </c:pt>
                  <c:pt idx="14">
                    <c:v>3120</c:v>
                  </c:pt>
                  <c:pt idx="15">
                    <c:v>cgt00074</c:v>
                  </c:pt>
                  <c:pt idx="17">
                    <c:v>cgf00710</c:v>
                  </c:pt>
                  <c:pt idx="18">
                    <c:v>33963</c:v>
                  </c:pt>
                  <c:pt idx="19">
                    <c:v>86984</c:v>
                  </c:pt>
                  <c:pt idx="20">
                    <c:v>6982</c:v>
                  </c:pt>
                  <c:pt idx="21">
                    <c:v>6986</c:v>
                  </c:pt>
                  <c:pt idx="22">
                    <c:v>6981</c:v>
                  </c:pt>
                  <c:pt idx="26">
                    <c:v>2,12fgc223</c:v>
                  </c:pt>
                  <c:pt idx="27">
                    <c:v>V1300</c:v>
                  </c:pt>
                  <c:pt idx="28">
                    <c:v>V1309</c:v>
                  </c:pt>
                  <c:pt idx="29">
                    <c:v>v1313</c:v>
                  </c:pt>
                  <c:pt idx="30">
                    <c:v>v1301</c:v>
                  </c:pt>
                  <c:pt idx="31">
                    <c:v>v1314</c:v>
                  </c:pt>
                  <c:pt idx="32">
                    <c:v>v1310</c:v>
                  </c:pt>
                  <c:pt idx="33">
                    <c:v>v1304</c:v>
                  </c:pt>
                  <c:pt idx="34">
                    <c:v>81</c:v>
                  </c:pt>
                  <c:pt idx="35">
                    <c:v>gr2884</c:v>
                  </c:pt>
                  <c:pt idx="36">
                    <c:v>3110</c:v>
                  </c:pt>
                  <c:pt idx="37">
                    <c:v>se500</c:v>
                  </c:pt>
                  <c:pt idx="38">
                    <c:v>v5313</c:v>
                  </c:pt>
                  <c:pt idx="39">
                    <c:v>v5312</c:v>
                  </c:pt>
                  <c:pt idx="40">
                    <c:v>v5312</c:v>
                  </c:pt>
                  <c:pt idx="41">
                    <c:v>v5312</c:v>
                  </c:pt>
                  <c:pt idx="42">
                    <c:v>P014A</c:v>
                  </c:pt>
                  <c:pt idx="43">
                    <c:v>v0891</c:v>
                  </c:pt>
                  <c:pt idx="44">
                    <c:v>p014a</c:v>
                  </c:pt>
                  <c:pt idx="45">
                    <c:v>p014a</c:v>
                  </c:pt>
                  <c:pt idx="46">
                    <c:v>po14</c:v>
                  </c:pt>
                  <c:pt idx="47">
                    <c:v>v0844</c:v>
                  </c:pt>
                  <c:pt idx="48">
                    <c:v>V5303</c:v>
                  </c:pt>
                  <c:pt idx="49">
                    <c:v>vo851</c:v>
                  </c:pt>
                  <c:pt idx="50">
                    <c:v>v0845</c:v>
                  </c:pt>
                  <c:pt idx="51">
                    <c:v>v0845</c:v>
                  </c:pt>
                  <c:pt idx="52">
                    <c:v>v0845</c:v>
                  </c:pt>
                  <c:pt idx="53">
                    <c:v>v0845</c:v>
                  </c:pt>
                  <c:pt idx="54">
                    <c:v>v5304</c:v>
                  </c:pt>
                  <c:pt idx="55">
                    <c:v>v5302</c:v>
                  </c:pt>
                  <c:pt idx="56">
                    <c:v>p037</c:v>
                  </c:pt>
                  <c:pt idx="57">
                    <c:v>p037</c:v>
                  </c:pt>
                  <c:pt idx="58">
                    <c:v>p037</c:v>
                  </c:pt>
                  <c:pt idx="59">
                    <c:v>3104</c:v>
                  </c:pt>
                  <c:pt idx="60">
                    <c:v>506614</c:v>
                  </c:pt>
                  <c:pt idx="64">
                    <c:v>cfl00004</c:v>
                  </c:pt>
                  <c:pt idx="67">
                    <c:v>CGT00085</c:v>
                  </c:pt>
                  <c:pt idx="68">
                    <c:v>CGT00088</c:v>
                  </c:pt>
                  <c:pt idx="69">
                    <c:v>CGT00089</c:v>
                  </c:pt>
                  <c:pt idx="70">
                    <c:v>CGT00090</c:v>
                  </c:pt>
                  <c:pt idx="78">
                    <c:v>hw70731</c:v>
                  </c:pt>
                  <c:pt idx="79">
                    <c:v>hw70732</c:v>
                  </c:pt>
                  <c:pt idx="82">
                    <c:v>232</c:v>
                  </c:pt>
                  <c:pt idx="83">
                    <c:v>DC2840</c:v>
                  </c:pt>
                  <c:pt idx="84">
                    <c:v>DC2839</c:v>
                  </c:pt>
                  <c:pt idx="89">
                    <c:v>444</c:v>
                  </c:pt>
                  <c:pt idx="90">
                    <c:v>cgt00002</c:v>
                  </c:pt>
                  <c:pt idx="91">
                    <c:v>CGTOOOO2</c:v>
                  </c:pt>
                  <c:pt idx="92">
                    <c:v>cgt00002</c:v>
                  </c:pt>
                  <c:pt idx="93">
                    <c:v>T2905</c:v>
                  </c:pt>
                  <c:pt idx="98">
                    <c:v>1010297</c:v>
                  </c:pt>
                  <c:pt idx="99">
                    <c:v>1010297</c:v>
                  </c:pt>
                  <c:pt idx="103">
                    <c:v>221000</c:v>
                  </c:pt>
                  <c:pt idx="105">
                    <c:v>1006</c:v>
                  </c:pt>
                  <c:pt idx="106">
                    <c:v>508</c:v>
                  </c:pt>
                  <c:pt idx="107">
                    <c:v>404</c:v>
                  </c:pt>
                  <c:pt idx="108">
                    <c:v>3004</c:v>
                  </c:pt>
                  <c:pt idx="111">
                    <c:v>v3965</c:v>
                  </c:pt>
                  <c:pt idx="112">
                    <c:v>pe649</c:v>
                  </c:pt>
                  <c:pt idx="113">
                    <c:v>pe210</c:v>
                  </c:pt>
                  <c:pt idx="114">
                    <c:v>v4164</c:v>
                  </c:pt>
                  <c:pt idx="115">
                    <c:v>v4162</c:v>
                  </c:pt>
                  <c:pt idx="116">
                    <c:v>v4226</c:v>
                  </c:pt>
                  <c:pt idx="117">
                    <c:v>al1018</c:v>
                  </c:pt>
                  <c:pt idx="118">
                    <c:v>al1028</c:v>
                  </c:pt>
                  <c:pt idx="119">
                    <c:v>nhsz06</c:v>
                  </c:pt>
                  <c:pt idx="120">
                    <c:v>nhsz05</c:v>
                  </c:pt>
                  <c:pt idx="121">
                    <c:v>200155</c:v>
                  </c:pt>
                  <c:pt idx="122">
                    <c:v>2230</c:v>
                  </c:pt>
                  <c:pt idx="123">
                    <c:v>1</c:v>
                  </c:pt>
                  <c:pt idx="129">
                    <c:v>V2691A</c:v>
                  </c:pt>
                  <c:pt idx="130">
                    <c:v>514224</c:v>
                  </c:pt>
                  <c:pt idx="131">
                    <c:v>514223</c:v>
                  </c:pt>
                  <c:pt idx="134">
                    <c:v>BE125</c:v>
                  </c:pt>
                  <c:pt idx="135">
                    <c:v>be03</c:v>
                  </c:pt>
                  <c:pt idx="136">
                    <c:v>V4652</c:v>
                  </c:pt>
                  <c:pt idx="137">
                    <c:v>518800</c:v>
                  </c:pt>
                  <c:pt idx="138">
                    <c:v>a28003</c:v>
                  </c:pt>
                  <c:pt idx="139">
                    <c:v>pe359</c:v>
                  </c:pt>
                  <c:pt idx="140">
                    <c:v>pe359</c:v>
                  </c:pt>
                  <c:pt idx="141">
                    <c:v>pe358</c:v>
                  </c:pt>
                  <c:pt idx="142">
                    <c:v>al1114</c:v>
                  </c:pt>
                  <c:pt idx="143">
                    <c:v>al1030</c:v>
                  </c:pt>
                  <c:pt idx="144">
                    <c:v>V4631</c:v>
                  </c:pt>
                  <c:pt idx="145">
                    <c:v>V4632</c:v>
                  </c:pt>
                  <c:pt idx="146">
                    <c:v>eh400</c:v>
                  </c:pt>
                  <c:pt idx="148">
                    <c:v>al1116</c:v>
                  </c:pt>
                  <c:pt idx="149">
                    <c:v>al1030</c:v>
                  </c:pt>
                  <c:pt idx="150">
                    <c:v>al1114</c:v>
                  </c:pt>
                  <c:pt idx="151">
                    <c:v>eh400</c:v>
                  </c:pt>
                  <c:pt idx="153">
                    <c:v>v4606</c:v>
                  </c:pt>
                  <c:pt idx="154">
                    <c:v>v4607</c:v>
                  </c:pt>
                  <c:pt idx="155">
                    <c:v>v4608</c:v>
                  </c:pt>
                  <c:pt idx="156">
                    <c:v>v5025</c:v>
                  </c:pt>
                  <c:pt idx="157">
                    <c:v>v5028</c:v>
                  </c:pt>
                  <c:pt idx="158">
                    <c:v>v5027</c:v>
                  </c:pt>
                  <c:pt idx="159">
                    <c:v>v5029a</c:v>
                  </c:pt>
                  <c:pt idx="160">
                    <c:v>v5029A</c:v>
                  </c:pt>
                  <c:pt idx="161">
                    <c:v>1011008</c:v>
                  </c:pt>
                  <c:pt idx="167">
                    <c:v>fum600d</c:v>
                  </c:pt>
                  <c:pt idx="168">
                    <c:v>ins600d</c:v>
                  </c:pt>
                  <c:pt idx="169">
                    <c:v>fer10d</c:v>
                  </c:pt>
                  <c:pt idx="170">
                    <c:v>fer10d</c:v>
                  </c:pt>
                  <c:pt idx="171">
                    <c:v>fer10d</c:v>
                  </c:pt>
                  <c:pt idx="175">
                    <c:v>sus7dav</c:v>
                  </c:pt>
                  <c:pt idx="176">
                    <c:v>sus20dav</c:v>
                  </c:pt>
                  <c:pt idx="177">
                    <c:v>2501</c:v>
                  </c:pt>
                  <c:pt idx="178">
                    <c:v>2505</c:v>
                  </c:pt>
                  <c:pt idx="179">
                    <c:v>gr19202</c:v>
                  </c:pt>
                  <c:pt idx="180">
                    <c:v>GR19204</c:v>
                  </c:pt>
                  <c:pt idx="203">
                    <c:v>0</c:v>
                  </c:pt>
                  <c:pt idx="204">
                    <c:v>0</c:v>
                  </c:pt>
                  <c:pt idx="205">
                    <c:v>0</c:v>
                  </c:pt>
                  <c:pt idx="206">
                    <c:v>472-37492</c:v>
                  </c:pt>
                  <c:pt idx="208">
                    <c:v>0</c:v>
                  </c:pt>
                  <c:pt idx="209">
                    <c:v>0</c:v>
                  </c:pt>
                  <c:pt idx="210">
                    <c:v>hw73198</c:v>
                  </c:pt>
                  <c:pt idx="216">
                    <c:v>184070</c:v>
                  </c:pt>
                  <c:pt idx="217">
                    <c:v>184008</c:v>
                  </c:pt>
                  <c:pt idx="218">
                    <c:v>1800</c:v>
                  </c:pt>
                  <c:pt idx="219">
                    <c:v>0</c:v>
                  </c:pt>
                  <c:pt idx="220">
                    <c:v>0</c:v>
                  </c:pt>
                  <c:pt idx="221">
                    <c:v>v1320</c:v>
                  </c:pt>
                  <c:pt idx="222">
                    <c:v>v1321</c:v>
                  </c:pt>
                  <c:pt idx="223">
                    <c:v>V1326</c:v>
                  </c:pt>
                  <c:pt idx="224">
                    <c:v>v1327</c:v>
                  </c:pt>
                  <c:pt idx="225">
                    <c:v>v1323</c:v>
                  </c:pt>
                  <c:pt idx="226">
                    <c:v>V13356</c:v>
                  </c:pt>
                  <c:pt idx="227">
                    <c:v>cgt00048</c:v>
                  </c:pt>
                  <c:pt idx="229">
                    <c:v>he702</c:v>
                  </c:pt>
                  <c:pt idx="230">
                    <c:v>207</c:v>
                  </c:pt>
                  <c:pt idx="231">
                    <c:v>208</c:v>
                  </c:pt>
                  <c:pt idx="232">
                    <c:v>209</c:v>
                  </c:pt>
                  <c:pt idx="233">
                    <c:v>211</c:v>
                  </c:pt>
                  <c:pt idx="234">
                    <c:v>6403</c:v>
                  </c:pt>
                  <c:pt idx="237">
                    <c:v>gr3287</c:v>
                  </c:pt>
                  <c:pt idx="238">
                    <c:v>3232</c:v>
                  </c:pt>
                  <c:pt idx="239">
                    <c:v>cac7DB</c:v>
                  </c:pt>
                  <c:pt idx="240">
                    <c:v>HE1920</c:v>
                  </c:pt>
                  <c:pt idx="241">
                    <c:v>z174</c:v>
                  </c:pt>
                  <c:pt idx="242">
                    <c:v>he356</c:v>
                  </c:pt>
                  <c:pt idx="243">
                    <c:v>Z175</c:v>
                  </c:pt>
                  <c:pt idx="244">
                    <c:v>Z174</c:v>
                  </c:pt>
                  <c:pt idx="245">
                    <c:v>Z173</c:v>
                  </c:pt>
                  <c:pt idx="246">
                    <c:v>z172</c:v>
                  </c:pt>
                  <c:pt idx="249">
                    <c:v>f-113</c:v>
                  </c:pt>
                  <c:pt idx="250">
                    <c:v>v5325</c:v>
                  </c:pt>
                  <c:pt idx="252">
                    <c:v>v1411</c:v>
                  </c:pt>
                  <c:pt idx="253">
                    <c:v>v1419a</c:v>
                  </c:pt>
                  <c:pt idx="254">
                    <c:v>ht-3300</c:v>
                  </c:pt>
                  <c:pt idx="255">
                    <c:v>v1419a</c:v>
                  </c:pt>
                  <c:pt idx="260">
                    <c:v>V0614</c:v>
                  </c:pt>
                  <c:pt idx="261">
                    <c:v>1221</c:v>
                  </c:pt>
                  <c:pt idx="262">
                    <c:v>11222</c:v>
                  </c:pt>
                  <c:pt idx="264">
                    <c:v>222000</c:v>
                  </c:pt>
                  <c:pt idx="266">
                    <c:v>0</c:v>
                  </c:pt>
                  <c:pt idx="267">
                    <c:v>0</c:v>
                  </c:pt>
                  <c:pt idx="268">
                    <c:v>213</c:v>
                  </c:pt>
                  <c:pt idx="269">
                    <c:v>213</c:v>
                  </c:pt>
                  <c:pt idx="270">
                    <c:v>ac21</c:v>
                  </c:pt>
                  <c:pt idx="271">
                    <c:v>1011849</c:v>
                  </c:pt>
                  <c:pt idx="272">
                    <c:v>mt200s</c:v>
                  </c:pt>
                  <c:pt idx="273">
                    <c:v>DW97065</c:v>
                  </c:pt>
                  <c:pt idx="275">
                    <c:v>278</c:v>
                  </c:pt>
                  <c:pt idx="276">
                    <c:v>v1166a</c:v>
                  </c:pt>
                  <c:pt idx="277">
                    <c:v>v1166a</c:v>
                  </c:pt>
                  <c:pt idx="278">
                    <c:v>kc59216</c:v>
                  </c:pt>
                  <c:pt idx="282">
                    <c:v>cgf00669</c:v>
                  </c:pt>
                  <c:pt idx="283">
                    <c:v>GR19309</c:v>
                  </c:pt>
                  <c:pt idx="284">
                    <c:v>gr19307</c:v>
                  </c:pt>
                  <c:pt idx="285">
                    <c:v>3755</c:v>
                  </c:pt>
                  <c:pt idx="286">
                    <c:v>3607</c:v>
                  </c:pt>
                  <c:pt idx="287">
                    <c:v>3237</c:v>
                  </c:pt>
                  <c:pt idx="288">
                    <c:v>3300</c:v>
                  </c:pt>
                  <c:pt idx="289">
                    <c:v>3306</c:v>
                  </c:pt>
                  <c:pt idx="290">
                    <c:v>3758</c:v>
                  </c:pt>
                  <c:pt idx="291">
                    <c:v>3204</c:v>
                  </c:pt>
                  <c:pt idx="292">
                    <c:v>3202</c:v>
                  </c:pt>
                  <c:pt idx="293">
                    <c:v>3236</c:v>
                  </c:pt>
                  <c:pt idx="294">
                    <c:v>3200</c:v>
                  </c:pt>
                  <c:pt idx="295">
                    <c:v>3206</c:v>
                  </c:pt>
                  <c:pt idx="296">
                    <c:v>3235</c:v>
                  </c:pt>
                  <c:pt idx="297">
                    <c:v>3205</c:v>
                  </c:pt>
                  <c:pt idx="298">
                    <c:v>3603</c:v>
                  </c:pt>
                  <c:pt idx="299">
                    <c:v>99320</c:v>
                  </c:pt>
                  <c:pt idx="300">
                    <c:v>99325</c:v>
                  </c:pt>
                  <c:pt idx="303">
                    <c:v>788780</c:v>
                  </c:pt>
                  <c:pt idx="304">
                    <c:v>99200</c:v>
                  </c:pt>
                  <c:pt idx="307">
                    <c:v>99116</c:v>
                  </c:pt>
                  <c:pt idx="310">
                    <c:v>218</c:v>
                  </c:pt>
                  <c:pt idx="312">
                    <c:v>gr25486</c:v>
                  </c:pt>
                  <c:pt idx="314">
                    <c:v>hw66622</c:v>
                  </c:pt>
                  <c:pt idx="315">
                    <c:v>bhw72004</c:v>
                  </c:pt>
                  <c:pt idx="316">
                    <c:v>1</c:v>
                  </c:pt>
                  <c:pt idx="317">
                    <c:v>430</c:v>
                  </c:pt>
                  <c:pt idx="320">
                    <c:v>3751</c:v>
                  </c:pt>
                  <c:pt idx="322">
                    <c:v>V0694</c:v>
                  </c:pt>
                  <c:pt idx="331">
                    <c:v>sg2</c:v>
                  </c:pt>
                  <c:pt idx="335">
                    <c:v>MT925</c:v>
                  </c:pt>
                  <c:pt idx="336">
                    <c:v>2166</c:v>
                  </c:pt>
                  <c:pt idx="337">
                    <c:v>sl2103</c:v>
                  </c:pt>
                  <c:pt idx="338">
                    <c:v>sl2102</c:v>
                  </c:pt>
                  <c:pt idx="339">
                    <c:v>sl2104</c:v>
                  </c:pt>
                  <c:pt idx="340">
                    <c:v>830</c:v>
                  </c:pt>
                  <c:pt idx="341">
                    <c:v>831</c:v>
                  </c:pt>
                  <c:pt idx="342">
                    <c:v>821</c:v>
                  </c:pt>
                  <c:pt idx="343">
                    <c:v>841d</c:v>
                  </c:pt>
                  <c:pt idx="344">
                    <c:v>851</c:v>
                  </c:pt>
                  <c:pt idx="345">
                    <c:v>800</c:v>
                  </c:pt>
                  <c:pt idx="346">
                    <c:v>840</c:v>
                  </c:pt>
                  <c:pt idx="347">
                    <c:v>840D</c:v>
                  </c:pt>
                  <c:pt idx="348">
                    <c:v>799</c:v>
                  </c:pt>
                  <c:pt idx="349">
                    <c:v>810</c:v>
                  </c:pt>
                  <c:pt idx="350">
                    <c:v>820</c:v>
                  </c:pt>
                  <c:pt idx="351">
                    <c:v>850D</c:v>
                  </c:pt>
                  <c:pt idx="352">
                    <c:v>A14506</c:v>
                  </c:pt>
                  <c:pt idx="353">
                    <c:v>2404</c:v>
                  </c:pt>
                  <c:pt idx="354">
                    <c:v>gr14027</c:v>
                  </c:pt>
                  <c:pt idx="355">
                    <c:v>gr14026</c:v>
                  </c:pt>
                  <c:pt idx="356">
                    <c:v>gr14018</c:v>
                  </c:pt>
                  <c:pt idx="357">
                    <c:v>18</c:v>
                  </c:pt>
                  <c:pt idx="358">
                    <c:v>gr14027</c:v>
                  </c:pt>
                  <c:pt idx="359">
                    <c:v>he7110</c:v>
                  </c:pt>
                  <c:pt idx="360">
                    <c:v>he7150</c:v>
                  </c:pt>
                  <c:pt idx="361">
                    <c:v>2,03,dom2</c:v>
                  </c:pt>
                  <c:pt idx="362">
                    <c:v>2,03,dom5</c:v>
                  </c:pt>
                  <c:pt idx="363">
                    <c:v>d7051</c:v>
                  </c:pt>
                  <c:pt idx="364">
                    <c:v>2,03,dom1</c:v>
                  </c:pt>
                  <c:pt idx="366">
                    <c:v>2,03,dom4</c:v>
                  </c:pt>
                  <c:pt idx="367">
                    <c:v>2,03,dom3</c:v>
                  </c:pt>
                  <c:pt idx="369">
                    <c:v>mt93</c:v>
                  </c:pt>
                  <c:pt idx="370">
                    <c:v>HE4715</c:v>
                  </c:pt>
                  <c:pt idx="371">
                    <c:v>gr16176</c:v>
                  </c:pt>
                  <c:pt idx="372">
                    <c:v>gr12846</c:v>
                  </c:pt>
                  <c:pt idx="373">
                    <c:v>he1932</c:v>
                  </c:pt>
                  <c:pt idx="374">
                    <c:v>gr14026</c:v>
                  </c:pt>
                  <c:pt idx="375">
                    <c:v>2</c:v>
                  </c:pt>
                  <c:pt idx="376">
                    <c:v>gr14020</c:v>
                  </c:pt>
                  <c:pt idx="377">
                    <c:v>gr14027</c:v>
                  </c:pt>
                  <c:pt idx="378">
                    <c:v>he2545</c:v>
                  </c:pt>
                  <c:pt idx="379">
                    <c:v>he4560</c:v>
                  </c:pt>
                  <c:pt idx="380">
                    <c:v>MT1002</c:v>
                  </c:pt>
                  <c:pt idx="381">
                    <c:v>MT104</c:v>
                  </c:pt>
                  <c:pt idx="382">
                    <c:v>mt477</c:v>
                  </c:pt>
                  <c:pt idx="385">
                    <c:v>he3301</c:v>
                  </c:pt>
                  <c:pt idx="386">
                    <c:v>2029</c:v>
                  </c:pt>
                  <c:pt idx="387">
                    <c:v>pe1003</c:v>
                  </c:pt>
                  <c:pt idx="388">
                    <c:v>v4103</c:v>
                  </c:pt>
                  <c:pt idx="389">
                    <c:v>v4096</c:v>
                  </c:pt>
                  <c:pt idx="390">
                    <c:v>v4227</c:v>
                  </c:pt>
                  <c:pt idx="391">
                    <c:v>v4227</c:v>
                  </c:pt>
                  <c:pt idx="392">
                    <c:v>A17973</c:v>
                  </c:pt>
                  <c:pt idx="393">
                    <c:v>A17974</c:v>
                  </c:pt>
                  <c:pt idx="394">
                    <c:v>v4060</c:v>
                  </c:pt>
                  <c:pt idx="395">
                    <c:v>pe109</c:v>
                  </c:pt>
                  <c:pt idx="396">
                    <c:v>pe300</c:v>
                  </c:pt>
                  <c:pt idx="397">
                    <c:v>c f211</c:v>
                  </c:pt>
                  <c:pt idx="398">
                    <c:v>he3301</c:v>
                  </c:pt>
                  <c:pt idx="399">
                    <c:v>he0202</c:v>
                  </c:pt>
                  <c:pt idx="400">
                    <c:v>476</c:v>
                  </c:pt>
                  <c:pt idx="401">
                    <c:v>mt860</c:v>
                  </c:pt>
                  <c:pt idx="402">
                    <c:v>cf109</c:v>
                  </c:pt>
                  <c:pt idx="403">
                    <c:v>V4118</c:v>
                  </c:pt>
                  <c:pt idx="404">
                    <c:v>1583</c:v>
                  </c:pt>
                  <c:pt idx="405">
                    <c:v>v4610a</c:v>
                  </c:pt>
                  <c:pt idx="406">
                    <c:v>v4322</c:v>
                  </c:pt>
                  <c:pt idx="408">
                    <c:v>462</c:v>
                  </c:pt>
                  <c:pt idx="409">
                    <c:v>513550</c:v>
                  </c:pt>
                  <c:pt idx="410">
                    <c:v>513550</c:v>
                  </c:pt>
                  <c:pt idx="411">
                    <c:v>BE21</c:v>
                  </c:pt>
                  <c:pt idx="412">
                    <c:v>v4623</c:v>
                  </c:pt>
                  <c:pt idx="413">
                    <c:v>513600</c:v>
                  </c:pt>
                  <c:pt idx="414">
                    <c:v>1585</c:v>
                  </c:pt>
                  <c:pt idx="415">
                    <c:v>mt856</c:v>
                  </c:pt>
                  <c:pt idx="416">
                    <c:v>com20db</c:v>
                  </c:pt>
                  <c:pt idx="417">
                    <c:v>com7DB</c:v>
                  </c:pt>
                  <c:pt idx="418">
                    <c:v>gt2603</c:v>
                  </c:pt>
                  <c:pt idx="419">
                    <c:v>gt 2605</c:v>
                  </c:pt>
                  <c:pt idx="420">
                    <c:v>tl32987</c:v>
                  </c:pt>
                  <c:pt idx="422">
                    <c:v>nhsz79</c:v>
                  </c:pt>
                  <c:pt idx="428">
                    <c:v>600</c:v>
                  </c:pt>
                  <c:pt idx="429">
                    <c:v>610</c:v>
                  </c:pt>
                  <c:pt idx="430">
                    <c:v>620</c:v>
                  </c:pt>
                  <c:pt idx="431">
                    <c:v>630</c:v>
                  </c:pt>
                  <c:pt idx="432">
                    <c:v>ggr11295</c:v>
                  </c:pt>
                  <c:pt idx="433">
                    <c:v>MT720</c:v>
                  </c:pt>
                  <c:pt idx="434">
                    <c:v>651</c:v>
                  </c:pt>
                  <c:pt idx="435">
                    <c:v>640</c:v>
                  </c:pt>
                  <c:pt idx="436">
                    <c:v>mt444</c:v>
                  </c:pt>
                  <c:pt idx="438">
                    <c:v>3113</c:v>
                  </c:pt>
                  <c:pt idx="439">
                    <c:v>3118</c:v>
                  </c:pt>
                  <c:pt idx="440">
                    <c:v>3103</c:v>
                  </c:pt>
                  <c:pt idx="441">
                    <c:v>3130</c:v>
                  </c:pt>
                  <c:pt idx="442">
                    <c:v>3131</c:v>
                  </c:pt>
                  <c:pt idx="443">
                    <c:v>3128</c:v>
                  </c:pt>
                  <c:pt idx="444">
                    <c:v>3126</c:v>
                  </c:pt>
                  <c:pt idx="445">
                    <c:v>3117</c:v>
                  </c:pt>
                  <c:pt idx="446">
                    <c:v>3109</c:v>
                  </c:pt>
                  <c:pt idx="447">
                    <c:v>3129</c:v>
                  </c:pt>
                  <c:pt idx="448">
                    <c:v>3127</c:v>
                  </c:pt>
                  <c:pt idx="449">
                    <c:v>3124</c:v>
                  </c:pt>
                  <c:pt idx="450">
                    <c:v>3132</c:v>
                  </c:pt>
                  <c:pt idx="451">
                    <c:v>4,01,fgc515</c:v>
                  </c:pt>
                  <c:pt idx="452">
                    <c:v>v4093</c:v>
                  </c:pt>
                  <c:pt idx="455">
                    <c:v>v5011</c:v>
                  </c:pt>
                  <c:pt idx="456">
                    <c:v>127</c:v>
                  </c:pt>
                  <c:pt idx="457">
                    <c:v>1108</c:v>
                  </c:pt>
                  <c:pt idx="458">
                    <c:v>0</c:v>
                  </c:pt>
                  <c:pt idx="459">
                    <c:v>W2651</c:v>
                  </c:pt>
                  <c:pt idx="460">
                    <c:v>1311</c:v>
                  </c:pt>
                  <c:pt idx="461">
                    <c:v>1313</c:v>
                  </c:pt>
                  <c:pt idx="462">
                    <c:v>4,02,fgc224</c:v>
                  </c:pt>
                  <c:pt idx="463">
                    <c:v>44</c:v>
                  </c:pt>
                  <c:pt idx="464">
                    <c:v>2999</c:v>
                  </c:pt>
                  <c:pt idx="465">
                    <c:v>3236</c:v>
                  </c:pt>
                  <c:pt idx="466">
                    <c:v>he189</c:v>
                  </c:pt>
                  <c:pt idx="467">
                    <c:v>B2936</c:v>
                  </c:pt>
                  <c:pt idx="468">
                    <c:v>he453</c:v>
                  </c:pt>
                  <c:pt idx="469">
                    <c:v>he453</c:v>
                  </c:pt>
                  <c:pt idx="470">
                    <c:v>he453</c:v>
                  </c:pt>
                  <c:pt idx="471">
                    <c:v>100</c:v>
                  </c:pt>
                  <c:pt idx="472">
                    <c:v>100</c:v>
                  </c:pt>
                  <c:pt idx="473">
                    <c:v>101</c:v>
                  </c:pt>
                  <c:pt idx="475">
                    <c:v>5,03,dor400</c:v>
                  </c:pt>
                  <c:pt idx="476">
                    <c:v>T51</c:v>
                  </c:pt>
                  <c:pt idx="477">
                    <c:v>tcdu1</c:v>
                  </c:pt>
                  <c:pt idx="479">
                    <c:v>288</c:v>
                  </c:pt>
                  <c:pt idx="480">
                    <c:v>cgt00075</c:v>
                  </c:pt>
                  <c:pt idx="482">
                    <c:v>0</c:v>
                  </c:pt>
                  <c:pt idx="488">
                    <c:v>223</c:v>
                  </c:pt>
                  <c:pt idx="489">
                    <c:v>GR10530</c:v>
                  </c:pt>
                  <c:pt idx="491">
                    <c:v>CR 1344</c:v>
                  </c:pt>
                  <c:pt idx="493">
                    <c:v>202148</c:v>
                  </c:pt>
                  <c:pt idx="495">
                    <c:v>314100</c:v>
                  </c:pt>
                  <c:pt idx="497">
                    <c:v>1523</c:v>
                  </c:pt>
                  <c:pt idx="498">
                    <c:v>v4167</c:v>
                  </c:pt>
                  <c:pt idx="499">
                    <c:v>A13181</c:v>
                  </c:pt>
                  <c:pt idx="500">
                    <c:v>1547</c:v>
                  </c:pt>
                  <c:pt idx="501">
                    <c:v>B232</c:v>
                  </c:pt>
                  <c:pt idx="502">
                    <c:v>0</c:v>
                  </c:pt>
                  <c:pt idx="503">
                    <c:v>V4175</c:v>
                  </c:pt>
                  <c:pt idx="504">
                    <c:v>v0455</c:v>
                  </c:pt>
                  <c:pt idx="506">
                    <c:v>tl10466</c:v>
                  </c:pt>
                  <c:pt idx="507">
                    <c:v>3236</c:v>
                  </c:pt>
                  <c:pt idx="508">
                    <c:v>T61</c:v>
                  </c:pt>
                  <c:pt idx="509">
                    <c:v>gr16107</c:v>
                  </c:pt>
                  <c:pt idx="510">
                    <c:v>D122 </c:v>
                  </c:pt>
                  <c:pt idx="511">
                    <c:v>V5047</c:v>
                  </c:pt>
                  <c:pt idx="512">
                    <c:v>V5045</c:v>
                  </c:pt>
                  <c:pt idx="513">
                    <c:v>v5099</c:v>
                  </c:pt>
                  <c:pt idx="514">
                    <c:v>W2045-1</c:v>
                  </c:pt>
                  <c:pt idx="515">
                    <c:v>W2045</c:v>
                  </c:pt>
                  <c:pt idx="516">
                    <c:v>1323</c:v>
                  </c:pt>
                  <c:pt idx="517">
                    <c:v>1321</c:v>
                  </c:pt>
                  <c:pt idx="518">
                    <c:v>658570</c:v>
                  </c:pt>
                  <c:pt idx="520">
                    <c:v>0</c:v>
                  </c:pt>
                  <c:pt idx="522">
                    <c:v>3119</c:v>
                  </c:pt>
                  <c:pt idx="536">
                    <c:v>6411</c:v>
                  </c:pt>
                  <c:pt idx="537">
                    <c:v>2271</c:v>
                  </c:pt>
                  <c:pt idx="538">
                    <c:v>V5098</c:v>
                  </c:pt>
                  <c:pt idx="542">
                    <c:v>15988</c:v>
                  </c:pt>
                  <c:pt idx="543">
                    <c:v>15989</c:v>
                  </c:pt>
                  <c:pt idx="544">
                    <c:v>gr6284</c:v>
                  </c:pt>
                  <c:pt idx="545">
                    <c:v>322</c:v>
                  </c:pt>
                  <c:pt idx="552">
                    <c:v>pb33</c:v>
                  </c:pt>
                  <c:pt idx="553">
                    <c:v>pb35</c:v>
                  </c:pt>
                  <c:pt idx="555">
                    <c:v>11</c:v>
                  </c:pt>
                  <c:pt idx="558">
                    <c:v>443190</c:v>
                  </c:pt>
                  <c:pt idx="559">
                    <c:v>800</c:v>
                  </c:pt>
                  <c:pt idx="560">
                    <c:v>2324</c:v>
                  </c:pt>
                  <c:pt idx="561">
                    <c:v>201</c:v>
                  </c:pt>
                  <c:pt idx="562">
                    <c:v>200</c:v>
                  </c:pt>
                  <c:pt idx="563">
                    <c:v>391190</c:v>
                  </c:pt>
                  <c:pt idx="564">
                    <c:v>3108</c:v>
                  </c:pt>
                  <c:pt idx="565">
                    <c:v>6425</c:v>
                  </c:pt>
                  <c:pt idx="567">
                    <c:v>246</c:v>
                  </c:pt>
                  <c:pt idx="568">
                    <c:v>gr10306</c:v>
                  </c:pt>
                  <c:pt idx="569">
                    <c:v>15201</c:v>
                  </c:pt>
                  <c:pt idx="570">
                    <c:v>324</c:v>
                  </c:pt>
                  <c:pt idx="571">
                    <c:v>tl31172</c:v>
                  </c:pt>
                  <c:pt idx="572">
                    <c:v>725038</c:v>
                  </c:pt>
                  <c:pt idx="577">
                    <c:v>220</c:v>
                  </c:pt>
                  <c:pt idx="578">
                    <c:v>220</c:v>
                  </c:pt>
                  <c:pt idx="579">
                    <c:v>4236-18</c:v>
                  </c:pt>
                  <c:pt idx="580">
                    <c:v>V5098</c:v>
                  </c:pt>
                  <c:pt idx="585">
                    <c:v>v0609</c:v>
                  </c:pt>
                  <c:pt idx="586">
                    <c:v>0</c:v>
                  </c:pt>
                  <c:pt idx="588">
                    <c:v>2,07,2305b</c:v>
                  </c:pt>
                  <c:pt idx="589">
                    <c:v>50</c:v>
                  </c:pt>
                  <c:pt idx="592">
                    <c:v>472-22178</c:v>
                  </c:pt>
                  <c:pt idx="607">
                    <c:v>v4121b</c:v>
                  </c:pt>
                  <c:pt idx="610">
                    <c:v>0</c:v>
                  </c:pt>
                  <c:pt idx="614">
                    <c:v>fc50DB</c:v>
                  </c:pt>
                  <c:pt idx="617">
                    <c:v>100151</c:v>
                  </c:pt>
                  <c:pt idx="619">
                    <c:v>638b</c:v>
                  </c:pt>
                  <c:pt idx="620">
                    <c:v>v1455</c:v>
                  </c:pt>
                  <c:pt idx="621">
                    <c:v>v1456</c:v>
                  </c:pt>
                  <c:pt idx="622">
                    <c:v>v1457</c:v>
                  </c:pt>
                  <c:pt idx="623">
                    <c:v>v1458</c:v>
                  </c:pt>
                  <c:pt idx="624">
                    <c:v>v1347</c:v>
                  </c:pt>
                  <c:pt idx="625">
                    <c:v>V1370</c:v>
                  </c:pt>
                  <c:pt idx="626">
                    <c:v>V1341</c:v>
                  </c:pt>
                  <c:pt idx="627">
                    <c:v>v1340</c:v>
                  </c:pt>
                  <c:pt idx="628">
                    <c:v>v1343</c:v>
                  </c:pt>
                  <c:pt idx="629">
                    <c:v>v1341</c:v>
                  </c:pt>
                  <c:pt idx="630">
                    <c:v>v1342</c:v>
                  </c:pt>
                  <c:pt idx="631">
                    <c:v>0</c:v>
                  </c:pt>
                  <c:pt idx="632">
                    <c:v>v1389</c:v>
                  </c:pt>
                  <c:pt idx="633">
                    <c:v>61011</c:v>
                  </c:pt>
                  <c:pt idx="634">
                    <c:v>113</c:v>
                  </c:pt>
                  <c:pt idx="636">
                    <c:v>110</c:v>
                  </c:pt>
                  <c:pt idx="637">
                    <c:v>33946</c:v>
                  </c:pt>
                  <c:pt idx="638">
                    <c:v>cgf00663</c:v>
                  </c:pt>
                  <c:pt idx="640">
                    <c:v>232</c:v>
                  </c:pt>
                  <c:pt idx="641">
                    <c:v>fl11430</c:v>
                  </c:pt>
                  <c:pt idx="642">
                    <c:v>GF34012</c:v>
                  </c:pt>
                  <c:pt idx="643">
                    <c:v>GF34013</c:v>
                  </c:pt>
                  <c:pt idx="644">
                    <c:v>GF34009</c:v>
                  </c:pt>
                  <c:pt idx="645">
                    <c:v>552</c:v>
                  </c:pt>
                  <c:pt idx="647">
                    <c:v>hw72926</c:v>
                  </c:pt>
                  <c:pt idx="651">
                    <c:v>22497</c:v>
                  </c:pt>
                  <c:pt idx="652">
                    <c:v>26828</c:v>
                  </c:pt>
                  <c:pt idx="653">
                    <c:v>28427</c:v>
                  </c:pt>
                  <c:pt idx="654">
                    <c:v>26827</c:v>
                  </c:pt>
                  <c:pt idx="655">
                    <c:v>28422</c:v>
                  </c:pt>
                  <c:pt idx="656">
                    <c:v>gr 25119</c:v>
                  </c:pt>
                  <c:pt idx="658">
                    <c:v>322</c:v>
                  </c:pt>
                  <c:pt idx="660">
                    <c:v>FS2726</c:v>
                  </c:pt>
                  <c:pt idx="661">
                    <c:v>FS2733</c:v>
                  </c:pt>
                  <c:pt idx="662">
                    <c:v>FS2730</c:v>
                  </c:pt>
                  <c:pt idx="663">
                    <c:v>FS2944</c:v>
                  </c:pt>
                  <c:pt idx="664">
                    <c:v>FS2943</c:v>
                  </c:pt>
                  <c:pt idx="665">
                    <c:v>FS2936</c:v>
                  </c:pt>
                  <c:pt idx="666">
                    <c:v>0</c:v>
                  </c:pt>
                  <c:pt idx="667">
                    <c:v>0</c:v>
                  </c:pt>
                  <c:pt idx="668">
                    <c:v>0</c:v>
                  </c:pt>
                  <c:pt idx="670">
                    <c:v>23837</c:v>
                  </c:pt>
                  <c:pt idx="671">
                    <c:v>28763</c:v>
                  </c:pt>
                  <c:pt idx="674">
                    <c:v>313</c:v>
                  </c:pt>
                  <c:pt idx="677">
                    <c:v>gr19302</c:v>
                  </c:pt>
                  <c:pt idx="680">
                    <c:v>120105</c:v>
                  </c:pt>
                  <c:pt idx="681">
                    <c:v>e128</c:v>
                  </c:pt>
                  <c:pt idx="682">
                    <c:v>e128</c:v>
                  </c:pt>
                  <c:pt idx="683">
                    <c:v>127176</c:v>
                  </c:pt>
                  <c:pt idx="684">
                    <c:v>127176</c:v>
                  </c:pt>
                  <c:pt idx="687">
                    <c:v>GR1346</c:v>
                  </c:pt>
                  <c:pt idx="692">
                    <c:v>9552</c:v>
                  </c:pt>
                  <c:pt idx="694">
                    <c:v>1,104rgc1</c:v>
                  </c:pt>
                  <c:pt idx="695">
                    <c:v>CHARGT001</c:v>
                  </c:pt>
                  <c:pt idx="696">
                    <c:v>CHARGT008</c:v>
                  </c:pt>
                  <c:pt idx="697">
                    <c:v>CRIOGT001</c:v>
                  </c:pt>
                  <c:pt idx="698">
                    <c:v>CRIOGT001</c:v>
                  </c:pt>
                  <c:pt idx="699">
                    <c:v>e125</c:v>
                  </c:pt>
                  <c:pt idx="700">
                    <c:v>e125</c:v>
                  </c:pt>
                  <c:pt idx="703">
                    <c:v>ILRCM005</c:v>
                  </c:pt>
                  <c:pt idx="707">
                    <c:v>121575</c:v>
                  </c:pt>
                  <c:pt idx="708">
                    <c:v>121575</c:v>
                  </c:pt>
                  <c:pt idx="709">
                    <c:v>121557</c:v>
                  </c:pt>
                  <c:pt idx="710">
                    <c:v>121557</c:v>
                  </c:pt>
                  <c:pt idx="712">
                    <c:v>v0505</c:v>
                  </c:pt>
                  <c:pt idx="714">
                    <c:v>1202</c:v>
                  </c:pt>
                  <c:pt idx="715">
                    <c:v>12</c:v>
                  </c:pt>
                  <c:pt idx="716">
                    <c:v>0</c:v>
                  </c:pt>
                  <c:pt idx="717">
                    <c:v>53,1</c:v>
                  </c:pt>
                  <c:pt idx="718">
                    <c:v>0</c:v>
                  </c:pt>
                  <c:pt idx="719">
                    <c:v>77</c:v>
                  </c:pt>
                  <c:pt idx="721">
                    <c:v>38,1</c:v>
                  </c:pt>
                  <c:pt idx="726">
                    <c:v>M235</c:v>
                  </c:pt>
                  <c:pt idx="727">
                    <c:v>M245</c:v>
                  </c:pt>
                  <c:pt idx="730">
                    <c:v>1</c:v>
                  </c:pt>
                  <c:pt idx="732">
                    <c:v>0</c:v>
                  </c:pt>
                  <c:pt idx="733">
                    <c:v>6710</c:v>
                  </c:pt>
                  <c:pt idx="734">
                    <c:v>6222</c:v>
                  </c:pt>
                  <c:pt idx="736">
                    <c:v>gua500d</c:v>
                  </c:pt>
                  <c:pt idx="737">
                    <c:v>tl33029</c:v>
                  </c:pt>
                  <c:pt idx="738">
                    <c:v>tl36395</c:v>
                  </c:pt>
                  <c:pt idx="739">
                    <c:v>GR5270</c:v>
                  </c:pt>
                  <c:pt idx="740">
                    <c:v>gr270</c:v>
                  </c:pt>
                  <c:pt idx="741">
                    <c:v>gr16171</c:v>
                  </c:pt>
                  <c:pt idx="742">
                    <c:v>gr920</c:v>
                  </c:pt>
                  <c:pt idx="744">
                    <c:v>0</c:v>
                  </c:pt>
                  <c:pt idx="747">
                    <c:v>tl35454</c:v>
                  </c:pt>
                  <c:pt idx="748">
                    <c:v>tl36456</c:v>
                  </c:pt>
                  <c:pt idx="750">
                    <c:v>0</c:v>
                  </c:pt>
                  <c:pt idx="758">
                    <c:v>cgt00091</c:v>
                  </c:pt>
                  <c:pt idx="759">
                    <c:v>cgt00092</c:v>
                  </c:pt>
                  <c:pt idx="760">
                    <c:v>z181</c:v>
                  </c:pt>
                  <c:pt idx="761">
                    <c:v>1010683</c:v>
                  </c:pt>
                  <c:pt idx="762">
                    <c:v>631247</c:v>
                  </c:pt>
                  <c:pt idx="764">
                    <c:v>412</c:v>
                  </c:pt>
                  <c:pt idx="765">
                    <c:v>204200</c:v>
                  </c:pt>
                  <c:pt idx="766">
                    <c:v>260800</c:v>
                  </c:pt>
                  <c:pt idx="767">
                    <c:v>206910</c:v>
                  </c:pt>
                  <c:pt idx="768">
                    <c:v>206890</c:v>
                  </c:pt>
                  <c:pt idx="769">
                    <c:v>206880</c:v>
                  </c:pt>
                  <c:pt idx="773">
                    <c:v>500</c:v>
                  </c:pt>
                  <c:pt idx="774">
                    <c:v>1321</c:v>
                  </c:pt>
                  <c:pt idx="776">
                    <c:v>3830</c:v>
                  </c:pt>
                  <c:pt idx="777">
                    <c:v>mh5</c:v>
                  </c:pt>
                  <c:pt idx="778">
                    <c:v>mh10</c:v>
                  </c:pt>
                  <c:pt idx="779">
                    <c:v>mt904</c:v>
                  </c:pt>
                  <c:pt idx="780">
                    <c:v>mt904</c:v>
                  </c:pt>
                  <c:pt idx="781">
                    <c:v>v4180</c:v>
                  </c:pt>
                  <c:pt idx="782">
                    <c:v>53</c:v>
                  </c:pt>
                  <c:pt idx="787">
                    <c:v>V0953</c:v>
                  </c:pt>
                  <c:pt idx="788">
                    <c:v>469</c:v>
                  </c:pt>
                  <c:pt idx="789">
                    <c:v>130</c:v>
                  </c:pt>
                  <c:pt idx="790">
                    <c:v>131</c:v>
                  </c:pt>
                  <c:pt idx="791">
                    <c:v>HE353</c:v>
                  </c:pt>
                  <c:pt idx="792">
                    <c:v>125</c:v>
                  </c:pt>
                  <c:pt idx="796">
                    <c:v>122</c:v>
                  </c:pt>
                  <c:pt idx="798">
                    <c:v>150702</c:v>
                  </c:pt>
                  <c:pt idx="805">
                    <c:v>0</c:v>
                  </c:pt>
                  <c:pt idx="806">
                    <c:v>GR 3852</c:v>
                  </c:pt>
                  <c:pt idx="811">
                    <c:v>100092</c:v>
                  </c:pt>
                  <c:pt idx="812">
                    <c:v>100112</c:v>
                  </c:pt>
                  <c:pt idx="813">
                    <c:v>22072</c:v>
                  </c:pt>
                  <c:pt idx="819">
                    <c:v>100046</c:v>
                  </c:pt>
                  <c:pt idx="820">
                    <c:v>100046</c:v>
                  </c:pt>
                  <c:pt idx="827">
                    <c:v>100092</c:v>
                  </c:pt>
                  <c:pt idx="828">
                    <c:v>JFQF</c:v>
                  </c:pt>
                  <c:pt idx="829">
                    <c:v>gr3853</c:v>
                  </c:pt>
                  <c:pt idx="831">
                    <c:v>449</c:v>
                  </c:pt>
                  <c:pt idx="832">
                    <c:v>jfqm78</c:v>
                  </c:pt>
                  <c:pt idx="836">
                    <c:v>JVPM 50</c:v>
                  </c:pt>
                  <c:pt idx="837">
                    <c:v>JVPM 25</c:v>
                  </c:pt>
                  <c:pt idx="838">
                    <c:v>gr284</c:v>
                  </c:pt>
                  <c:pt idx="842">
                    <c:v>v4008</c:v>
                  </c:pt>
                  <c:pt idx="843">
                    <c:v>v5066</c:v>
                  </c:pt>
                  <c:pt idx="844">
                    <c:v>v5067</c:v>
                  </c:pt>
                  <c:pt idx="845">
                    <c:v>v5065</c:v>
                  </c:pt>
                  <c:pt idx="846">
                    <c:v>v5007</c:v>
                  </c:pt>
                  <c:pt idx="847">
                    <c:v>v5009</c:v>
                  </c:pt>
                  <c:pt idx="848">
                    <c:v>V5004</c:v>
                  </c:pt>
                  <c:pt idx="849">
                    <c:v>0</c:v>
                  </c:pt>
                  <c:pt idx="853">
                    <c:v>V4003</c:v>
                  </c:pt>
                  <c:pt idx="854">
                    <c:v>v4010</c:v>
                  </c:pt>
                  <c:pt idx="855">
                    <c:v>v4010</c:v>
                  </c:pt>
                  <c:pt idx="856">
                    <c:v>V4017</c:v>
                  </c:pt>
                  <c:pt idx="857">
                    <c:v>V4001</c:v>
                  </c:pt>
                  <c:pt idx="858">
                    <c:v>V4002</c:v>
                  </c:pt>
                  <c:pt idx="859">
                    <c:v>771</c:v>
                  </c:pt>
                  <c:pt idx="860">
                    <c:v>V4000</c:v>
                  </c:pt>
                  <c:pt idx="861">
                    <c:v>V4004</c:v>
                  </c:pt>
                  <c:pt idx="864">
                    <c:v>1055</c:v>
                  </c:pt>
                  <c:pt idx="865">
                    <c:v>132</c:v>
                  </c:pt>
                  <c:pt idx="867">
                    <c:v>82</c:v>
                  </c:pt>
                  <c:pt idx="868">
                    <c:v>131</c:v>
                  </c:pt>
                  <c:pt idx="869">
                    <c:v>3296</c:v>
                  </c:pt>
                  <c:pt idx="870">
                    <c:v>402</c:v>
                  </c:pt>
                  <c:pt idx="876">
                    <c:v>he215</c:v>
                  </c:pt>
                  <c:pt idx="877">
                    <c:v>HE220</c:v>
                  </c:pt>
                  <c:pt idx="878">
                    <c:v>HE210</c:v>
                  </c:pt>
                  <c:pt idx="879">
                    <c:v>he215</c:v>
                  </c:pt>
                  <c:pt idx="880">
                    <c:v>TL33990SH</c:v>
                  </c:pt>
                  <c:pt idx="881">
                    <c:v>gr113758</c:v>
                  </c:pt>
                  <c:pt idx="882">
                    <c:v>910118</c:v>
                  </c:pt>
                  <c:pt idx="883">
                    <c:v>910118</c:v>
                  </c:pt>
                  <c:pt idx="884">
                    <c:v>267</c:v>
                  </c:pt>
                  <c:pt idx="885">
                    <c:v>270</c:v>
                  </c:pt>
                  <c:pt idx="886">
                    <c:v>HE6420</c:v>
                  </c:pt>
                  <c:pt idx="887">
                    <c:v>HE6415</c:v>
                  </c:pt>
                  <c:pt idx="888">
                    <c:v>HE6410</c:v>
                  </c:pt>
                  <c:pt idx="890">
                    <c:v>gr2891</c:v>
                  </c:pt>
                  <c:pt idx="891">
                    <c:v>gr4804</c:v>
                  </c:pt>
                  <c:pt idx="892">
                    <c:v>gr2873</c:v>
                  </c:pt>
                  <c:pt idx="893">
                    <c:v>MT459</c:v>
                  </c:pt>
                  <c:pt idx="894">
                    <c:v>CPSO1151</c:v>
                  </c:pt>
                  <c:pt idx="895">
                    <c:v>gr 19205</c:v>
                  </c:pt>
                  <c:pt idx="896">
                    <c:v>gr2871</c:v>
                  </c:pt>
                  <c:pt idx="897">
                    <c:v>gr2881</c:v>
                  </c:pt>
                  <c:pt idx="898">
                    <c:v>CK4</c:v>
                  </c:pt>
                  <c:pt idx="899">
                    <c:v>gr2871</c:v>
                  </c:pt>
                  <c:pt idx="900">
                    <c:v>gr4820</c:v>
                  </c:pt>
                  <c:pt idx="901">
                    <c:v>gr2868</c:v>
                  </c:pt>
                  <c:pt idx="902">
                    <c:v>3200</c:v>
                  </c:pt>
                  <c:pt idx="903">
                    <c:v>HE1111</c:v>
                  </c:pt>
                  <c:pt idx="904">
                    <c:v>he99</c:v>
                  </c:pt>
                  <c:pt idx="905">
                    <c:v>6632</c:v>
                  </c:pt>
                  <c:pt idx="906">
                    <c:v>mt362</c:v>
                  </c:pt>
                  <c:pt idx="908">
                    <c:v>V0647</c:v>
                  </c:pt>
                  <c:pt idx="909">
                    <c:v>V0647</c:v>
                  </c:pt>
                  <c:pt idx="910">
                    <c:v>v0648</c:v>
                  </c:pt>
                  <c:pt idx="911">
                    <c:v>v0648</c:v>
                  </c:pt>
                  <c:pt idx="912">
                    <c:v>v0652</c:v>
                  </c:pt>
                  <c:pt idx="913">
                    <c:v>rs-s400</c:v>
                  </c:pt>
                  <c:pt idx="914">
                    <c:v>V1428</c:v>
                  </c:pt>
                  <c:pt idx="915">
                    <c:v>re-s 500</c:v>
                  </c:pt>
                  <c:pt idx="916">
                    <c:v>v1430</c:v>
                  </c:pt>
                  <c:pt idx="917">
                    <c:v>v1431</c:v>
                  </c:pt>
                  <c:pt idx="918">
                    <c:v>0</c:v>
                  </c:pt>
                  <c:pt idx="920">
                    <c:v>chw00937</c:v>
                  </c:pt>
                  <c:pt idx="921">
                    <c:v>jvrh 44</c:v>
                  </c:pt>
                  <c:pt idx="922">
                    <c:v>chw00945</c:v>
                  </c:pt>
                  <c:pt idx="923">
                    <c:v>hw54082</c:v>
                  </c:pt>
                  <c:pt idx="924">
                    <c:v>jgt88003</c:v>
                  </c:pt>
                  <c:pt idx="925">
                    <c:v>cgt00090</c:v>
                  </c:pt>
                  <c:pt idx="931">
                    <c:v>lb-311</c:v>
                  </c:pt>
                  <c:pt idx="932">
                    <c:v>he4012</c:v>
                  </c:pt>
                  <c:pt idx="935">
                    <c:v>gr2538</c:v>
                  </c:pt>
                  <c:pt idx="936">
                    <c:v>269</c:v>
                  </c:pt>
                  <c:pt idx="939">
                    <c:v>GR21753</c:v>
                  </c:pt>
                  <c:pt idx="940">
                    <c:v>GR21752</c:v>
                  </c:pt>
                  <c:pt idx="941">
                    <c:v>GR1328</c:v>
                  </c:pt>
                  <c:pt idx="942">
                    <c:v>GR1327</c:v>
                  </c:pt>
                  <c:pt idx="943">
                    <c:v>GR1326</c:v>
                  </c:pt>
                  <c:pt idx="959">
                    <c:v>100171</c:v>
                  </c:pt>
                  <c:pt idx="961">
                    <c:v>100172</c:v>
                  </c:pt>
                  <c:pt idx="962">
                    <c:v>0</c:v>
                  </c:pt>
                  <c:pt idx="963">
                    <c:v>0</c:v>
                  </c:pt>
                  <c:pt idx="982">
                    <c:v>100219</c:v>
                  </c:pt>
                  <c:pt idx="988">
                    <c:v>41</c:v>
                  </c:pt>
                  <c:pt idx="990">
                    <c:v>40</c:v>
                  </c:pt>
                  <c:pt idx="992">
                    <c:v>22914</c:v>
                  </c:pt>
                  <c:pt idx="993">
                    <c:v>22912</c:v>
                  </c:pt>
                  <c:pt idx="994">
                    <c:v>22912</c:v>
                  </c:pt>
                  <c:pt idx="995">
                    <c:v>22917</c:v>
                  </c:pt>
                  <c:pt idx="996">
                    <c:v>22914</c:v>
                  </c:pt>
                  <c:pt idx="1012">
                    <c:v>12848</c:v>
                  </c:pt>
                  <c:pt idx="1013">
                    <c:v>16664</c:v>
                  </c:pt>
                  <c:pt idx="1033">
                    <c:v>35002</c:v>
                  </c:pt>
                  <c:pt idx="1034">
                    <c:v>210002</c:v>
                  </c:pt>
                  <c:pt idx="1035">
                    <c:v>35001</c:v>
                  </c:pt>
                  <c:pt idx="1038">
                    <c:v>0</c:v>
                  </c:pt>
                  <c:pt idx="1050">
                    <c:v>210000</c:v>
                  </c:pt>
                  <c:pt idx="1051">
                    <c:v>210001</c:v>
                  </c:pt>
                  <c:pt idx="1052">
                    <c:v>27896</c:v>
                  </c:pt>
                  <c:pt idx="1053">
                    <c:v>31033</c:v>
                  </c:pt>
                  <c:pt idx="1057">
                    <c:v>gr21124</c:v>
                  </c:pt>
                  <c:pt idx="1058">
                    <c:v>gr21123</c:v>
                  </c:pt>
                  <c:pt idx="1059">
                    <c:v>gr10513</c:v>
                  </c:pt>
                  <c:pt idx="1060">
                    <c:v>GR283</c:v>
                  </c:pt>
                  <c:pt idx="1061">
                    <c:v>gr10512</c:v>
                  </c:pt>
                  <c:pt idx="1062">
                    <c:v>GR280</c:v>
                  </c:pt>
                  <c:pt idx="1063">
                    <c:v>GR281</c:v>
                  </c:pt>
                  <c:pt idx="1064">
                    <c:v>GR10512</c:v>
                  </c:pt>
                  <c:pt idx="1065">
                    <c:v>gr21099</c:v>
                  </c:pt>
                  <c:pt idx="1066">
                    <c:v>gr 21098</c:v>
                  </c:pt>
                  <c:pt idx="1067">
                    <c:v>jhw80102</c:v>
                  </c:pt>
                  <c:pt idx="1068">
                    <c:v>gr1346</c:v>
                  </c:pt>
                  <c:pt idx="1069">
                    <c:v>22078</c:v>
                  </c:pt>
                  <c:pt idx="1070">
                    <c:v>22077</c:v>
                  </c:pt>
                  <c:pt idx="1071">
                    <c:v>gr1343</c:v>
                  </c:pt>
                  <c:pt idx="1072">
                    <c:v>2403</c:v>
                  </c:pt>
                  <c:pt idx="1073">
                    <c:v>2404</c:v>
                  </c:pt>
                  <c:pt idx="1074">
                    <c:v>2405</c:v>
                  </c:pt>
                  <c:pt idx="1075">
                    <c:v>2406</c:v>
                  </c:pt>
                  <c:pt idx="1076">
                    <c:v>2407</c:v>
                  </c:pt>
                  <c:pt idx="1078">
                    <c:v>gr1339</c:v>
                  </c:pt>
                  <c:pt idx="1079">
                    <c:v>gr1338</c:v>
                  </c:pt>
                  <c:pt idx="1080">
                    <c:v>25123</c:v>
                  </c:pt>
                  <c:pt idx="1084">
                    <c:v>M835</c:v>
                  </c:pt>
                  <c:pt idx="1091">
                    <c:v>100173</c:v>
                  </c:pt>
                  <c:pt idx="1095">
                    <c:v>100174</c:v>
                  </c:pt>
                  <c:pt idx="1098">
                    <c:v>gr283</c:v>
                  </c:pt>
                  <c:pt idx="1099">
                    <c:v>GR282</c:v>
                  </c:pt>
                  <c:pt idx="1100">
                    <c:v>GR279</c:v>
                  </c:pt>
                  <c:pt idx="1101">
                    <c:v>GR282</c:v>
                  </c:pt>
                  <c:pt idx="1102">
                    <c:v>GR281</c:v>
                  </c:pt>
                  <c:pt idx="1103">
                    <c:v>GR279</c:v>
                  </c:pt>
                  <c:pt idx="1104">
                    <c:v>BR280</c:v>
                  </c:pt>
                  <c:pt idx="1105">
                    <c:v>GR10528</c:v>
                  </c:pt>
                  <c:pt idx="1107">
                    <c:v>GR285</c:v>
                  </c:pt>
                  <c:pt idx="1108">
                    <c:v>chw00566</c:v>
                  </c:pt>
                  <c:pt idx="1109">
                    <c:v>468</c:v>
                  </c:pt>
                  <c:pt idx="1116">
                    <c:v>126</c:v>
                  </c:pt>
                  <c:pt idx="1117">
                    <c:v>122</c:v>
                  </c:pt>
                  <c:pt idx="1143">
                    <c:v>gr1308</c:v>
                  </c:pt>
                  <c:pt idx="1144">
                    <c:v>100194</c:v>
                  </c:pt>
                  <c:pt idx="1146">
                    <c:v>100120</c:v>
                  </c:pt>
                  <c:pt idx="1147">
                    <c:v>GR10545</c:v>
                  </c:pt>
                  <c:pt idx="1148">
                    <c:v>gr21126</c:v>
                  </c:pt>
                  <c:pt idx="1149">
                    <c:v>gr3852</c:v>
                  </c:pt>
                  <c:pt idx="1150">
                    <c:v>gr3852</c:v>
                  </c:pt>
                  <c:pt idx="1151">
                    <c:v>GR294</c:v>
                  </c:pt>
                  <c:pt idx="1152">
                    <c:v>GR1312</c:v>
                  </c:pt>
                  <c:pt idx="1153">
                    <c:v>gr1313</c:v>
                  </c:pt>
                  <c:pt idx="1154">
                    <c:v>gr1311</c:v>
                  </c:pt>
                  <c:pt idx="1156">
                    <c:v>G1339</c:v>
                  </c:pt>
                  <c:pt idx="1157">
                    <c:v>G1338</c:v>
                  </c:pt>
                  <c:pt idx="1158">
                    <c:v>gr1283</c:v>
                  </c:pt>
                  <c:pt idx="1159">
                    <c:v>gr1284</c:v>
                  </c:pt>
                  <c:pt idx="1160">
                    <c:v>GR1289</c:v>
                  </c:pt>
                  <c:pt idx="1161">
                    <c:v>gr1284</c:v>
                  </c:pt>
                  <c:pt idx="1162">
                    <c:v>GR1287</c:v>
                  </c:pt>
                  <c:pt idx="1163">
                    <c:v>GR1285</c:v>
                  </c:pt>
                  <c:pt idx="1182">
                    <c:v>2159</c:v>
                  </c:pt>
                  <c:pt idx="1183">
                    <c:v>20</c:v>
                  </c:pt>
                  <c:pt idx="1187">
                    <c:v>GR1332</c:v>
                  </c:pt>
                  <c:pt idx="1188">
                    <c:v>gr1310</c:v>
                  </c:pt>
                  <c:pt idx="1189">
                    <c:v>gr1308</c:v>
                  </c:pt>
                  <c:pt idx="1190">
                    <c:v>gr1306</c:v>
                  </c:pt>
                  <c:pt idx="1191">
                    <c:v>GR 1307</c:v>
                  </c:pt>
                  <c:pt idx="1192">
                    <c:v>GR1325</c:v>
                  </c:pt>
                  <c:pt idx="1193">
                    <c:v>GR1323</c:v>
                  </c:pt>
                  <c:pt idx="1194">
                    <c:v>gr1324</c:v>
                  </c:pt>
                  <c:pt idx="1195">
                    <c:v>GR1324</c:v>
                  </c:pt>
                  <c:pt idx="1196">
                    <c:v>gr1331</c:v>
                  </c:pt>
                  <c:pt idx="1197">
                    <c:v>21</c:v>
                  </c:pt>
                  <c:pt idx="1198">
                    <c:v>100095</c:v>
                  </c:pt>
                  <c:pt idx="1209">
                    <c:v>gr21121</c:v>
                  </c:pt>
                  <c:pt idx="1213">
                    <c:v>GR1321</c:v>
                  </c:pt>
                  <c:pt idx="1214">
                    <c:v>GR286</c:v>
                  </c:pt>
                  <c:pt idx="1218">
                    <c:v>706770</c:v>
                  </c:pt>
                  <c:pt idx="1219">
                    <c:v>704647</c:v>
                  </c:pt>
                  <c:pt idx="1220">
                    <c:v>706732</c:v>
                  </c:pt>
                  <c:pt idx="1221">
                    <c:v>706740</c:v>
                  </c:pt>
                  <c:pt idx="1222">
                    <c:v>704648</c:v>
                  </c:pt>
                  <c:pt idx="1224">
                    <c:v>gr1295</c:v>
                  </c:pt>
                  <c:pt idx="1225">
                    <c:v>GR1294</c:v>
                  </c:pt>
                  <c:pt idx="1226">
                    <c:v>GR1293</c:v>
                  </c:pt>
                  <c:pt idx="1227">
                    <c:v>gr21102</c:v>
                  </c:pt>
                  <c:pt idx="1228">
                    <c:v>gr21101</c:v>
                  </c:pt>
                  <c:pt idx="1229">
                    <c:v>gr2110</c:v>
                  </c:pt>
                  <c:pt idx="1230">
                    <c:v>gr21105</c:v>
                  </c:pt>
                  <c:pt idx="1231">
                    <c:v>gr21104</c:v>
                  </c:pt>
                  <c:pt idx="1232">
                    <c:v>gr21103</c:v>
                  </c:pt>
                  <c:pt idx="1233">
                    <c:v>gr1290</c:v>
                  </c:pt>
                  <c:pt idx="1245">
                    <c:v>jgt88003</c:v>
                  </c:pt>
                  <c:pt idx="1247">
                    <c:v>chw00946</c:v>
                  </c:pt>
                  <c:pt idx="1248">
                    <c:v>jgt88002</c:v>
                  </c:pt>
                  <c:pt idx="1249">
                    <c:v>27419</c:v>
                  </c:pt>
                  <c:pt idx="1250">
                    <c:v>27432</c:v>
                  </c:pt>
                  <c:pt idx="1251">
                    <c:v>27045</c:v>
                  </c:pt>
                  <c:pt idx="1252">
                    <c:v>27424</c:v>
                  </c:pt>
                  <c:pt idx="1253">
                    <c:v>gr1343</c:v>
                  </c:pt>
                  <c:pt idx="1254">
                    <c:v>chw01890</c:v>
                  </c:pt>
                  <c:pt idx="1255">
                    <c:v>mac 20</c:v>
                  </c:pt>
                  <c:pt idx="1257">
                    <c:v>mac11</c:v>
                  </c:pt>
                  <c:pt idx="1258">
                    <c:v>mac 7</c:v>
                  </c:pt>
                  <c:pt idx="1260">
                    <c:v>mac 3</c:v>
                  </c:pt>
                  <c:pt idx="1261">
                    <c:v>GR284</c:v>
                  </c:pt>
                  <c:pt idx="1262">
                    <c:v>gr21750</c:v>
                  </c:pt>
                  <c:pt idx="1263">
                    <c:v>gr21749-1</c:v>
                  </c:pt>
                  <c:pt idx="1264">
                    <c:v>1246</c:v>
                  </c:pt>
                  <c:pt idx="1274">
                    <c:v>446</c:v>
                  </c:pt>
                  <c:pt idx="1275">
                    <c:v>447</c:v>
                  </c:pt>
                  <c:pt idx="1276">
                    <c:v>448</c:v>
                  </c:pt>
                  <c:pt idx="1277">
                    <c:v>450</c:v>
                  </c:pt>
                  <c:pt idx="1278">
                    <c:v>GR1291</c:v>
                  </c:pt>
                  <c:pt idx="1279">
                    <c:v>GR1298</c:v>
                  </c:pt>
                  <c:pt idx="1280">
                    <c:v>GR1297</c:v>
                  </c:pt>
                  <c:pt idx="1281">
                    <c:v>GR1296</c:v>
                  </c:pt>
                  <c:pt idx="1282">
                    <c:v>GR1292</c:v>
                  </c:pt>
                  <c:pt idx="1283">
                    <c:v>gr1299</c:v>
                  </c:pt>
                  <c:pt idx="1284">
                    <c:v>22076</c:v>
                  </c:pt>
                  <c:pt idx="1285">
                    <c:v>22071</c:v>
                  </c:pt>
                  <c:pt idx="1286">
                    <c:v>22074</c:v>
                  </c:pt>
                  <c:pt idx="1287">
                    <c:v>22075</c:v>
                  </c:pt>
                  <c:pt idx="1289">
                    <c:v>B376</c:v>
                  </c:pt>
                  <c:pt idx="1302">
                    <c:v>DX1</c:v>
                  </c:pt>
                  <c:pt idx="1303">
                    <c:v>DX2</c:v>
                  </c:pt>
                  <c:pt idx="1304">
                    <c:v>DX3</c:v>
                  </c:pt>
                  <c:pt idx="1305">
                    <c:v>DX4</c:v>
                  </c:pt>
                  <c:pt idx="1306">
                    <c:v>7S2</c:v>
                  </c:pt>
                  <c:pt idx="1307">
                    <c:v>7S3</c:v>
                  </c:pt>
                  <c:pt idx="1308">
                    <c:v>7F2</c:v>
                  </c:pt>
                  <c:pt idx="1309">
                    <c:v>YT2</c:v>
                  </c:pt>
                  <c:pt idx="1310">
                    <c:v>YT3</c:v>
                  </c:pt>
                  <c:pt idx="1311">
                    <c:v>WLI</c:v>
                  </c:pt>
                  <c:pt idx="1312">
                    <c:v>GP3</c:v>
                  </c:pt>
                  <c:pt idx="1313">
                    <c:v>GP4</c:v>
                  </c:pt>
                  <c:pt idx="1314">
                    <c:v>X0</c:v>
                  </c:pt>
                  <c:pt idx="1315">
                    <c:v>JVER 24</c:v>
                  </c:pt>
                  <c:pt idx="1316">
                    <c:v>JVER 33</c:v>
                  </c:pt>
                  <c:pt idx="1317">
                    <c:v>JVER 42</c:v>
                  </c:pt>
                  <c:pt idx="1318">
                    <c:v>JVOM 30</c:v>
                  </c:pt>
                  <c:pt idx="1319">
                    <c:v>IVOM 38</c:v>
                  </c:pt>
                  <c:pt idx="1320">
                    <c:v>IVPM 25</c:v>
                  </c:pt>
                  <c:pt idx="1321">
                    <c:v>IVQM20</c:v>
                  </c:pt>
                  <c:pt idx="1322">
                    <c:v>JVEO 41</c:v>
                  </c:pt>
                  <c:pt idx="1323">
                    <c:v>JVEF 34</c:v>
                  </c:pt>
                  <c:pt idx="1324">
                    <c:v>JVEF 42</c:v>
                  </c:pt>
                  <c:pt idx="1325">
                    <c:v>JVEC 33</c:v>
                  </c:pt>
                  <c:pt idx="1326">
                    <c:v>JVEO 55</c:v>
                  </c:pt>
                  <c:pt idx="1327">
                    <c:v>JVHR 42</c:v>
                  </c:pt>
                  <c:pt idx="1328">
                    <c:v>JVHR33</c:v>
                  </c:pt>
                  <c:pt idx="1329">
                    <c:v>JVUM 30 S</c:v>
                  </c:pt>
                  <c:pt idx="1330">
                    <c:v>JVUM 38</c:v>
                  </c:pt>
                  <c:pt idx="1331">
                    <c:v>JFQF 67</c:v>
                  </c:pt>
                  <c:pt idx="1332">
                    <c:v>JFQF 77</c:v>
                  </c:pt>
                  <c:pt idx="1333">
                    <c:v>JVQM20</c:v>
                  </c:pt>
                  <c:pt idx="1334">
                    <c:v>JURT 45</c:v>
                  </c:pt>
                  <c:pt idx="1335">
                    <c:v>JUMB 34</c:v>
                  </c:pt>
                  <c:pt idx="1336">
                    <c:v>JPRD 25</c:v>
                  </c:pt>
                  <c:pt idx="1337">
                    <c:v>JVRH33</c:v>
                  </c:pt>
                  <c:pt idx="1338">
                    <c:v>JVOM 38</c:v>
                  </c:pt>
                  <c:pt idx="1339">
                    <c:v>JVSR</c:v>
                  </c:pt>
                  <c:pt idx="1340">
                    <c:v>JCMC 35</c:v>
                  </c:pt>
                  <c:pt idx="1341">
                    <c:v>JCMC 45</c:v>
                  </c:pt>
                  <c:pt idx="1342">
                    <c:v>JVERH 33</c:v>
                  </c:pt>
                  <c:pt idx="1343">
                    <c:v>JURH 33</c:v>
                  </c:pt>
                  <c:pt idx="1344">
                    <c:v>JVLL45</c:v>
                  </c:pt>
                  <c:pt idx="1345">
                    <c:v>JFQM 45</c:v>
                  </c:pt>
                  <c:pt idx="1346">
                    <c:v>JVIP 34</c:v>
                  </c:pt>
                  <c:pt idx="1347">
                    <c:v>JVQM30</c:v>
                  </c:pt>
                  <c:pt idx="1348">
                    <c:v>IVQM36</c:v>
                  </c:pt>
                  <c:pt idx="1349">
                    <c:v>JVMO38C</c:v>
                  </c:pt>
                  <c:pt idx="1350">
                    <c:v>JVAQ44</c:v>
                  </c:pt>
                  <c:pt idx="1351">
                    <c:v>JVAQ55</c:v>
                  </c:pt>
                  <c:pt idx="1352">
                    <c:v>JVAQ56</c:v>
                  </c:pt>
                  <c:pt idx="1353">
                    <c:v>JVCB 30</c:v>
                  </c:pt>
                  <c:pt idx="1354">
                    <c:v>JVQM36</c:v>
                  </c:pt>
                  <c:pt idx="1355">
                    <c:v>JVRE 37</c:v>
                  </c:pt>
                  <c:pt idx="1356">
                    <c:v>JVRE 46</c:v>
                  </c:pt>
                  <c:pt idx="1357">
                    <c:v>JVRE 57</c:v>
                  </c:pt>
                  <c:pt idx="1358">
                    <c:v>JVRE 34</c:v>
                  </c:pt>
                  <c:pt idx="1359">
                    <c:v>100199</c:v>
                  </c:pt>
                  <c:pt idx="1360">
                    <c:v>IVIP 43</c:v>
                  </c:pt>
                  <c:pt idx="1375">
                    <c:v>GR1288</c:v>
                  </c:pt>
                  <c:pt idx="1376">
                    <c:v>100161</c:v>
                  </c:pt>
                  <c:pt idx="1377">
                    <c:v>100161</c:v>
                  </c:pt>
                  <c:pt idx="1378">
                    <c:v>100162</c:v>
                  </c:pt>
                  <c:pt idx="1379">
                    <c:v>GR1283</c:v>
                  </c:pt>
                  <c:pt idx="1380">
                    <c:v>0</c:v>
                  </c:pt>
                  <c:pt idx="1381">
                    <c:v>0</c:v>
                  </c:pt>
                  <c:pt idx="1386">
                    <c:v>100152</c:v>
                  </c:pt>
                  <c:pt idx="1388">
                    <c:v>52044</c:v>
                  </c:pt>
                  <c:pt idx="1391">
                    <c:v>gt3235</c:v>
                  </c:pt>
                  <c:pt idx="1394">
                    <c:v>100231</c:v>
                  </c:pt>
                  <c:pt idx="1395">
                    <c:v>100232</c:v>
                  </c:pt>
                  <c:pt idx="1396">
                    <c:v>100189</c:v>
                  </c:pt>
                  <c:pt idx="1397">
                    <c:v>100190</c:v>
                  </c:pt>
                  <c:pt idx="1398">
                    <c:v>100228</c:v>
                  </c:pt>
                  <c:pt idx="1399">
                    <c:v>PE439</c:v>
                  </c:pt>
                  <c:pt idx="1402">
                    <c:v>100096</c:v>
                  </c:pt>
                  <c:pt idx="1403">
                    <c:v>GR1287</c:v>
                  </c:pt>
                  <c:pt idx="1404">
                    <c:v>gr1286</c:v>
                  </c:pt>
                  <c:pt idx="1420">
                    <c:v>100095</c:v>
                  </c:pt>
                  <c:pt idx="1421">
                    <c:v>100131</c:v>
                  </c:pt>
                  <c:pt idx="1423">
                    <c:v>100186</c:v>
                  </c:pt>
                  <c:pt idx="1426">
                    <c:v>100113</c:v>
                  </c:pt>
                  <c:pt idx="1427">
                    <c:v>100131</c:v>
                  </c:pt>
                  <c:pt idx="1429">
                    <c:v>100133</c:v>
                  </c:pt>
                  <c:pt idx="1430">
                    <c:v>M1980</c:v>
                  </c:pt>
                  <c:pt idx="1431">
                    <c:v>M1982</c:v>
                  </c:pt>
                  <c:pt idx="1432">
                    <c:v>M1981</c:v>
                  </c:pt>
                  <c:pt idx="1433">
                    <c:v>gr21119</c:v>
                  </c:pt>
                  <c:pt idx="1434">
                    <c:v>gr21118</c:v>
                  </c:pt>
                  <c:pt idx="1435">
                    <c:v>26600018</c:v>
                  </c:pt>
                  <c:pt idx="1436">
                    <c:v>1463</c:v>
                  </c:pt>
                  <c:pt idx="1437">
                    <c:v>1463</c:v>
                  </c:pt>
                  <c:pt idx="1438">
                    <c:v>24/7/</c:v>
                  </c:pt>
                  <c:pt idx="1439">
                    <c:v>1464</c:v>
                  </c:pt>
                  <c:pt idx="1441">
                    <c:v>642004</c:v>
                  </c:pt>
                  <c:pt idx="1442">
                    <c:v>642001</c:v>
                  </c:pt>
                  <c:pt idx="1443">
                    <c:v>0</c:v>
                  </c:pt>
                  <c:pt idx="1446">
                    <c:v>107</c:v>
                  </c:pt>
                  <c:pt idx="1449">
                    <c:v>28</c:v>
                  </c:pt>
                  <c:pt idx="1452">
                    <c:v>cgt00081</c:v>
                  </c:pt>
                  <c:pt idx="1453">
                    <c:v>cgt00080</c:v>
                  </c:pt>
                  <c:pt idx="1454">
                    <c:v>gt2961</c:v>
                  </c:pt>
                  <c:pt idx="1455">
                    <c:v>gt2961</c:v>
                  </c:pt>
                  <c:pt idx="1456">
                    <c:v>gt3045</c:v>
                  </c:pt>
                  <c:pt idx="1458">
                    <c:v>cgt0081</c:v>
                  </c:pt>
                  <c:pt idx="1462">
                    <c:v>A1847</c:v>
                  </c:pt>
                  <c:pt idx="1464">
                    <c:v>590</c:v>
                  </c:pt>
                  <c:pt idx="1465">
                    <c:v>31109</c:v>
                  </c:pt>
                  <c:pt idx="1466">
                    <c:v>2126</c:v>
                  </c:pt>
                  <c:pt idx="1468">
                    <c:v>108001</c:v>
                  </c:pt>
                  <c:pt idx="1470">
                    <c:v>31036</c:v>
                  </c:pt>
                  <c:pt idx="1476">
                    <c:v>0</c:v>
                  </c:pt>
                  <c:pt idx="1477">
                    <c:v>260500</c:v>
                  </c:pt>
                  <c:pt idx="1478">
                    <c:v>V0690</c:v>
                  </c:pt>
                  <c:pt idx="1481">
                    <c:v>0</c:v>
                  </c:pt>
                  <c:pt idx="1482">
                    <c:v>gt3380</c:v>
                  </c:pt>
                  <c:pt idx="1483">
                    <c:v>mt97</c:v>
                  </c:pt>
                  <c:pt idx="1484">
                    <c:v>cgt00051</c:v>
                  </c:pt>
                  <c:pt idx="1485">
                    <c:v>22079</c:v>
                  </c:pt>
                  <c:pt idx="1486">
                    <c:v>22080</c:v>
                  </c:pt>
                  <c:pt idx="1488">
                    <c:v>MO273</c:v>
                  </c:pt>
                  <c:pt idx="1490">
                    <c:v>MO274</c:v>
                  </c:pt>
                  <c:pt idx="1491">
                    <c:v>gt4414</c:v>
                  </c:pt>
                  <c:pt idx="1492">
                    <c:v>gt3611</c:v>
                  </c:pt>
                  <c:pt idx="1493">
                    <c:v>gt4412</c:v>
                  </c:pt>
                  <c:pt idx="1494">
                    <c:v>gt3618</c:v>
                  </c:pt>
                  <c:pt idx="1495">
                    <c:v>gt4407</c:v>
                  </c:pt>
                  <c:pt idx="1496">
                    <c:v>gt3616</c:v>
                  </c:pt>
                  <c:pt idx="1499">
                    <c:v>271</c:v>
                  </c:pt>
                  <c:pt idx="1500">
                    <c:v>273</c:v>
                  </c:pt>
                  <c:pt idx="1501">
                    <c:v>274</c:v>
                  </c:pt>
                  <c:pt idx="1502">
                    <c:v>275</c:v>
                  </c:pt>
                  <c:pt idx="1508">
                    <c:v>310003</c:v>
                  </c:pt>
                  <c:pt idx="1510">
                    <c:v>2047</c:v>
                  </c:pt>
                  <c:pt idx="1511">
                    <c:v>v4168</c:v>
                  </c:pt>
                  <c:pt idx="1512">
                    <c:v>HE103</c:v>
                  </c:pt>
                  <c:pt idx="1513">
                    <c:v>a11269</c:v>
                  </c:pt>
                  <c:pt idx="1514">
                    <c:v>v4167</c:v>
                  </c:pt>
                  <c:pt idx="1515">
                    <c:v>a13182</c:v>
                  </c:pt>
                  <c:pt idx="1516">
                    <c:v>a13181</c:v>
                  </c:pt>
                  <c:pt idx="1517">
                    <c:v>cl31</c:v>
                  </c:pt>
                  <c:pt idx="1518">
                    <c:v>cl42</c:v>
                  </c:pt>
                  <c:pt idx="1522">
                    <c:v>v4554b</c:v>
                  </c:pt>
                  <c:pt idx="1523">
                    <c:v>v4555</c:v>
                  </c:pt>
                  <c:pt idx="1524">
                    <c:v>v4555a</c:v>
                  </c:pt>
                  <c:pt idx="1525">
                    <c:v>v4554</c:v>
                  </c:pt>
                  <c:pt idx="1530">
                    <c:v>315600</c:v>
                  </c:pt>
                  <c:pt idx="1532">
                    <c:v>100200</c:v>
                  </c:pt>
                  <c:pt idx="1533">
                    <c:v>244</c:v>
                  </c:pt>
                  <c:pt idx="1534">
                    <c:v>gr10308</c:v>
                  </c:pt>
                  <c:pt idx="1535">
                    <c:v>15199</c:v>
                  </c:pt>
                  <c:pt idx="1536">
                    <c:v>gr18765</c:v>
                  </c:pt>
                  <c:pt idx="1537">
                    <c:v>B0070</c:v>
                  </c:pt>
                  <c:pt idx="1538">
                    <c:v>2,13,491758</c:v>
                  </c:pt>
                  <c:pt idx="1539">
                    <c:v>910121</c:v>
                  </c:pt>
                  <c:pt idx="1540">
                    <c:v>271</c:v>
                  </c:pt>
                  <c:pt idx="1541">
                    <c:v>mt1350</c:v>
                  </c:pt>
                  <c:pt idx="1542">
                    <c:v>he0522</c:v>
                  </c:pt>
                  <c:pt idx="1546">
                    <c:v>gf31234</c:v>
                  </c:pt>
                  <c:pt idx="1547">
                    <c:v>gf31235</c:v>
                  </c:pt>
                  <c:pt idx="1549">
                    <c:v>v4550</c:v>
                  </c:pt>
                  <c:pt idx="1550">
                    <c:v>v4551</c:v>
                  </c:pt>
                  <c:pt idx="1551">
                    <c:v>v4570a</c:v>
                  </c:pt>
                  <c:pt idx="1553">
                    <c:v>198</c:v>
                  </c:pt>
                  <c:pt idx="1554">
                    <c:v>199</c:v>
                  </c:pt>
                  <c:pt idx="1555">
                    <c:v>0</c:v>
                  </c:pt>
                  <c:pt idx="1556">
                    <c:v>s142</c:v>
                  </c:pt>
                  <c:pt idx="1557">
                    <c:v>s143</c:v>
                  </c:pt>
                  <c:pt idx="1558">
                    <c:v>s141</c:v>
                  </c:pt>
                  <c:pt idx="1559">
                    <c:v>s140</c:v>
                  </c:pt>
                  <c:pt idx="1560">
                    <c:v>1780</c:v>
                  </c:pt>
                  <c:pt idx="1561">
                    <c:v>0</c:v>
                  </c:pt>
                  <c:pt idx="1562">
                    <c:v>0</c:v>
                  </c:pt>
                  <c:pt idx="1563">
                    <c:v>0</c:v>
                  </c:pt>
                  <c:pt idx="1566">
                    <c:v>0</c:v>
                  </c:pt>
                  <c:pt idx="1567">
                    <c:v>V1476</c:v>
                  </c:pt>
                  <c:pt idx="1568">
                    <c:v>V1468A</c:v>
                  </c:pt>
                  <c:pt idx="1569">
                    <c:v>gr1909</c:v>
                  </c:pt>
                  <c:pt idx="1572">
                    <c:v>72003</c:v>
                  </c:pt>
                  <c:pt idx="1574">
                    <c:v>mt180</c:v>
                  </c:pt>
                  <c:pt idx="1575">
                    <c:v>mt620</c:v>
                  </c:pt>
                  <c:pt idx="1577">
                    <c:v>gr2881</c:v>
                  </c:pt>
                  <c:pt idx="1579">
                    <c:v>15990</c:v>
                  </c:pt>
                  <c:pt idx="1580">
                    <c:v>20033</c:v>
                  </c:pt>
                  <c:pt idx="1581">
                    <c:v>15984</c:v>
                  </c:pt>
                  <c:pt idx="1582">
                    <c:v>14223</c:v>
                  </c:pt>
                  <c:pt idx="1588">
                    <c:v>111507</c:v>
                  </c:pt>
                  <c:pt idx="1590">
                    <c:v>1106</c:v>
                  </c:pt>
                  <c:pt idx="1591">
                    <c:v>117175</c:v>
                  </c:pt>
                  <c:pt idx="1592">
                    <c:v>117175</c:v>
                  </c:pt>
                  <c:pt idx="1593">
                    <c:v>117175</c:v>
                  </c:pt>
                  <c:pt idx="1594">
                    <c:v>201</c:v>
                  </c:pt>
                  <c:pt idx="1596">
                    <c:v>IBRBY01</c:v>
                  </c:pt>
                  <c:pt idx="1597">
                    <c:v>IBRFL101</c:v>
                  </c:pt>
                  <c:pt idx="1600">
                    <c:v>133</c:v>
                  </c:pt>
                  <c:pt idx="1601">
                    <c:v>108</c:v>
                  </c:pt>
                  <c:pt idx="1603">
                    <c:v>140</c:v>
                  </c:pt>
                  <c:pt idx="1604">
                    <c:v>140</c:v>
                  </c:pt>
                  <c:pt idx="1607">
                    <c:v>CHARAD08</c:v>
                  </c:pt>
                  <c:pt idx="1609">
                    <c:v>CRIOAD07</c:v>
                  </c:pt>
                  <c:pt idx="1613">
                    <c:v>9789</c:v>
                  </c:pt>
                  <c:pt idx="1615">
                    <c:v>e120</c:v>
                  </c:pt>
                  <c:pt idx="1616">
                    <c:v>e120</c:v>
                  </c:pt>
                  <c:pt idx="1617">
                    <c:v>4</c:v>
                  </c:pt>
                  <c:pt idx="1621">
                    <c:v>gt2961</c:v>
                  </c:pt>
                  <c:pt idx="1624">
                    <c:v>90</c:v>
                  </c:pt>
                  <c:pt idx="1627">
                    <c:v>14,08</c:v>
                  </c:pt>
                  <c:pt idx="1629">
                    <c:v>16,21</c:v>
                  </c:pt>
                  <c:pt idx="1630">
                    <c:v>0</c:v>
                  </c:pt>
                  <c:pt idx="1631">
                    <c:v>9236</c:v>
                  </c:pt>
                  <c:pt idx="1632">
                    <c:v>0</c:v>
                  </c:pt>
                  <c:pt idx="1634">
                    <c:v>111547</c:v>
                  </c:pt>
                  <c:pt idx="1635">
                    <c:v>10040</c:v>
                  </c:pt>
                  <c:pt idx="1636">
                    <c:v>10050</c:v>
                  </c:pt>
                  <c:pt idx="1637">
                    <c:v>111655</c:v>
                  </c:pt>
                  <c:pt idx="1638">
                    <c:v>111547</c:v>
                  </c:pt>
                  <c:pt idx="1639">
                    <c:v>111547</c:v>
                  </c:pt>
                  <c:pt idx="1640">
                    <c:v>111547</c:v>
                  </c:pt>
                  <c:pt idx="1643">
                    <c:v>5758</c:v>
                  </c:pt>
                  <c:pt idx="1649">
                    <c:v>sz350</c:v>
                  </c:pt>
                  <c:pt idx="1650">
                    <c:v>sz513</c:v>
                  </c:pt>
                  <c:pt idx="1651">
                    <c:v>324740</c:v>
                  </c:pt>
                  <c:pt idx="1652">
                    <c:v>v0605</c:v>
                  </c:pt>
                  <c:pt idx="1654">
                    <c:v>v0452</c:v>
                  </c:pt>
                  <c:pt idx="1655">
                    <c:v>v4582</c:v>
                  </c:pt>
                  <c:pt idx="1656">
                    <c:v>2058</c:v>
                  </c:pt>
                  <c:pt idx="1658">
                    <c:v>v0451</c:v>
                  </c:pt>
                  <c:pt idx="1659">
                    <c:v>v0454</c:v>
                  </c:pt>
                  <c:pt idx="1660">
                    <c:v>v0453</c:v>
                  </c:pt>
                  <c:pt idx="1661">
                    <c:v>v0456</c:v>
                  </c:pt>
                  <c:pt idx="1662">
                    <c:v>2,12ps2</c:v>
                  </c:pt>
                  <c:pt idx="1663">
                    <c:v>2,12ps4</c:v>
                  </c:pt>
                  <c:pt idx="1666">
                    <c:v>0</c:v>
                  </c:pt>
                  <c:pt idx="1667">
                    <c:v>133</c:v>
                  </c:pt>
                  <c:pt idx="1668">
                    <c:v>19141</c:v>
                  </c:pt>
                  <c:pt idx="1669">
                    <c:v>k-310</c:v>
                  </c:pt>
                  <c:pt idx="1670">
                    <c:v>gr24751</c:v>
                  </c:pt>
                  <c:pt idx="1671">
                    <c:v>gr5296</c:v>
                  </c:pt>
                  <c:pt idx="1672">
                    <c:v>6</c:v>
                  </c:pt>
                  <c:pt idx="1674">
                    <c:v>k003</c:v>
                  </c:pt>
                  <c:pt idx="1675">
                    <c:v>k002</c:v>
                  </c:pt>
                  <c:pt idx="1676">
                    <c:v>s145</c:v>
                  </c:pt>
                  <c:pt idx="1677">
                    <c:v>s146</c:v>
                  </c:pt>
                  <c:pt idx="1678">
                    <c:v>203pg44</c:v>
                  </c:pt>
                  <c:pt idx="1681">
                    <c:v>k002</c:v>
                  </c:pt>
                  <c:pt idx="1682">
                    <c:v>k003</c:v>
                  </c:pt>
                  <c:pt idx="1683">
                    <c:v>k004</c:v>
                  </c:pt>
                  <c:pt idx="1689">
                    <c:v>s144</c:v>
                  </c:pt>
                  <c:pt idx="1690">
                    <c:v>236</c:v>
                  </c:pt>
                  <c:pt idx="1691">
                    <c:v>v0601</c:v>
                  </c:pt>
                  <c:pt idx="1692">
                    <c:v>cfl00007</c:v>
                  </c:pt>
                  <c:pt idx="1693">
                    <c:v>sc816</c:v>
                  </c:pt>
                  <c:pt idx="1694">
                    <c:v>sc642</c:v>
                  </c:pt>
                  <c:pt idx="1695">
                    <c:v>sc1129</c:v>
                  </c:pt>
                  <c:pt idx="1696">
                    <c:v>sc-12a </c:v>
                  </c:pt>
                  <c:pt idx="1697">
                    <c:v>sc-12b</c:v>
                  </c:pt>
                  <c:pt idx="1698">
                    <c:v>sc-12</c:v>
                  </c:pt>
                  <c:pt idx="1699">
                    <c:v>cfl00004</c:v>
                  </c:pt>
                  <c:pt idx="1700">
                    <c:v>v1221</c:v>
                  </c:pt>
                  <c:pt idx="1701">
                    <c:v>v1224</c:v>
                  </c:pt>
                  <c:pt idx="1702">
                    <c:v>v0632</c:v>
                  </c:pt>
                  <c:pt idx="1703">
                    <c:v>sc-01</c:v>
                  </c:pt>
                  <c:pt idx="1704">
                    <c:v>cfl00018</c:v>
                  </c:pt>
                  <c:pt idx="1705">
                    <c:v>cfl00014</c:v>
                  </c:pt>
                  <c:pt idx="1706">
                    <c:v>W2896</c:v>
                  </c:pt>
                  <c:pt idx="1707">
                    <c:v>PC2519</c:v>
                  </c:pt>
                  <c:pt idx="1709">
                    <c:v>sc-643</c:v>
                  </c:pt>
                  <c:pt idx="1710">
                    <c:v>v0631-2</c:v>
                  </c:pt>
                  <c:pt idx="1711">
                    <c:v>v0632</c:v>
                  </c:pt>
                  <c:pt idx="1712">
                    <c:v>v0633</c:v>
                  </c:pt>
                  <c:pt idx="1713">
                    <c:v>v0634</c:v>
                  </c:pt>
                  <c:pt idx="1715">
                    <c:v>14</c:v>
                  </c:pt>
                  <c:pt idx="1716">
                    <c:v>139</c:v>
                  </c:pt>
                  <c:pt idx="1720">
                    <c:v>pcn15</c:v>
                  </c:pt>
                  <c:pt idx="1721">
                    <c:v>pcn20</c:v>
                  </c:pt>
                </c:lvl>
              </c:multiLvlStrCache>
            </c:multiLvlStrRef>
          </c:cat>
          <c:val>
            <c:numRef>
              <c:f>PRECIO!$O$3:$O$1802</c:f>
              <c:numCache>
                <c:formatCode>0.00</c:formatCode>
                <c:ptCount val="1725"/>
                <c:pt idx="1">
                  <c:v>174.87016400000002</c:v>
                </c:pt>
                <c:pt idx="3">
                  <c:v>687.28041200000007</c:v>
                </c:pt>
                <c:pt idx="4">
                  <c:v>79.301586</c:v>
                </c:pt>
                <c:pt idx="5">
                  <c:v>280.50561000000005</c:v>
                </c:pt>
                <c:pt idx="6">
                  <c:v>77.918225000000007</c:v>
                </c:pt>
                <c:pt idx="7">
                  <c:v>2853.3904000000002</c:v>
                </c:pt>
                <c:pt idx="14">
                  <c:v>1180.9836192</c:v>
                </c:pt>
                <c:pt idx="15">
                  <c:v>72.835456680000007</c:v>
                </c:pt>
                <c:pt idx="26">
                  <c:v>570.67861334399993</c:v>
                </c:pt>
                <c:pt idx="27">
                  <c:v>632.40981461000001</c:v>
                </c:pt>
                <c:pt idx="28">
                  <c:v>690.65581284000007</c:v>
                </c:pt>
                <c:pt idx="32">
                  <c:v>937.46369889899995</c:v>
                </c:pt>
                <c:pt idx="33">
                  <c:v>516.47699599999999</c:v>
                </c:pt>
                <c:pt idx="36">
                  <c:v>161.0432208</c:v>
                </c:pt>
                <c:pt idx="37">
                  <c:v>2114.7089599999999</c:v>
                </c:pt>
                <c:pt idx="38">
                  <c:v>361.12722239999999</c:v>
                </c:pt>
                <c:pt idx="39">
                  <c:v>4615.7589800000005</c:v>
                </c:pt>
                <c:pt idx="42">
                  <c:v>2618.9857120000001</c:v>
                </c:pt>
                <c:pt idx="46">
                  <c:v>2748.5116358</c:v>
                </c:pt>
                <c:pt idx="47">
                  <c:v>0</c:v>
                </c:pt>
                <c:pt idx="49">
                  <c:v>488.00976000000003</c:v>
                </c:pt>
                <c:pt idx="54">
                  <c:v>5193.6438707999996</c:v>
                </c:pt>
                <c:pt idx="56">
                  <c:v>4315.2263027999998</c:v>
                </c:pt>
                <c:pt idx="60">
                  <c:v>131.20262400000001</c:v>
                </c:pt>
                <c:pt idx="61">
                  <c:v>322.08644160000006</c:v>
                </c:pt>
                <c:pt idx="72">
                  <c:v>3228.3978999999999</c:v>
                </c:pt>
                <c:pt idx="73">
                  <c:v>149.00298000000001</c:v>
                </c:pt>
                <c:pt idx="80">
                  <c:v>36.600732000000001</c:v>
                </c:pt>
                <c:pt idx="82">
                  <c:v>5132.9273231600009</c:v>
                </c:pt>
                <c:pt idx="88">
                  <c:v>1505.8634500000001</c:v>
                </c:pt>
                <c:pt idx="89">
                  <c:v>63.001259999999995</c:v>
                </c:pt>
                <c:pt idx="90">
                  <c:v>975.69418016000009</c:v>
                </c:pt>
                <c:pt idx="95" formatCode="General">
                  <c:v>435.54871080000004</c:v>
                </c:pt>
                <c:pt idx="97">
                  <c:v>528.01056000000005</c:v>
                </c:pt>
                <c:pt idx="98">
                  <c:v>805.21610399999997</c:v>
                </c:pt>
                <c:pt idx="100">
                  <c:v>362.923925</c:v>
                </c:pt>
                <c:pt idx="103">
                  <c:v>320.85641700000002</c:v>
                </c:pt>
                <c:pt idx="105">
                  <c:v>271.45542900000004</c:v>
                </c:pt>
                <c:pt idx="106">
                  <c:v>1062.3362463000001</c:v>
                </c:pt>
                <c:pt idx="107">
                  <c:v>821.45767882500002</c:v>
                </c:pt>
                <c:pt idx="108">
                  <c:v>256.20512400000001</c:v>
                </c:pt>
                <c:pt idx="110">
                  <c:v>13.216931000000001</c:v>
                </c:pt>
                <c:pt idx="115">
                  <c:v>105.73544800000001</c:v>
                </c:pt>
                <c:pt idx="116">
                  <c:v>175.6835136</c:v>
                </c:pt>
                <c:pt idx="121">
                  <c:v>466.29332568000001</c:v>
                </c:pt>
                <c:pt idx="122">
                  <c:v>165.80331600000002</c:v>
                </c:pt>
                <c:pt idx="123">
                  <c:v>6465.8526477999994</c:v>
                </c:pt>
                <c:pt idx="125">
                  <c:v>640.51280999999994</c:v>
                </c:pt>
                <c:pt idx="126">
                  <c:v>162.66991999999999</c:v>
                </c:pt>
                <c:pt idx="127">
                  <c:v>1268.8253760000002</c:v>
                </c:pt>
                <c:pt idx="128">
                  <c:v>1952.0390400000001</c:v>
                </c:pt>
                <c:pt idx="129">
                  <c:v>1704.4289878980001</c:v>
                </c:pt>
                <c:pt idx="130">
                  <c:v>686.26372499999991</c:v>
                </c:pt>
                <c:pt idx="136">
                  <c:v>0</c:v>
                </c:pt>
                <c:pt idx="138">
                  <c:v>406.6748</c:v>
                </c:pt>
                <c:pt idx="139">
                  <c:v>424.56849120000004</c:v>
                </c:pt>
                <c:pt idx="140">
                  <c:v>130.13593600000002</c:v>
                </c:pt>
                <c:pt idx="141">
                  <c:v>230.58461160000004</c:v>
                </c:pt>
                <c:pt idx="142">
                  <c:v>359.79332905600006</c:v>
                </c:pt>
                <c:pt idx="144">
                  <c:v>578.10856193999996</c:v>
                </c:pt>
                <c:pt idx="145">
                  <c:v>371.13142248000003</c:v>
                </c:pt>
                <c:pt idx="148">
                  <c:v>585.61171200000001</c:v>
                </c:pt>
                <c:pt idx="149">
                  <c:v>420.17640335999994</c:v>
                </c:pt>
                <c:pt idx="151">
                  <c:v>1138.6894400000001</c:v>
                </c:pt>
                <c:pt idx="152">
                  <c:v>564.26128499999993</c:v>
                </c:pt>
                <c:pt idx="153">
                  <c:v>74.775295476000011</c:v>
                </c:pt>
                <c:pt idx="154">
                  <c:v>128.57430476800002</c:v>
                </c:pt>
                <c:pt idx="155">
                  <c:v>212.70718739200001</c:v>
                </c:pt>
                <c:pt idx="156">
                  <c:v>264.82662976000006</c:v>
                </c:pt>
                <c:pt idx="157">
                  <c:v>600.25200480000001</c:v>
                </c:pt>
                <c:pt idx="158">
                  <c:v>400.16800320000004</c:v>
                </c:pt>
                <c:pt idx="159">
                  <c:v>785.89091750400007</c:v>
                </c:pt>
                <c:pt idx="171">
                  <c:v>448.96897919999998</c:v>
                </c:pt>
                <c:pt idx="174">
                  <c:v>520.54374400000006</c:v>
                </c:pt>
                <c:pt idx="175">
                  <c:v>377.39421440000007</c:v>
                </c:pt>
                <c:pt idx="176">
                  <c:v>810.09620160000009</c:v>
                </c:pt>
                <c:pt idx="188">
                  <c:v>198.4573024</c:v>
                </c:pt>
                <c:pt idx="189">
                  <c:v>276.53886400000005</c:v>
                </c:pt>
                <c:pt idx="190">
                  <c:v>644.17288320000011</c:v>
                </c:pt>
                <c:pt idx="196">
                  <c:v>165.92331840000003</c:v>
                </c:pt>
                <c:pt idx="197">
                  <c:v>198.4573024</c:v>
                </c:pt>
                <c:pt idx="198">
                  <c:v>234.24468480000002</c:v>
                </c:pt>
                <c:pt idx="199">
                  <c:v>263.52527040000001</c:v>
                </c:pt>
                <c:pt idx="200">
                  <c:v>348.11362880000001</c:v>
                </c:pt>
                <c:pt idx="203">
                  <c:v>534.37068720000002</c:v>
                </c:pt>
                <c:pt idx="204">
                  <c:v>732.01463999999999</c:v>
                </c:pt>
                <c:pt idx="205">
                  <c:v>585.61171200000001</c:v>
                </c:pt>
                <c:pt idx="206">
                  <c:v>5000.1073334800003</c:v>
                </c:pt>
                <c:pt idx="210">
                  <c:v>146.03692068000001</c:v>
                </c:pt>
                <c:pt idx="211">
                  <c:v>766.58199800000011</c:v>
                </c:pt>
                <c:pt idx="218">
                  <c:v>260.63787931999997</c:v>
                </c:pt>
                <c:pt idx="219">
                  <c:v>132.16931</c:v>
                </c:pt>
                <c:pt idx="220">
                  <c:v>195.20390400000002</c:v>
                </c:pt>
                <c:pt idx="222">
                  <c:v>1538.1091615680002</c:v>
                </c:pt>
                <c:pt idx="223">
                  <c:v>1528.4465683199999</c:v>
                </c:pt>
                <c:pt idx="224">
                  <c:v>2415.97365184</c:v>
                </c:pt>
                <c:pt idx="225">
                  <c:v>926.95827212800009</c:v>
                </c:pt>
                <c:pt idx="226">
                  <c:v>1266.20232354</c:v>
                </c:pt>
                <c:pt idx="234">
                  <c:v>601.87870400000008</c:v>
                </c:pt>
                <c:pt idx="238">
                  <c:v>156.16312320000003</c:v>
                </c:pt>
                <c:pt idx="239">
                  <c:v>530.30393919999995</c:v>
                </c:pt>
                <c:pt idx="249">
                  <c:v>227.737888</c:v>
                </c:pt>
                <c:pt idx="250">
                  <c:v>361.12722239999999</c:v>
                </c:pt>
                <c:pt idx="251">
                  <c:v>388.36110040000005</c:v>
                </c:pt>
                <c:pt idx="252">
                  <c:v>751.04702064000014</c:v>
                </c:pt>
                <c:pt idx="253">
                  <c:v>723.23046432000012</c:v>
                </c:pt>
                <c:pt idx="254">
                  <c:v>1789.3691200000003</c:v>
                </c:pt>
                <c:pt idx="255">
                  <c:v>849.10038166800018</c:v>
                </c:pt>
                <c:pt idx="260">
                  <c:v>52.867724000000003</c:v>
                </c:pt>
                <c:pt idx="261">
                  <c:v>344.56539117000005</c:v>
                </c:pt>
                <c:pt idx="263">
                  <c:v>455.00910000000005</c:v>
                </c:pt>
                <c:pt idx="264">
                  <c:v>291.06582120000007</c:v>
                </c:pt>
                <c:pt idx="266">
                  <c:v>0</c:v>
                </c:pt>
                <c:pt idx="267">
                  <c:v>0</c:v>
                </c:pt>
                <c:pt idx="268">
                  <c:v>153.84507684000002</c:v>
                </c:pt>
                <c:pt idx="273">
                  <c:v>15253.6384</c:v>
                </c:pt>
                <c:pt idx="274">
                  <c:v>356.04378739999999</c:v>
                </c:pt>
                <c:pt idx="275">
                  <c:v>697.80108907600015</c:v>
                </c:pt>
                <c:pt idx="285">
                  <c:v>907.69815360000018</c:v>
                </c:pt>
                <c:pt idx="290">
                  <c:v>712.4942496000001</c:v>
                </c:pt>
                <c:pt idx="298">
                  <c:v>683.21366399999999</c:v>
                </c:pt>
                <c:pt idx="299">
                  <c:v>2660.6782124999995</c:v>
                </c:pt>
                <c:pt idx="303">
                  <c:v>4253.4184000000005</c:v>
                </c:pt>
                <c:pt idx="304">
                  <c:v>766.51532999999995</c:v>
                </c:pt>
                <c:pt idx="307">
                  <c:v>8422.2517750000006</c:v>
                </c:pt>
                <c:pt idx="309">
                  <c:v>366.00732000000005</c:v>
                </c:pt>
                <c:pt idx="313">
                  <c:v>207.40414799999999</c:v>
                </c:pt>
                <c:pt idx="316">
                  <c:v>328.00656000000004</c:v>
                </c:pt>
                <c:pt idx="317">
                  <c:v>1007.4351483000002</c:v>
                </c:pt>
                <c:pt idx="318">
                  <c:v>1365.0273</c:v>
                </c:pt>
                <c:pt idx="319">
                  <c:v>5834.5816893000001</c:v>
                </c:pt>
                <c:pt idx="320">
                  <c:v>614.85773024199989</c:v>
                </c:pt>
                <c:pt idx="322">
                  <c:v>117.93569200000002</c:v>
                </c:pt>
                <c:pt idx="331">
                  <c:v>322.0864416</c:v>
                </c:pt>
                <c:pt idx="332">
                  <c:v>307.44614879999995</c:v>
                </c:pt>
                <c:pt idx="333">
                  <c:v>637.66608639999993</c:v>
                </c:pt>
                <c:pt idx="337">
                  <c:v>378.03066046199996</c:v>
                </c:pt>
                <c:pt idx="339">
                  <c:v>689.72046080000007</c:v>
                </c:pt>
                <c:pt idx="345">
                  <c:v>494.10988199999997</c:v>
                </c:pt>
                <c:pt idx="354">
                  <c:v>570.36140699999999</c:v>
                </c:pt>
                <c:pt idx="356">
                  <c:v>157.33648000000002</c:v>
                </c:pt>
                <c:pt idx="359">
                  <c:v>542.15850962000002</c:v>
                </c:pt>
                <c:pt idx="360">
                  <c:v>726.93120500000009</c:v>
                </c:pt>
                <c:pt idx="361">
                  <c:v>825.73996446900003</c:v>
                </c:pt>
                <c:pt idx="363">
                  <c:v>0</c:v>
                </c:pt>
                <c:pt idx="364">
                  <c:v>821.26552498199999</c:v>
                </c:pt>
                <c:pt idx="373">
                  <c:v>205.293505788</c:v>
                </c:pt>
                <c:pt idx="374">
                  <c:v>478.24956480000003</c:v>
                </c:pt>
                <c:pt idx="375">
                  <c:v>123.07606147200001</c:v>
                </c:pt>
                <c:pt idx="376">
                  <c:v>325.7465148</c:v>
                </c:pt>
                <c:pt idx="377">
                  <c:v>679.96026560000007</c:v>
                </c:pt>
                <c:pt idx="382">
                  <c:v>231.80463600000004</c:v>
                </c:pt>
                <c:pt idx="385">
                  <c:v>211.47089600000001</c:v>
                </c:pt>
                <c:pt idx="386">
                  <c:v>427.00853999999998</c:v>
                </c:pt>
                <c:pt idx="388">
                  <c:v>868.03922710400013</c:v>
                </c:pt>
                <c:pt idx="389">
                  <c:v>260.27187200000003</c:v>
                </c:pt>
                <c:pt idx="397">
                  <c:v>322.49311640000002</c:v>
                </c:pt>
                <c:pt idx="400">
                  <c:v>157.63935272400002</c:v>
                </c:pt>
                <c:pt idx="403">
                  <c:v>578.68197340800009</c:v>
                </c:pt>
                <c:pt idx="404">
                  <c:v>333.87187730400001</c:v>
                </c:pt>
                <c:pt idx="405">
                  <c:v>155.90285132800003</c:v>
                </c:pt>
                <c:pt idx="406">
                  <c:v>246.56449119120003</c:v>
                </c:pt>
                <c:pt idx="407">
                  <c:v>457.50915000000003</c:v>
                </c:pt>
                <c:pt idx="408">
                  <c:v>114.38948774399999</c:v>
                </c:pt>
                <c:pt idx="412">
                  <c:v>679.14691599999992</c:v>
                </c:pt>
                <c:pt idx="413">
                  <c:v>780.81561599999998</c:v>
                </c:pt>
                <c:pt idx="414">
                  <c:v>182.710854144</c:v>
                </c:pt>
                <c:pt idx="416">
                  <c:v>528.01056000000005</c:v>
                </c:pt>
                <c:pt idx="417">
                  <c:v>276.00551999999999</c:v>
                </c:pt>
                <c:pt idx="421">
                  <c:v>54.291085799999998</c:v>
                </c:pt>
                <c:pt idx="437">
                  <c:v>868.25069799999994</c:v>
                </c:pt>
                <c:pt idx="438">
                  <c:v>929.65859280000006</c:v>
                </c:pt>
                <c:pt idx="439">
                  <c:v>173.853477</c:v>
                </c:pt>
                <c:pt idx="441">
                  <c:v>790.57581120000009</c:v>
                </c:pt>
                <c:pt idx="443">
                  <c:v>159.00984679999999</c:v>
                </c:pt>
                <c:pt idx="447">
                  <c:v>530.30393919999995</c:v>
                </c:pt>
                <c:pt idx="449">
                  <c:v>722.4577822</c:v>
                </c:pt>
                <c:pt idx="451">
                  <c:v>515.46030899999994</c:v>
                </c:pt>
                <c:pt idx="455">
                  <c:v>1471.7561011999999</c:v>
                </c:pt>
                <c:pt idx="456">
                  <c:v>811.31622600000003</c:v>
                </c:pt>
                <c:pt idx="457">
                  <c:v>449.78232879999996</c:v>
                </c:pt>
                <c:pt idx="459">
                  <c:v>1769.0353799999998</c:v>
                </c:pt>
                <c:pt idx="460">
                  <c:v>326.13936265680002</c:v>
                </c:pt>
                <c:pt idx="461">
                  <c:v>0</c:v>
                </c:pt>
                <c:pt idx="462">
                  <c:v>495.00990000000002</c:v>
                </c:pt>
                <c:pt idx="463">
                  <c:v>351.78996899200001</c:v>
                </c:pt>
                <c:pt idx="471">
                  <c:v>2368.4740351999999</c:v>
                </c:pt>
                <c:pt idx="474">
                  <c:v>816.84967000000006</c:v>
                </c:pt>
                <c:pt idx="475">
                  <c:v>610.15220280000005</c:v>
                </c:pt>
                <c:pt idx="476">
                  <c:v>427.00853999999998</c:v>
                </c:pt>
                <c:pt idx="477">
                  <c:v>4117.5823500000006</c:v>
                </c:pt>
                <c:pt idx="479">
                  <c:v>182.19031040000002</c:v>
                </c:pt>
                <c:pt idx="482">
                  <c:v>2476.0395198000001</c:v>
                </c:pt>
                <c:pt idx="492">
                  <c:v>819.44972200000007</c:v>
                </c:pt>
                <c:pt idx="493">
                  <c:v>665.82018280399996</c:v>
                </c:pt>
                <c:pt idx="495">
                  <c:v>383.52767040000003</c:v>
                </c:pt>
                <c:pt idx="497">
                  <c:v>631.15928960000008</c:v>
                </c:pt>
                <c:pt idx="498">
                  <c:v>391.28622556800002</c:v>
                </c:pt>
                <c:pt idx="501">
                  <c:v>549.01098000000002</c:v>
                </c:pt>
                <c:pt idx="502">
                  <c:v>299.31265280000002</c:v>
                </c:pt>
                <c:pt idx="503">
                  <c:v>58.561171200000004</c:v>
                </c:pt>
                <c:pt idx="504">
                  <c:v>77.691153792000009</c:v>
                </c:pt>
                <c:pt idx="505">
                  <c:v>406.6748</c:v>
                </c:pt>
                <c:pt idx="508">
                  <c:v>324.93316520000002</c:v>
                </c:pt>
                <c:pt idx="510">
                  <c:v>1077.68822</c:v>
                </c:pt>
                <c:pt idx="511">
                  <c:v>813.26623166599995</c:v>
                </c:pt>
                <c:pt idx="512">
                  <c:v>403.42140160000002</c:v>
                </c:pt>
                <c:pt idx="513">
                  <c:v>162.66992000000002</c:v>
                </c:pt>
                <c:pt idx="514">
                  <c:v>1919.5050560000002</c:v>
                </c:pt>
                <c:pt idx="516">
                  <c:v>447.11189872580002</c:v>
                </c:pt>
                <c:pt idx="517">
                  <c:v>287.75292161000004</c:v>
                </c:pt>
                <c:pt idx="519">
                  <c:v>503.260065</c:v>
                </c:pt>
                <c:pt idx="524">
                  <c:v>581.54496399999994</c:v>
                </c:pt>
                <c:pt idx="525">
                  <c:v>0</c:v>
                </c:pt>
                <c:pt idx="532">
                  <c:v>357.87382400000001</c:v>
                </c:pt>
                <c:pt idx="534">
                  <c:v>0</c:v>
                </c:pt>
                <c:pt idx="536">
                  <c:v>761.29522560000009</c:v>
                </c:pt>
                <c:pt idx="537">
                  <c:v>371.31442614000008</c:v>
                </c:pt>
                <c:pt idx="538">
                  <c:v>678.04076054400002</c:v>
                </c:pt>
                <c:pt idx="539">
                  <c:v>1799.3794202020001</c:v>
                </c:pt>
                <c:pt idx="541">
                  <c:v>216.92033831999998</c:v>
                </c:pt>
                <c:pt idx="544">
                  <c:v>338.35343360000002</c:v>
                </c:pt>
                <c:pt idx="545">
                  <c:v>678.13022899999999</c:v>
                </c:pt>
                <c:pt idx="546">
                  <c:v>62.324946474000001</c:v>
                </c:pt>
                <c:pt idx="547">
                  <c:v>659.9111979600001</c:v>
                </c:pt>
                <c:pt idx="548">
                  <c:v>198.25396499999999</c:v>
                </c:pt>
                <c:pt idx="549">
                  <c:v>586.67840000000001</c:v>
                </c:pt>
                <c:pt idx="552">
                  <c:v>289.55245760000003</c:v>
                </c:pt>
                <c:pt idx="553">
                  <c:v>110.61554559999999</c:v>
                </c:pt>
                <c:pt idx="555">
                  <c:v>786.44399523200002</c:v>
                </c:pt>
                <c:pt idx="556">
                  <c:v>88.500569975999994</c:v>
                </c:pt>
                <c:pt idx="558">
                  <c:v>192.42551510000001</c:v>
                </c:pt>
                <c:pt idx="563">
                  <c:v>520.66574644000002</c:v>
                </c:pt>
                <c:pt idx="564">
                  <c:v>705.98745280000014</c:v>
                </c:pt>
                <c:pt idx="569">
                  <c:v>483.94301200000007</c:v>
                </c:pt>
                <c:pt idx="571">
                  <c:v>487.68442016000006</c:v>
                </c:pt>
                <c:pt idx="572">
                  <c:v>0</c:v>
                </c:pt>
                <c:pt idx="574">
                  <c:v>0</c:v>
                </c:pt>
                <c:pt idx="576">
                  <c:v>497.76995520000003</c:v>
                </c:pt>
                <c:pt idx="581">
                  <c:v>0</c:v>
                </c:pt>
                <c:pt idx="584">
                  <c:v>1272.3587800000003</c:v>
                </c:pt>
                <c:pt idx="586">
                  <c:v>19.500389999999999</c:v>
                </c:pt>
                <c:pt idx="587">
                  <c:v>269.62539240000001</c:v>
                </c:pt>
                <c:pt idx="588">
                  <c:v>255.97738611200006</c:v>
                </c:pt>
                <c:pt idx="592">
                  <c:v>1973.3728000000001</c:v>
                </c:pt>
                <c:pt idx="593">
                  <c:v>237.16054311599999</c:v>
                </c:pt>
                <c:pt idx="595">
                  <c:v>118.83571000000001</c:v>
                </c:pt>
                <c:pt idx="596">
                  <c:v>1989.9064640000001</c:v>
                </c:pt>
                <c:pt idx="606">
                  <c:v>237.49808320000002</c:v>
                </c:pt>
                <c:pt idx="609">
                  <c:v>250.5116768</c:v>
                </c:pt>
                <c:pt idx="611">
                  <c:v>224.48448959999999</c:v>
                </c:pt>
                <c:pt idx="613">
                  <c:v>309.07284800000002</c:v>
                </c:pt>
                <c:pt idx="614">
                  <c:v>1731.2146235999999</c:v>
                </c:pt>
                <c:pt idx="616">
                  <c:v>195.20390400000002</c:v>
                </c:pt>
                <c:pt idx="619">
                  <c:v>2488.849776</c:v>
                </c:pt>
                <c:pt idx="620">
                  <c:v>1016.2803252</c:v>
                </c:pt>
                <c:pt idx="622">
                  <c:v>662.31057927999996</c:v>
                </c:pt>
                <c:pt idx="626">
                  <c:v>1078.5015696</c:v>
                </c:pt>
                <c:pt idx="627">
                  <c:v>1145.9079176999999</c:v>
                </c:pt>
                <c:pt idx="631">
                  <c:v>2488.849776</c:v>
                </c:pt>
                <c:pt idx="633">
                  <c:v>519.24238464000007</c:v>
                </c:pt>
                <c:pt idx="634">
                  <c:v>2762.3385789999998</c:v>
                </c:pt>
                <c:pt idx="636">
                  <c:v>159.41652159999998</c:v>
                </c:pt>
                <c:pt idx="639">
                  <c:v>36.926071840000006</c:v>
                </c:pt>
                <c:pt idx="645">
                  <c:v>139.89613120000001</c:v>
                </c:pt>
                <c:pt idx="648">
                  <c:v>252.54505080000001</c:v>
                </c:pt>
                <c:pt idx="649">
                  <c:v>362.34724679999999</c:v>
                </c:pt>
                <c:pt idx="650">
                  <c:v>289.14578280000001</c:v>
                </c:pt>
                <c:pt idx="655">
                  <c:v>305.0061</c:v>
                </c:pt>
                <c:pt idx="657">
                  <c:v>951.61903200000006</c:v>
                </c:pt>
                <c:pt idx="658">
                  <c:v>585.61171200000001</c:v>
                </c:pt>
                <c:pt idx="659">
                  <c:v>58.561171200000004</c:v>
                </c:pt>
                <c:pt idx="666">
                  <c:v>54.53509068000001</c:v>
                </c:pt>
                <c:pt idx="667">
                  <c:v>18.300366</c:v>
                </c:pt>
                <c:pt idx="668">
                  <c:v>19.927065200000001</c:v>
                </c:pt>
                <c:pt idx="672">
                  <c:v>0</c:v>
                </c:pt>
                <c:pt idx="674">
                  <c:v>671.42009480000002</c:v>
                </c:pt>
                <c:pt idx="675">
                  <c:v>4658.4265000000005</c:v>
                </c:pt>
                <c:pt idx="676">
                  <c:v>537.51075000000003</c:v>
                </c:pt>
                <c:pt idx="680">
                  <c:v>816.68299999999999</c:v>
                </c:pt>
                <c:pt idx="683">
                  <c:v>5911.7990336160001</c:v>
                </c:pt>
                <c:pt idx="684">
                  <c:v>137.952225656</c:v>
                </c:pt>
                <c:pt idx="685">
                  <c:v>2201.9407046000001</c:v>
                </c:pt>
                <c:pt idx="691">
                  <c:v>5181.0369520000004</c:v>
                </c:pt>
                <c:pt idx="693">
                  <c:v>274.99349976000002</c:v>
                </c:pt>
                <c:pt idx="694">
                  <c:v>317.33647993600005</c:v>
                </c:pt>
                <c:pt idx="695">
                  <c:v>447.988892932</c:v>
                </c:pt>
                <c:pt idx="696">
                  <c:v>2970.3852731840002</c:v>
                </c:pt>
                <c:pt idx="701">
                  <c:v>4899.5427555620008</c:v>
                </c:pt>
                <c:pt idx="702">
                  <c:v>188.43276858000002</c:v>
                </c:pt>
                <c:pt idx="703">
                  <c:v>242.65471966399997</c:v>
                </c:pt>
                <c:pt idx="704">
                  <c:v>1516.705866844</c:v>
                </c:pt>
                <c:pt idx="705">
                  <c:v>123.82434310400001</c:v>
                </c:pt>
                <c:pt idx="706">
                  <c:v>0</c:v>
                </c:pt>
                <c:pt idx="707">
                  <c:v>10177.03687</c:v>
                </c:pt>
                <c:pt idx="708">
                  <c:v>256.20512400000001</c:v>
                </c:pt>
                <c:pt idx="709">
                  <c:v>7451.2990229999996</c:v>
                </c:pt>
                <c:pt idx="711">
                  <c:v>5561.4049758749998</c:v>
                </c:pt>
                <c:pt idx="712">
                  <c:v>248.47830280000002</c:v>
                </c:pt>
                <c:pt idx="713">
                  <c:v>1352.5270500000001</c:v>
                </c:pt>
                <c:pt idx="714">
                  <c:v>3072.5614500000001</c:v>
                </c:pt>
                <c:pt idx="715">
                  <c:v>5115.3183043200006</c:v>
                </c:pt>
                <c:pt idx="717">
                  <c:v>107.10187532800001</c:v>
                </c:pt>
                <c:pt idx="721">
                  <c:v>3873.2480634120002</c:v>
                </c:pt>
                <c:pt idx="722">
                  <c:v>1159.68986</c:v>
                </c:pt>
                <c:pt idx="724">
                  <c:v>5416.7750000000005</c:v>
                </c:pt>
                <c:pt idx="725">
                  <c:v>300.00600000000003</c:v>
                </c:pt>
                <c:pt idx="726">
                  <c:v>3500.07</c:v>
                </c:pt>
                <c:pt idx="727">
                  <c:v>210.0042</c:v>
                </c:pt>
                <c:pt idx="728">
                  <c:v>0</c:v>
                </c:pt>
                <c:pt idx="729">
                  <c:v>0</c:v>
                </c:pt>
                <c:pt idx="733">
                  <c:v>696.22725760000003</c:v>
                </c:pt>
                <c:pt idx="736">
                  <c:v>284.67235999999997</c:v>
                </c:pt>
                <c:pt idx="742">
                  <c:v>107.3621472</c:v>
                </c:pt>
                <c:pt idx="743">
                  <c:v>292.80585600000001</c:v>
                </c:pt>
                <c:pt idx="744">
                  <c:v>365.64131268000006</c:v>
                </c:pt>
                <c:pt idx="750">
                  <c:v>483.94301200000007</c:v>
                </c:pt>
                <c:pt idx="751">
                  <c:v>175.0035</c:v>
                </c:pt>
                <c:pt idx="755">
                  <c:v>611.42556160000004</c:v>
                </c:pt>
                <c:pt idx="757">
                  <c:v>5719.11438</c:v>
                </c:pt>
                <c:pt idx="759">
                  <c:v>324.93316520000002</c:v>
                </c:pt>
                <c:pt idx="760">
                  <c:v>71.168089999999992</c:v>
                </c:pt>
                <c:pt idx="761">
                  <c:v>0</c:v>
                </c:pt>
                <c:pt idx="762">
                  <c:v>0</c:v>
                </c:pt>
                <c:pt idx="769">
                  <c:v>162.75325500000002</c:v>
                </c:pt>
                <c:pt idx="770">
                  <c:v>412.00824000000006</c:v>
                </c:pt>
                <c:pt idx="772">
                  <c:v>462.38424749999996</c:v>
                </c:pt>
                <c:pt idx="773">
                  <c:v>170.24340480000001</c:v>
                </c:pt>
                <c:pt idx="775">
                  <c:v>142.7428548</c:v>
                </c:pt>
                <c:pt idx="777">
                  <c:v>86.930805247999999</c:v>
                </c:pt>
                <c:pt idx="778">
                  <c:v>95.710914180000003</c:v>
                </c:pt>
                <c:pt idx="781">
                  <c:v>113.868944</c:v>
                </c:pt>
                <c:pt idx="788">
                  <c:v>165.92331840000003</c:v>
                </c:pt>
                <c:pt idx="792">
                  <c:v>462.59258500000004</c:v>
                </c:pt>
                <c:pt idx="793">
                  <c:v>407.48814960000004</c:v>
                </c:pt>
                <c:pt idx="805">
                  <c:v>754.381754</c:v>
                </c:pt>
                <c:pt idx="810">
                  <c:v>813.34960000000001</c:v>
                </c:pt>
                <c:pt idx="811">
                  <c:v>364.77916210399991</c:v>
                </c:pt>
                <c:pt idx="813">
                  <c:v>515.05363420000003</c:v>
                </c:pt>
                <c:pt idx="814">
                  <c:v>240.75148160000003</c:v>
                </c:pt>
                <c:pt idx="815">
                  <c:v>432.70198720000002</c:v>
                </c:pt>
                <c:pt idx="816">
                  <c:v>533.55733759999998</c:v>
                </c:pt>
                <c:pt idx="817">
                  <c:v>631.15928960000008</c:v>
                </c:pt>
                <c:pt idx="818">
                  <c:v>1489.8531297999998</c:v>
                </c:pt>
                <c:pt idx="823">
                  <c:v>244.00488000000001</c:v>
                </c:pt>
                <c:pt idx="828">
                  <c:v>4705.6341107999997</c:v>
                </c:pt>
                <c:pt idx="829">
                  <c:v>344.0468808</c:v>
                </c:pt>
                <c:pt idx="831">
                  <c:v>598.62530560000005</c:v>
                </c:pt>
                <c:pt idx="832">
                  <c:v>4554.7577599999995</c:v>
                </c:pt>
                <c:pt idx="836">
                  <c:v>2179.7769280000002</c:v>
                </c:pt>
                <c:pt idx="837">
                  <c:v>1041.0874880000001</c:v>
                </c:pt>
                <c:pt idx="838">
                  <c:v>302.5660512</c:v>
                </c:pt>
                <c:pt idx="841">
                  <c:v>400.16800320000004</c:v>
                </c:pt>
                <c:pt idx="847">
                  <c:v>1361.3194925120001</c:v>
                </c:pt>
                <c:pt idx="848">
                  <c:v>2381.3900268480002</c:v>
                </c:pt>
                <c:pt idx="849">
                  <c:v>766.58199800000011</c:v>
                </c:pt>
                <c:pt idx="851">
                  <c:v>5022.4337800000003</c:v>
                </c:pt>
                <c:pt idx="852">
                  <c:v>3436.4020600000003</c:v>
                </c:pt>
                <c:pt idx="854">
                  <c:v>5772.6023830719996</c:v>
                </c:pt>
                <c:pt idx="855">
                  <c:v>0</c:v>
                </c:pt>
                <c:pt idx="861">
                  <c:v>1398.9613120000004</c:v>
                </c:pt>
                <c:pt idx="862">
                  <c:v>4493.7565400000003</c:v>
                </c:pt>
                <c:pt idx="864">
                  <c:v>526.05215416599992</c:v>
                </c:pt>
                <c:pt idx="865">
                  <c:v>583.78167540000004</c:v>
                </c:pt>
                <c:pt idx="866">
                  <c:v>672.01344000000006</c:v>
                </c:pt>
                <c:pt idx="867">
                  <c:v>447.38294747999998</c:v>
                </c:pt>
                <c:pt idx="870">
                  <c:v>350.85868370000003</c:v>
                </c:pt>
                <c:pt idx="872">
                  <c:v>344.96189910000004</c:v>
                </c:pt>
                <c:pt idx="879">
                  <c:v>431.62836572800001</c:v>
                </c:pt>
                <c:pt idx="880">
                  <c:v>289.75579499999998</c:v>
                </c:pt>
                <c:pt idx="881">
                  <c:v>338.76010840000004</c:v>
                </c:pt>
                <c:pt idx="891">
                  <c:v>263.52527040000001</c:v>
                </c:pt>
                <c:pt idx="892">
                  <c:v>188.69710720000003</c:v>
                </c:pt>
                <c:pt idx="899">
                  <c:v>149.65632640000001</c:v>
                </c:pt>
                <c:pt idx="900">
                  <c:v>305.81944959999998</c:v>
                </c:pt>
                <c:pt idx="901">
                  <c:v>217.9776928</c:v>
                </c:pt>
                <c:pt idx="905">
                  <c:v>508.14016259999988</c:v>
                </c:pt>
                <c:pt idx="908">
                  <c:v>284.67235999999997</c:v>
                </c:pt>
                <c:pt idx="909">
                  <c:v>62.221244400000003</c:v>
                </c:pt>
                <c:pt idx="914">
                  <c:v>2018.5710372800002</c:v>
                </c:pt>
                <c:pt idx="917">
                  <c:v>1483.5496704</c:v>
                </c:pt>
                <c:pt idx="918">
                  <c:v>290.77248199999997</c:v>
                </c:pt>
                <c:pt idx="921">
                  <c:v>5078.3515650000008</c:v>
                </c:pt>
                <c:pt idx="933">
                  <c:v>139.89613120000001</c:v>
                </c:pt>
                <c:pt idx="936">
                  <c:v>299.31265280000002</c:v>
                </c:pt>
                <c:pt idx="944">
                  <c:v>185.4437088</c:v>
                </c:pt>
                <c:pt idx="945">
                  <c:v>204.96409920000002</c:v>
                </c:pt>
                <c:pt idx="946">
                  <c:v>257.01847359999999</c:v>
                </c:pt>
                <c:pt idx="947">
                  <c:v>322.08644160000006</c:v>
                </c:pt>
                <c:pt idx="948">
                  <c:v>445.7155808</c:v>
                </c:pt>
                <c:pt idx="949">
                  <c:v>546.57093120000013</c:v>
                </c:pt>
                <c:pt idx="950">
                  <c:v>878.41756799999996</c:v>
                </c:pt>
                <c:pt idx="951">
                  <c:v>1379.4409216000001</c:v>
                </c:pt>
                <c:pt idx="952">
                  <c:v>1873.9574784000001</c:v>
                </c:pt>
                <c:pt idx="953">
                  <c:v>110.61554559999999</c:v>
                </c:pt>
                <c:pt idx="954">
                  <c:v>175.6835136</c:v>
                </c:pt>
                <c:pt idx="962">
                  <c:v>1284.6856932000001</c:v>
                </c:pt>
                <c:pt idx="963">
                  <c:v>259.05184760000003</c:v>
                </c:pt>
                <c:pt idx="968">
                  <c:v>204.96409920000002</c:v>
                </c:pt>
                <c:pt idx="969">
                  <c:v>322.08644160000006</c:v>
                </c:pt>
                <c:pt idx="980">
                  <c:v>1419.4983894000002</c:v>
                </c:pt>
                <c:pt idx="981">
                  <c:v>2371.1174214000002</c:v>
                </c:pt>
                <c:pt idx="987">
                  <c:v>1664.0332800000003</c:v>
                </c:pt>
                <c:pt idx="988">
                  <c:v>8.3335000000000008</c:v>
                </c:pt>
                <c:pt idx="990">
                  <c:v>1686.7004000000002</c:v>
                </c:pt>
                <c:pt idx="997">
                  <c:v>169.17671680000001</c:v>
                </c:pt>
                <c:pt idx="998">
                  <c:v>259.25518499999998</c:v>
                </c:pt>
                <c:pt idx="999">
                  <c:v>449.37565400000005</c:v>
                </c:pt>
                <c:pt idx="1000">
                  <c:v>224.68782700000003</c:v>
                </c:pt>
                <c:pt idx="1001">
                  <c:v>449.37565400000005</c:v>
                </c:pt>
                <c:pt idx="1012">
                  <c:v>71.867570656000012</c:v>
                </c:pt>
                <c:pt idx="1013">
                  <c:v>2197.3772800000002</c:v>
                </c:pt>
                <c:pt idx="1014">
                  <c:v>1592.0318400000001</c:v>
                </c:pt>
                <c:pt idx="1015">
                  <c:v>1456.0291200000001</c:v>
                </c:pt>
                <c:pt idx="1018">
                  <c:v>262.30524600000001</c:v>
                </c:pt>
                <c:pt idx="1019">
                  <c:v>603.91207800000007</c:v>
                </c:pt>
                <c:pt idx="1020">
                  <c:v>1091.921838</c:v>
                </c:pt>
                <c:pt idx="1021">
                  <c:v>1692.7838550000001</c:v>
                </c:pt>
                <c:pt idx="1022">
                  <c:v>244.00488000000001</c:v>
                </c:pt>
                <c:pt idx="1024">
                  <c:v>414.80829599999998</c:v>
                </c:pt>
                <c:pt idx="1025">
                  <c:v>455.475776</c:v>
                </c:pt>
                <c:pt idx="1026">
                  <c:v>292.80585600000001</c:v>
                </c:pt>
                <c:pt idx="1030">
                  <c:v>484.75636160000005</c:v>
                </c:pt>
                <c:pt idx="1035">
                  <c:v>155.553111</c:v>
                </c:pt>
                <c:pt idx="1038">
                  <c:v>342.21684420000003</c:v>
                </c:pt>
                <c:pt idx="1050">
                  <c:v>36.537697405999999</c:v>
                </c:pt>
                <c:pt idx="1051">
                  <c:v>68.512503555999999</c:v>
                </c:pt>
                <c:pt idx="1052">
                  <c:v>2124.4894889399998</c:v>
                </c:pt>
                <c:pt idx="1071">
                  <c:v>270.84541680000007</c:v>
                </c:pt>
                <c:pt idx="1083">
                  <c:v>862.15057600000023</c:v>
                </c:pt>
                <c:pt idx="1084">
                  <c:v>0</c:v>
                </c:pt>
                <c:pt idx="1091">
                  <c:v>130.77848218400001</c:v>
                </c:pt>
                <c:pt idx="1094">
                  <c:v>769.22538420000001</c:v>
                </c:pt>
                <c:pt idx="1098">
                  <c:v>559.58452480000005</c:v>
                </c:pt>
                <c:pt idx="1109">
                  <c:v>15.61631232</c:v>
                </c:pt>
                <c:pt idx="1111">
                  <c:v>251.121689</c:v>
                </c:pt>
                <c:pt idx="1112">
                  <c:v>97.805289400000007</c:v>
                </c:pt>
                <c:pt idx="1113">
                  <c:v>71.371427400000002</c:v>
                </c:pt>
                <c:pt idx="1114">
                  <c:v>71.371427400000002</c:v>
                </c:pt>
                <c:pt idx="1116">
                  <c:v>12.800255999999999</c:v>
                </c:pt>
                <c:pt idx="1117">
                  <c:v>7.4668159999999997</c:v>
                </c:pt>
                <c:pt idx="1119">
                  <c:v>160.00319999999999</c:v>
                </c:pt>
                <c:pt idx="1120">
                  <c:v>253.33840000000001</c:v>
                </c:pt>
                <c:pt idx="1121">
                  <c:v>598.62530560000005</c:v>
                </c:pt>
                <c:pt idx="1131">
                  <c:v>152.90972479999999</c:v>
                </c:pt>
                <c:pt idx="1132">
                  <c:v>191.95050560000001</c:v>
                </c:pt>
                <c:pt idx="1133">
                  <c:v>253.76507520000001</c:v>
                </c:pt>
                <c:pt idx="1134">
                  <c:v>367.63401920000001</c:v>
                </c:pt>
                <c:pt idx="1135">
                  <c:v>432.70198720000002</c:v>
                </c:pt>
                <c:pt idx="1143">
                  <c:v>575.85151680000001</c:v>
                </c:pt>
                <c:pt idx="1146">
                  <c:v>38.364582276300006</c:v>
                </c:pt>
                <c:pt idx="1149">
                  <c:v>289.14578280000001</c:v>
                </c:pt>
                <c:pt idx="1150">
                  <c:v>296.05925440000004</c:v>
                </c:pt>
                <c:pt idx="1167">
                  <c:v>123.62913920000001</c:v>
                </c:pt>
                <c:pt idx="1168">
                  <c:v>208.2174976</c:v>
                </c:pt>
                <c:pt idx="1169">
                  <c:v>208.2174976</c:v>
                </c:pt>
                <c:pt idx="1170">
                  <c:v>100.85535040000001</c:v>
                </c:pt>
                <c:pt idx="1171">
                  <c:v>35.787382400000006</c:v>
                </c:pt>
                <c:pt idx="1172">
                  <c:v>55.307772799999995</c:v>
                </c:pt>
                <c:pt idx="1173">
                  <c:v>113.868944</c:v>
                </c:pt>
                <c:pt idx="1174">
                  <c:v>126.88253760000001</c:v>
                </c:pt>
                <c:pt idx="1175">
                  <c:v>133.3893344</c:v>
                </c:pt>
                <c:pt idx="1176">
                  <c:v>159.41652160000001</c:v>
                </c:pt>
                <c:pt idx="1181">
                  <c:v>51.851036999999998</c:v>
                </c:pt>
                <c:pt idx="1182">
                  <c:v>1861.3705600000001</c:v>
                </c:pt>
                <c:pt idx="1185">
                  <c:v>471.74276800000007</c:v>
                </c:pt>
                <c:pt idx="1202">
                  <c:v>957.01914000000011</c:v>
                </c:pt>
                <c:pt idx="1223">
                  <c:v>5494.80689394</c:v>
                </c:pt>
                <c:pt idx="1237">
                  <c:v>143.14952960000002</c:v>
                </c:pt>
                <c:pt idx="1238">
                  <c:v>165.92331840000003</c:v>
                </c:pt>
                <c:pt idx="1239">
                  <c:v>214.72429439999999</c:v>
                </c:pt>
                <c:pt idx="1240">
                  <c:v>520.54374400000006</c:v>
                </c:pt>
                <c:pt idx="1251">
                  <c:v>292.48051616000009</c:v>
                </c:pt>
                <c:pt idx="1264">
                  <c:v>19.520390400000004</c:v>
                </c:pt>
                <c:pt idx="1265">
                  <c:v>13.0135936</c:v>
                </c:pt>
                <c:pt idx="1283">
                  <c:v>1490.0564672000003</c:v>
                </c:pt>
                <c:pt idx="1288">
                  <c:v>943.48553600000014</c:v>
                </c:pt>
                <c:pt idx="1289">
                  <c:v>89.468456000000003</c:v>
                </c:pt>
                <c:pt idx="1315">
                  <c:v>1756.8351360000004</c:v>
                </c:pt>
                <c:pt idx="1316">
                  <c:v>2781.655632</c:v>
                </c:pt>
                <c:pt idx="1318">
                  <c:v>2928.0585599999999</c:v>
                </c:pt>
                <c:pt idx="1319">
                  <c:v>3467.3093448000004</c:v>
                </c:pt>
                <c:pt idx="1320">
                  <c:v>1830.0366000000001</c:v>
                </c:pt>
                <c:pt idx="1326">
                  <c:v>3806.4761280000002</c:v>
                </c:pt>
                <c:pt idx="1329">
                  <c:v>3262.0402395000006</c:v>
                </c:pt>
                <c:pt idx="1331">
                  <c:v>5041.7508330000001</c:v>
                </c:pt>
                <c:pt idx="1346">
                  <c:v>2934.5653568000002</c:v>
                </c:pt>
                <c:pt idx="1347">
                  <c:v>4099.2819840000002</c:v>
                </c:pt>
                <c:pt idx="1348">
                  <c:v>4141.5761632000003</c:v>
                </c:pt>
                <c:pt idx="1349">
                  <c:v>4056.9878047999996</c:v>
                </c:pt>
                <c:pt idx="1355">
                  <c:v>2549.8509960000001</c:v>
                </c:pt>
                <c:pt idx="1356">
                  <c:v>3757.6751520000003</c:v>
                </c:pt>
                <c:pt idx="1357">
                  <c:v>6292.0725056000001</c:v>
                </c:pt>
                <c:pt idx="1360">
                  <c:v>4167.6033504000006</c:v>
                </c:pt>
                <c:pt idx="1376">
                  <c:v>24.197150600000001</c:v>
                </c:pt>
                <c:pt idx="1378">
                  <c:v>110.235304662</c:v>
                </c:pt>
                <c:pt idx="1380">
                  <c:v>131.35596040000001</c:v>
                </c:pt>
                <c:pt idx="1381">
                  <c:v>162.46658260000001</c:v>
                </c:pt>
                <c:pt idx="1382">
                  <c:v>32.533984000000004</c:v>
                </c:pt>
                <c:pt idx="1383">
                  <c:v>48.800976000000006</c:v>
                </c:pt>
                <c:pt idx="1384">
                  <c:v>36.600732000000001</c:v>
                </c:pt>
                <c:pt idx="1385">
                  <c:v>36.600732000000001</c:v>
                </c:pt>
                <c:pt idx="1388">
                  <c:v>211.47089600000001</c:v>
                </c:pt>
                <c:pt idx="1389">
                  <c:v>364.78729559999999</c:v>
                </c:pt>
                <c:pt idx="1391">
                  <c:v>684.63702580000017</c:v>
                </c:pt>
                <c:pt idx="1396">
                  <c:v>709.25418480000008</c:v>
                </c:pt>
                <c:pt idx="1402">
                  <c:v>465.19530371999991</c:v>
                </c:pt>
                <c:pt idx="1407">
                  <c:v>260.27187200000003</c:v>
                </c:pt>
                <c:pt idx="1430">
                  <c:v>809.28285200000005</c:v>
                </c:pt>
                <c:pt idx="1431">
                  <c:v>1215.9576520000001</c:v>
                </c:pt>
                <c:pt idx="1432">
                  <c:v>1053.287732</c:v>
                </c:pt>
                <c:pt idx="1436">
                  <c:v>30.400608000000005</c:v>
                </c:pt>
                <c:pt idx="1437">
                  <c:v>617.51234999999997</c:v>
                </c:pt>
                <c:pt idx="1438">
                  <c:v>649.36298700000009</c:v>
                </c:pt>
                <c:pt idx="1439">
                  <c:v>32.175643499999993</c:v>
                </c:pt>
                <c:pt idx="1441">
                  <c:v>192.00384000000003</c:v>
                </c:pt>
                <c:pt idx="1442">
                  <c:v>207.73748800000001</c:v>
                </c:pt>
                <c:pt idx="1444">
                  <c:v>175.0035</c:v>
                </c:pt>
                <c:pt idx="1446">
                  <c:v>15377.797549799998</c:v>
                </c:pt>
                <c:pt idx="1452">
                  <c:v>731.64863268000011</c:v>
                </c:pt>
                <c:pt idx="1453">
                  <c:v>1829.6705926799998</c:v>
                </c:pt>
                <c:pt idx="1461">
                  <c:v>237.90475800000002</c:v>
                </c:pt>
                <c:pt idx="1462">
                  <c:v>60.594545200000006</c:v>
                </c:pt>
                <c:pt idx="1463">
                  <c:v>1670.6200784</c:v>
                </c:pt>
                <c:pt idx="1464">
                  <c:v>17.24301152</c:v>
                </c:pt>
                <c:pt idx="1470">
                  <c:v>585.28637216000004</c:v>
                </c:pt>
                <c:pt idx="1471">
                  <c:v>0</c:v>
                </c:pt>
                <c:pt idx="1472">
                  <c:v>0</c:v>
                </c:pt>
                <c:pt idx="1474">
                  <c:v>1081.754968</c:v>
                </c:pt>
                <c:pt idx="1475">
                  <c:v>396.50792999999999</c:v>
                </c:pt>
                <c:pt idx="1477">
                  <c:v>417.76835520000003</c:v>
                </c:pt>
                <c:pt idx="1480">
                  <c:v>237.00474000000003</c:v>
                </c:pt>
                <c:pt idx="1481">
                  <c:v>53.334400000000002</c:v>
                </c:pt>
                <c:pt idx="1484">
                  <c:v>1301.0340201600002</c:v>
                </c:pt>
                <c:pt idx="1485">
                  <c:v>2600.0520000000001</c:v>
                </c:pt>
                <c:pt idx="1486">
                  <c:v>5413.4416000000001</c:v>
                </c:pt>
                <c:pt idx="1487">
                  <c:v>135.33604</c:v>
                </c:pt>
                <c:pt idx="1494">
                  <c:v>182.63765268</c:v>
                </c:pt>
                <c:pt idx="1495">
                  <c:v>475.44350868000004</c:v>
                </c:pt>
                <c:pt idx="1500">
                  <c:v>127.20787744</c:v>
                </c:pt>
                <c:pt idx="1507">
                  <c:v>43.351533680000003</c:v>
                </c:pt>
                <c:pt idx="1508">
                  <c:v>6634.6878911040012</c:v>
                </c:pt>
                <c:pt idx="1509">
                  <c:v>467.47268260000004</c:v>
                </c:pt>
                <c:pt idx="1510">
                  <c:v>787.32241280000005</c:v>
                </c:pt>
                <c:pt idx="1514">
                  <c:v>798.38396736000004</c:v>
                </c:pt>
                <c:pt idx="1515">
                  <c:v>488.00976000000003</c:v>
                </c:pt>
                <c:pt idx="1517">
                  <c:v>452.22237759999996</c:v>
                </c:pt>
                <c:pt idx="1518">
                  <c:v>553.07772800000009</c:v>
                </c:pt>
                <c:pt idx="1519">
                  <c:v>4189.9837980000002</c:v>
                </c:pt>
                <c:pt idx="1520">
                  <c:v>517.34368000000006</c:v>
                </c:pt>
                <c:pt idx="1521">
                  <c:v>920.01840000000004</c:v>
                </c:pt>
                <c:pt idx="1522">
                  <c:v>849.52739020800004</c:v>
                </c:pt>
                <c:pt idx="1523">
                  <c:v>518.51036999999997</c:v>
                </c:pt>
                <c:pt idx="1527">
                  <c:v>170.80341600000003</c:v>
                </c:pt>
                <c:pt idx="1530">
                  <c:v>2013.7902750000001</c:v>
                </c:pt>
                <c:pt idx="1532">
                  <c:v>226.92453840000005</c:v>
                </c:pt>
                <c:pt idx="1534">
                  <c:v>712.4942496000001</c:v>
                </c:pt>
                <c:pt idx="1535">
                  <c:v>260.27187200000003</c:v>
                </c:pt>
                <c:pt idx="1537">
                  <c:v>114.35695376</c:v>
                </c:pt>
                <c:pt idx="1541">
                  <c:v>201.71070080000001</c:v>
                </c:pt>
                <c:pt idx="1542">
                  <c:v>76.65819980000002</c:v>
                </c:pt>
                <c:pt idx="1543">
                  <c:v>257.01847359999999</c:v>
                </c:pt>
                <c:pt idx="1544">
                  <c:v>679.96026560000007</c:v>
                </c:pt>
                <c:pt idx="1545">
                  <c:v>484.75636160000005</c:v>
                </c:pt>
                <c:pt idx="1546">
                  <c:v>80.928285200000005</c:v>
                </c:pt>
                <c:pt idx="1547">
                  <c:v>105.3287732</c:v>
                </c:pt>
                <c:pt idx="1548">
                  <c:v>203.3374</c:v>
                </c:pt>
                <c:pt idx="1550">
                  <c:v>1496.9699388000001</c:v>
                </c:pt>
                <c:pt idx="1554">
                  <c:v>237.37404738600003</c:v>
                </c:pt>
                <c:pt idx="1555">
                  <c:v>120.00240000000001</c:v>
                </c:pt>
                <c:pt idx="1557">
                  <c:v>1250.8300161</c:v>
                </c:pt>
                <c:pt idx="1559">
                  <c:v>646.67393321999998</c:v>
                </c:pt>
                <c:pt idx="1560">
                  <c:v>228.52073699000002</c:v>
                </c:pt>
                <c:pt idx="1563">
                  <c:v>2.6433862000000001</c:v>
                </c:pt>
                <c:pt idx="1566">
                  <c:v>0</c:v>
                </c:pt>
                <c:pt idx="1567">
                  <c:v>8967.1793400000006</c:v>
                </c:pt>
                <c:pt idx="1568">
                  <c:v>4736.7447329999995</c:v>
                </c:pt>
                <c:pt idx="1569">
                  <c:v>435.54871079999992</c:v>
                </c:pt>
                <c:pt idx="1570">
                  <c:v>2618.8840433</c:v>
                </c:pt>
                <c:pt idx="1572">
                  <c:v>101.2620252</c:v>
                </c:pt>
                <c:pt idx="1573">
                  <c:v>483.34300000000002</c:v>
                </c:pt>
                <c:pt idx="1577">
                  <c:v>295.85591699999998</c:v>
                </c:pt>
                <c:pt idx="1585">
                  <c:v>1805.6361120000004</c:v>
                </c:pt>
                <c:pt idx="1588">
                  <c:v>583.34500000000003</c:v>
                </c:pt>
                <c:pt idx="1589">
                  <c:v>1201.6907000000001</c:v>
                </c:pt>
                <c:pt idx="1590">
                  <c:v>673.5551375</c:v>
                </c:pt>
                <c:pt idx="1594">
                  <c:v>351.3670272</c:v>
                </c:pt>
                <c:pt idx="1595">
                  <c:v>1999.7480941619999</c:v>
                </c:pt>
                <c:pt idx="1596">
                  <c:v>398.34203334800003</c:v>
                </c:pt>
                <c:pt idx="1598">
                  <c:v>1794.0358800000001</c:v>
                </c:pt>
                <c:pt idx="1599">
                  <c:v>2333.44916805</c:v>
                </c:pt>
                <c:pt idx="1600">
                  <c:v>144.648126238</c:v>
                </c:pt>
                <c:pt idx="1601">
                  <c:v>1009.2672182740002</c:v>
                </c:pt>
                <c:pt idx="1602">
                  <c:v>2590.8356823440004</c:v>
                </c:pt>
                <c:pt idx="1603">
                  <c:v>160.53996073500002</c:v>
                </c:pt>
                <c:pt idx="1604">
                  <c:v>1208.2918320200001</c:v>
                </c:pt>
                <c:pt idx="1605">
                  <c:v>4002.9773246119998</c:v>
                </c:pt>
                <c:pt idx="1606">
                  <c:v>233.95187894400001</c:v>
                </c:pt>
                <c:pt idx="1607">
                  <c:v>2048.7015732119999</c:v>
                </c:pt>
                <c:pt idx="1608">
                  <c:v>1321.6768330079999</c:v>
                </c:pt>
                <c:pt idx="1609">
                  <c:v>1005.6905134079999</c:v>
                </c:pt>
                <c:pt idx="1610">
                  <c:v>2453.6968062880001</c:v>
                </c:pt>
                <c:pt idx="1611">
                  <c:v>5617.7487527279991</c:v>
                </c:pt>
                <c:pt idx="1612">
                  <c:v>292.59235173000002</c:v>
                </c:pt>
                <c:pt idx="1613">
                  <c:v>4809.2873838240002</c:v>
                </c:pt>
                <c:pt idx="1614">
                  <c:v>250.34900687999996</c:v>
                </c:pt>
                <c:pt idx="1617">
                  <c:v>0</c:v>
                </c:pt>
                <c:pt idx="1618">
                  <c:v>534.34402</c:v>
                </c:pt>
                <c:pt idx="1619">
                  <c:v>1789.70246</c:v>
                </c:pt>
                <c:pt idx="1620">
                  <c:v>0</c:v>
                </c:pt>
                <c:pt idx="1621">
                  <c:v>3687.523749</c:v>
                </c:pt>
                <c:pt idx="1622">
                  <c:v>1891.3428260999999</c:v>
                </c:pt>
                <c:pt idx="1623">
                  <c:v>204.96409920000002</c:v>
                </c:pt>
                <c:pt idx="1624">
                  <c:v>3257.4651480000002</c:v>
                </c:pt>
                <c:pt idx="1625">
                  <c:v>665.01330000000007</c:v>
                </c:pt>
                <c:pt idx="1626">
                  <c:v>1906.3714600000001</c:v>
                </c:pt>
                <c:pt idx="1627">
                  <c:v>3012.2310934169996</c:v>
                </c:pt>
                <c:pt idx="1628">
                  <c:v>4911.8182344000006</c:v>
                </c:pt>
                <c:pt idx="1629">
                  <c:v>5446.5447620499999</c:v>
                </c:pt>
                <c:pt idx="1632">
                  <c:v>5649.2863834680002</c:v>
                </c:pt>
                <c:pt idx="1633">
                  <c:v>344.45355560000002</c:v>
                </c:pt>
                <c:pt idx="1634">
                  <c:v>356.25712500000003</c:v>
                </c:pt>
                <c:pt idx="1635">
                  <c:v>1732.5346500000001</c:v>
                </c:pt>
                <c:pt idx="1639">
                  <c:v>6302.4177125000006</c:v>
                </c:pt>
                <c:pt idx="1641">
                  <c:v>993.77941519080002</c:v>
                </c:pt>
                <c:pt idx="1642">
                  <c:v>1812.5362500000001</c:v>
                </c:pt>
                <c:pt idx="1643">
                  <c:v>2912.55825</c:v>
                </c:pt>
                <c:pt idx="1644">
                  <c:v>822.51645000000008</c:v>
                </c:pt>
                <c:pt idx="1645">
                  <c:v>2147.54295</c:v>
                </c:pt>
                <c:pt idx="1654">
                  <c:v>284.67235999999997</c:v>
                </c:pt>
                <c:pt idx="1656">
                  <c:v>65.881317600000017</c:v>
                </c:pt>
                <c:pt idx="1658">
                  <c:v>290.36580720000001</c:v>
                </c:pt>
                <c:pt idx="1661">
                  <c:v>81.995806549999998</c:v>
                </c:pt>
                <c:pt idx="1662">
                  <c:v>202.68672032000001</c:v>
                </c:pt>
                <c:pt idx="1663">
                  <c:v>373.32746640000005</c:v>
                </c:pt>
                <c:pt idx="1664">
                  <c:v>276.53886400000005</c:v>
                </c:pt>
                <c:pt idx="1665">
                  <c:v>634.412688</c:v>
                </c:pt>
                <c:pt idx="1666">
                  <c:v>2017.1070080000002</c:v>
                </c:pt>
                <c:pt idx="1668">
                  <c:v>182.59698520000001</c:v>
                </c:pt>
                <c:pt idx="1669">
                  <c:v>113.868944</c:v>
                </c:pt>
                <c:pt idx="1670">
                  <c:v>856.45712880000008</c:v>
                </c:pt>
                <c:pt idx="1671">
                  <c:v>702.73405439999999</c:v>
                </c:pt>
                <c:pt idx="1672">
                  <c:v>361.6739</c:v>
                </c:pt>
                <c:pt idx="1673" formatCode="General">
                  <c:v>495.00990000000002</c:v>
                </c:pt>
                <c:pt idx="1674">
                  <c:v>437.32181292799999</c:v>
                </c:pt>
                <c:pt idx="1675">
                  <c:v>389.33418652800003</c:v>
                </c:pt>
                <c:pt idx="1677">
                  <c:v>400.00533328</c:v>
                </c:pt>
                <c:pt idx="1679">
                  <c:v>559.45438886400007</c:v>
                </c:pt>
                <c:pt idx="1681">
                  <c:v>383.99861315200002</c:v>
                </c:pt>
                <c:pt idx="1682">
                  <c:v>552.00410652799997</c:v>
                </c:pt>
                <c:pt idx="1689">
                  <c:v>320.00426662400002</c:v>
                </c:pt>
                <c:pt idx="1691">
                  <c:v>81.334960000000009</c:v>
                </c:pt>
                <c:pt idx="1698">
                  <c:v>494.10988199999997</c:v>
                </c:pt>
                <c:pt idx="1699">
                  <c:v>0</c:v>
                </c:pt>
                <c:pt idx="1700">
                  <c:v>302.87919079600005</c:v>
                </c:pt>
                <c:pt idx="1701">
                  <c:v>564.381254066</c:v>
                </c:pt>
                <c:pt idx="1704">
                  <c:v>324.93316520000002</c:v>
                </c:pt>
                <c:pt idx="1705">
                  <c:v>284.26568520000001</c:v>
                </c:pt>
                <c:pt idx="1706">
                  <c:v>2623.0524599999999</c:v>
                </c:pt>
                <c:pt idx="1708">
                  <c:v>417.00834000000003</c:v>
                </c:pt>
                <c:pt idx="1709">
                  <c:v>474.34548672000005</c:v>
                </c:pt>
                <c:pt idx="1710">
                  <c:v>239.93813200000002</c:v>
                </c:pt>
                <c:pt idx="1713">
                  <c:v>117.93569200000002</c:v>
                </c:pt>
                <c:pt idx="1716">
                  <c:v>416.25832500000007</c:v>
                </c:pt>
                <c:pt idx="1723">
                  <c:v>586.83173639999995</c:v>
                </c:pt>
                <c:pt idx="1724">
                  <c:v>840.59681160000002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1458544"/>
        <c:axId val="201459104"/>
      </c:barChart>
      <c:catAx>
        <c:axId val="201458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Y"/>
          </a:p>
        </c:txPr>
        <c:crossAx val="201459104"/>
        <c:crosses val="autoZero"/>
        <c:auto val="1"/>
        <c:lblAlgn val="ctr"/>
        <c:lblOffset val="100"/>
        <c:noMultiLvlLbl val="0"/>
      </c:catAx>
      <c:valAx>
        <c:axId val="201459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Y"/>
          </a:p>
        </c:txPr>
        <c:crossAx val="201458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UY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UY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111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8311" cy="6281351"/>
    <xdr:graphicFrame macro="">
      <xdr:nvGraphicFramePr>
        <xdr:cNvPr id="2" name="Gráfico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aalvez@denucio.com" TargetMode="External"/><Relationship Id="rId2" Type="http://schemas.openxmlformats.org/officeDocument/2006/relationships/hyperlink" Target="mailto:carlosrivoir1955@gmail-kentiaplantas" TargetMode="External"/><Relationship Id="rId1" Type="http://schemas.openxmlformats.org/officeDocument/2006/relationships/hyperlink" Target="mailto:villalasflores@outlook" TargetMode="External"/><Relationship Id="rId6" Type="http://schemas.openxmlformats.org/officeDocument/2006/relationships/printerSettings" Target="../printerSettings/printerSettings2.bin"/><Relationship Id="rId5" Type="http://schemas.openxmlformats.org/officeDocument/2006/relationships/hyperlink" Target="mailto:Leandrogomez2025@" TargetMode="External"/><Relationship Id="rId4" Type="http://schemas.openxmlformats.org/officeDocument/2006/relationships/hyperlink" Target="mailto:kentiap@adinet.com.uy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filterMode="1"/>
  <dimension ref="A1:AO2291"/>
  <sheetViews>
    <sheetView tabSelected="1" zoomScale="80" zoomScaleNormal="80" workbookViewId="0">
      <selection activeCell="L1" sqref="L1"/>
    </sheetView>
  </sheetViews>
  <sheetFormatPr baseColWidth="10" defaultRowHeight="15" customHeight="1"/>
  <cols>
    <col min="1" max="1" width="14.85546875" customWidth="1"/>
    <col min="2" max="2" width="60.28515625" style="108" customWidth="1"/>
    <col min="3" max="3" width="20.7109375" style="126" customWidth="1"/>
    <col min="4" max="4" width="20.42578125" style="126" customWidth="1"/>
    <col min="5" max="5" width="9.5703125" style="108" customWidth="1"/>
    <col min="6" max="6" width="15.85546875" style="108" customWidth="1"/>
    <col min="7" max="7" width="7.7109375" style="126" customWidth="1"/>
    <col min="8" max="8" width="12.85546875" style="108" customWidth="1"/>
    <col min="9" max="9" width="6.7109375" style="126" customWidth="1"/>
    <col min="10" max="10" width="16.5703125" style="108" customWidth="1"/>
    <col min="11" max="11" width="16.85546875" style="60" customWidth="1"/>
    <col min="12" max="12" width="7.7109375" style="60" customWidth="1"/>
    <col min="13" max="13" width="10.85546875" style="8" customWidth="1"/>
    <col min="14" max="14" width="5.5703125" customWidth="1"/>
    <col min="15" max="15" width="21.7109375" customWidth="1"/>
    <col min="16" max="19" width="11.42578125" customWidth="1"/>
  </cols>
  <sheetData>
    <row r="1" spans="1:15" ht="14.25" customHeight="1" thickBot="1">
      <c r="A1" s="19" t="s">
        <v>4589</v>
      </c>
      <c r="B1" s="84" t="s">
        <v>4590</v>
      </c>
      <c r="C1" s="84" t="s">
        <v>0</v>
      </c>
      <c r="D1" s="128" t="s">
        <v>4591</v>
      </c>
      <c r="E1" s="84" t="s">
        <v>4592</v>
      </c>
      <c r="F1" s="84" t="s">
        <v>530</v>
      </c>
      <c r="G1" s="84" t="s">
        <v>4594</v>
      </c>
      <c r="H1" s="84" t="s">
        <v>4593</v>
      </c>
      <c r="I1" s="84" t="s">
        <v>21</v>
      </c>
      <c r="J1" s="130" t="s">
        <v>4595</v>
      </c>
      <c r="K1" s="76" t="s">
        <v>4596</v>
      </c>
      <c r="L1" s="76"/>
      <c r="M1" s="76"/>
      <c r="N1" s="76" t="e">
        <f>G1*H1*I1*E1</f>
        <v>#VALUE!</v>
      </c>
      <c r="O1" s="77" t="e">
        <f>K1*1.6667</f>
        <v>#VALUE!</v>
      </c>
    </row>
    <row r="2" spans="1:15" ht="18" customHeight="1">
      <c r="A2" s="20"/>
      <c r="B2" s="205" t="s">
        <v>480</v>
      </c>
      <c r="C2" s="205" t="s">
        <v>0</v>
      </c>
      <c r="D2" s="208" t="s">
        <v>1599</v>
      </c>
      <c r="E2" s="85" t="s">
        <v>1</v>
      </c>
      <c r="F2" s="209" t="s">
        <v>530</v>
      </c>
      <c r="G2" s="209" t="s">
        <v>2186</v>
      </c>
      <c r="H2" s="209" t="s">
        <v>940</v>
      </c>
      <c r="I2" s="209" t="s">
        <v>21</v>
      </c>
      <c r="J2" s="209"/>
      <c r="K2" s="211" t="s">
        <v>2</v>
      </c>
      <c r="L2" s="211" t="s">
        <v>2103</v>
      </c>
      <c r="M2" s="216" t="s">
        <v>1546</v>
      </c>
      <c r="N2" s="217" t="s">
        <v>3</v>
      </c>
      <c r="O2" s="218" t="s">
        <v>4</v>
      </c>
    </row>
    <row r="3" spans="1:15" ht="18" customHeight="1">
      <c r="A3" s="20"/>
      <c r="B3" s="223" t="s">
        <v>4313</v>
      </c>
      <c r="C3" s="165" t="s">
        <v>3017</v>
      </c>
      <c r="D3" s="85" t="s">
        <v>3858</v>
      </c>
      <c r="E3" s="85">
        <v>1.2</v>
      </c>
      <c r="F3" s="85">
        <v>1800</v>
      </c>
      <c r="G3" s="85"/>
      <c r="H3" s="85">
        <v>1.5</v>
      </c>
      <c r="I3" s="85"/>
      <c r="J3" s="131">
        <v>45558</v>
      </c>
      <c r="K3" s="10">
        <v>4600</v>
      </c>
      <c r="L3" s="10"/>
      <c r="M3" s="10"/>
      <c r="N3" s="10"/>
      <c r="O3" s="14"/>
    </row>
    <row r="4" spans="1:15" ht="18" customHeight="1">
      <c r="A4" s="21">
        <v>10</v>
      </c>
      <c r="B4" s="28" t="s">
        <v>1605</v>
      </c>
      <c r="C4" s="28" t="s">
        <v>122</v>
      </c>
      <c r="D4" s="28" t="s">
        <v>14</v>
      </c>
      <c r="E4" s="28">
        <v>1</v>
      </c>
      <c r="F4" s="28">
        <v>264.17</v>
      </c>
      <c r="G4" s="28"/>
      <c r="H4" s="28">
        <v>1.5</v>
      </c>
      <c r="I4" s="28"/>
      <c r="J4" s="131">
        <v>44636</v>
      </c>
      <c r="K4" s="9">
        <f t="shared" ref="K4:K28" si="0">E4*F4*H4</f>
        <v>396.255</v>
      </c>
      <c r="L4" s="9"/>
      <c r="M4" s="9"/>
      <c r="N4" s="9">
        <f>G4*H4*I4*E4</f>
        <v>0</v>
      </c>
      <c r="O4" s="3">
        <f>K117*1.6667</f>
        <v>174.87016400000002</v>
      </c>
    </row>
    <row r="5" spans="1:15" ht="15" customHeight="1">
      <c r="A5" s="16"/>
      <c r="B5" s="28" t="s">
        <v>1982</v>
      </c>
      <c r="C5" s="28" t="s">
        <v>11</v>
      </c>
      <c r="D5" s="28" t="s">
        <v>1748</v>
      </c>
      <c r="E5" s="28">
        <v>1</v>
      </c>
      <c r="F5" s="28">
        <v>168</v>
      </c>
      <c r="G5" s="110"/>
      <c r="H5" s="28">
        <v>1.5</v>
      </c>
      <c r="I5" s="110"/>
      <c r="J5" s="134">
        <v>45772</v>
      </c>
      <c r="K5" s="9">
        <f t="shared" si="0"/>
        <v>252</v>
      </c>
      <c r="L5" s="9"/>
      <c r="M5" s="16"/>
      <c r="N5" s="38"/>
      <c r="O5" s="16"/>
    </row>
    <row r="6" spans="1:15" ht="18" customHeight="1">
      <c r="A6" s="21" t="s">
        <v>1413</v>
      </c>
      <c r="B6" s="28" t="s">
        <v>212</v>
      </c>
      <c r="C6" s="28" t="s">
        <v>211</v>
      </c>
      <c r="D6" s="28" t="s">
        <v>207</v>
      </c>
      <c r="E6" s="28">
        <v>1.22</v>
      </c>
      <c r="F6" s="28">
        <v>260</v>
      </c>
      <c r="G6" s="28"/>
      <c r="H6" s="28">
        <v>1.3</v>
      </c>
      <c r="I6" s="28"/>
      <c r="J6" s="133">
        <v>43893</v>
      </c>
      <c r="K6" s="9">
        <f t="shared" si="0"/>
        <v>412.36</v>
      </c>
      <c r="L6" s="9"/>
      <c r="M6" s="9"/>
      <c r="N6" s="9">
        <f>G6*H6*I6*E6</f>
        <v>0</v>
      </c>
      <c r="O6" s="3">
        <f>K6*1.6667</f>
        <v>687.28041200000007</v>
      </c>
    </row>
    <row r="7" spans="1:15" ht="18" customHeight="1">
      <c r="A7" s="21"/>
      <c r="B7" s="28" t="s">
        <v>214</v>
      </c>
      <c r="C7" s="28" t="s">
        <v>215</v>
      </c>
      <c r="D7" s="28" t="s">
        <v>207</v>
      </c>
      <c r="E7" s="28">
        <v>1.22</v>
      </c>
      <c r="F7" s="28">
        <v>13</v>
      </c>
      <c r="G7" s="28"/>
      <c r="H7" s="28">
        <v>3</v>
      </c>
      <c r="I7" s="28"/>
      <c r="J7" s="133">
        <v>43893</v>
      </c>
      <c r="K7" s="9">
        <f t="shared" si="0"/>
        <v>47.58</v>
      </c>
      <c r="L7" s="9"/>
      <c r="M7" s="9"/>
      <c r="N7" s="9">
        <f>G7*H7*I7*E7</f>
        <v>0</v>
      </c>
      <c r="O7" s="3">
        <f>K7*1.6667</f>
        <v>79.301586</v>
      </c>
    </row>
    <row r="8" spans="1:15" ht="18" customHeight="1">
      <c r="A8" s="21">
        <v>320</v>
      </c>
      <c r="B8" s="28" t="s">
        <v>8</v>
      </c>
      <c r="C8" s="28" t="s">
        <v>9</v>
      </c>
      <c r="D8" s="28" t="s">
        <v>10</v>
      </c>
      <c r="E8" s="28">
        <v>1</v>
      </c>
      <c r="F8" s="28">
        <v>93.5</v>
      </c>
      <c r="G8" s="28">
        <v>0</v>
      </c>
      <c r="H8" s="28">
        <v>1.8</v>
      </c>
      <c r="I8" s="28"/>
      <c r="J8" s="133">
        <v>44057</v>
      </c>
      <c r="K8" s="9">
        <f t="shared" si="0"/>
        <v>168.3</v>
      </c>
      <c r="L8" s="9"/>
      <c r="M8" s="9"/>
      <c r="N8" s="9">
        <f>G8*H8*I8*E8</f>
        <v>0</v>
      </c>
      <c r="O8" s="2">
        <f>K8*1.6667</f>
        <v>280.50561000000005</v>
      </c>
    </row>
    <row r="9" spans="1:15" ht="18" customHeight="1">
      <c r="A9" s="21">
        <v>320</v>
      </c>
      <c r="B9" s="28" t="s">
        <v>8</v>
      </c>
      <c r="C9" s="28" t="s">
        <v>11</v>
      </c>
      <c r="D9" s="28" t="s">
        <v>10</v>
      </c>
      <c r="E9" s="28">
        <v>1</v>
      </c>
      <c r="F9" s="28">
        <v>9.35</v>
      </c>
      <c r="G9" s="28">
        <v>0</v>
      </c>
      <c r="H9" s="28">
        <v>5</v>
      </c>
      <c r="I9" s="28"/>
      <c r="J9" s="133">
        <v>44057</v>
      </c>
      <c r="K9" s="9">
        <f t="shared" si="0"/>
        <v>46.75</v>
      </c>
      <c r="L9" s="9"/>
      <c r="M9" s="9"/>
      <c r="N9" s="9">
        <f>G9*H9*I9*E9</f>
        <v>0</v>
      </c>
      <c r="O9" s="2">
        <f>K9*1.6667</f>
        <v>77.918225000000007</v>
      </c>
    </row>
    <row r="10" spans="1:15" ht="18" customHeight="1">
      <c r="A10" s="21"/>
      <c r="B10" s="28" t="s">
        <v>8</v>
      </c>
      <c r="C10" s="28" t="s">
        <v>12</v>
      </c>
      <c r="D10" s="28" t="s">
        <v>10</v>
      </c>
      <c r="E10" s="28">
        <v>1</v>
      </c>
      <c r="F10" s="28">
        <v>1070</v>
      </c>
      <c r="G10" s="28">
        <v>0</v>
      </c>
      <c r="H10" s="28">
        <v>1.6</v>
      </c>
      <c r="I10" s="28">
        <v>0</v>
      </c>
      <c r="J10" s="133">
        <v>44057</v>
      </c>
      <c r="K10" s="9">
        <f t="shared" si="0"/>
        <v>1712</v>
      </c>
      <c r="L10" s="9"/>
      <c r="M10" s="9"/>
      <c r="N10" s="9">
        <f>G10*H10*I10*E10</f>
        <v>0</v>
      </c>
      <c r="O10" s="2">
        <f>K10*1.6667</f>
        <v>2853.3904000000002</v>
      </c>
    </row>
    <row r="11" spans="1:15" ht="18" customHeight="1">
      <c r="A11" s="16"/>
      <c r="B11" s="28" t="s">
        <v>1931</v>
      </c>
      <c r="C11" s="28" t="s">
        <v>300</v>
      </c>
      <c r="D11" s="28" t="s">
        <v>207</v>
      </c>
      <c r="E11" s="28">
        <v>1.22</v>
      </c>
      <c r="F11" s="28">
        <v>0</v>
      </c>
      <c r="G11" s="110"/>
      <c r="H11" s="28">
        <v>1.5</v>
      </c>
      <c r="I11" s="110"/>
      <c r="J11" s="134">
        <v>44415</v>
      </c>
      <c r="K11" s="9">
        <f t="shared" si="0"/>
        <v>0</v>
      </c>
      <c r="L11" s="35"/>
      <c r="M11" s="17"/>
      <c r="N11" s="16"/>
      <c r="O11" s="16"/>
    </row>
    <row r="12" spans="1:15" ht="18" customHeight="1">
      <c r="A12" s="46" t="s">
        <v>1748</v>
      </c>
      <c r="B12" s="80" t="s">
        <v>1981</v>
      </c>
      <c r="C12" s="79" t="s">
        <v>1980</v>
      </c>
      <c r="D12" s="28" t="s">
        <v>1748</v>
      </c>
      <c r="E12" s="80">
        <v>1</v>
      </c>
      <c r="F12" s="80">
        <v>906</v>
      </c>
      <c r="G12" s="110"/>
      <c r="H12" s="80">
        <v>1.5</v>
      </c>
      <c r="I12" s="110"/>
      <c r="J12" s="134">
        <v>45772</v>
      </c>
      <c r="K12" s="9">
        <f t="shared" si="0"/>
        <v>1359</v>
      </c>
      <c r="L12" s="9"/>
      <c r="M12" s="17"/>
      <c r="N12" s="16"/>
      <c r="O12" s="16"/>
    </row>
    <row r="13" spans="1:15" ht="18" customHeight="1">
      <c r="A13" s="16" t="s">
        <v>4571</v>
      </c>
      <c r="B13" s="80" t="s">
        <v>4572</v>
      </c>
      <c r="C13" s="110"/>
      <c r="D13" s="110" t="s">
        <v>1921</v>
      </c>
      <c r="E13" s="87">
        <v>1.22</v>
      </c>
      <c r="F13" s="87">
        <v>72</v>
      </c>
      <c r="G13" s="110"/>
      <c r="H13" s="87">
        <v>1.8</v>
      </c>
      <c r="I13" s="110"/>
      <c r="J13" s="135">
        <v>46009</v>
      </c>
      <c r="K13" s="9">
        <f t="shared" si="0"/>
        <v>158.11200000000002</v>
      </c>
      <c r="L13" s="37"/>
      <c r="M13" s="17"/>
      <c r="N13" s="16"/>
      <c r="O13" s="16"/>
    </row>
    <row r="14" spans="1:15" ht="18" customHeight="1">
      <c r="A14" s="16" t="s">
        <v>3970</v>
      </c>
      <c r="B14" s="87" t="s">
        <v>3971</v>
      </c>
      <c r="C14" s="110"/>
      <c r="D14" s="28" t="s">
        <v>1921</v>
      </c>
      <c r="E14" s="28">
        <v>1.22</v>
      </c>
      <c r="F14" s="87">
        <v>72</v>
      </c>
      <c r="G14" s="110"/>
      <c r="H14" s="87">
        <v>2</v>
      </c>
      <c r="I14" s="110"/>
      <c r="J14" s="135">
        <v>45636</v>
      </c>
      <c r="K14" s="9">
        <f t="shared" si="0"/>
        <v>175.68</v>
      </c>
      <c r="L14" s="37"/>
      <c r="M14" s="17"/>
      <c r="N14" s="16"/>
      <c r="O14" s="16"/>
    </row>
    <row r="15" spans="1:15" ht="18" customHeight="1">
      <c r="A15" s="26" t="s">
        <v>2319</v>
      </c>
      <c r="B15" s="80" t="s">
        <v>2320</v>
      </c>
      <c r="C15" s="80" t="s">
        <v>2323</v>
      </c>
      <c r="D15" s="28" t="s">
        <v>1865</v>
      </c>
      <c r="E15" s="80">
        <v>1.22</v>
      </c>
      <c r="F15" s="80">
        <v>72</v>
      </c>
      <c r="G15" s="80"/>
      <c r="H15" s="80">
        <v>1.6</v>
      </c>
      <c r="I15" s="80"/>
      <c r="J15" s="134">
        <v>46009</v>
      </c>
      <c r="K15" s="9">
        <f t="shared" si="0"/>
        <v>140.54400000000001</v>
      </c>
      <c r="L15" s="9"/>
      <c r="M15" s="17"/>
      <c r="N15" s="44"/>
      <c r="O15" s="44"/>
    </row>
    <row r="16" spans="1:15" ht="18" customHeight="1">
      <c r="A16" s="46" t="s">
        <v>2701</v>
      </c>
      <c r="B16" s="28" t="s">
        <v>2017</v>
      </c>
      <c r="C16" s="28" t="s">
        <v>2018</v>
      </c>
      <c r="D16" s="28" t="s">
        <v>1030</v>
      </c>
      <c r="E16" s="28">
        <v>1.22</v>
      </c>
      <c r="F16" s="28">
        <v>160</v>
      </c>
      <c r="G16" s="110"/>
      <c r="H16" s="28">
        <v>1.6</v>
      </c>
      <c r="I16" s="110"/>
      <c r="J16" s="134">
        <v>44992</v>
      </c>
      <c r="K16" s="9">
        <f t="shared" si="0"/>
        <v>312.32</v>
      </c>
      <c r="L16" s="9"/>
      <c r="M16" s="17"/>
      <c r="N16" s="16"/>
      <c r="O16" s="16"/>
    </row>
    <row r="17" spans="1:15" ht="18" customHeight="1">
      <c r="A17" s="21">
        <v>3120</v>
      </c>
      <c r="B17" s="28" t="s">
        <v>1282</v>
      </c>
      <c r="C17" s="28" t="s">
        <v>1283</v>
      </c>
      <c r="D17" s="28" t="s">
        <v>716</v>
      </c>
      <c r="E17" s="28">
        <v>1.22</v>
      </c>
      <c r="F17" s="28">
        <v>363</v>
      </c>
      <c r="G17" s="28"/>
      <c r="H17" s="28">
        <v>1.6</v>
      </c>
      <c r="I17" s="28"/>
      <c r="J17" s="132">
        <v>45960</v>
      </c>
      <c r="K17" s="9">
        <f t="shared" si="0"/>
        <v>708.57600000000002</v>
      </c>
      <c r="L17" s="9"/>
      <c r="M17" s="9"/>
      <c r="N17" s="9">
        <f>G17*H17*I17*E17</f>
        <v>0</v>
      </c>
      <c r="O17" s="3">
        <f>K17*1.6667</f>
        <v>1180.9836192</v>
      </c>
    </row>
    <row r="18" spans="1:15" ht="18" customHeight="1">
      <c r="A18" s="22" t="s">
        <v>4489</v>
      </c>
      <c r="B18" s="28" t="s">
        <v>4490</v>
      </c>
      <c r="C18" s="28" t="s">
        <v>15</v>
      </c>
      <c r="D18" s="28" t="s">
        <v>1292</v>
      </c>
      <c r="E18" s="28">
        <v>1.22</v>
      </c>
      <c r="F18" s="28">
        <v>19.899999999999999</v>
      </c>
      <c r="G18" s="28">
        <v>0</v>
      </c>
      <c r="H18" s="28">
        <v>1.8</v>
      </c>
      <c r="I18" s="28"/>
      <c r="J18" s="131">
        <v>45982</v>
      </c>
      <c r="K18" s="9">
        <f t="shared" si="0"/>
        <v>43.700400000000002</v>
      </c>
      <c r="L18" s="9"/>
      <c r="M18" s="9"/>
      <c r="N18" s="9">
        <f>G18*H18*I18*E18</f>
        <v>0</v>
      </c>
      <c r="O18" s="3">
        <f>K18*1.6667</f>
        <v>72.835456680000007</v>
      </c>
    </row>
    <row r="19" spans="1:15" ht="18" customHeight="1">
      <c r="A19" s="16"/>
      <c r="B19" s="87" t="s">
        <v>4018</v>
      </c>
      <c r="C19" s="110"/>
      <c r="D19" s="28" t="s">
        <v>1292</v>
      </c>
      <c r="E19" s="90">
        <v>1.22</v>
      </c>
      <c r="F19" s="87">
        <v>19.899999999999999</v>
      </c>
      <c r="G19" s="110"/>
      <c r="H19" s="87">
        <v>2</v>
      </c>
      <c r="I19" s="110"/>
      <c r="J19" s="142">
        <v>45667</v>
      </c>
      <c r="K19" s="9">
        <f t="shared" si="0"/>
        <v>48.555999999999997</v>
      </c>
      <c r="L19" s="37"/>
      <c r="M19" s="17"/>
      <c r="N19" s="16"/>
      <c r="O19" s="16"/>
    </row>
    <row r="20" spans="1:15" ht="18" customHeight="1">
      <c r="A20" s="16" t="s">
        <v>4073</v>
      </c>
      <c r="B20" s="28" t="s">
        <v>4074</v>
      </c>
      <c r="C20" s="110"/>
      <c r="D20" s="28" t="s">
        <v>1292</v>
      </c>
      <c r="E20" s="28">
        <v>1.22</v>
      </c>
      <c r="F20" s="28">
        <v>8</v>
      </c>
      <c r="G20" s="110"/>
      <c r="H20" s="28">
        <v>1.8</v>
      </c>
      <c r="I20" s="110"/>
      <c r="J20" s="137">
        <v>45701</v>
      </c>
      <c r="K20" s="179">
        <f t="shared" si="0"/>
        <v>17.568000000000001</v>
      </c>
      <c r="L20" s="179"/>
      <c r="M20" s="17"/>
      <c r="N20" s="16"/>
      <c r="O20" s="16"/>
    </row>
    <row r="21" spans="1:15" ht="18" customHeight="1">
      <c r="A21" s="21">
        <v>33963</v>
      </c>
      <c r="B21" s="28" t="s">
        <v>2853</v>
      </c>
      <c r="C21" s="28"/>
      <c r="D21" s="28" t="s">
        <v>1292</v>
      </c>
      <c r="E21" s="28">
        <v>1.22</v>
      </c>
      <c r="F21" s="28">
        <v>109.9</v>
      </c>
      <c r="G21" s="28">
        <v>0</v>
      </c>
      <c r="H21" s="28">
        <v>1.6</v>
      </c>
      <c r="I21" s="28"/>
      <c r="J21" s="134">
        <v>44944</v>
      </c>
      <c r="K21" s="9">
        <f t="shared" si="0"/>
        <v>214.52480000000003</v>
      </c>
      <c r="L21" s="9"/>
      <c r="M21" s="9"/>
      <c r="N21" s="9"/>
      <c r="O21" s="3"/>
    </row>
    <row r="22" spans="1:15" ht="18" customHeight="1">
      <c r="A22" s="21">
        <v>86984</v>
      </c>
      <c r="B22" s="28" t="s">
        <v>2854</v>
      </c>
      <c r="C22" s="28"/>
      <c r="D22" s="28" t="s">
        <v>1292</v>
      </c>
      <c r="E22" s="28">
        <v>1.22</v>
      </c>
      <c r="F22" s="28">
        <v>24.9</v>
      </c>
      <c r="G22" s="28"/>
      <c r="H22" s="28">
        <v>3</v>
      </c>
      <c r="I22" s="28"/>
      <c r="J22" s="134">
        <v>44944</v>
      </c>
      <c r="K22" s="9">
        <f t="shared" si="0"/>
        <v>91.133999999999986</v>
      </c>
      <c r="L22" s="9"/>
      <c r="M22" s="9"/>
      <c r="N22" s="9"/>
      <c r="O22" s="3"/>
    </row>
    <row r="23" spans="1:15" ht="18" customHeight="1">
      <c r="A23" s="21">
        <v>6982</v>
      </c>
      <c r="B23" s="28" t="s">
        <v>2854</v>
      </c>
      <c r="C23" s="28"/>
      <c r="D23" s="28" t="s">
        <v>1292</v>
      </c>
      <c r="E23" s="28">
        <v>1.22</v>
      </c>
      <c r="F23" s="28">
        <v>34.9</v>
      </c>
      <c r="G23" s="28"/>
      <c r="H23" s="28">
        <v>3</v>
      </c>
      <c r="I23" s="28"/>
      <c r="J23" s="134">
        <v>44944</v>
      </c>
      <c r="K23" s="9">
        <f t="shared" si="0"/>
        <v>127.73399999999998</v>
      </c>
      <c r="L23" s="9"/>
      <c r="M23" s="9"/>
      <c r="N23" s="9"/>
      <c r="O23" s="3"/>
    </row>
    <row r="24" spans="1:15" ht="18" customHeight="1">
      <c r="A24" s="21">
        <v>6986</v>
      </c>
      <c r="B24" s="28" t="s">
        <v>2854</v>
      </c>
      <c r="C24" s="28"/>
      <c r="D24" s="28" t="s">
        <v>1292</v>
      </c>
      <c r="E24" s="28">
        <v>1.22</v>
      </c>
      <c r="F24" s="28">
        <v>24.9</v>
      </c>
      <c r="G24" s="28"/>
      <c r="H24" s="28">
        <v>3</v>
      </c>
      <c r="I24" s="28"/>
      <c r="J24" s="134">
        <v>44944</v>
      </c>
      <c r="K24" s="9">
        <f t="shared" si="0"/>
        <v>91.133999999999986</v>
      </c>
      <c r="L24" s="9"/>
      <c r="M24" s="9"/>
      <c r="N24" s="9"/>
      <c r="O24" s="3"/>
    </row>
    <row r="25" spans="1:15" ht="18" customHeight="1">
      <c r="A25" s="32">
        <v>6981</v>
      </c>
      <c r="B25" s="93" t="s">
        <v>2854</v>
      </c>
      <c r="C25" s="93"/>
      <c r="D25" s="93" t="s">
        <v>1292</v>
      </c>
      <c r="E25" s="93">
        <v>1.22</v>
      </c>
      <c r="F25" s="93">
        <v>39.9</v>
      </c>
      <c r="G25" s="93"/>
      <c r="H25" s="93">
        <v>3</v>
      </c>
      <c r="I25" s="93"/>
      <c r="J25" s="183">
        <v>45532</v>
      </c>
      <c r="K25" s="33">
        <f t="shared" si="0"/>
        <v>146.03399999999999</v>
      </c>
      <c r="L25" s="33"/>
      <c r="M25" s="33"/>
      <c r="N25" s="33"/>
      <c r="O25" s="34"/>
    </row>
    <row r="26" spans="1:15" ht="18" customHeight="1">
      <c r="A26" s="16"/>
      <c r="B26" s="87" t="s">
        <v>2854</v>
      </c>
      <c r="C26" s="110" t="s">
        <v>141</v>
      </c>
      <c r="D26" s="110"/>
      <c r="E26" s="87">
        <v>1.22</v>
      </c>
      <c r="F26" s="87">
        <v>34.9</v>
      </c>
      <c r="G26" s="110"/>
      <c r="H26" s="87">
        <v>2.5</v>
      </c>
      <c r="I26" s="110"/>
      <c r="J26" s="87"/>
      <c r="K26" s="37">
        <f t="shared" si="0"/>
        <v>106.44499999999999</v>
      </c>
      <c r="L26" s="37"/>
      <c r="M26" s="17"/>
      <c r="N26" s="16"/>
      <c r="O26" s="16"/>
    </row>
    <row r="27" spans="1:15" ht="18" customHeight="1">
      <c r="A27" s="21"/>
      <c r="B27" s="28" t="s">
        <v>3274</v>
      </c>
      <c r="C27" s="28" t="s">
        <v>93</v>
      </c>
      <c r="D27" s="28" t="s">
        <v>19</v>
      </c>
      <c r="E27" s="28">
        <v>1</v>
      </c>
      <c r="F27" s="28">
        <v>0</v>
      </c>
      <c r="G27" s="28">
        <v>0</v>
      </c>
      <c r="H27" s="28">
        <v>1.6</v>
      </c>
      <c r="I27" s="28"/>
      <c r="J27" s="133">
        <v>45266</v>
      </c>
      <c r="K27" s="9">
        <f t="shared" si="0"/>
        <v>0</v>
      </c>
      <c r="L27" s="9"/>
      <c r="M27" s="9"/>
      <c r="N27" s="9"/>
      <c r="O27" s="3"/>
    </row>
    <row r="28" spans="1:15" ht="18" customHeight="1">
      <c r="A28" s="20"/>
      <c r="B28" s="85" t="s">
        <v>3275</v>
      </c>
      <c r="C28" s="85" t="s">
        <v>98</v>
      </c>
      <c r="D28" s="85" t="s">
        <v>19</v>
      </c>
      <c r="E28" s="85">
        <v>1</v>
      </c>
      <c r="F28" s="85">
        <v>0</v>
      </c>
      <c r="G28" s="85">
        <v>0</v>
      </c>
      <c r="H28" s="85">
        <v>1.4</v>
      </c>
      <c r="I28" s="85"/>
      <c r="J28" s="131">
        <v>45678</v>
      </c>
      <c r="K28" s="10">
        <f t="shared" si="0"/>
        <v>0</v>
      </c>
      <c r="L28" s="243"/>
      <c r="M28" s="10"/>
      <c r="N28" s="10"/>
      <c r="O28" s="260"/>
    </row>
    <row r="29" spans="1:15" ht="18" customHeight="1">
      <c r="A29" s="20" t="s">
        <v>3734</v>
      </c>
      <c r="B29" s="85" t="s">
        <v>3735</v>
      </c>
      <c r="C29" s="85" t="s">
        <v>3736</v>
      </c>
      <c r="D29" s="85" t="s">
        <v>1905</v>
      </c>
      <c r="E29" s="85">
        <v>1.22</v>
      </c>
      <c r="F29" s="85">
        <v>175.41</v>
      </c>
      <c r="G29" s="85"/>
      <c r="H29" s="85">
        <v>1.6</v>
      </c>
      <c r="I29" s="85"/>
      <c r="J29" s="131">
        <v>45545</v>
      </c>
      <c r="K29" s="10">
        <f t="shared" ref="K29:K74" si="1">E29*F29*H29</f>
        <v>342.40031999999997</v>
      </c>
      <c r="L29" s="9"/>
      <c r="M29" s="9"/>
      <c r="N29" s="9">
        <f>G29*H29*I29*E29</f>
        <v>0</v>
      </c>
      <c r="O29" s="3">
        <f>K29*1.6667</f>
        <v>570.67861334399993</v>
      </c>
    </row>
    <row r="30" spans="1:15" ht="18" customHeight="1">
      <c r="A30" s="21" t="s">
        <v>492</v>
      </c>
      <c r="B30" s="28" t="s">
        <v>493</v>
      </c>
      <c r="C30" s="28" t="s">
        <v>1302</v>
      </c>
      <c r="D30" s="28" t="s">
        <v>3297</v>
      </c>
      <c r="E30" s="28">
        <v>1.22</v>
      </c>
      <c r="F30" s="28">
        <v>182.95</v>
      </c>
      <c r="G30" s="28"/>
      <c r="H30" s="28">
        <v>1.7</v>
      </c>
      <c r="I30" s="28"/>
      <c r="J30" s="133">
        <v>46021</v>
      </c>
      <c r="K30" s="9">
        <f t="shared" si="1"/>
        <v>379.43829999999997</v>
      </c>
      <c r="L30" s="10"/>
      <c r="M30" s="10"/>
      <c r="N30" s="9">
        <f>G30*H30*I30*E30</f>
        <v>0</v>
      </c>
      <c r="O30" s="3">
        <f>K30*1.6667</f>
        <v>632.40981461000001</v>
      </c>
    </row>
    <row r="31" spans="1:15" ht="18" customHeight="1">
      <c r="A31" s="21" t="s">
        <v>1304</v>
      </c>
      <c r="B31" s="28" t="s">
        <v>493</v>
      </c>
      <c r="C31" s="28" t="s">
        <v>1303</v>
      </c>
      <c r="D31" s="28" t="s">
        <v>3297</v>
      </c>
      <c r="E31" s="28">
        <v>1.22</v>
      </c>
      <c r="F31" s="28">
        <v>199.8</v>
      </c>
      <c r="G31" s="28"/>
      <c r="H31" s="28">
        <v>1.7</v>
      </c>
      <c r="I31" s="28"/>
      <c r="J31" s="133">
        <v>45672</v>
      </c>
      <c r="K31" s="9">
        <f t="shared" si="1"/>
        <v>414.3852</v>
      </c>
      <c r="L31" s="13"/>
      <c r="M31" s="13"/>
      <c r="N31" s="9">
        <f>G31*H31*I31*E31</f>
        <v>0</v>
      </c>
      <c r="O31" s="3">
        <f>K31*1.6667</f>
        <v>690.65581284000007</v>
      </c>
    </row>
    <row r="32" spans="1:15" ht="21.75" customHeight="1">
      <c r="A32" s="313" t="s">
        <v>2827</v>
      </c>
      <c r="B32" s="28" t="s">
        <v>2828</v>
      </c>
      <c r="C32" s="28" t="s">
        <v>2829</v>
      </c>
      <c r="D32" s="28" t="s">
        <v>3297</v>
      </c>
      <c r="E32" s="28">
        <v>1.22</v>
      </c>
      <c r="F32" s="28">
        <v>198.77</v>
      </c>
      <c r="G32" s="28"/>
      <c r="H32" s="28">
        <v>1.6</v>
      </c>
      <c r="I32" s="28"/>
      <c r="J32" s="133">
        <v>44929</v>
      </c>
      <c r="K32" s="9">
        <f t="shared" si="1"/>
        <v>387.99904000000004</v>
      </c>
      <c r="L32" s="10"/>
      <c r="M32" s="9"/>
      <c r="N32" s="9"/>
      <c r="O32" s="3"/>
    </row>
    <row r="33" spans="1:15" ht="21.75" customHeight="1">
      <c r="A33" s="32" t="s">
        <v>1671</v>
      </c>
      <c r="B33" s="93" t="s">
        <v>1077</v>
      </c>
      <c r="C33" s="93" t="s">
        <v>1338</v>
      </c>
      <c r="D33" s="93" t="s">
        <v>3297</v>
      </c>
      <c r="E33" s="93">
        <v>1.22</v>
      </c>
      <c r="F33" s="93">
        <v>254</v>
      </c>
      <c r="G33" s="93"/>
      <c r="H33" s="93">
        <v>1.7</v>
      </c>
      <c r="I33" s="93"/>
      <c r="J33" s="146">
        <v>45939</v>
      </c>
      <c r="K33" s="12">
        <f t="shared" si="1"/>
        <v>526.79599999999994</v>
      </c>
      <c r="L33" s="12"/>
      <c r="M33" s="33"/>
      <c r="N33" s="33"/>
      <c r="O33" s="34"/>
    </row>
    <row r="34" spans="1:15" ht="18" customHeight="1">
      <c r="A34" s="16" t="s">
        <v>4051</v>
      </c>
      <c r="B34" s="28" t="s">
        <v>4052</v>
      </c>
      <c r="C34" s="110" t="s">
        <v>4053</v>
      </c>
      <c r="D34" s="28" t="s">
        <v>3297</v>
      </c>
      <c r="E34" s="28">
        <v>1.22</v>
      </c>
      <c r="F34" s="87">
        <v>411</v>
      </c>
      <c r="G34" s="110"/>
      <c r="H34" s="87">
        <v>1.6</v>
      </c>
      <c r="I34" s="110"/>
      <c r="J34" s="135">
        <v>45672</v>
      </c>
      <c r="K34" s="9">
        <f t="shared" si="1"/>
        <v>802.27200000000005</v>
      </c>
      <c r="L34" s="37"/>
      <c r="M34" s="17"/>
      <c r="N34" s="16"/>
      <c r="O34" s="16"/>
    </row>
    <row r="35" spans="1:15" ht="18" customHeight="1">
      <c r="A35" s="20" t="s">
        <v>3766</v>
      </c>
      <c r="B35" s="85" t="s">
        <v>3767</v>
      </c>
      <c r="C35" s="85" t="s">
        <v>3768</v>
      </c>
      <c r="D35" s="85" t="s">
        <v>3297</v>
      </c>
      <c r="E35" s="85">
        <v>1.22</v>
      </c>
      <c r="F35" s="85">
        <v>307.35899999999998</v>
      </c>
      <c r="G35" s="85"/>
      <c r="H35" s="85">
        <v>1.5</v>
      </c>
      <c r="I35" s="85"/>
      <c r="J35" s="131">
        <v>45561</v>
      </c>
      <c r="K35" s="10">
        <f t="shared" si="1"/>
        <v>562.46696999999995</v>
      </c>
      <c r="L35" s="10"/>
      <c r="M35" s="10"/>
      <c r="N35" s="10">
        <f>G35*H35*I35*E35</f>
        <v>0</v>
      </c>
      <c r="O35" s="14">
        <f>K35*1.6667</f>
        <v>937.46369889899995</v>
      </c>
    </row>
    <row r="36" spans="1:15" ht="18" customHeight="1">
      <c r="A36" s="21" t="s">
        <v>730</v>
      </c>
      <c r="B36" s="86" t="s">
        <v>1171</v>
      </c>
      <c r="C36" s="28" t="s">
        <v>1620</v>
      </c>
      <c r="D36" s="28" t="s">
        <v>3297</v>
      </c>
      <c r="E36" s="28">
        <v>1.22</v>
      </c>
      <c r="F36" s="28">
        <v>127</v>
      </c>
      <c r="G36" s="28"/>
      <c r="H36" s="28">
        <v>2</v>
      </c>
      <c r="I36" s="28"/>
      <c r="J36" s="133">
        <v>45939</v>
      </c>
      <c r="K36" s="10">
        <f t="shared" si="1"/>
        <v>309.88</v>
      </c>
      <c r="L36" s="10"/>
      <c r="M36" s="9"/>
      <c r="N36" s="9">
        <f>G36*H36*I36*E36</f>
        <v>0</v>
      </c>
      <c r="O36" s="3">
        <f>K36*1.6667</f>
        <v>516.47699599999999</v>
      </c>
    </row>
    <row r="37" spans="1:15" ht="18" customHeight="1">
      <c r="A37" s="16">
        <v>81</v>
      </c>
      <c r="B37" s="28" t="s">
        <v>1829</v>
      </c>
      <c r="C37" s="28" t="s">
        <v>1830</v>
      </c>
      <c r="D37" s="28" t="s">
        <v>14</v>
      </c>
      <c r="E37" s="28">
        <v>1</v>
      </c>
      <c r="F37" s="28">
        <v>159</v>
      </c>
      <c r="G37" s="110"/>
      <c r="H37" s="28">
        <v>1.6</v>
      </c>
      <c r="I37" s="110"/>
      <c r="J37" s="134">
        <v>45272</v>
      </c>
      <c r="K37" s="10">
        <f t="shared" si="1"/>
        <v>254.4</v>
      </c>
      <c r="L37" s="10"/>
      <c r="M37" s="17"/>
      <c r="N37" s="16"/>
      <c r="O37" s="16"/>
    </row>
    <row r="38" spans="1:15" ht="18" customHeight="1">
      <c r="A38" s="16" t="s">
        <v>4110</v>
      </c>
      <c r="B38" s="28" t="s">
        <v>4111</v>
      </c>
      <c r="C38" s="28" t="s">
        <v>4113</v>
      </c>
      <c r="D38" s="28" t="s">
        <v>1921</v>
      </c>
      <c r="E38" s="28">
        <v>1.22</v>
      </c>
      <c r="F38" s="28">
        <v>97</v>
      </c>
      <c r="G38" s="110"/>
      <c r="H38" s="28">
        <v>1.5</v>
      </c>
      <c r="I38" s="110"/>
      <c r="J38" s="135">
        <v>45819</v>
      </c>
      <c r="K38" s="57">
        <f t="shared" si="1"/>
        <v>177.51</v>
      </c>
      <c r="L38" s="63"/>
      <c r="M38" s="17"/>
      <c r="N38" s="16"/>
      <c r="O38" s="16"/>
    </row>
    <row r="39" spans="1:15" ht="18" customHeight="1">
      <c r="A39" s="21">
        <v>3110</v>
      </c>
      <c r="B39" s="28" t="s">
        <v>3567</v>
      </c>
      <c r="C39" s="28" t="s">
        <v>4430</v>
      </c>
      <c r="D39" s="28" t="s">
        <v>716</v>
      </c>
      <c r="E39" s="28">
        <v>1.22</v>
      </c>
      <c r="F39" s="28">
        <v>44</v>
      </c>
      <c r="G39" s="28"/>
      <c r="H39" s="28">
        <v>1.8</v>
      </c>
      <c r="I39" s="28"/>
      <c r="J39" s="133">
        <v>45728</v>
      </c>
      <c r="K39" s="10">
        <f t="shared" si="1"/>
        <v>96.623999999999995</v>
      </c>
      <c r="L39" s="10"/>
      <c r="M39" s="9"/>
      <c r="N39" s="9">
        <f>G39*H39*I39*E39</f>
        <v>0</v>
      </c>
      <c r="O39" s="3">
        <f>K39*1.6667</f>
        <v>161.0432208</v>
      </c>
    </row>
    <row r="40" spans="1:15" ht="18" customHeight="1">
      <c r="A40" s="21" t="s">
        <v>2598</v>
      </c>
      <c r="B40" s="28" t="s">
        <v>2599</v>
      </c>
      <c r="C40" s="28" t="s">
        <v>522</v>
      </c>
      <c r="D40" s="28" t="s">
        <v>3297</v>
      </c>
      <c r="E40" s="28">
        <v>1.22</v>
      </c>
      <c r="F40" s="28">
        <v>800</v>
      </c>
      <c r="G40" s="28">
        <v>0</v>
      </c>
      <c r="H40" s="28">
        <v>1.3</v>
      </c>
      <c r="I40" s="28"/>
      <c r="J40" s="133">
        <v>44734</v>
      </c>
      <c r="K40" s="10">
        <f t="shared" si="1"/>
        <v>1268.8</v>
      </c>
      <c r="L40" s="10"/>
      <c r="M40" s="9"/>
      <c r="N40" s="9">
        <f>G40*H40*I40*E40</f>
        <v>0</v>
      </c>
      <c r="O40" s="3">
        <f>K40*1.6667</f>
        <v>2114.7089599999999</v>
      </c>
    </row>
    <row r="41" spans="1:15" ht="18" customHeight="1">
      <c r="A41" s="21" t="s">
        <v>1530</v>
      </c>
      <c r="B41" s="28" t="s">
        <v>26</v>
      </c>
      <c r="C41" s="28" t="s">
        <v>24</v>
      </c>
      <c r="D41" s="28" t="s">
        <v>3297</v>
      </c>
      <c r="E41" s="28">
        <v>1.22</v>
      </c>
      <c r="F41" s="28">
        <v>148</v>
      </c>
      <c r="G41" s="28"/>
      <c r="H41" s="28">
        <v>1.2</v>
      </c>
      <c r="I41" s="28"/>
      <c r="J41" s="133">
        <v>45251</v>
      </c>
      <c r="K41" s="10">
        <f t="shared" si="1"/>
        <v>216.672</v>
      </c>
      <c r="L41" s="10"/>
      <c r="M41" s="9"/>
      <c r="N41" s="9">
        <f>G41*H41*I41*E41</f>
        <v>0</v>
      </c>
      <c r="O41" s="3">
        <f>K41*1.6667</f>
        <v>361.12722239999999</v>
      </c>
    </row>
    <row r="42" spans="1:15" ht="18" customHeight="1">
      <c r="A42" s="21" t="s">
        <v>3415</v>
      </c>
      <c r="B42" s="28" t="s">
        <v>26</v>
      </c>
      <c r="C42" s="28" t="s">
        <v>215</v>
      </c>
      <c r="D42" s="28" t="s">
        <v>3297</v>
      </c>
      <c r="E42" s="28">
        <v>1.22</v>
      </c>
      <c r="F42" s="28">
        <v>1135</v>
      </c>
      <c r="G42" s="28"/>
      <c r="H42" s="28">
        <v>2</v>
      </c>
      <c r="I42" s="28"/>
      <c r="J42" s="133">
        <v>46021</v>
      </c>
      <c r="K42" s="10">
        <f t="shared" si="1"/>
        <v>2769.4</v>
      </c>
      <c r="L42" s="10"/>
      <c r="M42" s="9"/>
      <c r="N42" s="9"/>
      <c r="O42" s="3">
        <f>K42*1.6667</f>
        <v>4615.7589800000005</v>
      </c>
    </row>
    <row r="43" spans="1:15" ht="18" customHeight="1">
      <c r="A43" s="21" t="s">
        <v>3415</v>
      </c>
      <c r="B43" s="28" t="s">
        <v>26</v>
      </c>
      <c r="C43" s="110" t="s">
        <v>3320</v>
      </c>
      <c r="D43" s="28" t="s">
        <v>3297</v>
      </c>
      <c r="E43" s="87">
        <v>1</v>
      </c>
      <c r="F43" s="87">
        <v>110</v>
      </c>
      <c r="G43" s="110"/>
      <c r="H43" s="87">
        <v>1.2</v>
      </c>
      <c r="I43" s="110"/>
      <c r="J43" s="133">
        <v>46021</v>
      </c>
      <c r="K43" s="10">
        <f t="shared" si="1"/>
        <v>132</v>
      </c>
      <c r="L43" s="63"/>
      <c r="M43" s="17"/>
      <c r="N43" s="16"/>
      <c r="O43" s="16"/>
    </row>
    <row r="44" spans="1:15" ht="18" customHeight="1">
      <c r="A44" s="21" t="s">
        <v>3415</v>
      </c>
      <c r="B44" s="28" t="s">
        <v>26</v>
      </c>
      <c r="C44" s="110" t="s">
        <v>133</v>
      </c>
      <c r="D44" s="28" t="s">
        <v>3297</v>
      </c>
      <c r="E44" s="87">
        <v>1</v>
      </c>
      <c r="F44" s="87">
        <v>1107</v>
      </c>
      <c r="G44" s="110"/>
      <c r="H44" s="87">
        <v>1.2</v>
      </c>
      <c r="I44" s="110"/>
      <c r="J44" s="133">
        <v>46021</v>
      </c>
      <c r="K44" s="10">
        <f t="shared" si="1"/>
        <v>1328.3999999999999</v>
      </c>
      <c r="L44" s="63"/>
      <c r="M44" s="17"/>
      <c r="N44" s="16"/>
      <c r="O44" s="16"/>
    </row>
    <row r="45" spans="1:15" ht="18" customHeight="1">
      <c r="A45" s="21" t="s">
        <v>495</v>
      </c>
      <c r="B45" s="28" t="s">
        <v>1718</v>
      </c>
      <c r="C45" s="28" t="s">
        <v>28</v>
      </c>
      <c r="D45" s="28" t="s">
        <v>3297</v>
      </c>
      <c r="E45" s="28">
        <v>1.22</v>
      </c>
      <c r="F45" s="28">
        <v>644</v>
      </c>
      <c r="G45" s="28"/>
      <c r="H45" s="28">
        <v>2</v>
      </c>
      <c r="I45" s="28"/>
      <c r="J45" s="133">
        <v>46021</v>
      </c>
      <c r="K45" s="10">
        <f t="shared" si="1"/>
        <v>1571.36</v>
      </c>
      <c r="L45" s="10"/>
      <c r="M45" s="9"/>
      <c r="N45" s="9">
        <f>G45*H45*I45*E45</f>
        <v>0</v>
      </c>
      <c r="O45" s="3">
        <f>K45*1.6667</f>
        <v>2618.9857120000001</v>
      </c>
    </row>
    <row r="46" spans="1:15" ht="18" customHeight="1">
      <c r="A46" s="21" t="s">
        <v>4143</v>
      </c>
      <c r="B46" s="87" t="s">
        <v>4145</v>
      </c>
      <c r="C46" s="110" t="s">
        <v>4144</v>
      </c>
      <c r="D46" s="28" t="s">
        <v>3297</v>
      </c>
      <c r="E46" s="28">
        <v>1.22</v>
      </c>
      <c r="F46" s="87">
        <v>262</v>
      </c>
      <c r="G46" s="110"/>
      <c r="H46" s="87">
        <v>1.8</v>
      </c>
      <c r="I46" s="110"/>
      <c r="J46" s="135">
        <v>45739</v>
      </c>
      <c r="K46" s="10">
        <f t="shared" si="1"/>
        <v>575.35199999999998</v>
      </c>
      <c r="L46" s="63"/>
      <c r="M46" s="17"/>
      <c r="N46" s="16"/>
      <c r="O46" s="16"/>
    </row>
    <row r="47" spans="1:15" ht="18" customHeight="1">
      <c r="A47" s="21" t="s">
        <v>1725</v>
      </c>
      <c r="B47" s="28" t="s">
        <v>1724</v>
      </c>
      <c r="C47" s="28" t="s">
        <v>133</v>
      </c>
      <c r="D47" s="28" t="s">
        <v>3297</v>
      </c>
      <c r="E47" s="28">
        <v>1</v>
      </c>
      <c r="F47" s="28">
        <v>314</v>
      </c>
      <c r="G47" s="28"/>
      <c r="H47" s="28">
        <v>1.6</v>
      </c>
      <c r="I47" s="28"/>
      <c r="J47" s="133">
        <v>46021</v>
      </c>
      <c r="K47" s="10">
        <f t="shared" si="1"/>
        <v>502.40000000000003</v>
      </c>
      <c r="L47" s="10"/>
      <c r="M47" s="9"/>
      <c r="N47" s="9">
        <f>G47*H47*I47*E47</f>
        <v>0</v>
      </c>
      <c r="O47" s="3"/>
    </row>
    <row r="48" spans="1:15" ht="18" customHeight="1">
      <c r="A48" s="21" t="s">
        <v>1725</v>
      </c>
      <c r="B48" s="28" t="s">
        <v>1724</v>
      </c>
      <c r="C48" s="110" t="s">
        <v>1662</v>
      </c>
      <c r="D48" s="28" t="s">
        <v>3297</v>
      </c>
      <c r="E48" s="28">
        <v>1</v>
      </c>
      <c r="F48" s="87">
        <v>100</v>
      </c>
      <c r="G48" s="110"/>
      <c r="H48" s="87">
        <v>1.1000000000000001</v>
      </c>
      <c r="I48" s="110"/>
      <c r="J48" s="133">
        <v>46021</v>
      </c>
      <c r="K48" s="10">
        <f t="shared" si="1"/>
        <v>110.00000000000001</v>
      </c>
      <c r="L48" s="63"/>
      <c r="M48" s="17"/>
      <c r="N48" s="16"/>
      <c r="O48" s="16"/>
    </row>
    <row r="49" spans="1:15" ht="18" customHeight="1">
      <c r="A49" s="21" t="s">
        <v>4304</v>
      </c>
      <c r="B49" s="28" t="s">
        <v>4305</v>
      </c>
      <c r="C49" s="28" t="s">
        <v>94</v>
      </c>
      <c r="D49" s="28" t="s">
        <v>3297</v>
      </c>
      <c r="E49" s="28">
        <v>1.22</v>
      </c>
      <c r="F49" s="28">
        <v>675.85</v>
      </c>
      <c r="G49" s="28"/>
      <c r="H49" s="28">
        <v>2</v>
      </c>
      <c r="I49" s="28"/>
      <c r="J49" s="133">
        <v>45827</v>
      </c>
      <c r="K49" s="10">
        <f t="shared" si="1"/>
        <v>1649.0740000000001</v>
      </c>
      <c r="L49" s="10"/>
      <c r="M49" s="9"/>
      <c r="N49" s="9">
        <f t="shared" ref="N49:N57" si="2">G49*H49*I49*E49</f>
        <v>0</v>
      </c>
      <c r="O49" s="3">
        <f>K49*1.6667</f>
        <v>2748.5116358</v>
      </c>
    </row>
    <row r="50" spans="1:15" ht="18" customHeight="1">
      <c r="A50" s="21" t="s">
        <v>723</v>
      </c>
      <c r="B50" s="28" t="s">
        <v>1527</v>
      </c>
      <c r="C50" s="111" t="s">
        <v>79</v>
      </c>
      <c r="D50" s="28" t="s">
        <v>3297</v>
      </c>
      <c r="E50" s="28">
        <v>1.22</v>
      </c>
      <c r="F50" s="28">
        <v>430.5</v>
      </c>
      <c r="G50" s="28"/>
      <c r="H50" s="28">
        <v>1.8</v>
      </c>
      <c r="I50" s="28"/>
      <c r="J50" s="133">
        <v>45883</v>
      </c>
      <c r="K50" s="10">
        <f t="shared" si="1"/>
        <v>945.37800000000004</v>
      </c>
      <c r="L50" s="10"/>
      <c r="M50" s="9"/>
      <c r="N50" s="9">
        <f t="shared" si="2"/>
        <v>0</v>
      </c>
      <c r="O50" s="3" t="e">
        <f>#REF!*1.6667</f>
        <v>#REF!</v>
      </c>
    </row>
    <row r="51" spans="1:15" ht="18" customHeight="1">
      <c r="A51" s="21" t="s">
        <v>2722</v>
      </c>
      <c r="B51" s="28" t="s">
        <v>2721</v>
      </c>
      <c r="C51" s="28" t="s">
        <v>2252</v>
      </c>
      <c r="D51" s="28" t="s">
        <v>3297</v>
      </c>
      <c r="E51" s="28">
        <v>1.22</v>
      </c>
      <c r="F51" s="28">
        <v>533</v>
      </c>
      <c r="G51" s="28"/>
      <c r="H51" s="28">
        <v>1.7</v>
      </c>
      <c r="I51" s="28"/>
      <c r="J51" s="133">
        <v>45939</v>
      </c>
      <c r="K51" s="10">
        <f t="shared" si="1"/>
        <v>1105.442</v>
      </c>
      <c r="L51" s="10"/>
      <c r="M51" s="9"/>
      <c r="N51" s="9">
        <f t="shared" si="2"/>
        <v>0</v>
      </c>
      <c r="O51" s="3"/>
    </row>
    <row r="52" spans="1:15" ht="18" customHeight="1">
      <c r="A52" s="21" t="s">
        <v>2908</v>
      </c>
      <c r="B52" s="28" t="s">
        <v>2909</v>
      </c>
      <c r="C52" s="28" t="s">
        <v>20</v>
      </c>
      <c r="D52" s="28" t="s">
        <v>3323</v>
      </c>
      <c r="E52" s="28">
        <v>1.22</v>
      </c>
      <c r="F52" s="28">
        <v>150</v>
      </c>
      <c r="G52" s="28"/>
      <c r="H52" s="28">
        <v>1.6</v>
      </c>
      <c r="I52" s="28"/>
      <c r="J52" s="133">
        <v>44994</v>
      </c>
      <c r="K52" s="10">
        <f t="shared" si="1"/>
        <v>292.8</v>
      </c>
      <c r="L52" s="10"/>
      <c r="M52" s="9"/>
      <c r="N52" s="9">
        <f t="shared" si="2"/>
        <v>0</v>
      </c>
      <c r="O52" s="3">
        <f>K52*1.6667</f>
        <v>488.00976000000003</v>
      </c>
    </row>
    <row r="53" spans="1:15" ht="18" customHeight="1">
      <c r="A53" s="21" t="s">
        <v>27</v>
      </c>
      <c r="B53" s="28" t="s">
        <v>789</v>
      </c>
      <c r="C53" s="28" t="s">
        <v>1308</v>
      </c>
      <c r="D53" s="28" t="s">
        <v>3297</v>
      </c>
      <c r="E53" s="28">
        <v>1.22</v>
      </c>
      <c r="F53" s="28">
        <v>430.5</v>
      </c>
      <c r="G53" s="28"/>
      <c r="H53" s="28">
        <v>1.8</v>
      </c>
      <c r="I53" s="28"/>
      <c r="J53" s="133">
        <v>45939</v>
      </c>
      <c r="K53" s="10">
        <f t="shared" si="1"/>
        <v>945.37800000000004</v>
      </c>
      <c r="L53" s="10"/>
      <c r="M53" s="9"/>
      <c r="N53" s="9">
        <f t="shared" si="2"/>
        <v>0</v>
      </c>
      <c r="O53" s="3"/>
    </row>
    <row r="54" spans="1:15" ht="18" customHeight="1">
      <c r="A54" s="21" t="s">
        <v>27</v>
      </c>
      <c r="B54" s="28" t="s">
        <v>789</v>
      </c>
      <c r="C54" s="28" t="s">
        <v>1309</v>
      </c>
      <c r="D54" s="28" t="s">
        <v>3297</v>
      </c>
      <c r="E54" s="28">
        <v>1</v>
      </c>
      <c r="F54" s="28">
        <v>200</v>
      </c>
      <c r="G54" s="28"/>
      <c r="H54" s="28">
        <v>1.5</v>
      </c>
      <c r="I54" s="28"/>
      <c r="J54" s="133">
        <v>45883</v>
      </c>
      <c r="K54" s="10">
        <f t="shared" si="1"/>
        <v>300</v>
      </c>
      <c r="L54" s="10"/>
      <c r="M54" s="9"/>
      <c r="N54" s="9">
        <f t="shared" si="2"/>
        <v>0</v>
      </c>
      <c r="O54" s="3"/>
    </row>
    <row r="55" spans="1:15" ht="18" customHeight="1">
      <c r="A55" s="21" t="s">
        <v>27</v>
      </c>
      <c r="B55" s="28" t="s">
        <v>789</v>
      </c>
      <c r="C55" s="28" t="s">
        <v>206</v>
      </c>
      <c r="D55" s="28" t="s">
        <v>3297</v>
      </c>
      <c r="E55" s="28">
        <v>1</v>
      </c>
      <c r="F55" s="28">
        <v>150</v>
      </c>
      <c r="G55" s="28"/>
      <c r="H55" s="28">
        <v>1.2</v>
      </c>
      <c r="I55" s="28"/>
      <c r="J55" s="133">
        <v>45883</v>
      </c>
      <c r="K55" s="10">
        <f t="shared" si="1"/>
        <v>180</v>
      </c>
      <c r="L55" s="10"/>
      <c r="M55" s="9"/>
      <c r="N55" s="9">
        <f t="shared" si="2"/>
        <v>0</v>
      </c>
      <c r="O55" s="3"/>
    </row>
    <row r="56" spans="1:15" ht="18" customHeight="1">
      <c r="A56" s="21" t="s">
        <v>27</v>
      </c>
      <c r="B56" s="28" t="s">
        <v>789</v>
      </c>
      <c r="C56" s="28" t="s">
        <v>1965</v>
      </c>
      <c r="D56" s="28" t="s">
        <v>3297</v>
      </c>
      <c r="E56" s="28">
        <v>1.22</v>
      </c>
      <c r="F56" s="28">
        <v>10</v>
      </c>
      <c r="G56" s="28"/>
      <c r="H56" s="28">
        <v>4.5</v>
      </c>
      <c r="I56" s="28"/>
      <c r="J56" s="133">
        <v>45883</v>
      </c>
      <c r="K56" s="10">
        <f t="shared" si="1"/>
        <v>54.9</v>
      </c>
      <c r="L56" s="10"/>
      <c r="M56" s="9"/>
      <c r="N56" s="9">
        <f t="shared" si="2"/>
        <v>0</v>
      </c>
      <c r="O56" s="3"/>
    </row>
    <row r="57" spans="1:15" ht="18" customHeight="1">
      <c r="A57" s="21" t="s">
        <v>1196</v>
      </c>
      <c r="B57" s="28" t="s">
        <v>1517</v>
      </c>
      <c r="C57" s="28" t="s">
        <v>1195</v>
      </c>
      <c r="D57" s="28" t="s">
        <v>3297</v>
      </c>
      <c r="E57" s="28">
        <v>1.22</v>
      </c>
      <c r="F57" s="28">
        <v>1702.8</v>
      </c>
      <c r="G57" s="28"/>
      <c r="H57" s="28">
        <v>1.5</v>
      </c>
      <c r="I57" s="28"/>
      <c r="J57" s="133">
        <v>44994</v>
      </c>
      <c r="K57" s="10">
        <f t="shared" si="1"/>
        <v>3116.1239999999998</v>
      </c>
      <c r="L57" s="10"/>
      <c r="M57" s="9"/>
      <c r="N57" s="9">
        <f t="shared" si="2"/>
        <v>0</v>
      </c>
      <c r="O57" s="3">
        <f>K57*1.6667</f>
        <v>5193.6438707999996</v>
      </c>
    </row>
    <row r="58" spans="1:15" ht="18" customHeight="1">
      <c r="A58" s="21" t="s">
        <v>2723</v>
      </c>
      <c r="B58" s="28" t="s">
        <v>2724</v>
      </c>
      <c r="C58" s="28" t="s">
        <v>2725</v>
      </c>
      <c r="D58" s="28" t="s">
        <v>3297</v>
      </c>
      <c r="E58" s="28">
        <v>1.22</v>
      </c>
      <c r="F58" s="28">
        <v>187.98</v>
      </c>
      <c r="G58" s="28"/>
      <c r="H58" s="28">
        <v>1.6</v>
      </c>
      <c r="I58" s="28"/>
      <c r="J58" s="133">
        <v>44833</v>
      </c>
      <c r="K58" s="10">
        <f t="shared" si="1"/>
        <v>366.93696</v>
      </c>
      <c r="L58" s="10"/>
      <c r="M58" s="17"/>
      <c r="N58" s="9"/>
      <c r="O58" s="3"/>
    </row>
    <row r="59" spans="1:15" ht="18" customHeight="1">
      <c r="A59" s="16" t="s">
        <v>1231</v>
      </c>
      <c r="B59" s="28" t="s">
        <v>1232</v>
      </c>
      <c r="C59" s="28" t="s">
        <v>22</v>
      </c>
      <c r="D59" s="28" t="s">
        <v>3297</v>
      </c>
      <c r="E59" s="28">
        <v>1.22</v>
      </c>
      <c r="F59" s="28">
        <v>1179</v>
      </c>
      <c r="G59" s="110"/>
      <c r="H59" s="28">
        <v>1.8</v>
      </c>
      <c r="I59" s="110"/>
      <c r="J59" s="135">
        <v>45293</v>
      </c>
      <c r="K59" s="10">
        <f t="shared" si="1"/>
        <v>2589.0839999999998</v>
      </c>
      <c r="L59" s="10"/>
      <c r="M59" s="17"/>
      <c r="N59" s="9">
        <f>G59*H59*I59*E59</f>
        <v>0</v>
      </c>
      <c r="O59" s="3">
        <f>K59*1.6667</f>
        <v>4315.2263027999998</v>
      </c>
    </row>
    <row r="60" spans="1:15" ht="18" customHeight="1">
      <c r="A60" s="16" t="s">
        <v>1231</v>
      </c>
      <c r="B60" s="28" t="s">
        <v>1232</v>
      </c>
      <c r="C60" s="110" t="s">
        <v>133</v>
      </c>
      <c r="D60" s="110" t="s">
        <v>3297</v>
      </c>
      <c r="E60" s="87">
        <v>1.22</v>
      </c>
      <c r="F60" s="87">
        <v>258</v>
      </c>
      <c r="G60" s="110"/>
      <c r="H60" s="87">
        <v>1.4</v>
      </c>
      <c r="I60" s="110"/>
      <c r="J60" s="135">
        <v>45293</v>
      </c>
      <c r="K60" s="63">
        <f t="shared" si="1"/>
        <v>440.66399999999999</v>
      </c>
      <c r="L60" s="63"/>
      <c r="M60" s="17"/>
      <c r="N60" s="16"/>
      <c r="O60" s="16"/>
    </row>
    <row r="61" spans="1:15" ht="18" customHeight="1">
      <c r="A61" s="16" t="s">
        <v>1231</v>
      </c>
      <c r="B61" s="28" t="s">
        <v>1232</v>
      </c>
      <c r="C61" s="110" t="s">
        <v>3320</v>
      </c>
      <c r="D61" s="110" t="s">
        <v>3297</v>
      </c>
      <c r="E61" s="87">
        <v>1.22</v>
      </c>
      <c r="F61" s="87">
        <v>44</v>
      </c>
      <c r="G61" s="110"/>
      <c r="H61" s="87">
        <v>1.1000000000000001</v>
      </c>
      <c r="I61" s="110"/>
      <c r="J61" s="135">
        <v>45293</v>
      </c>
      <c r="K61" s="63">
        <f t="shared" si="1"/>
        <v>59.048000000000002</v>
      </c>
      <c r="L61" s="63"/>
      <c r="M61" s="17"/>
      <c r="N61" s="16"/>
      <c r="O61" s="16"/>
    </row>
    <row r="62" spans="1:15" ht="18" customHeight="1">
      <c r="A62" s="46">
        <v>3104</v>
      </c>
      <c r="B62" s="28" t="s">
        <v>1840</v>
      </c>
      <c r="C62" s="87" t="s">
        <v>1841</v>
      </c>
      <c r="D62" s="28" t="s">
        <v>716</v>
      </c>
      <c r="E62" s="28">
        <v>1.22</v>
      </c>
      <c r="F62" s="28">
        <v>179</v>
      </c>
      <c r="G62" s="110"/>
      <c r="H62" s="28">
        <v>1.6</v>
      </c>
      <c r="I62" s="110"/>
      <c r="J62" s="135">
        <v>45728</v>
      </c>
      <c r="K62" s="10">
        <f t="shared" si="1"/>
        <v>349.40800000000002</v>
      </c>
      <c r="L62" s="10"/>
      <c r="M62" s="17"/>
      <c r="N62" s="16"/>
      <c r="O62" s="16"/>
    </row>
    <row r="63" spans="1:15" ht="18" customHeight="1">
      <c r="A63" s="21">
        <v>506614</v>
      </c>
      <c r="B63" s="28" t="s">
        <v>3642</v>
      </c>
      <c r="C63" s="28" t="s">
        <v>3700</v>
      </c>
      <c r="D63" s="28" t="s">
        <v>23</v>
      </c>
      <c r="E63" s="28">
        <v>1</v>
      </c>
      <c r="F63" s="28">
        <v>49.2</v>
      </c>
      <c r="G63" s="28"/>
      <c r="H63" s="28">
        <v>1.6</v>
      </c>
      <c r="I63" s="28"/>
      <c r="J63" s="133">
        <v>45537</v>
      </c>
      <c r="K63" s="10">
        <f t="shared" si="1"/>
        <v>78.720000000000013</v>
      </c>
      <c r="L63" s="10"/>
      <c r="M63" s="9"/>
      <c r="N63" s="9">
        <f>G63*H63*I63*E63</f>
        <v>0</v>
      </c>
      <c r="O63" s="3">
        <f>K63*1.6667</f>
        <v>131.20262400000001</v>
      </c>
    </row>
    <row r="64" spans="1:15" ht="18" customHeight="1">
      <c r="A64" s="21"/>
      <c r="B64" s="28" t="s">
        <v>3642</v>
      </c>
      <c r="C64" s="28" t="s">
        <v>3643</v>
      </c>
      <c r="D64" s="28" t="s">
        <v>1859</v>
      </c>
      <c r="E64" s="28">
        <v>1.22</v>
      </c>
      <c r="F64" s="28">
        <v>99</v>
      </c>
      <c r="G64" s="28"/>
      <c r="H64" s="28">
        <v>1.6</v>
      </c>
      <c r="I64" s="28"/>
      <c r="J64" s="133">
        <v>45610</v>
      </c>
      <c r="K64" s="10">
        <f t="shared" si="1"/>
        <v>193.24800000000002</v>
      </c>
      <c r="L64" s="10"/>
      <c r="M64" s="9"/>
      <c r="N64" s="9">
        <f>G64*H64*I64*E64</f>
        <v>0</v>
      </c>
      <c r="O64" s="3">
        <f>K64*1.6667</f>
        <v>322.08644160000006</v>
      </c>
    </row>
    <row r="65" spans="1:15" ht="18" customHeight="1">
      <c r="A65" s="16"/>
      <c r="B65" s="87" t="s">
        <v>3642</v>
      </c>
      <c r="C65" s="110" t="s">
        <v>1629</v>
      </c>
      <c r="D65" s="28" t="s">
        <v>1859</v>
      </c>
      <c r="E65" s="87">
        <v>1.22</v>
      </c>
      <c r="F65" s="87">
        <v>98</v>
      </c>
      <c r="G65" s="110"/>
      <c r="H65" s="87">
        <v>1.5</v>
      </c>
      <c r="I65" s="110"/>
      <c r="J65" s="135">
        <v>45504</v>
      </c>
      <c r="K65" s="63">
        <f t="shared" si="1"/>
        <v>179.34</v>
      </c>
      <c r="L65" s="63"/>
      <c r="M65" s="17"/>
      <c r="N65" s="16"/>
      <c r="O65" s="16"/>
    </row>
    <row r="66" spans="1:15" ht="18" customHeight="1">
      <c r="A66" s="21"/>
      <c r="B66" s="28" t="s">
        <v>2159</v>
      </c>
      <c r="C66" s="28" t="s">
        <v>2160</v>
      </c>
      <c r="D66" s="28" t="s">
        <v>14</v>
      </c>
      <c r="E66" s="28">
        <v>1.22</v>
      </c>
      <c r="F66" s="28">
        <v>57</v>
      </c>
      <c r="G66" s="28"/>
      <c r="H66" s="28">
        <v>1.6</v>
      </c>
      <c r="I66" s="28"/>
      <c r="J66" s="133">
        <v>44628</v>
      </c>
      <c r="K66" s="10">
        <f t="shared" si="1"/>
        <v>111.264</v>
      </c>
      <c r="L66" s="10"/>
      <c r="M66" s="9"/>
      <c r="N66" s="9"/>
      <c r="O66" s="3"/>
    </row>
    <row r="67" spans="1:15" ht="18" customHeight="1">
      <c r="A67" s="21" t="s">
        <v>4479</v>
      </c>
      <c r="B67" s="28" t="s">
        <v>1746</v>
      </c>
      <c r="C67" s="28" t="s">
        <v>1747</v>
      </c>
      <c r="D67" s="28" t="s">
        <v>451</v>
      </c>
      <c r="E67" s="28">
        <v>1.22</v>
      </c>
      <c r="F67" s="28">
        <v>57</v>
      </c>
      <c r="G67" s="28"/>
      <c r="H67" s="28">
        <v>1.6</v>
      </c>
      <c r="I67" s="28"/>
      <c r="J67" s="133">
        <v>43990</v>
      </c>
      <c r="K67" s="10">
        <f t="shared" si="1"/>
        <v>111.264</v>
      </c>
      <c r="L67" s="10"/>
      <c r="M67" s="9"/>
      <c r="N67" s="9"/>
      <c r="O67" s="3"/>
    </row>
    <row r="68" spans="1:15" ht="18" customHeight="1">
      <c r="A68" s="21"/>
      <c r="B68" s="28" t="s">
        <v>1628</v>
      </c>
      <c r="C68" s="28" t="s">
        <v>1629</v>
      </c>
      <c r="D68" s="28" t="s">
        <v>451</v>
      </c>
      <c r="E68" s="28">
        <v>1.22</v>
      </c>
      <c r="F68" s="28">
        <v>67</v>
      </c>
      <c r="G68" s="28"/>
      <c r="H68" s="28">
        <v>1.6</v>
      </c>
      <c r="I68" s="28"/>
      <c r="J68" s="133">
        <v>45610</v>
      </c>
      <c r="K68" s="10">
        <f t="shared" si="1"/>
        <v>130.78399999999999</v>
      </c>
      <c r="L68" s="10"/>
      <c r="M68" s="9"/>
      <c r="N68" s="9"/>
      <c r="O68" s="3"/>
    </row>
    <row r="69" spans="1:15" ht="18" customHeight="1">
      <c r="A69" s="16"/>
      <c r="B69" s="87" t="s">
        <v>4206</v>
      </c>
      <c r="C69" s="110" t="s">
        <v>4207</v>
      </c>
      <c r="D69" s="28" t="s">
        <v>1292</v>
      </c>
      <c r="E69" s="90">
        <v>1.22</v>
      </c>
      <c r="F69" s="87">
        <v>69</v>
      </c>
      <c r="G69" s="110"/>
      <c r="H69" s="87">
        <v>1.5</v>
      </c>
      <c r="I69" s="110"/>
      <c r="J69" s="135">
        <v>45776</v>
      </c>
      <c r="K69" s="63">
        <f t="shared" si="1"/>
        <v>126.26999999999998</v>
      </c>
      <c r="L69" s="63"/>
      <c r="M69" s="17"/>
      <c r="N69" s="16"/>
      <c r="O69" s="16"/>
    </row>
    <row r="70" spans="1:15" ht="18" customHeight="1">
      <c r="A70" s="25" t="s">
        <v>4016</v>
      </c>
      <c r="B70" s="87" t="s">
        <v>4017</v>
      </c>
      <c r="C70" s="110"/>
      <c r="D70" s="28" t="s">
        <v>1292</v>
      </c>
      <c r="E70" s="90">
        <v>1.22</v>
      </c>
      <c r="F70" s="87">
        <v>14.9</v>
      </c>
      <c r="G70" s="110"/>
      <c r="H70" s="87">
        <v>2</v>
      </c>
      <c r="I70" s="110"/>
      <c r="J70" s="135">
        <v>45667</v>
      </c>
      <c r="K70" s="10">
        <f t="shared" si="1"/>
        <v>36.356000000000002</v>
      </c>
      <c r="L70" s="63"/>
      <c r="M70" s="17"/>
      <c r="N70" s="16"/>
      <c r="O70" s="16"/>
    </row>
    <row r="71" spans="1:15" ht="18" customHeight="1">
      <c r="A71" s="25" t="s">
        <v>4014</v>
      </c>
      <c r="B71" s="87" t="s">
        <v>4015</v>
      </c>
      <c r="C71" s="110"/>
      <c r="D71" s="28" t="s">
        <v>1292</v>
      </c>
      <c r="E71" s="90">
        <v>1.22</v>
      </c>
      <c r="F71" s="87">
        <v>14.9</v>
      </c>
      <c r="G71" s="110"/>
      <c r="H71" s="87">
        <v>2</v>
      </c>
      <c r="I71" s="110"/>
      <c r="J71" s="135">
        <v>45667</v>
      </c>
      <c r="K71" s="10">
        <f t="shared" si="1"/>
        <v>36.356000000000002</v>
      </c>
      <c r="L71" s="63"/>
      <c r="M71" s="17"/>
      <c r="N71" s="16"/>
      <c r="O71" s="16"/>
    </row>
    <row r="72" spans="1:15" ht="18" customHeight="1">
      <c r="A72" s="25" t="s">
        <v>4022</v>
      </c>
      <c r="B72" s="87" t="s">
        <v>4020</v>
      </c>
      <c r="C72" s="110"/>
      <c r="D72" s="28" t="s">
        <v>1292</v>
      </c>
      <c r="E72" s="90">
        <v>1.22</v>
      </c>
      <c r="F72" s="87">
        <v>29.9</v>
      </c>
      <c r="G72" s="110"/>
      <c r="H72" s="87">
        <v>2</v>
      </c>
      <c r="I72" s="110"/>
      <c r="J72" s="135">
        <v>45667</v>
      </c>
      <c r="K72" s="10">
        <f t="shared" si="1"/>
        <v>72.955999999999989</v>
      </c>
      <c r="L72" s="63"/>
      <c r="M72" s="17"/>
      <c r="N72" s="16"/>
      <c r="O72" s="16"/>
    </row>
    <row r="73" spans="1:15" ht="18" customHeight="1">
      <c r="A73" s="25" t="s">
        <v>4021</v>
      </c>
      <c r="B73" s="87" t="s">
        <v>4019</v>
      </c>
      <c r="C73" s="110"/>
      <c r="D73" s="28" t="s">
        <v>1292</v>
      </c>
      <c r="E73" s="90">
        <v>1.22</v>
      </c>
      <c r="F73" s="87">
        <v>29.9</v>
      </c>
      <c r="G73" s="110"/>
      <c r="H73" s="87">
        <v>2</v>
      </c>
      <c r="I73" s="110"/>
      <c r="J73" s="135">
        <v>45667</v>
      </c>
      <c r="K73" s="10">
        <f t="shared" si="1"/>
        <v>72.955999999999989</v>
      </c>
      <c r="L73" s="63"/>
      <c r="M73" s="17"/>
      <c r="N73" s="16"/>
      <c r="O73" s="16"/>
    </row>
    <row r="74" spans="1:15" ht="18" customHeight="1">
      <c r="A74" s="16"/>
      <c r="B74" s="28" t="s">
        <v>2949</v>
      </c>
      <c r="C74" s="110"/>
      <c r="D74" s="28" t="s">
        <v>3300</v>
      </c>
      <c r="E74" s="28">
        <v>1.22</v>
      </c>
      <c r="F74" s="28">
        <v>275</v>
      </c>
      <c r="G74" s="110"/>
      <c r="H74" s="28">
        <v>1.8</v>
      </c>
      <c r="I74" s="110"/>
      <c r="J74" s="135">
        <v>45005</v>
      </c>
      <c r="K74" s="63">
        <f t="shared" si="1"/>
        <v>603.9</v>
      </c>
      <c r="L74" s="63"/>
      <c r="M74" s="17"/>
      <c r="N74" s="16"/>
      <c r="O74" s="16"/>
    </row>
    <row r="75" spans="1:15" ht="18" customHeight="1">
      <c r="A75" s="21"/>
      <c r="B75" s="28" t="s">
        <v>29</v>
      </c>
      <c r="C75" s="28" t="s">
        <v>98</v>
      </c>
      <c r="D75" s="28" t="s">
        <v>3303</v>
      </c>
      <c r="E75" s="28">
        <v>1</v>
      </c>
      <c r="F75" s="28">
        <v>1490</v>
      </c>
      <c r="G75" s="28">
        <v>0</v>
      </c>
      <c r="H75" s="28">
        <v>1.3</v>
      </c>
      <c r="I75" s="28">
        <v>0</v>
      </c>
      <c r="J75" s="133">
        <v>46013</v>
      </c>
      <c r="K75" s="57">
        <f>+F75*H75</f>
        <v>1937</v>
      </c>
      <c r="L75" s="10"/>
      <c r="M75" s="9"/>
      <c r="N75" s="9">
        <f>G75*H75*I75*E75</f>
        <v>0</v>
      </c>
      <c r="O75" s="36">
        <f>K75*1.6667</f>
        <v>3228.3978999999999</v>
      </c>
    </row>
    <row r="76" spans="1:15" ht="18" customHeight="1">
      <c r="A76" s="21"/>
      <c r="B76" s="28" t="s">
        <v>29</v>
      </c>
      <c r="C76" s="28" t="s">
        <v>93</v>
      </c>
      <c r="D76" s="28" t="s">
        <v>3303</v>
      </c>
      <c r="E76" s="28">
        <v>1</v>
      </c>
      <c r="F76" s="28">
        <v>59.6</v>
      </c>
      <c r="G76" s="28">
        <v>0</v>
      </c>
      <c r="H76" s="28">
        <v>1.5</v>
      </c>
      <c r="I76" s="28"/>
      <c r="J76" s="133">
        <v>46013</v>
      </c>
      <c r="K76" s="10">
        <f>E76*F76*H76</f>
        <v>89.4</v>
      </c>
      <c r="L76" s="10"/>
      <c r="M76" s="9"/>
      <c r="N76" s="9">
        <f>G76*H76*I76*E76</f>
        <v>0</v>
      </c>
      <c r="O76" s="3">
        <f>K76*1.6667</f>
        <v>149.00298000000001</v>
      </c>
    </row>
    <row r="77" spans="1:15" ht="18" customHeight="1">
      <c r="A77" s="16"/>
      <c r="B77" s="80" t="s">
        <v>29</v>
      </c>
      <c r="C77" s="79" t="s">
        <v>98</v>
      </c>
      <c r="D77" s="79" t="s">
        <v>3359</v>
      </c>
      <c r="E77" s="80">
        <v>1</v>
      </c>
      <c r="F77" s="80">
        <v>1739.49</v>
      </c>
      <c r="G77" s="110">
        <v>0</v>
      </c>
      <c r="H77" s="80">
        <v>1.3</v>
      </c>
      <c r="I77" s="110"/>
      <c r="J77" s="134">
        <v>45941</v>
      </c>
      <c r="K77" s="10">
        <f>E77*F77*H77</f>
        <v>2261.337</v>
      </c>
      <c r="L77" s="63"/>
      <c r="M77" s="17"/>
      <c r="N77" s="16"/>
      <c r="O77" s="16"/>
    </row>
    <row r="78" spans="1:15" ht="18" customHeight="1">
      <c r="A78" s="16"/>
      <c r="B78" s="80" t="s">
        <v>29</v>
      </c>
      <c r="C78" s="79" t="s">
        <v>93</v>
      </c>
      <c r="D78" s="79" t="s">
        <v>3359</v>
      </c>
      <c r="E78" s="80">
        <v>1</v>
      </c>
      <c r="F78" s="80">
        <v>59.9</v>
      </c>
      <c r="G78" s="110"/>
      <c r="H78" s="80">
        <v>1.5</v>
      </c>
      <c r="I78" s="110"/>
      <c r="J78" s="134">
        <v>45941</v>
      </c>
      <c r="K78" s="10">
        <f>+F78*H78</f>
        <v>89.85</v>
      </c>
      <c r="L78" s="63"/>
      <c r="M78" s="17"/>
      <c r="N78" s="16"/>
      <c r="O78" s="16"/>
    </row>
    <row r="79" spans="1:15" ht="18" customHeight="1">
      <c r="A79" s="32"/>
      <c r="B79" s="93" t="s">
        <v>2847</v>
      </c>
      <c r="C79" s="93"/>
      <c r="D79" s="93" t="s">
        <v>3300</v>
      </c>
      <c r="E79" s="93">
        <v>1.22</v>
      </c>
      <c r="F79" s="93">
        <v>89.9</v>
      </c>
      <c r="G79" s="93"/>
      <c r="H79" s="93">
        <v>2</v>
      </c>
      <c r="I79" s="93"/>
      <c r="J79" s="146">
        <v>44944</v>
      </c>
      <c r="K79" s="12">
        <f t="shared" ref="K79:K87" si="3">E79*F79*H79</f>
        <v>219.35600000000002</v>
      </c>
      <c r="L79" s="12"/>
      <c r="M79" s="33"/>
      <c r="N79" s="33"/>
      <c r="O79" s="34"/>
    </row>
    <row r="80" spans="1:15" ht="18" customHeight="1">
      <c r="A80" s="21"/>
      <c r="B80" s="28" t="s">
        <v>2847</v>
      </c>
      <c r="C80" s="28"/>
      <c r="D80" s="28" t="s">
        <v>3300</v>
      </c>
      <c r="E80" s="28">
        <v>1.22</v>
      </c>
      <c r="F80" s="28">
        <v>109.9</v>
      </c>
      <c r="G80" s="28"/>
      <c r="H80" s="28">
        <v>2</v>
      </c>
      <c r="I80" s="28"/>
      <c r="J80" s="133">
        <v>44944</v>
      </c>
      <c r="K80" s="9">
        <f t="shared" si="3"/>
        <v>268.15600000000001</v>
      </c>
      <c r="L80" s="9"/>
      <c r="M80" s="9"/>
      <c r="N80" s="9"/>
      <c r="O80" s="3"/>
    </row>
    <row r="81" spans="1:15" ht="18" customHeight="1">
      <c r="A81" s="180" t="s">
        <v>3803</v>
      </c>
      <c r="B81" s="158" t="s">
        <v>3804</v>
      </c>
      <c r="C81" s="158">
        <v>0</v>
      </c>
      <c r="D81" s="85" t="s">
        <v>1292</v>
      </c>
      <c r="E81" s="158">
        <v>1.22</v>
      </c>
      <c r="F81" s="158">
        <v>89.9</v>
      </c>
      <c r="G81" s="158"/>
      <c r="H81" s="158">
        <v>1.85</v>
      </c>
      <c r="I81" s="158"/>
      <c r="J81" s="318">
        <v>45572</v>
      </c>
      <c r="K81" s="10">
        <f t="shared" si="3"/>
        <v>202.90430000000003</v>
      </c>
      <c r="L81" s="10"/>
      <c r="M81" s="56"/>
      <c r="N81" s="286"/>
      <c r="O81" s="286"/>
    </row>
    <row r="82" spans="1:15" ht="18" customHeight="1">
      <c r="A82" s="21" t="s">
        <v>3805</v>
      </c>
      <c r="B82" s="28" t="s">
        <v>3806</v>
      </c>
      <c r="C82" s="80"/>
      <c r="D82" s="28" t="s">
        <v>1292</v>
      </c>
      <c r="E82" s="28">
        <v>1.22</v>
      </c>
      <c r="F82" s="80">
        <v>109.9</v>
      </c>
      <c r="G82" s="136"/>
      <c r="H82" s="28">
        <v>1.85</v>
      </c>
      <c r="I82" s="136"/>
      <c r="J82" s="134">
        <v>45701</v>
      </c>
      <c r="K82" s="10">
        <f t="shared" si="3"/>
        <v>248.04430000000002</v>
      </c>
      <c r="L82" s="10"/>
      <c r="M82" s="46"/>
      <c r="N82" s="45"/>
      <c r="O82" s="45"/>
    </row>
    <row r="83" spans="1:15" ht="18" customHeight="1">
      <c r="A83" s="21"/>
      <c r="B83" s="28" t="s">
        <v>100</v>
      </c>
      <c r="C83" s="28" t="s">
        <v>15</v>
      </c>
      <c r="D83" s="28" t="s">
        <v>3304</v>
      </c>
      <c r="E83" s="28">
        <v>1.22</v>
      </c>
      <c r="F83" s="28">
        <v>9</v>
      </c>
      <c r="G83" s="28"/>
      <c r="H83" s="28">
        <v>2</v>
      </c>
      <c r="I83" s="28"/>
      <c r="J83" s="133">
        <v>45946</v>
      </c>
      <c r="K83" s="9">
        <f t="shared" si="3"/>
        <v>21.96</v>
      </c>
      <c r="L83" s="9"/>
      <c r="M83" s="9"/>
      <c r="N83" s="9">
        <f>G83*H83*I83*E83</f>
        <v>0</v>
      </c>
      <c r="O83" s="3">
        <f>K83*1.6667</f>
        <v>36.600732000000001</v>
      </c>
    </row>
    <row r="84" spans="1:15" ht="18" customHeight="1">
      <c r="A84" s="21"/>
      <c r="B84" s="28" t="s">
        <v>100</v>
      </c>
      <c r="C84" s="28" t="s">
        <v>1821</v>
      </c>
      <c r="D84" s="28" t="s">
        <v>3304</v>
      </c>
      <c r="E84" s="28">
        <v>1.22</v>
      </c>
      <c r="F84" s="28">
        <v>81</v>
      </c>
      <c r="G84" s="28"/>
      <c r="H84" s="28">
        <v>1.62</v>
      </c>
      <c r="I84" s="28"/>
      <c r="J84" s="133">
        <v>45946</v>
      </c>
      <c r="K84" s="9">
        <f t="shared" si="3"/>
        <v>160.08840000000001</v>
      </c>
      <c r="L84" s="9"/>
      <c r="M84" s="9"/>
      <c r="N84" s="9"/>
      <c r="O84" s="3"/>
    </row>
    <row r="85" spans="1:15" ht="18" customHeight="1">
      <c r="A85" s="21">
        <v>232</v>
      </c>
      <c r="B85" s="28" t="s">
        <v>100</v>
      </c>
      <c r="C85" s="28" t="s">
        <v>2826</v>
      </c>
      <c r="D85" s="28" t="s">
        <v>3304</v>
      </c>
      <c r="E85" s="28">
        <v>1.22</v>
      </c>
      <c r="F85" s="28">
        <v>1941.8</v>
      </c>
      <c r="G85" s="28"/>
      <c r="H85" s="28">
        <v>1.3</v>
      </c>
      <c r="I85" s="28"/>
      <c r="J85" s="133">
        <v>45946</v>
      </c>
      <c r="K85" s="9">
        <f t="shared" si="3"/>
        <v>3079.6948000000002</v>
      </c>
      <c r="L85" s="9"/>
      <c r="M85" s="9"/>
      <c r="N85" s="9">
        <f>G85*H85*I85*E85</f>
        <v>0</v>
      </c>
      <c r="O85" s="3">
        <f>K85*1.6667</f>
        <v>5132.9273231600009</v>
      </c>
    </row>
    <row r="86" spans="1:15" ht="18" customHeight="1">
      <c r="A86" s="168" t="s">
        <v>3837</v>
      </c>
      <c r="B86" s="87" t="s">
        <v>3853</v>
      </c>
      <c r="C86" s="110" t="s">
        <v>2141</v>
      </c>
      <c r="D86" s="110" t="s">
        <v>3824</v>
      </c>
      <c r="E86" s="87">
        <v>1.22</v>
      </c>
      <c r="F86" s="87">
        <v>80</v>
      </c>
      <c r="G86" s="110"/>
      <c r="H86" s="87">
        <v>1.8</v>
      </c>
      <c r="I86" s="110"/>
      <c r="J86" s="135">
        <v>45567</v>
      </c>
      <c r="K86" s="10">
        <f t="shared" si="3"/>
        <v>175.68</v>
      </c>
      <c r="L86" s="63"/>
      <c r="M86" s="17"/>
      <c r="N86" s="16"/>
      <c r="O86" s="16"/>
    </row>
    <row r="87" spans="1:15" ht="18" customHeight="1">
      <c r="A87" s="168" t="s">
        <v>3838</v>
      </c>
      <c r="B87" s="87" t="s">
        <v>3850</v>
      </c>
      <c r="C87" s="110" t="s">
        <v>3851</v>
      </c>
      <c r="D87" s="110" t="s">
        <v>3824</v>
      </c>
      <c r="E87" s="87">
        <v>1.22</v>
      </c>
      <c r="F87" s="87">
        <v>110</v>
      </c>
      <c r="G87" s="110"/>
      <c r="H87" s="87">
        <v>1.8</v>
      </c>
      <c r="I87" s="110"/>
      <c r="J87" s="135">
        <v>45567</v>
      </c>
      <c r="K87" s="10">
        <f t="shared" si="3"/>
        <v>241.55999999999997</v>
      </c>
      <c r="L87" s="63"/>
      <c r="M87" s="17"/>
      <c r="N87" s="16"/>
      <c r="O87" s="16"/>
    </row>
    <row r="88" spans="1:15" ht="18" customHeight="1">
      <c r="A88" s="16"/>
      <c r="B88" s="91" t="s">
        <v>3596</v>
      </c>
      <c r="C88" s="79" t="s">
        <v>141</v>
      </c>
      <c r="D88" s="79" t="s">
        <v>3597</v>
      </c>
      <c r="E88" s="28">
        <v>1.22</v>
      </c>
      <c r="F88" s="80">
        <v>50</v>
      </c>
      <c r="G88" s="79"/>
      <c r="H88" s="80">
        <v>3</v>
      </c>
      <c r="I88" s="79"/>
      <c r="J88" s="134">
        <v>45493</v>
      </c>
      <c r="K88" s="10">
        <v>200</v>
      </c>
      <c r="L88" s="63"/>
      <c r="M88" s="17"/>
      <c r="N88" s="16"/>
      <c r="O88" s="16"/>
    </row>
    <row r="89" spans="1:15" ht="18" customHeight="1">
      <c r="A89" s="16"/>
      <c r="B89" s="91" t="s">
        <v>3596</v>
      </c>
      <c r="C89" s="79" t="s">
        <v>539</v>
      </c>
      <c r="D89" s="79" t="s">
        <v>3597</v>
      </c>
      <c r="E89" s="28">
        <v>1.22</v>
      </c>
      <c r="F89" s="80">
        <v>60</v>
      </c>
      <c r="G89" s="79"/>
      <c r="H89" s="80">
        <v>3</v>
      </c>
      <c r="I89" s="79"/>
      <c r="J89" s="134">
        <v>45493</v>
      </c>
      <c r="K89" s="10">
        <v>242</v>
      </c>
      <c r="L89" s="63"/>
      <c r="M89" s="17"/>
      <c r="N89" s="16"/>
      <c r="O89" s="16"/>
    </row>
    <row r="90" spans="1:15" ht="18" customHeight="1">
      <c r="A90" s="16"/>
      <c r="B90" s="91" t="s">
        <v>3596</v>
      </c>
      <c r="C90" s="79" t="s">
        <v>3598</v>
      </c>
      <c r="D90" s="79" t="s">
        <v>3597</v>
      </c>
      <c r="E90" s="28">
        <v>1.22</v>
      </c>
      <c r="F90" s="80">
        <v>90</v>
      </c>
      <c r="G90" s="79"/>
      <c r="H90" s="80">
        <v>3</v>
      </c>
      <c r="I90" s="79"/>
      <c r="J90" s="144">
        <v>45493</v>
      </c>
      <c r="K90" s="10">
        <v>361</v>
      </c>
      <c r="L90" s="63"/>
      <c r="M90" s="17"/>
      <c r="N90" s="16"/>
      <c r="O90" s="16"/>
    </row>
    <row r="91" spans="1:15" ht="18" customHeight="1">
      <c r="A91" s="32"/>
      <c r="B91" s="93" t="s">
        <v>1333</v>
      </c>
      <c r="C91" s="93" t="s">
        <v>98</v>
      </c>
      <c r="D91" s="93" t="s">
        <v>3303</v>
      </c>
      <c r="E91" s="93">
        <v>1</v>
      </c>
      <c r="F91" s="93">
        <v>695</v>
      </c>
      <c r="G91" s="93">
        <v>0</v>
      </c>
      <c r="H91" s="93">
        <v>1.3</v>
      </c>
      <c r="I91" s="93">
        <v>0</v>
      </c>
      <c r="J91" s="146">
        <v>45841</v>
      </c>
      <c r="K91" s="12">
        <f t="shared" ref="K91:K105" si="4">E91*F91*H91</f>
        <v>903.5</v>
      </c>
      <c r="L91" s="12"/>
      <c r="M91" s="33"/>
      <c r="N91" s="33">
        <f>G91*H91*I91*E91</f>
        <v>0</v>
      </c>
      <c r="O91" s="320">
        <f>K91*1.6667</f>
        <v>1505.8634500000001</v>
      </c>
    </row>
    <row r="92" spans="1:15" ht="18" customHeight="1">
      <c r="A92" s="21">
        <v>444</v>
      </c>
      <c r="B92" s="28" t="s">
        <v>1333</v>
      </c>
      <c r="C92" s="28" t="s">
        <v>20</v>
      </c>
      <c r="D92" s="28" t="s">
        <v>3303</v>
      </c>
      <c r="E92" s="28">
        <v>1</v>
      </c>
      <c r="F92" s="28">
        <v>27</v>
      </c>
      <c r="G92" s="28"/>
      <c r="H92" s="28">
        <v>1.4</v>
      </c>
      <c r="I92" s="28"/>
      <c r="J92" s="133">
        <v>45841</v>
      </c>
      <c r="K92" s="9">
        <f t="shared" si="4"/>
        <v>37.799999999999997</v>
      </c>
      <c r="L92" s="9"/>
      <c r="M92" s="9"/>
      <c r="N92" s="9">
        <f>G92*H92*I92*E92</f>
        <v>0</v>
      </c>
      <c r="O92" s="3">
        <f>K92*1.6667</f>
        <v>63.001259999999995</v>
      </c>
    </row>
    <row r="93" spans="1:15" ht="18" customHeight="1">
      <c r="A93" s="20" t="s">
        <v>3687</v>
      </c>
      <c r="B93" s="85" t="s">
        <v>3686</v>
      </c>
      <c r="C93" s="85">
        <v>0</v>
      </c>
      <c r="D93" s="85" t="s">
        <v>1292</v>
      </c>
      <c r="E93" s="85">
        <v>1.22</v>
      </c>
      <c r="F93" s="85">
        <v>299.89999999999998</v>
      </c>
      <c r="G93" s="85"/>
      <c r="H93" s="85">
        <v>1.6</v>
      </c>
      <c r="I93" s="85"/>
      <c r="J93" s="131">
        <v>45572</v>
      </c>
      <c r="K93" s="10">
        <f t="shared" si="4"/>
        <v>585.40480000000002</v>
      </c>
      <c r="L93" s="10"/>
      <c r="M93" s="10"/>
      <c r="N93" s="10">
        <f>G93*H93*I93*E93</f>
        <v>0</v>
      </c>
      <c r="O93" s="14">
        <f>K93*1.6667</f>
        <v>975.69418016000009</v>
      </c>
    </row>
    <row r="94" spans="1:15" ht="18" customHeight="1">
      <c r="A94" s="16" t="s">
        <v>3813</v>
      </c>
      <c r="B94" s="87" t="s">
        <v>3814</v>
      </c>
      <c r="C94" s="110"/>
      <c r="D94" s="110" t="s">
        <v>3812</v>
      </c>
      <c r="E94" s="87">
        <v>1.22</v>
      </c>
      <c r="F94" s="87">
        <v>299.89999999999998</v>
      </c>
      <c r="G94" s="110"/>
      <c r="H94" s="87">
        <v>1.8</v>
      </c>
      <c r="I94" s="110"/>
      <c r="J94" s="133">
        <v>45572</v>
      </c>
      <c r="K94" s="10">
        <f t="shared" si="4"/>
        <v>658.58039999999994</v>
      </c>
      <c r="L94" s="63"/>
      <c r="M94" s="17"/>
      <c r="N94" s="16"/>
      <c r="O94" s="16"/>
    </row>
    <row r="95" spans="1:15" ht="18" customHeight="1">
      <c r="A95" s="16" t="s">
        <v>3687</v>
      </c>
      <c r="B95" s="87" t="s">
        <v>3686</v>
      </c>
      <c r="C95" s="110"/>
      <c r="D95" s="110"/>
      <c r="E95" s="87">
        <v>1.22</v>
      </c>
      <c r="F95" s="87">
        <v>299.89999999999998</v>
      </c>
      <c r="G95" s="110"/>
      <c r="H95" s="87">
        <v>1.7</v>
      </c>
      <c r="I95" s="110"/>
      <c r="J95" s="87"/>
      <c r="K95" s="63">
        <f t="shared" si="4"/>
        <v>621.99259999999992</v>
      </c>
      <c r="L95" s="63"/>
      <c r="M95" s="17"/>
      <c r="N95" s="16"/>
      <c r="O95" s="16"/>
    </row>
    <row r="96" spans="1:15" ht="18" customHeight="1">
      <c r="A96" s="168" t="s">
        <v>3827</v>
      </c>
      <c r="B96" s="87" t="s">
        <v>3843</v>
      </c>
      <c r="C96" s="110"/>
      <c r="D96" s="110" t="s">
        <v>3824</v>
      </c>
      <c r="E96" s="87">
        <v>1.22</v>
      </c>
      <c r="F96" s="87">
        <v>79</v>
      </c>
      <c r="G96" s="110"/>
      <c r="H96" s="87">
        <v>1.8</v>
      </c>
      <c r="I96" s="110"/>
      <c r="J96" s="135">
        <v>45567</v>
      </c>
      <c r="K96" s="10">
        <f t="shared" si="4"/>
        <v>173.48400000000001</v>
      </c>
      <c r="L96" s="63"/>
      <c r="M96" s="17"/>
      <c r="N96" s="16"/>
      <c r="O96" s="16"/>
    </row>
    <row r="97" spans="1:15" ht="24.95" customHeight="1">
      <c r="A97" s="16"/>
      <c r="B97" s="28" t="s">
        <v>3279</v>
      </c>
      <c r="C97" s="110"/>
      <c r="D97" s="28"/>
      <c r="E97" s="87">
        <v>1.22</v>
      </c>
      <c r="F97" s="87">
        <v>79</v>
      </c>
      <c r="G97" s="110"/>
      <c r="H97" s="87">
        <v>1.8</v>
      </c>
      <c r="I97" s="110"/>
      <c r="J97" s="135">
        <v>45265</v>
      </c>
      <c r="K97" s="56">
        <f t="shared" si="4"/>
        <v>173.48400000000001</v>
      </c>
      <c r="L97" s="63"/>
      <c r="M97" s="17"/>
      <c r="N97" s="16"/>
      <c r="O97" s="16"/>
    </row>
    <row r="98" spans="1:15" ht="18" customHeight="1">
      <c r="A98" s="16"/>
      <c r="B98" s="80" t="s">
        <v>2102</v>
      </c>
      <c r="C98" s="110"/>
      <c r="D98" s="28"/>
      <c r="E98" s="87">
        <v>1.22</v>
      </c>
      <c r="F98" s="87">
        <v>119</v>
      </c>
      <c r="G98" s="110"/>
      <c r="H98" s="87">
        <v>1.8</v>
      </c>
      <c r="I98" s="110"/>
      <c r="J98" s="135">
        <v>44267</v>
      </c>
      <c r="K98" s="56">
        <f t="shared" si="4"/>
        <v>261.32400000000001</v>
      </c>
      <c r="L98" s="56"/>
      <c r="M98" s="17"/>
      <c r="N98" s="16">
        <f>G98*H98*I98*E98</f>
        <v>0</v>
      </c>
      <c r="O98" s="16">
        <f>K98*1.6667</f>
        <v>435.54871080000004</v>
      </c>
    </row>
    <row r="99" spans="1:15" ht="18" customHeight="1">
      <c r="A99" s="16"/>
      <c r="B99" s="87" t="s">
        <v>3339</v>
      </c>
      <c r="C99" s="110"/>
      <c r="D99" s="110" t="s">
        <v>3301</v>
      </c>
      <c r="E99" s="87">
        <v>1.22</v>
      </c>
      <c r="F99" s="87">
        <v>189</v>
      </c>
      <c r="G99" s="110"/>
      <c r="H99" s="87">
        <v>1.8</v>
      </c>
      <c r="I99" s="110"/>
      <c r="J99" s="135">
        <v>45301</v>
      </c>
      <c r="K99" s="63">
        <f t="shared" si="4"/>
        <v>415.04399999999998</v>
      </c>
      <c r="L99" s="63"/>
      <c r="M99" s="17"/>
      <c r="N99" s="16"/>
      <c r="O99" s="16"/>
    </row>
    <row r="100" spans="1:15" ht="18" customHeight="1">
      <c r="A100" s="21"/>
      <c r="B100" s="28" t="s">
        <v>1183</v>
      </c>
      <c r="C100" s="28" t="s">
        <v>79</v>
      </c>
      <c r="D100" s="28" t="s">
        <v>1030</v>
      </c>
      <c r="E100" s="28">
        <v>1</v>
      </c>
      <c r="F100" s="28">
        <v>198</v>
      </c>
      <c r="G100" s="28"/>
      <c r="H100" s="28">
        <v>1.6</v>
      </c>
      <c r="I100" s="28"/>
      <c r="J100" s="133">
        <v>45222</v>
      </c>
      <c r="K100" s="10">
        <f t="shared" si="4"/>
        <v>316.8</v>
      </c>
      <c r="L100" s="10"/>
      <c r="M100" s="9"/>
      <c r="N100" s="9">
        <f>G100*H100*I100*E100</f>
        <v>0</v>
      </c>
      <c r="O100" s="3">
        <f>K100*1.6667</f>
        <v>528.01056000000005</v>
      </c>
    </row>
    <row r="101" spans="1:15" ht="18" customHeight="1">
      <c r="A101" s="21">
        <v>1010297</v>
      </c>
      <c r="B101" s="28" t="s">
        <v>3153</v>
      </c>
      <c r="C101" s="28" t="s">
        <v>20</v>
      </c>
      <c r="D101" s="28" t="s">
        <v>3384</v>
      </c>
      <c r="E101" s="28">
        <v>1.22</v>
      </c>
      <c r="F101" s="28">
        <v>220</v>
      </c>
      <c r="G101" s="28"/>
      <c r="H101" s="28">
        <v>1.8</v>
      </c>
      <c r="I101" s="28"/>
      <c r="J101" s="133">
        <v>45787</v>
      </c>
      <c r="K101" s="10">
        <f t="shared" si="4"/>
        <v>483.11999999999995</v>
      </c>
      <c r="L101" s="10"/>
      <c r="M101" s="9"/>
      <c r="N101" s="9">
        <f>G101*H101*I101*E101</f>
        <v>0</v>
      </c>
      <c r="O101" s="3">
        <f>K101*1.6667</f>
        <v>805.21610399999997</v>
      </c>
    </row>
    <row r="102" spans="1:15" ht="18" customHeight="1">
      <c r="A102" s="21">
        <v>1010297</v>
      </c>
      <c r="B102" s="28" t="s">
        <v>3153</v>
      </c>
      <c r="C102" s="28" t="s">
        <v>133</v>
      </c>
      <c r="D102" s="28" t="s">
        <v>3384</v>
      </c>
      <c r="E102" s="28">
        <v>1.22</v>
      </c>
      <c r="F102" s="28">
        <v>22</v>
      </c>
      <c r="G102" s="28" t="s">
        <v>2648</v>
      </c>
      <c r="H102" s="28">
        <v>2</v>
      </c>
      <c r="I102" s="28"/>
      <c r="J102" s="133">
        <v>45787</v>
      </c>
      <c r="K102" s="10">
        <f t="shared" si="4"/>
        <v>53.68</v>
      </c>
      <c r="L102" s="10"/>
      <c r="M102" s="9"/>
      <c r="N102" s="9"/>
      <c r="O102" s="3"/>
    </row>
    <row r="103" spans="1:15" ht="18" customHeight="1">
      <c r="A103" s="21"/>
      <c r="B103" s="28" t="s">
        <v>1148</v>
      </c>
      <c r="C103" s="28" t="s">
        <v>254</v>
      </c>
      <c r="D103" s="28" t="s">
        <v>3307</v>
      </c>
      <c r="E103" s="28">
        <v>1</v>
      </c>
      <c r="F103" s="28">
        <v>167.5</v>
      </c>
      <c r="G103" s="28"/>
      <c r="H103" s="28">
        <v>1.3</v>
      </c>
      <c r="I103" s="28"/>
      <c r="J103" s="133">
        <v>45056</v>
      </c>
      <c r="K103" s="10">
        <f t="shared" si="4"/>
        <v>217.75</v>
      </c>
      <c r="L103" s="10"/>
      <c r="M103" s="9"/>
      <c r="N103" s="9">
        <f>G103*H103*I103*E103</f>
        <v>0</v>
      </c>
      <c r="O103" s="3">
        <f>K103*1.6667</f>
        <v>362.923925</v>
      </c>
    </row>
    <row r="104" spans="1:15" ht="18" customHeight="1">
      <c r="A104" s="16"/>
      <c r="B104" s="87" t="s">
        <v>3937</v>
      </c>
      <c r="C104" s="110"/>
      <c r="D104" s="28" t="s">
        <v>3932</v>
      </c>
      <c r="E104" s="28">
        <v>1.22</v>
      </c>
      <c r="F104" s="87">
        <v>176</v>
      </c>
      <c r="G104" s="110"/>
      <c r="H104" s="87">
        <v>1.5</v>
      </c>
      <c r="I104" s="110"/>
      <c r="J104" s="133">
        <v>45635</v>
      </c>
      <c r="K104" s="10">
        <f t="shared" si="4"/>
        <v>322.08</v>
      </c>
      <c r="L104" s="63"/>
      <c r="M104" s="17"/>
      <c r="N104" s="16"/>
      <c r="O104" s="16"/>
    </row>
    <row r="105" spans="1:15" ht="18" customHeight="1">
      <c r="A105" s="16"/>
      <c r="B105" s="87" t="s">
        <v>4466</v>
      </c>
      <c r="C105" s="28" t="s">
        <v>20</v>
      </c>
      <c r="D105" s="28" t="s">
        <v>3307</v>
      </c>
      <c r="E105" s="28">
        <v>1.22</v>
      </c>
      <c r="F105" s="87">
        <v>221</v>
      </c>
      <c r="G105" s="110"/>
      <c r="H105" s="87">
        <v>1.8</v>
      </c>
      <c r="I105" s="110"/>
      <c r="J105" s="135">
        <v>45965</v>
      </c>
      <c r="K105" s="10">
        <f t="shared" si="4"/>
        <v>485.31600000000003</v>
      </c>
      <c r="L105" s="63"/>
      <c r="M105" s="17"/>
      <c r="N105" s="16"/>
      <c r="O105" s="16"/>
    </row>
    <row r="106" spans="1:15" ht="18" customHeight="1">
      <c r="A106" s="21">
        <v>221000</v>
      </c>
      <c r="B106" s="28" t="s">
        <v>3181</v>
      </c>
      <c r="C106" s="28" t="s">
        <v>3182</v>
      </c>
      <c r="D106" s="28" t="s">
        <v>23</v>
      </c>
      <c r="E106" s="28">
        <v>1.22</v>
      </c>
      <c r="F106" s="28"/>
      <c r="G106" s="28">
        <v>2.79</v>
      </c>
      <c r="H106" s="28">
        <v>1.5</v>
      </c>
      <c r="I106" s="28">
        <v>46</v>
      </c>
      <c r="J106" s="133">
        <v>45999</v>
      </c>
      <c r="K106" s="10">
        <f>+I106*H106*G106</f>
        <v>192.51</v>
      </c>
      <c r="L106" s="10"/>
      <c r="M106" s="9"/>
      <c r="N106" s="9">
        <f>G106*H106*I106*E106</f>
        <v>234.86220000000003</v>
      </c>
      <c r="O106" s="3">
        <f>K106*1.6667</f>
        <v>320.85641700000002</v>
      </c>
    </row>
    <row r="107" spans="1:15" ht="18" customHeight="1">
      <c r="A107" s="16"/>
      <c r="B107" s="28" t="s">
        <v>1592</v>
      </c>
      <c r="C107" s="28" t="s">
        <v>206</v>
      </c>
      <c r="D107" s="28" t="s">
        <v>23</v>
      </c>
      <c r="E107" s="28">
        <v>1.22</v>
      </c>
      <c r="F107" s="28">
        <v>62.88</v>
      </c>
      <c r="G107" s="110"/>
      <c r="H107" s="28">
        <v>1.4</v>
      </c>
      <c r="I107" s="110"/>
      <c r="J107" s="134">
        <v>43906</v>
      </c>
      <c r="K107" s="10">
        <f t="shared" ref="K107:K123" si="5">E107*F107*H107</f>
        <v>107.39904</v>
      </c>
      <c r="L107" s="10"/>
      <c r="M107" s="17"/>
      <c r="N107" s="16"/>
      <c r="O107" s="16"/>
    </row>
    <row r="108" spans="1:15" ht="18" customHeight="1">
      <c r="A108" s="21">
        <v>1006</v>
      </c>
      <c r="B108" s="28" t="s">
        <v>3869</v>
      </c>
      <c r="C108" s="28" t="s">
        <v>25</v>
      </c>
      <c r="D108" s="28" t="s">
        <v>34</v>
      </c>
      <c r="E108" s="28">
        <v>1.22</v>
      </c>
      <c r="F108" s="28">
        <v>89</v>
      </c>
      <c r="G108" s="28"/>
      <c r="H108" s="28">
        <v>1.5</v>
      </c>
      <c r="I108" s="28"/>
      <c r="J108" s="133">
        <v>45930</v>
      </c>
      <c r="K108" s="10">
        <f t="shared" si="5"/>
        <v>162.87</v>
      </c>
      <c r="L108" s="10"/>
      <c r="M108" s="9"/>
      <c r="N108" s="9">
        <f>G108*H108*I108*E108</f>
        <v>0</v>
      </c>
      <c r="O108" s="3">
        <f>K108*1.6667</f>
        <v>271.45542900000004</v>
      </c>
    </row>
    <row r="109" spans="1:15" ht="18" customHeight="1">
      <c r="A109" s="21">
        <v>508</v>
      </c>
      <c r="B109" s="28" t="s">
        <v>35</v>
      </c>
      <c r="C109" s="28" t="s">
        <v>3050</v>
      </c>
      <c r="D109" s="28" t="s">
        <v>34</v>
      </c>
      <c r="E109" s="28">
        <v>1.22</v>
      </c>
      <c r="F109" s="28">
        <v>387</v>
      </c>
      <c r="G109" s="28"/>
      <c r="H109" s="28">
        <v>1.35</v>
      </c>
      <c r="I109" s="28"/>
      <c r="J109" s="133">
        <v>45245</v>
      </c>
      <c r="K109" s="10">
        <f t="shared" si="5"/>
        <v>637.38900000000001</v>
      </c>
      <c r="L109" s="10"/>
      <c r="M109" s="9"/>
      <c r="N109" s="9">
        <f>G109*H109*I109*E109</f>
        <v>0</v>
      </c>
      <c r="O109" s="3">
        <f>K109*1.6667</f>
        <v>1062.3362463000001</v>
      </c>
    </row>
    <row r="110" spans="1:15" ht="18" customHeight="1">
      <c r="A110" s="21">
        <v>404</v>
      </c>
      <c r="B110" s="28" t="s">
        <v>36</v>
      </c>
      <c r="C110" s="28" t="s">
        <v>79</v>
      </c>
      <c r="D110" s="28" t="s">
        <v>34</v>
      </c>
      <c r="E110" s="28">
        <v>1.22</v>
      </c>
      <c r="F110" s="28">
        <v>299.25</v>
      </c>
      <c r="G110" s="28"/>
      <c r="H110" s="28">
        <v>1.35</v>
      </c>
      <c r="I110" s="28"/>
      <c r="J110" s="133">
        <v>45148</v>
      </c>
      <c r="K110" s="10">
        <f t="shared" si="5"/>
        <v>492.86475000000002</v>
      </c>
      <c r="L110" s="10"/>
      <c r="M110" s="9"/>
      <c r="N110" s="9">
        <f>G110*H110*I110*E110</f>
        <v>0</v>
      </c>
      <c r="O110" s="3">
        <f>K110*1.6667</f>
        <v>821.45767882500002</v>
      </c>
    </row>
    <row r="111" spans="1:15" ht="18" customHeight="1">
      <c r="A111" s="21">
        <v>3004</v>
      </c>
      <c r="B111" s="28" t="s">
        <v>36</v>
      </c>
      <c r="C111" s="28" t="s">
        <v>25</v>
      </c>
      <c r="D111" s="28" t="s">
        <v>34</v>
      </c>
      <c r="E111" s="28">
        <v>1.22</v>
      </c>
      <c r="F111" s="28">
        <v>84</v>
      </c>
      <c r="G111" s="28"/>
      <c r="H111" s="28">
        <v>1.5</v>
      </c>
      <c r="I111" s="28"/>
      <c r="J111" s="133">
        <v>45930</v>
      </c>
      <c r="K111" s="10">
        <f t="shared" si="5"/>
        <v>153.72</v>
      </c>
      <c r="L111" s="10"/>
      <c r="M111" s="9"/>
      <c r="N111" s="9">
        <f>G111*H111*I111*E111</f>
        <v>0</v>
      </c>
      <c r="O111" s="3">
        <f>K111*1.6667</f>
        <v>256.20512400000001</v>
      </c>
    </row>
    <row r="112" spans="1:15" ht="18" customHeight="1">
      <c r="A112" s="16"/>
      <c r="B112" s="87" t="s">
        <v>1866</v>
      </c>
      <c r="C112" s="110" t="s">
        <v>1867</v>
      </c>
      <c r="D112" s="28"/>
      <c r="E112" s="28">
        <v>1.22</v>
      </c>
      <c r="F112" s="87">
        <v>269</v>
      </c>
      <c r="G112" s="110"/>
      <c r="H112" s="28">
        <v>1.4</v>
      </c>
      <c r="I112" s="110"/>
      <c r="J112" s="137">
        <v>44093</v>
      </c>
      <c r="K112" s="57">
        <f t="shared" si="5"/>
        <v>459.452</v>
      </c>
      <c r="L112" s="57"/>
      <c r="M112" s="17"/>
      <c r="N112" s="16"/>
      <c r="O112" s="16"/>
    </row>
    <row r="113" spans="1:15" ht="18" customHeight="1">
      <c r="A113" s="21"/>
      <c r="B113" s="86" t="s">
        <v>39</v>
      </c>
      <c r="C113" s="28" t="s">
        <v>40</v>
      </c>
      <c r="D113" s="28" t="s">
        <v>41</v>
      </c>
      <c r="E113" s="28">
        <v>1.22</v>
      </c>
      <c r="F113" s="28">
        <v>6.5</v>
      </c>
      <c r="G113" s="28"/>
      <c r="H113" s="28">
        <v>1</v>
      </c>
      <c r="I113" s="28"/>
      <c r="J113" s="133">
        <v>45797</v>
      </c>
      <c r="K113" s="10">
        <f t="shared" si="5"/>
        <v>7.93</v>
      </c>
      <c r="L113" s="10"/>
      <c r="M113" s="9"/>
      <c r="N113" s="9">
        <f>G113*H113*I113*E113</f>
        <v>0</v>
      </c>
      <c r="O113" s="3">
        <f>K113*1.6667</f>
        <v>13.216931000000001</v>
      </c>
    </row>
    <row r="114" spans="1:15" ht="18" customHeight="1">
      <c r="A114" s="16" t="s">
        <v>3255</v>
      </c>
      <c r="B114" s="87" t="s">
        <v>3254</v>
      </c>
      <c r="C114" s="110" t="s">
        <v>3256</v>
      </c>
      <c r="D114" s="28" t="s">
        <v>3297</v>
      </c>
      <c r="E114" s="87">
        <v>1.22</v>
      </c>
      <c r="F114" s="87">
        <v>246</v>
      </c>
      <c r="G114" s="110"/>
      <c r="H114" s="87">
        <v>1.4</v>
      </c>
      <c r="I114" s="110"/>
      <c r="J114" s="135">
        <v>45251</v>
      </c>
      <c r="K114" s="10">
        <f t="shared" si="5"/>
        <v>420.16800000000001</v>
      </c>
      <c r="L114" s="63"/>
      <c r="M114" s="17"/>
      <c r="N114" s="16"/>
      <c r="O114" s="16"/>
    </row>
    <row r="115" spans="1:15" ht="18" customHeight="1">
      <c r="A115" s="21" t="s">
        <v>4521</v>
      </c>
      <c r="B115" s="28" t="s">
        <v>3254</v>
      </c>
      <c r="C115" s="28" t="s">
        <v>4522</v>
      </c>
      <c r="D115" s="28" t="s">
        <v>1983</v>
      </c>
      <c r="E115" s="28">
        <v>1.22</v>
      </c>
      <c r="F115" s="28">
        <v>206</v>
      </c>
      <c r="G115" s="28"/>
      <c r="H115" s="28">
        <v>1.6</v>
      </c>
      <c r="I115" s="28"/>
      <c r="J115" s="133">
        <v>45982</v>
      </c>
      <c r="K115" s="10">
        <f t="shared" si="5"/>
        <v>402.11200000000002</v>
      </c>
      <c r="L115" s="10"/>
      <c r="M115" s="9"/>
      <c r="N115" s="9"/>
      <c r="O115" s="3"/>
    </row>
    <row r="116" spans="1:15" ht="18" customHeight="1">
      <c r="A116" s="70" t="s">
        <v>4516</v>
      </c>
      <c r="B116" s="80" t="s">
        <v>4517</v>
      </c>
      <c r="C116" s="79">
        <v>0</v>
      </c>
      <c r="D116" s="28" t="s">
        <v>1983</v>
      </c>
      <c r="E116" s="28">
        <v>1.2</v>
      </c>
      <c r="F116" s="80">
        <v>247</v>
      </c>
      <c r="G116" s="110"/>
      <c r="H116" s="28">
        <v>1.8</v>
      </c>
      <c r="I116" s="110"/>
      <c r="J116" s="143">
        <v>45982</v>
      </c>
      <c r="K116" s="10">
        <f t="shared" si="5"/>
        <v>533.52</v>
      </c>
      <c r="L116" s="10"/>
      <c r="M116" s="17"/>
      <c r="N116" s="16"/>
      <c r="O116" s="16"/>
    </row>
    <row r="117" spans="1:15" ht="18" customHeight="1">
      <c r="A117" s="21" t="s">
        <v>812</v>
      </c>
      <c r="B117" s="28" t="s">
        <v>1455</v>
      </c>
      <c r="C117" s="28"/>
      <c r="D117" s="28" t="s">
        <v>3297</v>
      </c>
      <c r="E117" s="28">
        <v>1.22</v>
      </c>
      <c r="F117" s="28">
        <v>43</v>
      </c>
      <c r="G117" s="28"/>
      <c r="H117" s="28">
        <v>2</v>
      </c>
      <c r="I117" s="28"/>
      <c r="J117" s="133">
        <v>45886</v>
      </c>
      <c r="K117" s="10">
        <f t="shared" si="5"/>
        <v>104.92</v>
      </c>
      <c r="L117" s="10"/>
      <c r="M117" s="9"/>
      <c r="N117" s="9"/>
      <c r="O117" s="3"/>
    </row>
    <row r="118" spans="1:15" ht="18" customHeight="1">
      <c r="A118" s="21" t="s">
        <v>43</v>
      </c>
      <c r="B118" s="28" t="s">
        <v>44</v>
      </c>
      <c r="C118" s="28" t="s">
        <v>15</v>
      </c>
      <c r="D118" s="28" t="s">
        <v>3297</v>
      </c>
      <c r="E118" s="28">
        <v>1.22</v>
      </c>
      <c r="F118" s="28">
        <v>26</v>
      </c>
      <c r="G118" s="28"/>
      <c r="H118" s="28">
        <v>2</v>
      </c>
      <c r="I118" s="28"/>
      <c r="J118" s="133">
        <v>45886</v>
      </c>
      <c r="K118" s="10">
        <f t="shared" si="5"/>
        <v>63.44</v>
      </c>
      <c r="L118" s="10"/>
      <c r="M118" s="9"/>
      <c r="N118" s="9">
        <f>G118*H118*I118*E118</f>
        <v>0</v>
      </c>
      <c r="O118" s="3">
        <f>K118*1.6667</f>
        <v>105.73544800000001</v>
      </c>
    </row>
    <row r="119" spans="1:15" ht="18" customHeight="1">
      <c r="A119" s="21" t="s">
        <v>42</v>
      </c>
      <c r="B119" s="28" t="s">
        <v>1621</v>
      </c>
      <c r="C119" s="28" t="s">
        <v>1622</v>
      </c>
      <c r="D119" s="28" t="s">
        <v>3297</v>
      </c>
      <c r="E119" s="28">
        <v>1.22</v>
      </c>
      <c r="F119" s="28">
        <v>48</v>
      </c>
      <c r="G119" s="28"/>
      <c r="H119" s="28">
        <v>1.8</v>
      </c>
      <c r="I119" s="28"/>
      <c r="J119" s="133">
        <v>45499</v>
      </c>
      <c r="K119" s="10">
        <f t="shared" si="5"/>
        <v>105.408</v>
      </c>
      <c r="L119" s="10"/>
      <c r="M119" s="9"/>
      <c r="N119" s="9">
        <f>G119*H119*I119*E119</f>
        <v>0</v>
      </c>
      <c r="O119" s="3">
        <f>K119*1.6667</f>
        <v>175.6835136</v>
      </c>
    </row>
    <row r="120" spans="1:15" ht="18" customHeight="1">
      <c r="A120" s="21" t="s">
        <v>4343</v>
      </c>
      <c r="B120" s="28" t="s">
        <v>4347</v>
      </c>
      <c r="C120" s="28" t="s">
        <v>3736</v>
      </c>
      <c r="D120" s="28" t="s">
        <v>1983</v>
      </c>
      <c r="E120" s="28">
        <v>1.22</v>
      </c>
      <c r="F120" s="28">
        <v>46.81</v>
      </c>
      <c r="G120" s="28"/>
      <c r="H120" s="28">
        <v>1.6</v>
      </c>
      <c r="I120" s="28"/>
      <c r="J120" s="133">
        <v>45890</v>
      </c>
      <c r="K120" s="10">
        <f t="shared" si="5"/>
        <v>91.373120000000014</v>
      </c>
      <c r="L120" s="10"/>
      <c r="M120" s="9"/>
      <c r="N120" s="9"/>
      <c r="O120" s="3"/>
    </row>
    <row r="121" spans="1:15" ht="18" customHeight="1">
      <c r="A121" s="21" t="s">
        <v>4346</v>
      </c>
      <c r="B121" s="28" t="s">
        <v>4345</v>
      </c>
      <c r="C121" s="28" t="s">
        <v>4344</v>
      </c>
      <c r="D121" s="28" t="s">
        <v>1983</v>
      </c>
      <c r="E121" s="28">
        <v>1.22</v>
      </c>
      <c r="F121" s="28">
        <v>40.81</v>
      </c>
      <c r="G121" s="28"/>
      <c r="H121" s="28">
        <v>1.6</v>
      </c>
      <c r="I121" s="28"/>
      <c r="J121" s="133">
        <v>45890</v>
      </c>
      <c r="K121" s="10">
        <f t="shared" si="5"/>
        <v>79.661120000000011</v>
      </c>
      <c r="L121" s="10"/>
      <c r="M121" s="9"/>
      <c r="N121" s="9"/>
      <c r="O121" s="3"/>
    </row>
    <row r="122" spans="1:15" ht="18" customHeight="1">
      <c r="A122" s="16" t="s">
        <v>4222</v>
      </c>
      <c r="B122" s="87" t="s">
        <v>4223</v>
      </c>
      <c r="C122" s="110"/>
      <c r="D122" s="28" t="s">
        <v>3297</v>
      </c>
      <c r="E122" s="28">
        <v>1.22</v>
      </c>
      <c r="F122" s="87">
        <v>326</v>
      </c>
      <c r="G122" s="110"/>
      <c r="H122" s="87">
        <v>1.6</v>
      </c>
      <c r="I122" s="110"/>
      <c r="J122" s="135">
        <v>45777</v>
      </c>
      <c r="K122" s="63">
        <f t="shared" si="5"/>
        <v>636.35199999999998</v>
      </c>
      <c r="L122" s="63"/>
      <c r="M122" s="17"/>
      <c r="N122" s="16"/>
      <c r="O122" s="16"/>
    </row>
    <row r="123" spans="1:15" ht="18" customHeight="1">
      <c r="A123" s="16" t="s">
        <v>4338</v>
      </c>
      <c r="B123" s="87" t="s">
        <v>4339</v>
      </c>
      <c r="C123" s="110"/>
      <c r="D123" s="28" t="s">
        <v>3297</v>
      </c>
      <c r="E123" s="28">
        <v>1.22</v>
      </c>
      <c r="F123" s="87">
        <v>225</v>
      </c>
      <c r="G123" s="110"/>
      <c r="H123" s="87">
        <v>2</v>
      </c>
      <c r="I123" s="110"/>
      <c r="J123" s="135">
        <v>45887</v>
      </c>
      <c r="K123" s="63">
        <f t="shared" si="5"/>
        <v>549</v>
      </c>
      <c r="L123" s="63"/>
      <c r="M123" s="17"/>
      <c r="N123" s="16"/>
      <c r="O123" s="16"/>
    </row>
    <row r="124" spans="1:15" ht="18" customHeight="1">
      <c r="A124" s="21">
        <v>200155</v>
      </c>
      <c r="B124" s="28" t="s">
        <v>45</v>
      </c>
      <c r="C124" s="28" t="s">
        <v>46</v>
      </c>
      <c r="D124" s="28" t="s">
        <v>23</v>
      </c>
      <c r="E124" s="28">
        <v>1.22</v>
      </c>
      <c r="F124" s="28">
        <v>0</v>
      </c>
      <c r="G124" s="28">
        <v>3.64</v>
      </c>
      <c r="H124" s="28">
        <v>1.4</v>
      </c>
      <c r="I124" s="28">
        <v>45</v>
      </c>
      <c r="J124" s="133">
        <v>45342</v>
      </c>
      <c r="K124" s="10">
        <f>+E124*G124*H124*I124</f>
        <v>279.7704</v>
      </c>
      <c r="L124" s="10"/>
      <c r="M124" s="9"/>
      <c r="N124" s="9">
        <f>G124*H124*I124*E124</f>
        <v>279.7704</v>
      </c>
      <c r="O124" s="3">
        <f>K124*1.6667</f>
        <v>466.29332568000001</v>
      </c>
    </row>
    <row r="125" spans="1:15" ht="18" customHeight="1">
      <c r="A125" s="21">
        <v>2230</v>
      </c>
      <c r="B125" s="28" t="s">
        <v>3999</v>
      </c>
      <c r="C125" s="28" t="s">
        <v>4001</v>
      </c>
      <c r="D125" s="28" t="s">
        <v>7</v>
      </c>
      <c r="E125" s="28">
        <v>1</v>
      </c>
      <c r="F125" s="28">
        <v>82.9</v>
      </c>
      <c r="G125" s="28"/>
      <c r="H125" s="28">
        <v>1.2</v>
      </c>
      <c r="I125" s="28"/>
      <c r="J125" s="133">
        <v>45653</v>
      </c>
      <c r="K125" s="10">
        <f t="shared" ref="K125:K132" si="6">E125*F125*H125</f>
        <v>99.48</v>
      </c>
      <c r="L125" s="10"/>
      <c r="M125" s="9"/>
      <c r="N125" s="9">
        <f>G125*H125*I125*E125</f>
        <v>0</v>
      </c>
      <c r="O125" s="3">
        <f>K125*1.6667</f>
        <v>165.80331600000002</v>
      </c>
    </row>
    <row r="126" spans="1:15" ht="18" customHeight="1">
      <c r="A126" s="21">
        <v>1</v>
      </c>
      <c r="B126" s="28" t="s">
        <v>4000</v>
      </c>
      <c r="C126" s="28" t="s">
        <v>4001</v>
      </c>
      <c r="D126" s="28" t="s">
        <v>7</v>
      </c>
      <c r="E126" s="28">
        <v>1</v>
      </c>
      <c r="F126" s="28">
        <v>2984.18</v>
      </c>
      <c r="G126" s="28"/>
      <c r="H126" s="28">
        <v>1.3</v>
      </c>
      <c r="I126" s="28"/>
      <c r="J126" s="133">
        <v>45653</v>
      </c>
      <c r="K126" s="10">
        <f t="shared" si="6"/>
        <v>3879.4339999999997</v>
      </c>
      <c r="L126" s="10"/>
      <c r="M126" s="9"/>
      <c r="N126" s="9">
        <f>G126*H126*I126*E126</f>
        <v>0</v>
      </c>
      <c r="O126" s="3">
        <f>K126*1.6667</f>
        <v>6465.8526477999994</v>
      </c>
    </row>
    <row r="127" spans="1:15" ht="18" customHeight="1">
      <c r="A127" s="16"/>
      <c r="B127" s="80" t="s">
        <v>2123</v>
      </c>
      <c r="C127" s="79" t="s">
        <v>2122</v>
      </c>
      <c r="D127" s="28" t="s">
        <v>34</v>
      </c>
      <c r="E127" s="80">
        <v>1.22</v>
      </c>
      <c r="F127" s="80">
        <v>160</v>
      </c>
      <c r="G127" s="110"/>
      <c r="H127" s="87">
        <v>1.4</v>
      </c>
      <c r="I127" s="110"/>
      <c r="J127" s="134">
        <v>45415</v>
      </c>
      <c r="K127" s="10">
        <f t="shared" si="6"/>
        <v>273.27999999999997</v>
      </c>
      <c r="L127" s="56"/>
      <c r="M127" s="17"/>
      <c r="N127" s="16"/>
      <c r="O127" s="16"/>
    </row>
    <row r="128" spans="1:15" ht="18" customHeight="1">
      <c r="A128" s="21"/>
      <c r="B128" s="28" t="s">
        <v>213</v>
      </c>
      <c r="C128" s="28" t="s">
        <v>94</v>
      </c>
      <c r="D128" s="28" t="s">
        <v>3299</v>
      </c>
      <c r="E128" s="28">
        <v>1.22</v>
      </c>
      <c r="F128" s="28">
        <v>210</v>
      </c>
      <c r="G128" s="28"/>
      <c r="H128" s="28">
        <v>1.5</v>
      </c>
      <c r="I128" s="28"/>
      <c r="J128" s="133">
        <v>44416</v>
      </c>
      <c r="K128" s="10">
        <f t="shared" si="6"/>
        <v>384.29999999999995</v>
      </c>
      <c r="L128" s="10"/>
      <c r="M128" s="9"/>
      <c r="N128" s="9">
        <f>G128*H128*I128*E128</f>
        <v>0</v>
      </c>
      <c r="O128" s="3">
        <f t="shared" ref="O128:O133" si="7">K128*1.6667</f>
        <v>640.51280999999994</v>
      </c>
    </row>
    <row r="129" spans="1:15" ht="18" customHeight="1">
      <c r="A129" s="21"/>
      <c r="B129" s="28" t="s">
        <v>213</v>
      </c>
      <c r="C129" s="28" t="s">
        <v>13</v>
      </c>
      <c r="D129" s="28" t="s">
        <v>3299</v>
      </c>
      <c r="E129" s="28">
        <v>1.22</v>
      </c>
      <c r="F129" s="28">
        <v>40</v>
      </c>
      <c r="G129" s="28"/>
      <c r="H129" s="28">
        <v>2</v>
      </c>
      <c r="I129" s="28"/>
      <c r="J129" s="133">
        <v>44416</v>
      </c>
      <c r="K129" s="10">
        <f t="shared" si="6"/>
        <v>97.6</v>
      </c>
      <c r="L129" s="10"/>
      <c r="M129" s="9"/>
      <c r="N129" s="9">
        <f>G129*H129*I129*E129</f>
        <v>0</v>
      </c>
      <c r="O129" s="3">
        <f t="shared" si="7"/>
        <v>162.66991999999999</v>
      </c>
    </row>
    <row r="130" spans="1:15" ht="18" customHeight="1">
      <c r="A130" s="21"/>
      <c r="B130" s="28" t="s">
        <v>777</v>
      </c>
      <c r="C130" s="28" t="s">
        <v>91</v>
      </c>
      <c r="D130" s="28" t="s">
        <v>3299</v>
      </c>
      <c r="E130" s="28">
        <v>1.22</v>
      </c>
      <c r="F130" s="28">
        <v>390</v>
      </c>
      <c r="G130" s="28"/>
      <c r="H130" s="28">
        <v>1.6</v>
      </c>
      <c r="I130" s="28"/>
      <c r="J130" s="133">
        <v>44416</v>
      </c>
      <c r="K130" s="10">
        <f t="shared" si="6"/>
        <v>761.28000000000009</v>
      </c>
      <c r="L130" s="10"/>
      <c r="M130" s="9"/>
      <c r="N130" s="9">
        <f>G130*H130*I130*E130</f>
        <v>0</v>
      </c>
      <c r="O130" s="3">
        <f t="shared" si="7"/>
        <v>1268.8253760000002</v>
      </c>
    </row>
    <row r="131" spans="1:15" ht="18" customHeight="1">
      <c r="A131" s="21"/>
      <c r="B131" s="28" t="s">
        <v>777</v>
      </c>
      <c r="C131" s="28" t="s">
        <v>778</v>
      </c>
      <c r="D131" s="28" t="s">
        <v>3299</v>
      </c>
      <c r="E131" s="28">
        <v>1.22</v>
      </c>
      <c r="F131" s="28">
        <v>600</v>
      </c>
      <c r="G131" s="28"/>
      <c r="H131" s="28">
        <v>1.6</v>
      </c>
      <c r="I131" s="28"/>
      <c r="J131" s="133">
        <v>44416</v>
      </c>
      <c r="K131" s="10">
        <f t="shared" si="6"/>
        <v>1171.2</v>
      </c>
      <c r="L131" s="10"/>
      <c r="M131" s="9"/>
      <c r="N131" s="9">
        <f>G131*H131*I131*E131</f>
        <v>0</v>
      </c>
      <c r="O131" s="3">
        <f t="shared" si="7"/>
        <v>1952.0390400000001</v>
      </c>
    </row>
    <row r="132" spans="1:15" ht="18" customHeight="1">
      <c r="A132" s="21" t="s">
        <v>3061</v>
      </c>
      <c r="B132" s="28" t="s">
        <v>3062</v>
      </c>
      <c r="C132" s="28" t="s">
        <v>3063</v>
      </c>
      <c r="D132" s="28" t="s">
        <v>3297</v>
      </c>
      <c r="E132" s="28">
        <v>1.22</v>
      </c>
      <c r="F132" s="28">
        <v>644.79</v>
      </c>
      <c r="G132" s="28"/>
      <c r="H132" s="28">
        <v>1.3</v>
      </c>
      <c r="I132" s="28"/>
      <c r="J132" s="133">
        <v>45084</v>
      </c>
      <c r="K132" s="10">
        <f t="shared" si="6"/>
        <v>1022.63694</v>
      </c>
      <c r="L132" s="10"/>
      <c r="M132" s="9"/>
      <c r="N132" s="9"/>
      <c r="O132" s="3">
        <f t="shared" si="7"/>
        <v>1704.4289878980001</v>
      </c>
    </row>
    <row r="133" spans="1:15" ht="18" customHeight="1">
      <c r="A133" s="22">
        <v>514224</v>
      </c>
      <c r="B133" s="28" t="s">
        <v>1897</v>
      </c>
      <c r="C133" s="28" t="s">
        <v>2127</v>
      </c>
      <c r="D133" s="28" t="s">
        <v>23</v>
      </c>
      <c r="E133" s="28">
        <v>1.22</v>
      </c>
      <c r="F133" s="28"/>
      <c r="G133" s="81">
        <v>5</v>
      </c>
      <c r="H133" s="28">
        <v>1.5</v>
      </c>
      <c r="I133" s="81">
        <v>45</v>
      </c>
      <c r="J133" s="133">
        <v>45980</v>
      </c>
      <c r="K133" s="10">
        <f>+E133*G133*H133*I133</f>
        <v>411.74999999999994</v>
      </c>
      <c r="L133" s="10"/>
      <c r="M133" s="9"/>
      <c r="N133" s="9"/>
      <c r="O133" s="3">
        <f t="shared" si="7"/>
        <v>686.26372499999991</v>
      </c>
    </row>
    <row r="134" spans="1:15" ht="18" customHeight="1">
      <c r="A134" s="16">
        <v>514223</v>
      </c>
      <c r="B134" s="83" t="s">
        <v>1897</v>
      </c>
      <c r="C134" s="79" t="s">
        <v>2284</v>
      </c>
      <c r="D134" s="28" t="s">
        <v>23</v>
      </c>
      <c r="E134" s="94">
        <v>1.22</v>
      </c>
      <c r="F134" s="89"/>
      <c r="G134" s="79">
        <v>3.05</v>
      </c>
      <c r="H134" s="83">
        <v>1.5</v>
      </c>
      <c r="I134" s="79">
        <v>45</v>
      </c>
      <c r="J134" s="134">
        <v>45980</v>
      </c>
      <c r="K134" s="10">
        <f>+E134*G134*H134*I134</f>
        <v>251.16749999999996</v>
      </c>
      <c r="L134" s="57"/>
      <c r="M134" s="17"/>
      <c r="N134" s="16"/>
      <c r="O134" s="16"/>
    </row>
    <row r="135" spans="1:15" ht="18" customHeight="1">
      <c r="A135" s="21"/>
      <c r="B135" s="28" t="s">
        <v>4323</v>
      </c>
      <c r="C135" s="28" t="s">
        <v>2284</v>
      </c>
      <c r="D135" s="28" t="s">
        <v>23</v>
      </c>
      <c r="E135" s="94">
        <v>1.22</v>
      </c>
      <c r="F135" s="28"/>
      <c r="G135" s="28">
        <v>3.05</v>
      </c>
      <c r="H135" s="28">
        <v>1.45</v>
      </c>
      <c r="I135" s="28">
        <v>45</v>
      </c>
      <c r="J135" s="133">
        <v>45930</v>
      </c>
      <c r="K135" s="10">
        <f>+E135*G135*H135*I135</f>
        <v>242.79524999999998</v>
      </c>
      <c r="L135" s="10"/>
      <c r="M135" s="9"/>
      <c r="N135" s="9"/>
      <c r="O135" s="3"/>
    </row>
    <row r="136" spans="1:15" ht="18" customHeight="1">
      <c r="A136" s="21"/>
      <c r="B136" s="28" t="s">
        <v>4323</v>
      </c>
      <c r="C136" s="28" t="s">
        <v>2127</v>
      </c>
      <c r="D136" s="28" t="s">
        <v>23</v>
      </c>
      <c r="E136" s="94">
        <v>1.22</v>
      </c>
      <c r="F136" s="28"/>
      <c r="G136" s="28">
        <v>5</v>
      </c>
      <c r="H136" s="28">
        <v>1.45</v>
      </c>
      <c r="I136" s="28">
        <v>45</v>
      </c>
      <c r="J136" s="133">
        <v>45865</v>
      </c>
      <c r="K136" s="10">
        <f>+E136*G136*H136*I136</f>
        <v>398.02499999999998</v>
      </c>
      <c r="L136" s="10"/>
      <c r="M136" s="9"/>
      <c r="N136" s="9"/>
      <c r="O136" s="3"/>
    </row>
    <row r="137" spans="1:15" ht="18" customHeight="1">
      <c r="A137" s="21" t="s">
        <v>4254</v>
      </c>
      <c r="B137" s="87" t="s">
        <v>4255</v>
      </c>
      <c r="C137" s="110" t="s">
        <v>4256</v>
      </c>
      <c r="D137" s="28" t="s">
        <v>1983</v>
      </c>
      <c r="E137" s="28">
        <v>1.22</v>
      </c>
      <c r="F137" s="87">
        <v>129</v>
      </c>
      <c r="G137" s="110"/>
      <c r="H137" s="87">
        <v>1.3</v>
      </c>
      <c r="I137" s="110"/>
      <c r="J137" s="135">
        <v>45808</v>
      </c>
      <c r="K137" s="63">
        <f>E137*F137*H137</f>
        <v>204.59399999999999</v>
      </c>
      <c r="L137" s="63"/>
      <c r="M137" s="17"/>
      <c r="N137" s="16"/>
      <c r="O137" s="16"/>
    </row>
    <row r="138" spans="1:15" ht="18" customHeight="1">
      <c r="A138" s="16" t="s">
        <v>4269</v>
      </c>
      <c r="B138" s="87" t="s">
        <v>4270</v>
      </c>
      <c r="C138" s="110" t="s">
        <v>4271</v>
      </c>
      <c r="D138" s="28" t="s">
        <v>1983</v>
      </c>
      <c r="E138" s="28">
        <v>1.22</v>
      </c>
      <c r="F138" s="87">
        <v>103</v>
      </c>
      <c r="G138" s="110"/>
      <c r="H138" s="87">
        <v>1.5</v>
      </c>
      <c r="I138" s="110"/>
      <c r="J138" s="135">
        <v>45808</v>
      </c>
      <c r="K138" s="63">
        <f>E138*F138*H138</f>
        <v>188.49</v>
      </c>
      <c r="L138" s="63"/>
      <c r="M138" s="17"/>
      <c r="N138" s="16"/>
      <c r="O138" s="16"/>
    </row>
    <row r="139" spans="1:15" ht="18" customHeight="1">
      <c r="A139" s="21" t="s">
        <v>1677</v>
      </c>
      <c r="B139" s="28" t="s">
        <v>1678</v>
      </c>
      <c r="C139" s="96"/>
      <c r="D139" s="28" t="s">
        <v>3297</v>
      </c>
      <c r="E139" s="28">
        <v>1.22</v>
      </c>
      <c r="F139" s="28">
        <v>20</v>
      </c>
      <c r="G139" s="28"/>
      <c r="H139" s="28">
        <v>1.8</v>
      </c>
      <c r="I139" s="28"/>
      <c r="J139" s="133">
        <v>45463</v>
      </c>
      <c r="K139" s="10" t="b">
        <f>D2003=E139*F139*H139</f>
        <v>0</v>
      </c>
      <c r="L139" s="10"/>
      <c r="M139" s="9"/>
      <c r="N139" s="9">
        <f>G139*H139*I139*E139</f>
        <v>0</v>
      </c>
      <c r="O139" s="3">
        <f>K139*1.6667</f>
        <v>0</v>
      </c>
    </row>
    <row r="140" spans="1:15" ht="18" customHeight="1">
      <c r="A140" s="16">
        <v>518800</v>
      </c>
      <c r="B140" s="83" t="s">
        <v>4148</v>
      </c>
      <c r="C140" s="110" t="s">
        <v>4147</v>
      </c>
      <c r="D140" s="28" t="s">
        <v>23</v>
      </c>
      <c r="E140" s="94">
        <v>1.22</v>
      </c>
      <c r="F140" s="89">
        <v>280</v>
      </c>
      <c r="G140" s="110"/>
      <c r="H140" s="89">
        <v>1.5</v>
      </c>
      <c r="I140" s="110"/>
      <c r="J140" s="135">
        <v>45743</v>
      </c>
      <c r="K140" s="10">
        <f t="shared" ref="K140:K171" si="8">E140*F140*H140</f>
        <v>512.4</v>
      </c>
      <c r="L140" s="57"/>
      <c r="M140" s="17"/>
      <c r="N140" s="16"/>
      <c r="O140" s="16"/>
    </row>
    <row r="141" spans="1:15" ht="18" customHeight="1">
      <c r="A141" s="21" t="s">
        <v>3981</v>
      </c>
      <c r="B141" s="28" t="s">
        <v>3982</v>
      </c>
      <c r="C141" s="28" t="s">
        <v>3983</v>
      </c>
      <c r="D141" s="28" t="s">
        <v>1983</v>
      </c>
      <c r="E141" s="28">
        <v>1.22</v>
      </c>
      <c r="F141" s="28">
        <v>125</v>
      </c>
      <c r="G141" s="28"/>
      <c r="H141" s="28">
        <v>1.6</v>
      </c>
      <c r="I141" s="28"/>
      <c r="J141" s="133">
        <v>45649</v>
      </c>
      <c r="K141" s="10">
        <f t="shared" si="8"/>
        <v>244</v>
      </c>
      <c r="L141" s="10"/>
      <c r="M141" s="9"/>
      <c r="N141" s="9">
        <f>G141*H141*I141*E141</f>
        <v>0</v>
      </c>
      <c r="O141" s="3">
        <f>K141*1.6667</f>
        <v>406.6748</v>
      </c>
    </row>
    <row r="142" spans="1:15" ht="18" customHeight="1">
      <c r="A142" s="21" t="s">
        <v>3993</v>
      </c>
      <c r="B142" s="28" t="s">
        <v>3994</v>
      </c>
      <c r="C142" s="28" t="s">
        <v>3995</v>
      </c>
      <c r="D142" s="28" t="s">
        <v>1983</v>
      </c>
      <c r="E142" s="28">
        <v>1.22</v>
      </c>
      <c r="F142" s="28">
        <v>116</v>
      </c>
      <c r="G142" s="28"/>
      <c r="H142" s="28">
        <v>1.8</v>
      </c>
      <c r="I142" s="28"/>
      <c r="J142" s="133">
        <v>45982</v>
      </c>
      <c r="K142" s="10">
        <f t="shared" si="8"/>
        <v>254.73600000000002</v>
      </c>
      <c r="L142" s="10"/>
      <c r="M142" s="9"/>
      <c r="N142" s="9">
        <f>G142*H142*I142*E142</f>
        <v>0</v>
      </c>
      <c r="O142" s="3">
        <f>K142*1.6667</f>
        <v>424.56849120000004</v>
      </c>
    </row>
    <row r="143" spans="1:15" ht="18" customHeight="1">
      <c r="A143" s="21" t="s">
        <v>3993</v>
      </c>
      <c r="B143" s="28" t="s">
        <v>3991</v>
      </c>
      <c r="C143" s="28" t="s">
        <v>535</v>
      </c>
      <c r="D143" s="28" t="s">
        <v>1983</v>
      </c>
      <c r="E143" s="28">
        <v>1.22</v>
      </c>
      <c r="F143" s="28">
        <v>40</v>
      </c>
      <c r="G143" s="28"/>
      <c r="H143" s="28">
        <v>1.6</v>
      </c>
      <c r="I143" s="28"/>
      <c r="J143" s="133">
        <v>45649</v>
      </c>
      <c r="K143" s="10">
        <f t="shared" si="8"/>
        <v>78.08</v>
      </c>
      <c r="L143" s="10"/>
      <c r="M143" s="9"/>
      <c r="N143" s="9">
        <f>G143*H143*I143*E143</f>
        <v>0</v>
      </c>
      <c r="O143" s="3">
        <f>K143*1.6667</f>
        <v>130.13593600000002</v>
      </c>
    </row>
    <row r="144" spans="1:15" ht="18" customHeight="1">
      <c r="A144" s="21" t="s">
        <v>2640</v>
      </c>
      <c r="B144" s="28" t="s">
        <v>3991</v>
      </c>
      <c r="C144" s="28" t="s">
        <v>3992</v>
      </c>
      <c r="D144" s="28" t="s">
        <v>1983</v>
      </c>
      <c r="E144" s="28">
        <v>1.22</v>
      </c>
      <c r="F144" s="28">
        <v>63</v>
      </c>
      <c r="G144" s="28"/>
      <c r="H144" s="28">
        <v>1.8</v>
      </c>
      <c r="I144" s="28"/>
      <c r="J144" s="133">
        <v>45982</v>
      </c>
      <c r="K144" s="10">
        <f t="shared" si="8"/>
        <v>138.34800000000001</v>
      </c>
      <c r="L144" s="10"/>
      <c r="M144" s="9"/>
      <c r="N144" s="9">
        <f>G144*H144*I144*E144</f>
        <v>0</v>
      </c>
      <c r="O144" s="3">
        <f>K144*1.6667</f>
        <v>230.58461160000004</v>
      </c>
    </row>
    <row r="145" spans="1:15" ht="18" customHeight="1">
      <c r="A145" s="21" t="s">
        <v>3559</v>
      </c>
      <c r="B145" s="28" t="s">
        <v>3661</v>
      </c>
      <c r="C145" s="28" t="s">
        <v>15</v>
      </c>
      <c r="D145" s="28" t="s">
        <v>1983</v>
      </c>
      <c r="E145" s="28">
        <v>1.22</v>
      </c>
      <c r="F145" s="28">
        <v>110.59</v>
      </c>
      <c r="G145" s="28"/>
      <c r="H145" s="28">
        <v>1.6</v>
      </c>
      <c r="I145" s="28"/>
      <c r="J145" s="133">
        <v>45523</v>
      </c>
      <c r="K145" s="10">
        <f t="shared" si="8"/>
        <v>215.87168000000003</v>
      </c>
      <c r="L145" s="10"/>
      <c r="M145" s="9"/>
      <c r="N145" s="9">
        <f>G145*H145*I145*E145</f>
        <v>0</v>
      </c>
      <c r="O145" s="3">
        <f>K145*1.6667</f>
        <v>359.79332905600006</v>
      </c>
    </row>
    <row r="146" spans="1:15" ht="18" customHeight="1">
      <c r="A146" s="46" t="s">
        <v>3773</v>
      </c>
      <c r="B146" s="80" t="s">
        <v>3984</v>
      </c>
      <c r="C146" s="79">
        <v>0</v>
      </c>
      <c r="D146" s="28" t="s">
        <v>1983</v>
      </c>
      <c r="E146" s="28">
        <v>1.22</v>
      </c>
      <c r="F146" s="92">
        <v>128.80000000000001</v>
      </c>
      <c r="G146" s="113"/>
      <c r="H146" s="28">
        <v>1.4</v>
      </c>
      <c r="I146" s="113"/>
      <c r="J146" s="137">
        <v>45649</v>
      </c>
      <c r="K146" s="10">
        <f t="shared" si="8"/>
        <v>219.99040000000002</v>
      </c>
      <c r="L146" s="10"/>
      <c r="M146" s="17"/>
      <c r="N146" s="44"/>
      <c r="O146" s="44"/>
    </row>
    <row r="147" spans="1:15" ht="18" customHeight="1">
      <c r="A147" s="21" t="s">
        <v>1422</v>
      </c>
      <c r="B147" s="28" t="s">
        <v>1423</v>
      </c>
      <c r="C147" s="28"/>
      <c r="D147" s="28" t="s">
        <v>3297</v>
      </c>
      <c r="E147" s="28">
        <v>1.22</v>
      </c>
      <c r="F147" s="28">
        <v>157.94999999999999</v>
      </c>
      <c r="G147" s="28"/>
      <c r="H147" s="28">
        <v>1.8</v>
      </c>
      <c r="I147" s="28"/>
      <c r="J147" s="133">
        <v>45171</v>
      </c>
      <c r="K147" s="10">
        <f t="shared" si="8"/>
        <v>346.85819999999995</v>
      </c>
      <c r="L147" s="10"/>
      <c r="M147" s="9"/>
      <c r="N147" s="9">
        <f>G147*H147*I147*E147</f>
        <v>0</v>
      </c>
      <c r="O147" s="3">
        <f>K147*1.6667</f>
        <v>578.10856193999996</v>
      </c>
    </row>
    <row r="148" spans="1:15" ht="18" customHeight="1">
      <c r="A148" s="21" t="s">
        <v>1425</v>
      </c>
      <c r="B148" s="28" t="s">
        <v>1424</v>
      </c>
      <c r="C148" s="28" t="s">
        <v>15</v>
      </c>
      <c r="D148" s="28" t="s">
        <v>3297</v>
      </c>
      <c r="E148" s="28">
        <v>1.22</v>
      </c>
      <c r="F148" s="28">
        <v>101.4</v>
      </c>
      <c r="G148" s="28"/>
      <c r="H148" s="28">
        <v>1.8</v>
      </c>
      <c r="I148" s="28"/>
      <c r="J148" s="133">
        <v>45171</v>
      </c>
      <c r="K148" s="10">
        <f t="shared" si="8"/>
        <v>222.67439999999999</v>
      </c>
      <c r="L148" s="10"/>
      <c r="M148" s="9"/>
      <c r="N148" s="9">
        <f>G148*H148*I148*E148</f>
        <v>0</v>
      </c>
      <c r="O148" s="3">
        <f>K148*1.6667</f>
        <v>371.13142248000003</v>
      </c>
    </row>
    <row r="149" spans="1:15" ht="18" customHeight="1">
      <c r="A149" s="46" t="s">
        <v>3979</v>
      </c>
      <c r="B149" s="28" t="s">
        <v>3403</v>
      </c>
      <c r="C149" s="28" t="s">
        <v>15</v>
      </c>
      <c r="D149" s="28" t="s">
        <v>3297</v>
      </c>
      <c r="E149" s="28">
        <v>1.22</v>
      </c>
      <c r="F149" s="28">
        <v>90.2</v>
      </c>
      <c r="G149" s="110"/>
      <c r="H149" s="28">
        <v>1.8</v>
      </c>
      <c r="I149" s="110"/>
      <c r="J149" s="134">
        <v>45939</v>
      </c>
      <c r="K149" s="10">
        <f t="shared" si="8"/>
        <v>198.07919999999999</v>
      </c>
      <c r="L149" s="56"/>
      <c r="M149" s="17"/>
      <c r="N149" s="16"/>
      <c r="O149" s="16"/>
    </row>
    <row r="150" spans="1:15" ht="18" customHeight="1">
      <c r="A150" s="16"/>
      <c r="B150" s="28" t="s">
        <v>3403</v>
      </c>
      <c r="C150" s="110"/>
      <c r="D150" s="28" t="s">
        <v>451</v>
      </c>
      <c r="E150" s="87">
        <v>1.22</v>
      </c>
      <c r="F150" s="87">
        <v>100</v>
      </c>
      <c r="G150" s="110"/>
      <c r="H150" s="87">
        <v>1.6</v>
      </c>
      <c r="I150" s="110"/>
      <c r="J150" s="135">
        <v>45960</v>
      </c>
      <c r="K150" s="10">
        <f t="shared" si="8"/>
        <v>195.20000000000002</v>
      </c>
      <c r="L150" s="63"/>
      <c r="M150" s="17"/>
      <c r="N150" s="16"/>
      <c r="O150" s="16"/>
    </row>
    <row r="151" spans="1:15" ht="18" customHeight="1">
      <c r="A151" s="21" t="s">
        <v>3771</v>
      </c>
      <c r="B151" s="28" t="s">
        <v>3772</v>
      </c>
      <c r="C151" s="28">
        <v>0</v>
      </c>
      <c r="D151" s="28" t="s">
        <v>3297</v>
      </c>
      <c r="E151" s="28">
        <v>1.22</v>
      </c>
      <c r="F151" s="28">
        <v>160</v>
      </c>
      <c r="G151" s="28"/>
      <c r="H151" s="28">
        <v>1.8</v>
      </c>
      <c r="I151" s="28"/>
      <c r="J151" s="133">
        <v>45886</v>
      </c>
      <c r="K151" s="10">
        <f t="shared" si="8"/>
        <v>351.36</v>
      </c>
      <c r="L151" s="10"/>
      <c r="M151" s="9"/>
      <c r="N151" s="9">
        <f>G151*H151*I151*E151</f>
        <v>0</v>
      </c>
      <c r="O151" s="3">
        <f>K151*1.6667</f>
        <v>585.61171200000001</v>
      </c>
    </row>
    <row r="152" spans="1:15" ht="18" customHeight="1">
      <c r="A152" s="21" t="s">
        <v>3773</v>
      </c>
      <c r="B152" s="28" t="s">
        <v>3774</v>
      </c>
      <c r="C152" s="28" t="s">
        <v>15</v>
      </c>
      <c r="D152" s="28" t="s">
        <v>3297</v>
      </c>
      <c r="E152" s="28">
        <v>1.22</v>
      </c>
      <c r="F152" s="28">
        <v>114.8</v>
      </c>
      <c r="G152" s="28"/>
      <c r="H152" s="28">
        <v>1.8</v>
      </c>
      <c r="I152" s="28"/>
      <c r="J152" s="133">
        <v>45666</v>
      </c>
      <c r="K152" s="10">
        <f t="shared" si="8"/>
        <v>252.10079999999996</v>
      </c>
      <c r="L152" s="10"/>
      <c r="M152" s="9"/>
      <c r="N152" s="9">
        <f>G152*H152*I152*E152</f>
        <v>0</v>
      </c>
      <c r="O152" s="3">
        <f>K152*1.6667</f>
        <v>420.17640335999994</v>
      </c>
    </row>
    <row r="153" spans="1:15" ht="18" customHeight="1">
      <c r="A153" s="21" t="s">
        <v>3559</v>
      </c>
      <c r="B153" s="80" t="s">
        <v>3560</v>
      </c>
      <c r="C153" s="110"/>
      <c r="D153" s="79" t="s">
        <v>3297</v>
      </c>
      <c r="E153" s="80">
        <v>1.22</v>
      </c>
      <c r="F153" s="80">
        <v>98.4</v>
      </c>
      <c r="G153" s="110"/>
      <c r="H153" s="80">
        <v>1.8</v>
      </c>
      <c r="I153" s="110"/>
      <c r="J153" s="134">
        <v>216</v>
      </c>
      <c r="K153" s="10">
        <f t="shared" si="8"/>
        <v>216.0864</v>
      </c>
      <c r="L153" s="63"/>
      <c r="M153" s="17"/>
      <c r="N153" s="16"/>
      <c r="O153" s="16"/>
    </row>
    <row r="154" spans="1:15" ht="18" customHeight="1">
      <c r="A154" s="21" t="s">
        <v>3979</v>
      </c>
      <c r="B154" s="28" t="s">
        <v>3896</v>
      </c>
      <c r="C154" s="28" t="s">
        <v>3980</v>
      </c>
      <c r="D154" s="28" t="s">
        <v>1983</v>
      </c>
      <c r="E154" s="28">
        <v>1.22</v>
      </c>
      <c r="F154" s="28">
        <v>350</v>
      </c>
      <c r="G154" s="28"/>
      <c r="H154" s="28">
        <v>1.6</v>
      </c>
      <c r="I154" s="28"/>
      <c r="J154" s="133">
        <v>45649</v>
      </c>
      <c r="K154" s="10">
        <f t="shared" si="8"/>
        <v>683.2</v>
      </c>
      <c r="L154" s="10"/>
      <c r="M154" s="9"/>
      <c r="N154" s="9">
        <f>G154*H154*I154*E154</f>
        <v>0</v>
      </c>
      <c r="O154" s="3">
        <f t="shared" ref="O154:O162" si="9">K154*1.6667</f>
        <v>1138.6894400000001</v>
      </c>
    </row>
    <row r="155" spans="1:15" ht="18" customHeight="1">
      <c r="A155" s="21"/>
      <c r="B155" s="28" t="s">
        <v>3896</v>
      </c>
      <c r="C155" s="28">
        <v>0</v>
      </c>
      <c r="D155" s="28" t="s">
        <v>451</v>
      </c>
      <c r="E155" s="28">
        <v>1.22</v>
      </c>
      <c r="F155" s="28">
        <v>185</v>
      </c>
      <c r="G155" s="28"/>
      <c r="H155" s="28">
        <v>1.5</v>
      </c>
      <c r="I155" s="28"/>
      <c r="J155" s="135">
        <v>45960</v>
      </c>
      <c r="K155" s="10">
        <f t="shared" si="8"/>
        <v>338.54999999999995</v>
      </c>
      <c r="L155" s="10"/>
      <c r="M155" s="9"/>
      <c r="N155" s="9">
        <f>G155*H155*I155*E155</f>
        <v>0</v>
      </c>
      <c r="O155" s="3">
        <f t="shared" si="9"/>
        <v>564.26128499999993</v>
      </c>
    </row>
    <row r="156" spans="1:15" ht="18" customHeight="1">
      <c r="A156" s="32" t="s">
        <v>2726</v>
      </c>
      <c r="B156" s="93" t="s">
        <v>2226</v>
      </c>
      <c r="C156" s="93" t="s">
        <v>2618</v>
      </c>
      <c r="D156" s="28" t="s">
        <v>3297</v>
      </c>
      <c r="E156" s="93">
        <v>1.22</v>
      </c>
      <c r="F156" s="93">
        <v>20.43</v>
      </c>
      <c r="G156" s="93"/>
      <c r="H156" s="93">
        <v>1.8</v>
      </c>
      <c r="I156" s="93"/>
      <c r="J156" s="133">
        <v>44833</v>
      </c>
      <c r="K156" s="12">
        <f t="shared" si="8"/>
        <v>44.864280000000001</v>
      </c>
      <c r="L156" s="12"/>
      <c r="M156" s="9"/>
      <c r="N156" s="33">
        <f>G156*H156*I156*E156</f>
        <v>0</v>
      </c>
      <c r="O156" s="34">
        <f t="shared" si="9"/>
        <v>74.775295476000011</v>
      </c>
    </row>
    <row r="157" spans="1:15" ht="18" customHeight="1">
      <c r="A157" s="21" t="s">
        <v>2727</v>
      </c>
      <c r="B157" s="28" t="s">
        <v>2226</v>
      </c>
      <c r="C157" s="28" t="s">
        <v>2620</v>
      </c>
      <c r="D157" s="28" t="s">
        <v>3297</v>
      </c>
      <c r="E157" s="28">
        <v>1.22</v>
      </c>
      <c r="F157" s="28">
        <v>39.520000000000003</v>
      </c>
      <c r="G157" s="28"/>
      <c r="H157" s="28">
        <v>1.6</v>
      </c>
      <c r="I157" s="28"/>
      <c r="J157" s="133">
        <v>45041</v>
      </c>
      <c r="K157" s="9">
        <f t="shared" si="8"/>
        <v>77.143040000000013</v>
      </c>
      <c r="L157" s="9"/>
      <c r="M157" s="155"/>
      <c r="N157" s="9">
        <v>0</v>
      </c>
      <c r="O157" s="3">
        <f t="shared" si="9"/>
        <v>128.57430476800002</v>
      </c>
    </row>
    <row r="158" spans="1:15" ht="18" customHeight="1">
      <c r="A158" s="20" t="s">
        <v>2728</v>
      </c>
      <c r="B158" s="85" t="s">
        <v>2729</v>
      </c>
      <c r="C158" s="85" t="s">
        <v>1828</v>
      </c>
      <c r="D158" s="28" t="s">
        <v>3297</v>
      </c>
      <c r="E158" s="85">
        <v>1.22</v>
      </c>
      <c r="F158" s="85">
        <v>65.38</v>
      </c>
      <c r="G158" s="85"/>
      <c r="H158" s="85">
        <v>1.6</v>
      </c>
      <c r="I158" s="85"/>
      <c r="J158" s="131">
        <v>44833</v>
      </c>
      <c r="K158" s="10">
        <f t="shared" si="8"/>
        <v>127.62175999999999</v>
      </c>
      <c r="L158" s="10"/>
      <c r="M158" s="9"/>
      <c r="N158" s="10">
        <f>G158*H158*I158*E158</f>
        <v>0</v>
      </c>
      <c r="O158" s="14">
        <f t="shared" si="9"/>
        <v>212.70718739200001</v>
      </c>
    </row>
    <row r="159" spans="1:15" ht="18" customHeight="1">
      <c r="A159" s="21" t="s">
        <v>705</v>
      </c>
      <c r="B159" s="28" t="s">
        <v>48</v>
      </c>
      <c r="C159" s="28" t="s">
        <v>706</v>
      </c>
      <c r="D159" s="28" t="s">
        <v>3297</v>
      </c>
      <c r="E159" s="28">
        <v>1.22</v>
      </c>
      <c r="F159" s="28">
        <v>81.400000000000006</v>
      </c>
      <c r="G159" s="28"/>
      <c r="H159" s="28">
        <v>1.6</v>
      </c>
      <c r="I159" s="28"/>
      <c r="J159" s="133">
        <v>45500</v>
      </c>
      <c r="K159" s="10">
        <f t="shared" si="8"/>
        <v>158.89280000000002</v>
      </c>
      <c r="L159" s="10"/>
      <c r="M159" s="9"/>
      <c r="N159" s="9">
        <f>G159*H159*I159*E159</f>
        <v>0</v>
      </c>
      <c r="O159" s="3">
        <f t="shared" si="9"/>
        <v>264.82662976000006</v>
      </c>
    </row>
    <row r="160" spans="1:15" ht="18" customHeight="1">
      <c r="A160" s="21" t="s">
        <v>1675</v>
      </c>
      <c r="B160" s="28" t="s">
        <v>48</v>
      </c>
      <c r="C160" s="28" t="s">
        <v>1081</v>
      </c>
      <c r="D160" s="28" t="s">
        <v>3297</v>
      </c>
      <c r="E160" s="28">
        <v>1.22</v>
      </c>
      <c r="F160" s="28">
        <v>184.5</v>
      </c>
      <c r="G160" s="28"/>
      <c r="H160" s="28">
        <v>1.6</v>
      </c>
      <c r="I160" s="28"/>
      <c r="J160" s="133">
        <v>45939</v>
      </c>
      <c r="K160" s="10">
        <f t="shared" si="8"/>
        <v>360.14400000000001</v>
      </c>
      <c r="L160" s="10"/>
      <c r="M160" s="9"/>
      <c r="N160" s="9">
        <f>G160*H160*I160*E160</f>
        <v>0</v>
      </c>
      <c r="O160" s="3">
        <f t="shared" si="9"/>
        <v>600.25200480000001</v>
      </c>
    </row>
    <row r="161" spans="1:15" ht="18" customHeight="1">
      <c r="A161" s="21" t="s">
        <v>1676</v>
      </c>
      <c r="B161" s="28" t="s">
        <v>48</v>
      </c>
      <c r="C161" s="28" t="s">
        <v>1630</v>
      </c>
      <c r="D161" s="28" t="s">
        <v>3297</v>
      </c>
      <c r="E161" s="28">
        <v>1.22</v>
      </c>
      <c r="F161" s="28">
        <v>123</v>
      </c>
      <c r="G161" s="28"/>
      <c r="H161" s="28">
        <v>1.6</v>
      </c>
      <c r="I161" s="28"/>
      <c r="J161" s="133">
        <v>45939</v>
      </c>
      <c r="K161" s="10">
        <f t="shared" si="8"/>
        <v>240.096</v>
      </c>
      <c r="L161" s="10"/>
      <c r="M161" s="9"/>
      <c r="N161" s="9">
        <f>G161*H161*I161*E161</f>
        <v>0</v>
      </c>
      <c r="O161" s="3">
        <f t="shared" si="9"/>
        <v>400.16800320000004</v>
      </c>
    </row>
    <row r="162" spans="1:15" ht="18" customHeight="1">
      <c r="A162" s="21" t="s">
        <v>1966</v>
      </c>
      <c r="B162" s="28" t="s">
        <v>48</v>
      </c>
      <c r="C162" s="28" t="s">
        <v>2253</v>
      </c>
      <c r="D162" s="28" t="s">
        <v>3578</v>
      </c>
      <c r="E162" s="28">
        <v>1.22</v>
      </c>
      <c r="F162" s="28">
        <v>241.56</v>
      </c>
      <c r="G162" s="28"/>
      <c r="H162" s="28">
        <v>1.6</v>
      </c>
      <c r="I162" s="28"/>
      <c r="J162" s="133">
        <v>45463</v>
      </c>
      <c r="K162" s="10">
        <f t="shared" si="8"/>
        <v>471.52512000000002</v>
      </c>
      <c r="L162" s="10"/>
      <c r="M162" s="9"/>
      <c r="N162" s="9">
        <f>G162*H162*I162*E162</f>
        <v>0</v>
      </c>
      <c r="O162" s="3">
        <f t="shared" si="9"/>
        <v>785.89091750400007</v>
      </c>
    </row>
    <row r="163" spans="1:15" ht="18" customHeight="1">
      <c r="A163" s="16" t="s">
        <v>4330</v>
      </c>
      <c r="B163" s="28" t="s">
        <v>48</v>
      </c>
      <c r="C163" s="79" t="s">
        <v>4331</v>
      </c>
      <c r="D163" s="28" t="s">
        <v>3297</v>
      </c>
      <c r="E163" s="28">
        <v>1.22</v>
      </c>
      <c r="F163" s="80">
        <v>246</v>
      </c>
      <c r="G163" s="79"/>
      <c r="H163" s="80">
        <v>1.6</v>
      </c>
      <c r="I163" s="79"/>
      <c r="J163" s="134">
        <v>45886</v>
      </c>
      <c r="K163" s="10">
        <f t="shared" si="8"/>
        <v>480.19200000000001</v>
      </c>
      <c r="L163" s="63"/>
      <c r="M163" s="17"/>
      <c r="N163" s="16"/>
      <c r="O163" s="16"/>
    </row>
    <row r="164" spans="1:15" ht="18" customHeight="1">
      <c r="A164" s="21">
        <v>1011008</v>
      </c>
      <c r="B164" s="28" t="s">
        <v>3154</v>
      </c>
      <c r="C164" s="28" t="s">
        <v>20</v>
      </c>
      <c r="D164" s="28" t="s">
        <v>3307</v>
      </c>
      <c r="E164" s="28">
        <v>1</v>
      </c>
      <c r="F164" s="28">
        <v>86.31</v>
      </c>
      <c r="G164" s="28"/>
      <c r="H164" s="28">
        <v>1.8</v>
      </c>
      <c r="I164" s="28"/>
      <c r="J164" s="133">
        <v>45185</v>
      </c>
      <c r="K164" s="10">
        <f t="shared" si="8"/>
        <v>155.358</v>
      </c>
      <c r="L164" s="10"/>
      <c r="M164" s="9"/>
      <c r="N164" s="9">
        <f>G164*H164*I164*E164</f>
        <v>0</v>
      </c>
      <c r="O164" s="3"/>
    </row>
    <row r="165" spans="1:15" ht="18" customHeight="1">
      <c r="A165" s="16"/>
      <c r="B165" s="28" t="s">
        <v>2962</v>
      </c>
      <c r="C165" s="110"/>
      <c r="D165" s="28"/>
      <c r="E165" s="90">
        <v>1.22</v>
      </c>
      <c r="F165" s="28">
        <v>109</v>
      </c>
      <c r="G165" s="110"/>
      <c r="H165" s="87">
        <v>1.8</v>
      </c>
      <c r="I165" s="110"/>
      <c r="J165" s="135">
        <v>45005</v>
      </c>
      <c r="K165" s="56">
        <f t="shared" si="8"/>
        <v>239.36399999999998</v>
      </c>
      <c r="L165" s="63"/>
      <c r="M165" s="17"/>
      <c r="N165" s="16"/>
      <c r="O165" s="16"/>
    </row>
    <row r="166" spans="1:15" ht="18" customHeight="1">
      <c r="A166" s="16"/>
      <c r="B166" s="28" t="s">
        <v>2964</v>
      </c>
      <c r="C166" s="110"/>
      <c r="D166" s="28"/>
      <c r="E166" s="90">
        <v>1.22</v>
      </c>
      <c r="F166" s="28">
        <v>1900</v>
      </c>
      <c r="G166" s="110"/>
      <c r="H166" s="87">
        <v>1.5</v>
      </c>
      <c r="I166" s="110" t="s">
        <v>2965</v>
      </c>
      <c r="J166" s="135">
        <v>45005</v>
      </c>
      <c r="K166" s="56">
        <f t="shared" si="8"/>
        <v>3477</v>
      </c>
      <c r="L166" s="63"/>
      <c r="M166" s="17"/>
      <c r="N166" s="16"/>
      <c r="O166" s="16"/>
    </row>
    <row r="167" spans="1:15" ht="18" customHeight="1">
      <c r="A167" s="16"/>
      <c r="B167" s="28" t="s">
        <v>2963</v>
      </c>
      <c r="C167" s="110"/>
      <c r="D167" s="28"/>
      <c r="E167" s="90">
        <v>1.22</v>
      </c>
      <c r="F167" s="28">
        <v>49</v>
      </c>
      <c r="G167" s="110"/>
      <c r="H167" s="87">
        <v>1.8</v>
      </c>
      <c r="I167" s="110"/>
      <c r="J167" s="135">
        <v>45005</v>
      </c>
      <c r="K167" s="56">
        <f t="shared" si="8"/>
        <v>107.604</v>
      </c>
      <c r="L167" s="63"/>
      <c r="M167" s="17"/>
      <c r="N167" s="16"/>
      <c r="O167" s="16"/>
    </row>
    <row r="168" spans="1:15" ht="18" customHeight="1">
      <c r="A168" s="16"/>
      <c r="B168" s="28" t="s">
        <v>1548</v>
      </c>
      <c r="C168" s="110"/>
      <c r="D168" s="28" t="s">
        <v>3301</v>
      </c>
      <c r="E168" s="28">
        <v>1</v>
      </c>
      <c r="F168" s="28">
        <v>95</v>
      </c>
      <c r="G168" s="110"/>
      <c r="H168" s="28">
        <v>2</v>
      </c>
      <c r="I168" s="110"/>
      <c r="J168" s="135">
        <v>43900</v>
      </c>
      <c r="K168" s="10">
        <f t="shared" si="8"/>
        <v>190</v>
      </c>
      <c r="L168" s="10"/>
      <c r="M168" s="17">
        <v>1.22</v>
      </c>
      <c r="N168" s="16"/>
      <c r="O168" s="16"/>
    </row>
    <row r="169" spans="1:15" ht="18" customHeight="1">
      <c r="A169" s="16"/>
      <c r="B169" s="83" t="s">
        <v>1863</v>
      </c>
      <c r="C169" s="83" t="s">
        <v>1864</v>
      </c>
      <c r="D169" s="28" t="s">
        <v>3299</v>
      </c>
      <c r="E169" s="94">
        <v>1.22</v>
      </c>
      <c r="F169" s="89">
        <v>594</v>
      </c>
      <c r="G169" s="110"/>
      <c r="H169" s="89">
        <v>1.4</v>
      </c>
      <c r="I169" s="110"/>
      <c r="J169" s="135">
        <v>44093</v>
      </c>
      <c r="K169" s="57">
        <f t="shared" si="8"/>
        <v>1014.5519999999999</v>
      </c>
      <c r="L169" s="57"/>
      <c r="M169" s="17"/>
      <c r="N169" s="16"/>
      <c r="O169" s="16"/>
    </row>
    <row r="170" spans="1:15" ht="18" customHeight="1">
      <c r="A170" s="46" t="s">
        <v>2579</v>
      </c>
      <c r="B170" s="28" t="s">
        <v>2216</v>
      </c>
      <c r="C170" s="28" t="s">
        <v>2018</v>
      </c>
      <c r="D170" s="28" t="s">
        <v>1030</v>
      </c>
      <c r="E170" s="28">
        <v>1.22</v>
      </c>
      <c r="F170" s="28">
        <v>160</v>
      </c>
      <c r="G170" s="110"/>
      <c r="H170" s="80">
        <v>1.6</v>
      </c>
      <c r="I170" s="110">
        <v>25</v>
      </c>
      <c r="J170" s="134">
        <v>45287</v>
      </c>
      <c r="K170" s="57">
        <f t="shared" si="8"/>
        <v>312.32</v>
      </c>
      <c r="L170" s="63"/>
      <c r="M170" s="17"/>
      <c r="N170" s="16"/>
      <c r="O170" s="16"/>
    </row>
    <row r="171" spans="1:15" ht="18" customHeight="1">
      <c r="A171" s="46" t="s">
        <v>2580</v>
      </c>
      <c r="B171" s="28" t="s">
        <v>2215</v>
      </c>
      <c r="C171" s="28" t="s">
        <v>300</v>
      </c>
      <c r="D171" s="28" t="s">
        <v>1030</v>
      </c>
      <c r="E171" s="28">
        <v>1.22</v>
      </c>
      <c r="F171" s="28">
        <v>388</v>
      </c>
      <c r="G171" s="110"/>
      <c r="H171" s="80">
        <v>1.6</v>
      </c>
      <c r="I171" s="121">
        <v>2055</v>
      </c>
      <c r="J171" s="134">
        <v>45925</v>
      </c>
      <c r="K171" s="57">
        <f t="shared" si="8"/>
        <v>757.37600000000009</v>
      </c>
      <c r="L171" s="63"/>
      <c r="M171" s="17"/>
      <c r="N171" s="16"/>
      <c r="O171" s="16"/>
    </row>
    <row r="172" spans="1:15" ht="18" customHeight="1">
      <c r="A172" s="44" t="s">
        <v>1722</v>
      </c>
      <c r="B172" s="80" t="s">
        <v>1723</v>
      </c>
      <c r="C172" s="80" t="s">
        <v>90</v>
      </c>
      <c r="D172" s="28" t="s">
        <v>1030</v>
      </c>
      <c r="E172" s="80">
        <v>1.22</v>
      </c>
      <c r="F172" s="80">
        <v>1383</v>
      </c>
      <c r="G172" s="80"/>
      <c r="H172" s="80">
        <v>1.3</v>
      </c>
      <c r="I172" s="80"/>
      <c r="J172" s="134">
        <v>44769</v>
      </c>
      <c r="K172" s="10">
        <f t="shared" ref="K172:K199" si="10">E172*F172*H172</f>
        <v>2193.4380000000001</v>
      </c>
      <c r="L172" s="10"/>
      <c r="M172" s="17"/>
      <c r="N172" s="44"/>
      <c r="O172" s="44"/>
    </row>
    <row r="173" spans="1:15" ht="18" customHeight="1">
      <c r="A173" s="44" t="s">
        <v>1722</v>
      </c>
      <c r="B173" s="80" t="s">
        <v>1723</v>
      </c>
      <c r="C173" s="80" t="s">
        <v>1726</v>
      </c>
      <c r="D173" s="28" t="s">
        <v>1030</v>
      </c>
      <c r="E173" s="80">
        <v>1</v>
      </c>
      <c r="F173" s="80">
        <v>138.30000000000001</v>
      </c>
      <c r="G173" s="80"/>
      <c r="H173" s="80">
        <v>1.3</v>
      </c>
      <c r="I173" s="80"/>
      <c r="J173" s="134">
        <v>44769</v>
      </c>
      <c r="K173" s="10">
        <f t="shared" si="10"/>
        <v>179.79000000000002</v>
      </c>
      <c r="L173" s="10"/>
      <c r="M173" s="17"/>
      <c r="N173" s="44"/>
      <c r="O173" s="44"/>
    </row>
    <row r="174" spans="1:15" ht="18" customHeight="1">
      <c r="A174" s="21" t="s">
        <v>1722</v>
      </c>
      <c r="B174" s="28" t="s">
        <v>49</v>
      </c>
      <c r="C174" s="28" t="s">
        <v>91</v>
      </c>
      <c r="D174" s="28" t="s">
        <v>1030</v>
      </c>
      <c r="E174" s="28">
        <v>1.22</v>
      </c>
      <c r="F174" s="28">
        <v>138</v>
      </c>
      <c r="G174" s="28"/>
      <c r="H174" s="28">
        <v>1.6</v>
      </c>
      <c r="I174" s="28"/>
      <c r="J174" s="140">
        <v>44769</v>
      </c>
      <c r="K174" s="10">
        <f t="shared" si="10"/>
        <v>269.37599999999998</v>
      </c>
      <c r="L174" s="10"/>
      <c r="M174" s="9"/>
      <c r="N174" s="16"/>
      <c r="O174" s="3">
        <f>K174*1.6667</f>
        <v>448.96897919999998</v>
      </c>
    </row>
    <row r="175" spans="1:15" ht="18" customHeight="1">
      <c r="A175" s="21"/>
      <c r="B175" s="28" t="s">
        <v>2446</v>
      </c>
      <c r="C175" s="28" t="s">
        <v>629</v>
      </c>
      <c r="D175" s="28" t="s">
        <v>1030</v>
      </c>
      <c r="E175" s="28">
        <v>1.22</v>
      </c>
      <c r="F175" s="28">
        <v>350</v>
      </c>
      <c r="G175" s="28">
        <v>15.1</v>
      </c>
      <c r="H175" s="28">
        <v>1.6</v>
      </c>
      <c r="I175" s="28">
        <v>44</v>
      </c>
      <c r="J175" s="133">
        <v>45384</v>
      </c>
      <c r="K175" s="10">
        <f t="shared" si="10"/>
        <v>683.2</v>
      </c>
      <c r="L175" s="10"/>
      <c r="M175" s="9"/>
      <c r="N175" s="9"/>
      <c r="O175" s="3"/>
    </row>
    <row r="176" spans="1:15" ht="18" customHeight="1">
      <c r="A176" s="21"/>
      <c r="B176" s="28" t="s">
        <v>2447</v>
      </c>
      <c r="C176" s="28" t="s">
        <v>1378</v>
      </c>
      <c r="D176" s="28" t="s">
        <v>1030</v>
      </c>
      <c r="E176" s="28">
        <v>1</v>
      </c>
      <c r="F176" s="28">
        <v>101</v>
      </c>
      <c r="G176" s="28"/>
      <c r="H176" s="28">
        <v>1.6</v>
      </c>
      <c r="I176" s="28"/>
      <c r="J176" s="133">
        <v>43956</v>
      </c>
      <c r="K176" s="10">
        <f t="shared" si="10"/>
        <v>161.60000000000002</v>
      </c>
      <c r="L176" s="10"/>
      <c r="M176" s="9"/>
      <c r="N176" s="9"/>
      <c r="O176" s="3"/>
    </row>
    <row r="177" spans="1:15" ht="18" customHeight="1">
      <c r="A177" s="21"/>
      <c r="B177" s="28" t="s">
        <v>1034</v>
      </c>
      <c r="C177" s="28" t="s">
        <v>1031</v>
      </c>
      <c r="D177" s="28" t="s">
        <v>1030</v>
      </c>
      <c r="E177" s="28">
        <v>1.22</v>
      </c>
      <c r="F177" s="28">
        <v>160</v>
      </c>
      <c r="G177" s="28"/>
      <c r="H177" s="28">
        <v>1.6</v>
      </c>
      <c r="I177" s="28"/>
      <c r="J177" s="133">
        <v>44992</v>
      </c>
      <c r="K177" s="10">
        <f t="shared" si="10"/>
        <v>312.32</v>
      </c>
      <c r="L177" s="10"/>
      <c r="M177" s="9"/>
      <c r="N177" s="9">
        <f>G177*H177*I177*E177</f>
        <v>0</v>
      </c>
      <c r="O177" s="3">
        <f>K177*1.6667</f>
        <v>520.54374400000006</v>
      </c>
    </row>
    <row r="178" spans="1:15" ht="18" customHeight="1">
      <c r="A178" s="21" t="s">
        <v>2583</v>
      </c>
      <c r="B178" s="28" t="s">
        <v>1041</v>
      </c>
      <c r="C178" s="28" t="s">
        <v>1040</v>
      </c>
      <c r="D178" s="28" t="s">
        <v>1030</v>
      </c>
      <c r="E178" s="28">
        <v>1.22</v>
      </c>
      <c r="F178" s="28">
        <v>116</v>
      </c>
      <c r="G178" s="28"/>
      <c r="H178" s="28">
        <v>1.6</v>
      </c>
      <c r="I178" s="28"/>
      <c r="J178" s="133">
        <v>45168</v>
      </c>
      <c r="K178" s="10">
        <f t="shared" si="10"/>
        <v>226.43200000000002</v>
      </c>
      <c r="L178" s="10"/>
      <c r="M178" s="9"/>
      <c r="N178" s="9">
        <f>G178*H178*I178*E178</f>
        <v>0</v>
      </c>
      <c r="O178" s="3">
        <f>K178*1.6667</f>
        <v>377.39421440000007</v>
      </c>
    </row>
    <row r="179" spans="1:15" ht="18" customHeight="1">
      <c r="A179" s="21" t="s">
        <v>2584</v>
      </c>
      <c r="B179" s="28" t="s">
        <v>1041</v>
      </c>
      <c r="C179" s="28" t="s">
        <v>629</v>
      </c>
      <c r="D179" s="28" t="s">
        <v>1030</v>
      </c>
      <c r="E179" s="28">
        <v>1.22</v>
      </c>
      <c r="F179" s="28">
        <v>249</v>
      </c>
      <c r="G179" s="28"/>
      <c r="H179" s="28">
        <v>1.6</v>
      </c>
      <c r="I179" s="28">
        <v>1</v>
      </c>
      <c r="J179" s="133">
        <v>45925</v>
      </c>
      <c r="K179" s="10">
        <f t="shared" si="10"/>
        <v>486.048</v>
      </c>
      <c r="L179" s="10"/>
      <c r="M179" s="9"/>
      <c r="N179" s="9">
        <f>G179*H179*I179*E179</f>
        <v>0</v>
      </c>
      <c r="O179" s="3">
        <f>K179*1.6667</f>
        <v>810.09620160000009</v>
      </c>
    </row>
    <row r="180" spans="1:15" ht="18" customHeight="1">
      <c r="A180" s="21">
        <v>2501</v>
      </c>
      <c r="B180" s="28" t="s">
        <v>2234</v>
      </c>
      <c r="C180" s="28" t="s">
        <v>133</v>
      </c>
      <c r="D180" s="28" t="s">
        <v>3324</v>
      </c>
      <c r="E180" s="28">
        <v>1.22</v>
      </c>
      <c r="F180" s="28">
        <v>50.88</v>
      </c>
      <c r="G180" s="110"/>
      <c r="H180" s="28">
        <v>1.45</v>
      </c>
      <c r="I180" s="110"/>
      <c r="J180" s="134">
        <v>45611</v>
      </c>
      <c r="K180" s="10">
        <f t="shared" si="10"/>
        <v>90.006720000000001</v>
      </c>
      <c r="L180" s="63"/>
      <c r="M180" s="17"/>
      <c r="N180" s="16"/>
      <c r="O180" s="16"/>
    </row>
    <row r="181" spans="1:15" ht="18" customHeight="1">
      <c r="A181" s="21">
        <v>2505</v>
      </c>
      <c r="B181" s="28" t="s">
        <v>2234</v>
      </c>
      <c r="C181" s="28" t="s">
        <v>94</v>
      </c>
      <c r="D181" s="28" t="s">
        <v>3324</v>
      </c>
      <c r="E181" s="28">
        <v>1.22</v>
      </c>
      <c r="F181" s="28">
        <v>192.2</v>
      </c>
      <c r="G181" s="110"/>
      <c r="H181" s="28">
        <v>1.45</v>
      </c>
      <c r="I181" s="110"/>
      <c r="J181" s="135">
        <v>45861</v>
      </c>
      <c r="K181" s="63">
        <f t="shared" si="10"/>
        <v>340.00179999999995</v>
      </c>
      <c r="L181" s="63"/>
      <c r="M181" s="17"/>
      <c r="N181" s="16"/>
      <c r="O181" s="16"/>
    </row>
    <row r="182" spans="1:15" ht="18" customHeight="1">
      <c r="A182" s="68" t="s">
        <v>4375</v>
      </c>
      <c r="B182" s="88" t="s">
        <v>4376</v>
      </c>
      <c r="C182" s="110" t="s">
        <v>4377</v>
      </c>
      <c r="D182" s="136" t="s">
        <v>1865</v>
      </c>
      <c r="E182" s="88">
        <v>1.22</v>
      </c>
      <c r="F182" s="87">
        <v>247</v>
      </c>
      <c r="G182" s="110"/>
      <c r="H182" s="87">
        <v>1.8</v>
      </c>
      <c r="I182" s="110"/>
      <c r="J182" s="137">
        <v>45918</v>
      </c>
      <c r="K182" s="10">
        <f t="shared" si="10"/>
        <v>542.41199999999992</v>
      </c>
      <c r="L182" s="63"/>
      <c r="M182" s="17"/>
      <c r="N182" s="16"/>
      <c r="O182" s="16"/>
    </row>
    <row r="183" spans="1:15" ht="18" customHeight="1">
      <c r="A183" s="45" t="s">
        <v>4297</v>
      </c>
      <c r="B183" s="88" t="s">
        <v>4298</v>
      </c>
      <c r="C183" s="136" t="s">
        <v>4299</v>
      </c>
      <c r="D183" s="136" t="s">
        <v>1865</v>
      </c>
      <c r="E183" s="88">
        <v>1.22</v>
      </c>
      <c r="F183" s="88">
        <v>289</v>
      </c>
      <c r="G183" s="136"/>
      <c r="H183" s="88">
        <v>1.8</v>
      </c>
      <c r="I183" s="136"/>
      <c r="J183" s="137">
        <v>45918</v>
      </c>
      <c r="K183" s="10">
        <f t="shared" si="10"/>
        <v>634.64400000000001</v>
      </c>
      <c r="L183" s="63"/>
      <c r="M183" s="17"/>
      <c r="N183" s="16" t="s">
        <v>4300</v>
      </c>
      <c r="O183" s="16"/>
    </row>
    <row r="184" spans="1:15" ht="18" hidden="1" customHeight="1">
      <c r="A184" s="21"/>
      <c r="B184" s="28" t="s">
        <v>208</v>
      </c>
      <c r="C184" s="28" t="s">
        <v>209</v>
      </c>
      <c r="D184" s="28" t="s">
        <v>3299</v>
      </c>
      <c r="E184" s="28">
        <v>1.22</v>
      </c>
      <c r="F184" s="28">
        <v>105</v>
      </c>
      <c r="G184" s="28"/>
      <c r="H184" s="28">
        <v>1.5</v>
      </c>
      <c r="I184" s="28"/>
      <c r="J184" s="133">
        <v>43728</v>
      </c>
      <c r="K184" s="10">
        <f t="shared" si="10"/>
        <v>192.14999999999998</v>
      </c>
      <c r="L184" s="10"/>
      <c r="M184" s="9"/>
      <c r="N184" s="9">
        <f>G184*H184*I184*E184</f>
        <v>0</v>
      </c>
      <c r="O184" s="3">
        <f>K184*1.6667</f>
        <v>320.25640499999997</v>
      </c>
    </row>
    <row r="185" spans="1:15" ht="18" hidden="1" customHeight="1">
      <c r="A185" s="16"/>
      <c r="B185" s="28" t="s">
        <v>1394</v>
      </c>
      <c r="C185" s="28" t="s">
        <v>1391</v>
      </c>
      <c r="D185" s="28" t="s">
        <v>3299</v>
      </c>
      <c r="E185" s="28">
        <v>1.22</v>
      </c>
      <c r="F185" s="28">
        <v>132</v>
      </c>
      <c r="G185" s="110"/>
      <c r="H185" s="28">
        <v>1.5</v>
      </c>
      <c r="I185" s="110"/>
      <c r="J185" s="135">
        <v>43728</v>
      </c>
      <c r="K185" s="10">
        <f t="shared" si="10"/>
        <v>241.56</v>
      </c>
      <c r="L185" s="10"/>
      <c r="M185" s="17"/>
      <c r="N185" s="16"/>
      <c r="O185" s="16"/>
    </row>
    <row r="186" spans="1:15" ht="18" customHeight="1">
      <c r="A186" s="16"/>
      <c r="B186" s="28" t="s">
        <v>4437</v>
      </c>
      <c r="C186" s="28">
        <v>15</v>
      </c>
      <c r="D186" s="28" t="s">
        <v>451</v>
      </c>
      <c r="E186" s="87">
        <v>1.22</v>
      </c>
      <c r="F186" s="28">
        <v>154</v>
      </c>
      <c r="G186" s="110"/>
      <c r="H186" s="28">
        <v>1.6</v>
      </c>
      <c r="I186" s="110"/>
      <c r="J186" s="135">
        <v>45960</v>
      </c>
      <c r="K186" s="63">
        <f t="shared" si="10"/>
        <v>300.608</v>
      </c>
      <c r="L186" s="10"/>
      <c r="M186" s="17"/>
      <c r="N186" s="16"/>
      <c r="O186" s="16"/>
    </row>
    <row r="187" spans="1:15" ht="18" customHeight="1">
      <c r="A187" s="16"/>
      <c r="B187" s="91" t="s">
        <v>3894</v>
      </c>
      <c r="C187" s="91">
        <v>20</v>
      </c>
      <c r="D187" s="28" t="s">
        <v>451</v>
      </c>
      <c r="E187" s="87">
        <v>1.22</v>
      </c>
      <c r="F187" s="87">
        <v>187</v>
      </c>
      <c r="G187" s="110"/>
      <c r="H187" s="87">
        <v>1.6</v>
      </c>
      <c r="I187" s="110"/>
      <c r="J187" s="135">
        <v>45960</v>
      </c>
      <c r="K187" s="63">
        <f t="shared" si="10"/>
        <v>365.024</v>
      </c>
      <c r="L187" s="63"/>
      <c r="M187" s="17"/>
      <c r="N187" s="16"/>
      <c r="O187" s="16"/>
    </row>
    <row r="188" spans="1:15" ht="18" customHeight="1">
      <c r="A188" s="16"/>
      <c r="B188" s="91" t="s">
        <v>4186</v>
      </c>
      <c r="C188" s="91">
        <v>25</v>
      </c>
      <c r="D188" s="28" t="s">
        <v>451</v>
      </c>
      <c r="E188" s="87">
        <v>1.22</v>
      </c>
      <c r="F188" s="87">
        <v>242</v>
      </c>
      <c r="G188" s="110"/>
      <c r="H188" s="87">
        <v>1.6</v>
      </c>
      <c r="I188" s="110"/>
      <c r="J188" s="135">
        <v>45960</v>
      </c>
      <c r="K188" s="63">
        <f t="shared" si="10"/>
        <v>472.38400000000001</v>
      </c>
      <c r="L188" s="63"/>
      <c r="M188" s="17"/>
      <c r="N188" s="16"/>
      <c r="O188" s="16"/>
    </row>
    <row r="189" spans="1:15" ht="18" customHeight="1">
      <c r="A189" s="16"/>
      <c r="B189" s="91" t="s">
        <v>3895</v>
      </c>
      <c r="C189" s="91" t="s">
        <v>141</v>
      </c>
      <c r="D189" s="28" t="s">
        <v>451</v>
      </c>
      <c r="E189" s="87">
        <v>1.22</v>
      </c>
      <c r="F189" s="87">
        <v>297</v>
      </c>
      <c r="G189" s="110"/>
      <c r="H189" s="87">
        <v>1.6</v>
      </c>
      <c r="I189" s="110"/>
      <c r="J189" s="135">
        <v>45960</v>
      </c>
      <c r="K189" s="63">
        <f t="shared" si="10"/>
        <v>579.74400000000003</v>
      </c>
      <c r="L189" s="63"/>
      <c r="M189" s="17"/>
      <c r="N189" s="16"/>
      <c r="O189" s="16"/>
    </row>
    <row r="190" spans="1:15" ht="18" customHeight="1">
      <c r="A190" s="16"/>
      <c r="B190" s="91" t="s">
        <v>4187</v>
      </c>
      <c r="C190" s="91">
        <v>35</v>
      </c>
      <c r="D190" s="28" t="s">
        <v>451</v>
      </c>
      <c r="E190" s="87">
        <v>1.22</v>
      </c>
      <c r="F190" s="87">
        <v>324</v>
      </c>
      <c r="G190" s="110"/>
      <c r="H190" s="87">
        <v>1.6</v>
      </c>
      <c r="I190" s="110"/>
      <c r="J190" s="135">
        <v>45772</v>
      </c>
      <c r="K190" s="63">
        <f t="shared" si="10"/>
        <v>632.44799999999998</v>
      </c>
      <c r="L190" s="63"/>
      <c r="M190" s="17"/>
      <c r="N190" s="16"/>
      <c r="O190" s="16"/>
    </row>
    <row r="191" spans="1:15" ht="18" customHeight="1">
      <c r="A191" s="16"/>
      <c r="B191" s="87" t="s">
        <v>3448</v>
      </c>
      <c r="C191" s="110">
        <v>24</v>
      </c>
      <c r="D191" s="28" t="s">
        <v>451</v>
      </c>
      <c r="E191" s="28">
        <v>1.22</v>
      </c>
      <c r="F191" s="87">
        <v>550</v>
      </c>
      <c r="G191" s="110"/>
      <c r="H191" s="87">
        <v>1.4</v>
      </c>
      <c r="I191" s="110"/>
      <c r="J191" s="135">
        <v>45407</v>
      </c>
      <c r="K191" s="63">
        <f t="shared" si="10"/>
        <v>939.4</v>
      </c>
      <c r="L191" s="63"/>
      <c r="M191" s="17"/>
      <c r="N191" s="16"/>
      <c r="O191" s="16"/>
    </row>
    <row r="192" spans="1:15" ht="18" customHeight="1">
      <c r="A192" s="16"/>
      <c r="B192" s="87" t="s">
        <v>3448</v>
      </c>
      <c r="C192" s="110">
        <v>27</v>
      </c>
      <c r="D192" s="28" t="s">
        <v>451</v>
      </c>
      <c r="E192" s="28">
        <v>1.22</v>
      </c>
      <c r="F192" s="87">
        <v>650</v>
      </c>
      <c r="G192" s="110"/>
      <c r="H192" s="87">
        <v>1.4</v>
      </c>
      <c r="I192" s="110"/>
      <c r="J192" s="135">
        <v>45407</v>
      </c>
      <c r="K192" s="63">
        <f t="shared" si="10"/>
        <v>1110.1999999999998</v>
      </c>
      <c r="L192" s="63"/>
      <c r="M192" s="17"/>
      <c r="N192" s="16"/>
      <c r="O192" s="16"/>
    </row>
    <row r="193" spans="1:15" ht="18" customHeight="1">
      <c r="A193" s="21"/>
      <c r="B193" s="28" t="s">
        <v>1997</v>
      </c>
      <c r="C193" s="28" t="s">
        <v>466</v>
      </c>
      <c r="D193" s="28" t="s">
        <v>451</v>
      </c>
      <c r="E193" s="28">
        <v>1.22</v>
      </c>
      <c r="F193" s="28">
        <v>61</v>
      </c>
      <c r="G193" s="28"/>
      <c r="H193" s="28">
        <v>1.6</v>
      </c>
      <c r="I193" s="28"/>
      <c r="J193" s="133">
        <v>45220</v>
      </c>
      <c r="K193" s="10">
        <f t="shared" si="10"/>
        <v>119.072</v>
      </c>
      <c r="L193" s="10"/>
      <c r="M193" s="9"/>
      <c r="N193" s="9">
        <f>G193*H193*I193*E193</f>
        <v>0</v>
      </c>
      <c r="O193" s="3">
        <f>K193*1.6667</f>
        <v>198.4573024</v>
      </c>
    </row>
    <row r="194" spans="1:15" ht="18" customHeight="1">
      <c r="A194" s="21"/>
      <c r="B194" s="28" t="s">
        <v>1997</v>
      </c>
      <c r="C194" s="28" t="s">
        <v>471</v>
      </c>
      <c r="D194" s="28" t="s">
        <v>451</v>
      </c>
      <c r="E194" s="28">
        <v>1.22</v>
      </c>
      <c r="F194" s="28">
        <v>85</v>
      </c>
      <c r="G194" s="28"/>
      <c r="H194" s="28">
        <v>1.6</v>
      </c>
      <c r="I194" s="28"/>
      <c r="J194" s="133">
        <v>45056</v>
      </c>
      <c r="K194" s="10">
        <f t="shared" si="10"/>
        <v>165.92000000000002</v>
      </c>
      <c r="L194" s="10"/>
      <c r="M194" s="9"/>
      <c r="N194" s="9">
        <f>G194*H194*I194*E194</f>
        <v>0</v>
      </c>
      <c r="O194" s="3">
        <f>K194*1.6667</f>
        <v>276.53886400000005</v>
      </c>
    </row>
    <row r="195" spans="1:15" ht="18" customHeight="1">
      <c r="A195" s="21"/>
      <c r="B195" s="28" t="s">
        <v>4284</v>
      </c>
      <c r="C195" s="28">
        <v>28</v>
      </c>
      <c r="D195" s="28" t="s">
        <v>451</v>
      </c>
      <c r="E195" s="28">
        <v>1.22</v>
      </c>
      <c r="F195" s="28">
        <v>198</v>
      </c>
      <c r="G195" s="28"/>
      <c r="H195" s="28">
        <v>1.6</v>
      </c>
      <c r="I195" s="28"/>
      <c r="J195" s="133">
        <v>45366</v>
      </c>
      <c r="K195" s="10">
        <f t="shared" si="10"/>
        <v>386.49600000000004</v>
      </c>
      <c r="L195" s="10"/>
      <c r="M195" s="9"/>
      <c r="N195" s="9">
        <f>G195*H195*I195*E195</f>
        <v>0</v>
      </c>
      <c r="O195" s="3">
        <f>K195*1.6667</f>
        <v>644.17288320000011</v>
      </c>
    </row>
    <row r="196" spans="1:15" ht="18" customHeight="1">
      <c r="A196" s="21"/>
      <c r="B196" s="28" t="s">
        <v>4284</v>
      </c>
      <c r="C196" s="28">
        <v>34</v>
      </c>
      <c r="D196" s="28" t="s">
        <v>451</v>
      </c>
      <c r="E196" s="28">
        <v>1.22</v>
      </c>
      <c r="F196" s="28">
        <v>276</v>
      </c>
      <c r="G196" s="28"/>
      <c r="H196" s="28">
        <v>1.6</v>
      </c>
      <c r="I196" s="28"/>
      <c r="J196" s="133">
        <v>45366</v>
      </c>
      <c r="K196" s="9">
        <f t="shared" si="10"/>
        <v>538.75199999999995</v>
      </c>
      <c r="L196" s="10"/>
      <c r="M196" s="9"/>
      <c r="N196" s="9"/>
      <c r="O196" s="3"/>
    </row>
    <row r="197" spans="1:15" ht="18" customHeight="1">
      <c r="A197" s="21"/>
      <c r="B197" s="28" t="s">
        <v>4284</v>
      </c>
      <c r="C197" s="28">
        <v>22</v>
      </c>
      <c r="D197" s="28" t="s">
        <v>451</v>
      </c>
      <c r="E197" s="28">
        <v>1.22</v>
      </c>
      <c r="F197" s="28">
        <v>130</v>
      </c>
      <c r="G197" s="28"/>
      <c r="H197" s="28">
        <v>1.6</v>
      </c>
      <c r="I197" s="28"/>
      <c r="J197" s="133">
        <v>45366</v>
      </c>
      <c r="K197" s="10">
        <f t="shared" si="10"/>
        <v>253.76</v>
      </c>
      <c r="L197" s="10"/>
      <c r="M197" s="9"/>
      <c r="N197" s="9"/>
      <c r="O197" s="3"/>
    </row>
    <row r="198" spans="1:15" ht="18" customHeight="1">
      <c r="A198" s="16"/>
      <c r="B198" s="87" t="s">
        <v>4293</v>
      </c>
      <c r="C198" s="110" t="s">
        <v>1619</v>
      </c>
      <c r="D198" s="28" t="s">
        <v>451</v>
      </c>
      <c r="E198" s="87">
        <v>1.22</v>
      </c>
      <c r="F198" s="87">
        <v>75</v>
      </c>
      <c r="G198" s="110"/>
      <c r="H198" s="87">
        <v>1.8</v>
      </c>
      <c r="I198" s="110"/>
      <c r="J198" s="135">
        <v>45909</v>
      </c>
      <c r="K198" s="63">
        <f t="shared" si="10"/>
        <v>164.70000000000002</v>
      </c>
      <c r="L198" s="63"/>
      <c r="M198" s="17"/>
      <c r="N198" s="16"/>
      <c r="O198" s="16"/>
    </row>
    <row r="199" spans="1:15" ht="18" customHeight="1">
      <c r="A199" s="45"/>
      <c r="B199" s="88" t="s">
        <v>4293</v>
      </c>
      <c r="C199" s="136" t="s">
        <v>626</v>
      </c>
      <c r="D199" s="28" t="s">
        <v>451</v>
      </c>
      <c r="E199" s="88">
        <v>1.22</v>
      </c>
      <c r="F199" s="88">
        <v>95</v>
      </c>
      <c r="G199" s="136"/>
      <c r="H199" s="88">
        <v>1.8</v>
      </c>
      <c r="I199" s="136"/>
      <c r="J199" s="135">
        <v>45909</v>
      </c>
      <c r="K199" s="57">
        <f t="shared" si="10"/>
        <v>208.61999999999998</v>
      </c>
      <c r="L199" s="63"/>
      <c r="M199" s="17"/>
      <c r="N199" s="16"/>
      <c r="O199" s="16"/>
    </row>
    <row r="200" spans="1:15" ht="18" customHeight="1">
      <c r="A200" s="16"/>
      <c r="B200" s="87" t="s">
        <v>4438</v>
      </c>
      <c r="C200" s="110"/>
      <c r="D200" s="28" t="s">
        <v>451</v>
      </c>
      <c r="E200" s="28">
        <v>1.22</v>
      </c>
      <c r="F200" s="87">
        <v>230</v>
      </c>
      <c r="G200" s="110"/>
      <c r="H200" s="87">
        <v>1.8</v>
      </c>
      <c r="I200" s="110"/>
      <c r="J200" s="135">
        <v>45960</v>
      </c>
      <c r="K200" s="63">
        <f>+H200*F200</f>
        <v>414</v>
      </c>
      <c r="L200" s="63"/>
      <c r="M200" s="17"/>
      <c r="N200" s="16"/>
      <c r="O200" s="16"/>
    </row>
    <row r="201" spans="1:15" ht="18" customHeight="1">
      <c r="A201" s="21"/>
      <c r="B201" s="28" t="s">
        <v>2802</v>
      </c>
      <c r="C201" s="28" t="s">
        <v>680</v>
      </c>
      <c r="D201" s="28" t="s">
        <v>451</v>
      </c>
      <c r="E201" s="28">
        <v>1.22</v>
      </c>
      <c r="F201" s="28">
        <v>51</v>
      </c>
      <c r="G201" s="28"/>
      <c r="H201" s="28">
        <v>1.6</v>
      </c>
      <c r="I201" s="28"/>
      <c r="J201" s="133">
        <v>45960</v>
      </c>
      <c r="K201" s="10">
        <f t="shared" ref="K201:K211" si="11">E201*F201*H201</f>
        <v>99.552000000000007</v>
      </c>
      <c r="L201" s="10"/>
      <c r="M201" s="9"/>
      <c r="N201" s="9">
        <f>G201*H201*I201*E201</f>
        <v>0</v>
      </c>
      <c r="O201" s="3">
        <f>K201*1.6667</f>
        <v>165.92331840000003</v>
      </c>
    </row>
    <row r="202" spans="1:15" ht="18" customHeight="1">
      <c r="A202" s="21"/>
      <c r="B202" s="28" t="s">
        <v>1994</v>
      </c>
      <c r="C202" s="28" t="s">
        <v>52</v>
      </c>
      <c r="D202" s="28" t="s">
        <v>451</v>
      </c>
      <c r="E202" s="28">
        <v>1.22</v>
      </c>
      <c r="F202" s="28">
        <v>61</v>
      </c>
      <c r="G202" s="28"/>
      <c r="H202" s="28">
        <v>1.6</v>
      </c>
      <c r="I202" s="28"/>
      <c r="J202" s="133">
        <v>45960</v>
      </c>
      <c r="K202" s="10">
        <f t="shared" si="11"/>
        <v>119.072</v>
      </c>
      <c r="L202" s="10"/>
      <c r="M202" s="9"/>
      <c r="N202" s="9">
        <f>G202*H202*I202*E202</f>
        <v>0</v>
      </c>
      <c r="O202" s="3">
        <f>K202*1.6667</f>
        <v>198.4573024</v>
      </c>
    </row>
    <row r="203" spans="1:15" ht="18" customHeight="1">
      <c r="A203" s="21"/>
      <c r="B203" s="28" t="s">
        <v>1994</v>
      </c>
      <c r="C203" s="28" t="s">
        <v>54</v>
      </c>
      <c r="D203" s="28" t="s">
        <v>451</v>
      </c>
      <c r="E203" s="28">
        <v>1.22</v>
      </c>
      <c r="F203" s="28">
        <v>72</v>
      </c>
      <c r="G203" s="28"/>
      <c r="H203" s="28">
        <v>1.6</v>
      </c>
      <c r="I203" s="28"/>
      <c r="J203" s="133">
        <v>45960</v>
      </c>
      <c r="K203" s="10">
        <f t="shared" si="11"/>
        <v>140.54400000000001</v>
      </c>
      <c r="L203" s="10"/>
      <c r="M203" s="9"/>
      <c r="N203" s="9">
        <f>G203*H203*I203*E203</f>
        <v>0</v>
      </c>
      <c r="O203" s="3">
        <f>K203*1.6667</f>
        <v>234.24468480000002</v>
      </c>
    </row>
    <row r="204" spans="1:15" ht="18" customHeight="1">
      <c r="A204" s="21"/>
      <c r="B204" s="28" t="s">
        <v>1994</v>
      </c>
      <c r="C204" s="28" t="s">
        <v>1356</v>
      </c>
      <c r="D204" s="28" t="s">
        <v>451</v>
      </c>
      <c r="E204" s="28">
        <v>1.22</v>
      </c>
      <c r="F204" s="28">
        <v>81</v>
      </c>
      <c r="G204" s="28" t="s">
        <v>3405</v>
      </c>
      <c r="H204" s="28">
        <v>1.6</v>
      </c>
      <c r="I204" s="28"/>
      <c r="J204" s="133">
        <v>45960</v>
      </c>
      <c r="K204" s="10">
        <f t="shared" si="11"/>
        <v>158.11199999999999</v>
      </c>
      <c r="L204" s="10"/>
      <c r="M204" s="9"/>
      <c r="N204" s="9" t="e">
        <f>G204*H204*I204*E204</f>
        <v>#VALUE!</v>
      </c>
      <c r="O204" s="3">
        <f>K204*1.6667</f>
        <v>263.52527040000001</v>
      </c>
    </row>
    <row r="205" spans="1:15" ht="18" customHeight="1">
      <c r="A205" s="21"/>
      <c r="B205" s="28" t="s">
        <v>1994</v>
      </c>
      <c r="C205" s="28" t="s">
        <v>32</v>
      </c>
      <c r="D205" s="28" t="s">
        <v>451</v>
      </c>
      <c r="E205" s="28">
        <v>1.22</v>
      </c>
      <c r="F205" s="28">
        <v>107</v>
      </c>
      <c r="G205" s="28"/>
      <c r="H205" s="28">
        <v>1.6</v>
      </c>
      <c r="I205" s="28"/>
      <c r="J205" s="133">
        <v>45960</v>
      </c>
      <c r="K205" s="10">
        <f t="shared" si="11"/>
        <v>208.864</v>
      </c>
      <c r="L205" s="10"/>
      <c r="M205" s="9"/>
      <c r="N205" s="9"/>
      <c r="O205" s="3">
        <f>K205*1.6667</f>
        <v>348.11362880000001</v>
      </c>
    </row>
    <row r="206" spans="1:15" ht="18" customHeight="1">
      <c r="A206" s="16"/>
      <c r="B206" s="87" t="s">
        <v>4285</v>
      </c>
      <c r="C206" s="110">
        <v>20</v>
      </c>
      <c r="D206" s="28" t="s">
        <v>451</v>
      </c>
      <c r="E206" s="87">
        <v>1.22</v>
      </c>
      <c r="F206" s="87">
        <v>100</v>
      </c>
      <c r="G206" s="110"/>
      <c r="H206" s="87">
        <v>1.8</v>
      </c>
      <c r="I206" s="110"/>
      <c r="J206" s="135">
        <v>45812</v>
      </c>
      <c r="K206" s="63">
        <f t="shared" si="11"/>
        <v>219.6</v>
      </c>
      <c r="L206" s="63"/>
      <c r="M206" s="17"/>
      <c r="N206" s="16"/>
      <c r="O206" s="16"/>
    </row>
    <row r="207" spans="1:15" ht="18" customHeight="1">
      <c r="A207" s="16"/>
      <c r="B207" s="87" t="s">
        <v>4285</v>
      </c>
      <c r="C207" s="110">
        <v>25</v>
      </c>
      <c r="D207" s="28" t="s">
        <v>451</v>
      </c>
      <c r="E207" s="87">
        <v>1.22</v>
      </c>
      <c r="F207" s="87">
        <v>120</v>
      </c>
      <c r="G207" s="110"/>
      <c r="H207" s="87">
        <v>1.8</v>
      </c>
      <c r="I207" s="110"/>
      <c r="J207" s="135">
        <v>45812</v>
      </c>
      <c r="K207" s="63">
        <f t="shared" si="11"/>
        <v>263.52000000000004</v>
      </c>
      <c r="L207" s="63"/>
      <c r="M207" s="17"/>
      <c r="N207" s="16"/>
      <c r="O207" s="16"/>
    </row>
    <row r="208" spans="1:15" ht="18" customHeight="1">
      <c r="A208" s="22">
        <v>0</v>
      </c>
      <c r="B208" s="28" t="s">
        <v>3379</v>
      </c>
      <c r="C208" s="28" t="s">
        <v>93</v>
      </c>
      <c r="D208" s="28" t="s">
        <v>41</v>
      </c>
      <c r="E208" s="28">
        <v>1.22</v>
      </c>
      <c r="F208" s="28">
        <v>180</v>
      </c>
      <c r="G208" s="28">
        <v>0</v>
      </c>
      <c r="H208" s="28">
        <v>1.46</v>
      </c>
      <c r="I208" s="28"/>
      <c r="J208" s="133">
        <v>45630</v>
      </c>
      <c r="K208" s="10">
        <f t="shared" si="11"/>
        <v>320.61599999999999</v>
      </c>
      <c r="L208" s="10"/>
      <c r="M208" s="9"/>
      <c r="N208" s="9">
        <f>G208*H208*I208*E208</f>
        <v>0</v>
      </c>
      <c r="O208" s="3">
        <f>K208*1.6667</f>
        <v>534.37068720000002</v>
      </c>
    </row>
    <row r="209" spans="1:15" ht="18" customHeight="1">
      <c r="A209" s="21">
        <v>0</v>
      </c>
      <c r="B209" s="28" t="s">
        <v>3381</v>
      </c>
      <c r="C209" s="28" t="s">
        <v>3380</v>
      </c>
      <c r="D209" s="28" t="s">
        <v>41</v>
      </c>
      <c r="E209" s="28">
        <v>1.22</v>
      </c>
      <c r="F209" s="28">
        <v>180</v>
      </c>
      <c r="G209" s="28"/>
      <c r="H209" s="28">
        <v>2</v>
      </c>
      <c r="I209" s="28"/>
      <c r="J209" s="133">
        <v>45611</v>
      </c>
      <c r="K209" s="10">
        <f t="shared" si="11"/>
        <v>439.2</v>
      </c>
      <c r="L209" s="10"/>
      <c r="M209" s="9"/>
      <c r="N209" s="9">
        <f>G209*H209*I209*E209</f>
        <v>0</v>
      </c>
      <c r="O209" s="3">
        <f>K209*1.6667</f>
        <v>732.01463999999999</v>
      </c>
    </row>
    <row r="210" spans="1:15" ht="18" customHeight="1">
      <c r="A210" s="21">
        <v>0</v>
      </c>
      <c r="B210" s="28" t="s">
        <v>3382</v>
      </c>
      <c r="C210" s="28" t="s">
        <v>305</v>
      </c>
      <c r="D210" s="28" t="s">
        <v>41</v>
      </c>
      <c r="E210" s="28">
        <v>1.22</v>
      </c>
      <c r="F210" s="28">
        <v>180</v>
      </c>
      <c r="G210" s="28"/>
      <c r="H210" s="28">
        <v>1.6</v>
      </c>
      <c r="I210" s="28"/>
      <c r="J210" s="133">
        <v>45611</v>
      </c>
      <c r="K210" s="10">
        <f t="shared" si="11"/>
        <v>351.36</v>
      </c>
      <c r="L210" s="10"/>
      <c r="M210" s="9"/>
      <c r="N210" s="9">
        <f>G210*H210*I210*E210</f>
        <v>0</v>
      </c>
      <c r="O210" s="3">
        <f>K210*1.6667</f>
        <v>585.61171200000001</v>
      </c>
    </row>
    <row r="211" spans="1:15" ht="18" customHeight="1">
      <c r="A211" s="21" t="s">
        <v>56</v>
      </c>
      <c r="B211" s="28" t="s">
        <v>1904</v>
      </c>
      <c r="C211" s="28" t="s">
        <v>1903</v>
      </c>
      <c r="D211" s="28" t="s">
        <v>41</v>
      </c>
      <c r="E211" s="28">
        <v>1.22</v>
      </c>
      <c r="F211" s="28">
        <v>2459.02</v>
      </c>
      <c r="G211" s="28"/>
      <c r="H211" s="28">
        <v>1</v>
      </c>
      <c r="I211" s="110"/>
      <c r="J211" s="133">
        <v>44806</v>
      </c>
      <c r="K211" s="10">
        <f t="shared" si="11"/>
        <v>3000.0043999999998</v>
      </c>
      <c r="L211" s="10"/>
      <c r="M211" s="9"/>
      <c r="N211" s="9" t="e">
        <f>G211*#REF!*H211*E211</f>
        <v>#REF!</v>
      </c>
      <c r="O211" s="3">
        <f>K211*1.6667</f>
        <v>5000.1073334800003</v>
      </c>
    </row>
    <row r="212" spans="1:15" ht="18" customHeight="1">
      <c r="A212" s="22"/>
      <c r="B212" s="28" t="s">
        <v>3977</v>
      </c>
      <c r="C212" s="28">
        <v>0</v>
      </c>
      <c r="D212" s="28" t="s">
        <v>41</v>
      </c>
      <c r="E212" s="28">
        <v>1.22</v>
      </c>
      <c r="F212" s="28">
        <v>0</v>
      </c>
      <c r="G212" s="81"/>
      <c r="H212" s="28"/>
      <c r="I212" s="81"/>
      <c r="J212" s="133">
        <v>45645</v>
      </c>
      <c r="K212" s="10"/>
      <c r="L212" s="10"/>
      <c r="M212" s="9"/>
      <c r="N212" s="9"/>
      <c r="O212" s="16"/>
    </row>
    <row r="213" spans="1:15" ht="18" customHeight="1">
      <c r="A213" s="21">
        <v>0</v>
      </c>
      <c r="B213" s="28" t="s">
        <v>3920</v>
      </c>
      <c r="C213" s="28" t="s">
        <v>3921</v>
      </c>
      <c r="D213" s="28" t="s">
        <v>41</v>
      </c>
      <c r="E213" s="28">
        <v>1.22</v>
      </c>
      <c r="F213" s="28">
        <v>600</v>
      </c>
      <c r="G213" s="28"/>
      <c r="H213" s="28">
        <v>1.4</v>
      </c>
      <c r="I213" s="28"/>
      <c r="J213" s="133">
        <v>45630</v>
      </c>
      <c r="K213" s="57">
        <f t="shared" ref="K213:K252" si="12">E213*F213*H213</f>
        <v>1024.8</v>
      </c>
      <c r="L213" s="57"/>
      <c r="M213" s="9"/>
      <c r="N213" s="9"/>
      <c r="O213" s="3"/>
    </row>
    <row r="214" spans="1:15" ht="18" customHeight="1">
      <c r="A214" s="21">
        <v>0</v>
      </c>
      <c r="B214" s="28" t="s">
        <v>3920</v>
      </c>
      <c r="C214" s="28" t="s">
        <v>3922</v>
      </c>
      <c r="D214" s="28" t="s">
        <v>41</v>
      </c>
      <c r="E214" s="28">
        <v>1.22</v>
      </c>
      <c r="F214" s="28">
        <v>600</v>
      </c>
      <c r="G214" s="28"/>
      <c r="H214" s="28">
        <v>1.4</v>
      </c>
      <c r="I214" s="28"/>
      <c r="J214" s="133">
        <v>45630</v>
      </c>
      <c r="K214" s="57">
        <f t="shared" si="12"/>
        <v>1024.8</v>
      </c>
      <c r="L214" s="57"/>
      <c r="M214" s="9"/>
      <c r="N214" s="9"/>
      <c r="O214" s="3"/>
    </row>
    <row r="215" spans="1:15" ht="18" customHeight="1">
      <c r="A215" s="21" t="s">
        <v>4502</v>
      </c>
      <c r="B215" s="28" t="s">
        <v>4503</v>
      </c>
      <c r="C215" s="28" t="s">
        <v>15</v>
      </c>
      <c r="D215" s="28" t="s">
        <v>1292</v>
      </c>
      <c r="E215" s="28">
        <v>1.22</v>
      </c>
      <c r="F215" s="28">
        <v>39.9</v>
      </c>
      <c r="G215" s="28"/>
      <c r="H215" s="28">
        <v>1.8</v>
      </c>
      <c r="I215" s="28"/>
      <c r="J215" s="133">
        <v>45981</v>
      </c>
      <c r="K215" s="10">
        <f t="shared" si="12"/>
        <v>87.620400000000004</v>
      </c>
      <c r="L215" s="10"/>
      <c r="M215" s="9"/>
      <c r="N215" s="9">
        <f>G215*H215*I215*E215</f>
        <v>0</v>
      </c>
      <c r="O215" s="3">
        <f>K215*1.6667</f>
        <v>146.03692068000001</v>
      </c>
    </row>
    <row r="216" spans="1:15" ht="18" customHeight="1">
      <c r="A216" s="21"/>
      <c r="B216" s="28" t="s">
        <v>3411</v>
      </c>
      <c r="C216" s="28" t="s">
        <v>3412</v>
      </c>
      <c r="D216" s="28" t="s">
        <v>41</v>
      </c>
      <c r="E216" s="28">
        <v>1.22</v>
      </c>
      <c r="F216" s="28">
        <v>290</v>
      </c>
      <c r="G216" s="28"/>
      <c r="H216" s="28">
        <v>1.3</v>
      </c>
      <c r="I216" s="28"/>
      <c r="J216" s="133">
        <v>45797</v>
      </c>
      <c r="K216" s="10">
        <f t="shared" si="12"/>
        <v>459.94000000000005</v>
      </c>
      <c r="L216" s="10"/>
      <c r="M216" s="9"/>
      <c r="N216" s="9">
        <f>G216*H216*I216*E216</f>
        <v>0</v>
      </c>
      <c r="O216" s="3">
        <f>K216*1.6667</f>
        <v>766.58199800000011</v>
      </c>
    </row>
    <row r="217" spans="1:15" ht="18" customHeight="1">
      <c r="A217" s="16"/>
      <c r="B217" s="28" t="s">
        <v>3996</v>
      </c>
      <c r="C217" s="28" t="s">
        <v>1828</v>
      </c>
      <c r="D217" s="28" t="s">
        <v>41</v>
      </c>
      <c r="E217" s="28">
        <v>1.22</v>
      </c>
      <c r="F217" s="28">
        <v>130</v>
      </c>
      <c r="G217" s="110"/>
      <c r="H217" s="28">
        <v>1.6</v>
      </c>
      <c r="I217" s="110"/>
      <c r="J217" s="134">
        <v>45797</v>
      </c>
      <c r="K217" s="57">
        <f t="shared" si="12"/>
        <v>253.76</v>
      </c>
      <c r="L217" s="56"/>
      <c r="M217" s="17"/>
      <c r="N217" s="16"/>
      <c r="O217" s="16"/>
    </row>
    <row r="218" spans="1:15" ht="18" customHeight="1">
      <c r="A218" s="16"/>
      <c r="B218" s="83" t="s">
        <v>3314</v>
      </c>
      <c r="C218" s="28" t="s">
        <v>3586</v>
      </c>
      <c r="D218" s="28" t="s">
        <v>3312</v>
      </c>
      <c r="E218" s="28">
        <v>1.22</v>
      </c>
      <c r="F218" s="28">
        <v>220.5</v>
      </c>
      <c r="G218" s="110"/>
      <c r="H218" s="28">
        <v>1.6</v>
      </c>
      <c r="I218" s="110"/>
      <c r="J218" s="135">
        <v>45481</v>
      </c>
      <c r="K218" s="10">
        <f t="shared" si="12"/>
        <v>430.416</v>
      </c>
      <c r="L218" s="10"/>
      <c r="M218" s="17"/>
      <c r="N218" s="16"/>
      <c r="O218" s="16"/>
    </row>
    <row r="219" spans="1:15" ht="18" customHeight="1">
      <c r="A219" s="16"/>
      <c r="B219" s="83" t="s">
        <v>3314</v>
      </c>
      <c r="C219" s="28" t="s">
        <v>3587</v>
      </c>
      <c r="D219" s="28" t="s">
        <v>3312</v>
      </c>
      <c r="E219" s="28">
        <v>1.22</v>
      </c>
      <c r="F219" s="28">
        <v>173.25</v>
      </c>
      <c r="G219" s="110"/>
      <c r="H219" s="28">
        <v>1.6</v>
      </c>
      <c r="I219" s="110"/>
      <c r="J219" s="135">
        <v>45481</v>
      </c>
      <c r="K219" s="10">
        <f t="shared" si="12"/>
        <v>338.18400000000003</v>
      </c>
      <c r="L219" s="10"/>
      <c r="M219" s="17"/>
      <c r="N219" s="16"/>
      <c r="O219" s="16"/>
    </row>
    <row r="220" spans="1:15" ht="18" customHeight="1">
      <c r="A220" s="16"/>
      <c r="B220" s="83" t="s">
        <v>3314</v>
      </c>
      <c r="C220" s="28" t="s">
        <v>3588</v>
      </c>
      <c r="D220" s="28" t="s">
        <v>3312</v>
      </c>
      <c r="E220" s="28">
        <v>1.22</v>
      </c>
      <c r="F220" s="28">
        <v>141.75</v>
      </c>
      <c r="G220" s="110"/>
      <c r="H220" s="28">
        <v>1.6</v>
      </c>
      <c r="I220" s="110"/>
      <c r="J220" s="135">
        <v>45481</v>
      </c>
      <c r="K220" s="10">
        <f t="shared" si="12"/>
        <v>276.69600000000003</v>
      </c>
      <c r="L220" s="10"/>
      <c r="M220" s="17"/>
      <c r="N220" s="16"/>
      <c r="O220" s="16"/>
    </row>
    <row r="221" spans="1:15" ht="18" customHeight="1">
      <c r="A221" s="46">
        <v>184070</v>
      </c>
      <c r="B221" s="83" t="s">
        <v>4236</v>
      </c>
      <c r="C221" s="79" t="s">
        <v>3313</v>
      </c>
      <c r="D221" s="28" t="s">
        <v>3312</v>
      </c>
      <c r="E221" s="28">
        <v>1</v>
      </c>
      <c r="F221" s="83">
        <v>267.75</v>
      </c>
      <c r="G221" s="110"/>
      <c r="H221" s="28">
        <v>1.8</v>
      </c>
      <c r="I221" s="110"/>
      <c r="J221" s="134">
        <v>45887</v>
      </c>
      <c r="K221" s="10">
        <f t="shared" si="12"/>
        <v>481.95</v>
      </c>
      <c r="L221" s="10"/>
      <c r="M221" s="17"/>
      <c r="N221" s="16"/>
      <c r="O221" s="16"/>
    </row>
    <row r="222" spans="1:15" ht="18" customHeight="1">
      <c r="A222" s="46">
        <v>184008</v>
      </c>
      <c r="B222" s="83" t="s">
        <v>4237</v>
      </c>
      <c r="C222" s="79" t="s">
        <v>3315</v>
      </c>
      <c r="D222" s="28" t="s">
        <v>3312</v>
      </c>
      <c r="E222" s="28">
        <v>1</v>
      </c>
      <c r="F222" s="83">
        <v>233.25</v>
      </c>
      <c r="G222" s="110"/>
      <c r="H222" s="28">
        <v>1.8</v>
      </c>
      <c r="I222" s="110"/>
      <c r="J222" s="134">
        <v>45785</v>
      </c>
      <c r="K222" s="10">
        <f t="shared" si="12"/>
        <v>419.85</v>
      </c>
      <c r="L222" s="10"/>
      <c r="M222" s="17"/>
      <c r="N222" s="16"/>
      <c r="O222" s="16"/>
    </row>
    <row r="223" spans="1:15" ht="18" customHeight="1">
      <c r="A223" s="21">
        <v>1800</v>
      </c>
      <c r="B223" s="28" t="s">
        <v>3887</v>
      </c>
      <c r="C223" s="115" t="s">
        <v>3888</v>
      </c>
      <c r="D223" s="28" t="s">
        <v>3300</v>
      </c>
      <c r="E223" s="28">
        <v>1.22</v>
      </c>
      <c r="F223" s="28">
        <v>98.6</v>
      </c>
      <c r="G223" s="28">
        <v>0</v>
      </c>
      <c r="H223" s="28">
        <v>1.3</v>
      </c>
      <c r="I223" s="28">
        <v>45</v>
      </c>
      <c r="J223" s="133">
        <v>45602</v>
      </c>
      <c r="K223" s="10">
        <f t="shared" si="12"/>
        <v>156.37959999999998</v>
      </c>
      <c r="L223" s="10"/>
      <c r="M223" s="9"/>
      <c r="N223" s="9">
        <f>G223*H223*I223*E223</f>
        <v>0</v>
      </c>
      <c r="O223" s="3">
        <f>K223*1.6667</f>
        <v>260.63787931999997</v>
      </c>
    </row>
    <row r="224" spans="1:15" ht="18" customHeight="1">
      <c r="A224" s="21">
        <v>0</v>
      </c>
      <c r="B224" s="28" t="s">
        <v>3860</v>
      </c>
      <c r="C224" s="28" t="s">
        <v>15</v>
      </c>
      <c r="D224" s="28" t="s">
        <v>3862</v>
      </c>
      <c r="E224" s="28">
        <v>1.22</v>
      </c>
      <c r="F224" s="28">
        <v>25</v>
      </c>
      <c r="G224" s="28"/>
      <c r="H224" s="28">
        <v>2.6</v>
      </c>
      <c r="I224" s="28"/>
      <c r="J224" s="133">
        <v>45583</v>
      </c>
      <c r="K224" s="10">
        <f t="shared" si="12"/>
        <v>79.3</v>
      </c>
      <c r="L224" s="10"/>
      <c r="M224" s="9"/>
      <c r="N224" s="9">
        <f>G224*H224*I224*E224</f>
        <v>0</v>
      </c>
      <c r="O224" s="3">
        <f>K224*1.6667</f>
        <v>132.16931</v>
      </c>
    </row>
    <row r="225" spans="1:15" ht="18" customHeight="1">
      <c r="A225" s="21">
        <v>0</v>
      </c>
      <c r="B225" s="28" t="s">
        <v>3861</v>
      </c>
      <c r="C225" s="28" t="s">
        <v>15</v>
      </c>
      <c r="D225" s="28" t="s">
        <v>3862</v>
      </c>
      <c r="E225" s="28">
        <v>1.22</v>
      </c>
      <c r="F225" s="28">
        <v>30</v>
      </c>
      <c r="G225" s="28"/>
      <c r="H225" s="28">
        <v>3.2</v>
      </c>
      <c r="I225" s="28"/>
      <c r="J225" s="133">
        <v>45583</v>
      </c>
      <c r="K225" s="10">
        <f t="shared" si="12"/>
        <v>117.12</v>
      </c>
      <c r="L225" s="10"/>
      <c r="M225" s="9"/>
      <c r="N225" s="9">
        <f>G225*H225*I225*E225</f>
        <v>0</v>
      </c>
      <c r="O225" s="3">
        <f>K225*1.6667</f>
        <v>195.20390400000002</v>
      </c>
    </row>
    <row r="226" spans="1:15" ht="18" customHeight="1">
      <c r="A226" s="21" t="s">
        <v>4047</v>
      </c>
      <c r="B226" s="28" t="s">
        <v>2417</v>
      </c>
      <c r="C226" s="28" t="s">
        <v>4048</v>
      </c>
      <c r="D226" s="28" t="s">
        <v>3297</v>
      </c>
      <c r="E226" s="28">
        <v>1.22</v>
      </c>
      <c r="F226" s="28">
        <v>266.39999999999998</v>
      </c>
      <c r="G226" s="28"/>
      <c r="H226" s="28">
        <v>1.8</v>
      </c>
      <c r="I226" s="28"/>
      <c r="J226" s="133">
        <v>45827</v>
      </c>
      <c r="K226" s="10">
        <f t="shared" si="12"/>
        <v>585.01440000000002</v>
      </c>
      <c r="L226" s="9"/>
      <c r="M226" s="9"/>
      <c r="N226" s="9"/>
      <c r="O226" s="3"/>
    </row>
    <row r="227" spans="1:15" ht="18" customHeight="1">
      <c r="A227" s="21" t="s">
        <v>799</v>
      </c>
      <c r="B227" s="28" t="s">
        <v>2417</v>
      </c>
      <c r="C227" s="28" t="s">
        <v>2418</v>
      </c>
      <c r="D227" s="28" t="s">
        <v>3297</v>
      </c>
      <c r="E227" s="28">
        <v>1.22</v>
      </c>
      <c r="F227" s="28">
        <v>420.24</v>
      </c>
      <c r="G227" s="28"/>
      <c r="H227" s="28">
        <v>1.8</v>
      </c>
      <c r="I227" s="28"/>
      <c r="J227" s="133">
        <v>44853</v>
      </c>
      <c r="K227" s="10">
        <f t="shared" si="12"/>
        <v>922.84704000000011</v>
      </c>
      <c r="L227" s="10"/>
      <c r="M227" s="9"/>
      <c r="N227" s="9">
        <f>G227*H227*I227*E227</f>
        <v>0</v>
      </c>
      <c r="O227" s="3">
        <f>K227*1.6667</f>
        <v>1538.1091615680002</v>
      </c>
    </row>
    <row r="228" spans="1:15" ht="18" customHeight="1">
      <c r="A228" s="21" t="s">
        <v>3058</v>
      </c>
      <c r="B228" s="28" t="s">
        <v>3059</v>
      </c>
      <c r="C228" s="28" t="s">
        <v>3060</v>
      </c>
      <c r="D228" s="28" t="s">
        <v>3297</v>
      </c>
      <c r="E228" s="28">
        <v>1.22</v>
      </c>
      <c r="F228" s="28">
        <v>469.8</v>
      </c>
      <c r="G228" s="28"/>
      <c r="H228" s="28">
        <v>1.6</v>
      </c>
      <c r="I228" s="28"/>
      <c r="J228" s="133">
        <v>45629</v>
      </c>
      <c r="K228" s="10">
        <f t="shared" si="12"/>
        <v>917.04959999999994</v>
      </c>
      <c r="L228" s="10"/>
      <c r="M228" s="9"/>
      <c r="N228" s="9">
        <f>G228*H228*I228*E228</f>
        <v>0</v>
      </c>
      <c r="O228" s="3">
        <f>K228*1.6667</f>
        <v>1528.4465683199999</v>
      </c>
    </row>
    <row r="229" spans="1:15" ht="18" customHeight="1">
      <c r="A229" s="21" t="s">
        <v>792</v>
      </c>
      <c r="B229" s="28" t="s">
        <v>793</v>
      </c>
      <c r="C229" s="28" t="s">
        <v>794</v>
      </c>
      <c r="D229" s="28" t="s">
        <v>3297</v>
      </c>
      <c r="E229" s="28">
        <v>1.22</v>
      </c>
      <c r="F229" s="28">
        <v>742.6</v>
      </c>
      <c r="G229" s="28"/>
      <c r="H229" s="28">
        <v>1.6</v>
      </c>
      <c r="I229" s="28"/>
      <c r="J229" s="133">
        <v>45084</v>
      </c>
      <c r="K229" s="10">
        <f t="shared" si="12"/>
        <v>1449.5552</v>
      </c>
      <c r="L229" s="10"/>
      <c r="M229" s="9"/>
      <c r="N229" s="9">
        <f>G229*H229*I229*E229</f>
        <v>0</v>
      </c>
      <c r="O229" s="3">
        <f>K229*1.6667</f>
        <v>2415.97365184</v>
      </c>
    </row>
    <row r="230" spans="1:15" ht="18" customHeight="1">
      <c r="A230" s="21" t="s">
        <v>855</v>
      </c>
      <c r="B230" s="28" t="s">
        <v>856</v>
      </c>
      <c r="C230" s="28" t="s">
        <v>2238</v>
      </c>
      <c r="D230" s="28" t="s">
        <v>3297</v>
      </c>
      <c r="E230" s="28">
        <v>1.22</v>
      </c>
      <c r="F230" s="28">
        <v>284.92</v>
      </c>
      <c r="G230" s="28"/>
      <c r="H230" s="28">
        <v>1.6</v>
      </c>
      <c r="I230" s="28"/>
      <c r="J230" s="133">
        <v>45827</v>
      </c>
      <c r="K230" s="10">
        <f t="shared" si="12"/>
        <v>556.16384000000005</v>
      </c>
      <c r="L230" s="10"/>
      <c r="M230" s="9"/>
      <c r="N230" s="9">
        <f>G230*H230*I230*E230</f>
        <v>0</v>
      </c>
      <c r="O230" s="3">
        <f>K230*1.6667</f>
        <v>926.95827212800009</v>
      </c>
    </row>
    <row r="231" spans="1:15" ht="18" customHeight="1">
      <c r="A231" s="21" t="s">
        <v>1305</v>
      </c>
      <c r="B231" s="28" t="s">
        <v>1306</v>
      </c>
      <c r="C231" s="28" t="s">
        <v>1307</v>
      </c>
      <c r="D231" s="28" t="s">
        <v>3297</v>
      </c>
      <c r="E231" s="28">
        <v>1.22</v>
      </c>
      <c r="F231" s="28">
        <v>366.3</v>
      </c>
      <c r="G231" s="28"/>
      <c r="H231" s="28">
        <v>1.7</v>
      </c>
      <c r="I231" s="28"/>
      <c r="J231" s="133">
        <v>45499</v>
      </c>
      <c r="K231" s="10">
        <f t="shared" si="12"/>
        <v>759.70619999999997</v>
      </c>
      <c r="L231" s="10"/>
      <c r="M231" s="9"/>
      <c r="N231" s="9"/>
      <c r="O231" s="3">
        <f>K231*1.6667</f>
        <v>1266.20232354</v>
      </c>
    </row>
    <row r="232" spans="1:15" ht="18" customHeight="1">
      <c r="A232" s="44" t="s">
        <v>3928</v>
      </c>
      <c r="B232" s="80" t="s">
        <v>4508</v>
      </c>
      <c r="C232" s="79">
        <v>0</v>
      </c>
      <c r="D232" s="28" t="s">
        <v>1292</v>
      </c>
      <c r="E232" s="80">
        <v>1.22</v>
      </c>
      <c r="F232" s="80">
        <v>99.9</v>
      </c>
      <c r="G232" s="113"/>
      <c r="H232" s="80">
        <v>1.8</v>
      </c>
      <c r="I232" s="113"/>
      <c r="J232" s="134">
        <v>45981</v>
      </c>
      <c r="K232" s="10">
        <f t="shared" si="12"/>
        <v>219.38040000000001</v>
      </c>
      <c r="L232" s="10"/>
      <c r="M232" s="17"/>
      <c r="N232" s="44"/>
      <c r="O232" s="44"/>
    </row>
    <row r="233" spans="1:15" ht="18" customHeight="1">
      <c r="A233" s="16"/>
      <c r="B233" s="28" t="s">
        <v>1552</v>
      </c>
      <c r="C233" s="110"/>
      <c r="D233" s="28"/>
      <c r="E233" s="28">
        <v>1</v>
      </c>
      <c r="F233" s="28">
        <v>72</v>
      </c>
      <c r="G233" s="110"/>
      <c r="H233" s="28">
        <v>2</v>
      </c>
      <c r="I233" s="110"/>
      <c r="J233" s="135">
        <v>43900</v>
      </c>
      <c r="K233" s="10">
        <f t="shared" si="12"/>
        <v>144</v>
      </c>
      <c r="L233" s="10"/>
      <c r="M233" s="17">
        <v>1.22</v>
      </c>
      <c r="N233" s="16"/>
      <c r="O233" s="16"/>
    </row>
    <row r="234" spans="1:15" ht="18" customHeight="1">
      <c r="A234" s="16" t="s">
        <v>4248</v>
      </c>
      <c r="B234" s="87" t="s">
        <v>4249</v>
      </c>
      <c r="C234" s="110" t="s">
        <v>4250</v>
      </c>
      <c r="D234" s="28" t="s">
        <v>1983</v>
      </c>
      <c r="E234" s="28">
        <v>1.22</v>
      </c>
      <c r="F234" s="87">
        <v>483</v>
      </c>
      <c r="G234" s="110"/>
      <c r="H234" s="87">
        <v>1.4</v>
      </c>
      <c r="I234" s="110"/>
      <c r="J234" s="135">
        <v>45808</v>
      </c>
      <c r="K234" s="10">
        <f t="shared" si="12"/>
        <v>824.96399999999994</v>
      </c>
      <c r="L234" s="63"/>
      <c r="M234" s="17"/>
      <c r="N234" s="16"/>
      <c r="O234" s="16"/>
    </row>
    <row r="235" spans="1:15" ht="18" customHeight="1">
      <c r="A235" s="21">
        <v>207</v>
      </c>
      <c r="B235" s="28" t="s">
        <v>2029</v>
      </c>
      <c r="C235" s="28">
        <v>4</v>
      </c>
      <c r="D235" s="28" t="s">
        <v>1983</v>
      </c>
      <c r="E235" s="28">
        <v>1.22</v>
      </c>
      <c r="F235" s="28">
        <v>239</v>
      </c>
      <c r="G235" s="28"/>
      <c r="H235" s="28">
        <v>1.6</v>
      </c>
      <c r="I235" s="28"/>
      <c r="J235" s="133">
        <v>44227</v>
      </c>
      <c r="K235" s="10">
        <f t="shared" si="12"/>
        <v>466.52800000000002</v>
      </c>
      <c r="L235" s="10"/>
      <c r="M235" s="9"/>
      <c r="N235" s="9"/>
      <c r="O235" s="3"/>
    </row>
    <row r="236" spans="1:15" ht="18" customHeight="1">
      <c r="A236" s="21">
        <v>208</v>
      </c>
      <c r="B236" s="28" t="s">
        <v>2029</v>
      </c>
      <c r="C236" s="28">
        <v>5</v>
      </c>
      <c r="D236" s="28" t="s">
        <v>1983</v>
      </c>
      <c r="E236" s="28">
        <v>1.22</v>
      </c>
      <c r="F236" s="28">
        <v>260</v>
      </c>
      <c r="G236" s="28"/>
      <c r="H236" s="28">
        <v>1.6</v>
      </c>
      <c r="I236" s="28"/>
      <c r="J236" s="133">
        <v>44227</v>
      </c>
      <c r="K236" s="10">
        <f t="shared" si="12"/>
        <v>507.52</v>
      </c>
      <c r="L236" s="10"/>
      <c r="M236" s="9"/>
      <c r="N236" s="9"/>
      <c r="O236" s="3"/>
    </row>
    <row r="237" spans="1:15" ht="18" customHeight="1">
      <c r="A237" s="21">
        <v>209</v>
      </c>
      <c r="B237" s="28" t="s">
        <v>2029</v>
      </c>
      <c r="C237" s="28">
        <v>6</v>
      </c>
      <c r="D237" s="28" t="s">
        <v>1983</v>
      </c>
      <c r="E237" s="28">
        <v>1.22</v>
      </c>
      <c r="F237" s="28">
        <v>295</v>
      </c>
      <c r="G237" s="28"/>
      <c r="H237" s="28">
        <v>1.6</v>
      </c>
      <c r="I237" s="28"/>
      <c r="J237" s="133">
        <v>44227</v>
      </c>
      <c r="K237" s="10">
        <f t="shared" si="12"/>
        <v>575.84</v>
      </c>
      <c r="L237" s="10"/>
      <c r="M237" s="9"/>
      <c r="N237" s="9"/>
      <c r="O237" s="3"/>
    </row>
    <row r="238" spans="1:15" ht="18" customHeight="1">
      <c r="A238" s="21">
        <v>211</v>
      </c>
      <c r="B238" s="28" t="s">
        <v>2029</v>
      </c>
      <c r="C238" s="28">
        <v>8</v>
      </c>
      <c r="D238" s="28" t="s">
        <v>1983</v>
      </c>
      <c r="E238" s="28">
        <v>1.22</v>
      </c>
      <c r="F238" s="28">
        <v>51</v>
      </c>
      <c r="G238" s="28"/>
      <c r="H238" s="28">
        <v>1.6</v>
      </c>
      <c r="I238" s="28"/>
      <c r="J238" s="133">
        <v>45929</v>
      </c>
      <c r="K238" s="10">
        <f t="shared" si="12"/>
        <v>99.552000000000007</v>
      </c>
      <c r="L238" s="10"/>
      <c r="M238" s="9"/>
      <c r="N238" s="9"/>
      <c r="O238" s="3"/>
    </row>
    <row r="239" spans="1:15" ht="18" customHeight="1">
      <c r="A239" s="22">
        <v>6403</v>
      </c>
      <c r="B239" s="28" t="s">
        <v>1279</v>
      </c>
      <c r="C239" s="28" t="s">
        <v>1280</v>
      </c>
      <c r="D239" s="28" t="s">
        <v>716</v>
      </c>
      <c r="E239" s="28">
        <v>1.22</v>
      </c>
      <c r="F239" s="28">
        <v>185</v>
      </c>
      <c r="G239" s="81"/>
      <c r="H239" s="28">
        <v>1.6</v>
      </c>
      <c r="I239" s="81"/>
      <c r="J239" s="134">
        <v>45960</v>
      </c>
      <c r="K239" s="10">
        <f t="shared" si="12"/>
        <v>361.12</v>
      </c>
      <c r="L239" s="10"/>
      <c r="M239" s="9"/>
      <c r="N239" s="9">
        <f>G239*H239*I239*E239</f>
        <v>0</v>
      </c>
      <c r="O239" s="3">
        <f>K239*1.6667</f>
        <v>601.87870400000008</v>
      </c>
    </row>
    <row r="240" spans="1:15" ht="18" customHeight="1">
      <c r="A240" s="16"/>
      <c r="B240" s="87" t="s">
        <v>3599</v>
      </c>
      <c r="C240" s="110" t="s">
        <v>539</v>
      </c>
      <c r="D240" s="110" t="s">
        <v>3597</v>
      </c>
      <c r="E240" s="28">
        <v>1.22</v>
      </c>
      <c r="F240" s="87">
        <v>50</v>
      </c>
      <c r="G240" s="110"/>
      <c r="H240" s="87">
        <v>3</v>
      </c>
      <c r="I240" s="110"/>
      <c r="J240" s="135">
        <v>45493</v>
      </c>
      <c r="K240" s="10">
        <f t="shared" si="12"/>
        <v>183</v>
      </c>
      <c r="L240" s="63"/>
      <c r="M240" s="17"/>
      <c r="N240" s="16"/>
      <c r="O240" s="16"/>
    </row>
    <row r="241" spans="1:15" ht="18" customHeight="1">
      <c r="A241" s="16"/>
      <c r="B241" s="98" t="s">
        <v>1932</v>
      </c>
      <c r="C241" s="110"/>
      <c r="D241" s="28" t="s">
        <v>3299</v>
      </c>
      <c r="E241" s="94">
        <v>1.22</v>
      </c>
      <c r="F241" s="83">
        <v>1128</v>
      </c>
      <c r="G241" s="110"/>
      <c r="H241" s="98">
        <v>1.3</v>
      </c>
      <c r="I241" s="110"/>
      <c r="J241" s="135">
        <v>44138</v>
      </c>
      <c r="K241" s="57">
        <f t="shared" si="12"/>
        <v>1789.0080000000003</v>
      </c>
      <c r="L241" s="57"/>
      <c r="M241" s="17"/>
      <c r="N241" s="16"/>
      <c r="O241" s="16"/>
    </row>
    <row r="242" spans="1:15" ht="18" customHeight="1">
      <c r="A242" s="46" t="s">
        <v>3147</v>
      </c>
      <c r="B242" s="80" t="s">
        <v>3148</v>
      </c>
      <c r="C242" s="110"/>
      <c r="D242" s="28" t="s">
        <v>1921</v>
      </c>
      <c r="E242" s="80">
        <v>1.22</v>
      </c>
      <c r="F242" s="80">
        <v>76</v>
      </c>
      <c r="G242" s="110"/>
      <c r="H242" s="80">
        <v>1.6</v>
      </c>
      <c r="I242" s="110"/>
      <c r="J242" s="134">
        <v>45358</v>
      </c>
      <c r="K242" s="10">
        <f t="shared" si="12"/>
        <v>148.352</v>
      </c>
      <c r="L242" s="63"/>
      <c r="M242" s="17"/>
      <c r="N242" s="16"/>
      <c r="O242" s="16"/>
    </row>
    <row r="243" spans="1:15" ht="18" customHeight="1">
      <c r="A243" s="21">
        <v>3232</v>
      </c>
      <c r="B243" s="28" t="s">
        <v>3566</v>
      </c>
      <c r="C243" s="28" t="s">
        <v>3565</v>
      </c>
      <c r="D243" s="28" t="s">
        <v>716</v>
      </c>
      <c r="E243" s="28">
        <v>1.22</v>
      </c>
      <c r="F243" s="28">
        <v>48</v>
      </c>
      <c r="G243" s="28"/>
      <c r="H243" s="28">
        <v>1.6</v>
      </c>
      <c r="I243" s="28"/>
      <c r="J243" s="133">
        <v>45477</v>
      </c>
      <c r="K243" s="10">
        <f t="shared" si="12"/>
        <v>93.696000000000012</v>
      </c>
      <c r="L243" s="10"/>
      <c r="M243" s="9"/>
      <c r="N243" s="9">
        <f>G243*H243*I243*E243</f>
        <v>0</v>
      </c>
      <c r="O243" s="3">
        <f>K243*1.6667</f>
        <v>156.16312320000003</v>
      </c>
    </row>
    <row r="244" spans="1:15" ht="18" customHeight="1">
      <c r="A244" s="46" t="s">
        <v>3043</v>
      </c>
      <c r="B244" s="28" t="s">
        <v>1379</v>
      </c>
      <c r="C244" s="28" t="s">
        <v>1380</v>
      </c>
      <c r="D244" s="28" t="s">
        <v>1030</v>
      </c>
      <c r="E244" s="28">
        <v>1.22</v>
      </c>
      <c r="F244" s="28">
        <v>163</v>
      </c>
      <c r="G244" s="110"/>
      <c r="H244" s="28">
        <v>1.6</v>
      </c>
      <c r="I244" s="110"/>
      <c r="J244" s="133">
        <v>45287</v>
      </c>
      <c r="K244" s="10">
        <f t="shared" si="12"/>
        <v>318.17599999999999</v>
      </c>
      <c r="L244" s="10"/>
      <c r="M244" s="35"/>
      <c r="N244" s="9">
        <f>G244*H244*I244*E244</f>
        <v>0</v>
      </c>
      <c r="O244" s="3">
        <f>K244*1.6667</f>
        <v>530.30393919999995</v>
      </c>
    </row>
    <row r="245" spans="1:15" ht="18" customHeight="1">
      <c r="A245" s="70" t="s">
        <v>2289</v>
      </c>
      <c r="B245" s="80" t="s">
        <v>2290</v>
      </c>
      <c r="C245" s="79" t="s">
        <v>2291</v>
      </c>
      <c r="D245" s="28" t="s">
        <v>1983</v>
      </c>
      <c r="E245" s="28">
        <v>1.22</v>
      </c>
      <c r="F245" s="80">
        <v>140</v>
      </c>
      <c r="G245" s="110"/>
      <c r="H245" s="28">
        <v>1.4</v>
      </c>
      <c r="I245" s="110"/>
      <c r="J245" s="143">
        <v>44498</v>
      </c>
      <c r="K245" s="10">
        <f t="shared" si="12"/>
        <v>239.11999999999995</v>
      </c>
      <c r="L245" s="10"/>
      <c r="M245" s="17"/>
      <c r="N245" s="16"/>
      <c r="O245" s="16"/>
    </row>
    <row r="246" spans="1:15" ht="18" customHeight="1">
      <c r="A246" s="21" t="s">
        <v>2795</v>
      </c>
      <c r="B246" s="28" t="s">
        <v>2383</v>
      </c>
      <c r="C246" s="28" t="s">
        <v>2796</v>
      </c>
      <c r="D246" s="28" t="s">
        <v>1983</v>
      </c>
      <c r="E246" s="28">
        <v>1.22</v>
      </c>
      <c r="F246" s="28">
        <v>202.01</v>
      </c>
      <c r="G246" s="28"/>
      <c r="H246" s="28">
        <v>1.4</v>
      </c>
      <c r="I246" s="28"/>
      <c r="J246" s="133">
        <v>44900</v>
      </c>
      <c r="K246" s="10">
        <f t="shared" si="12"/>
        <v>345.03307999999993</v>
      </c>
      <c r="L246" s="10"/>
      <c r="M246" s="9"/>
      <c r="N246" s="9"/>
      <c r="O246" s="3"/>
    </row>
    <row r="247" spans="1:15" ht="18" customHeight="1">
      <c r="A247" s="21" t="s">
        <v>2458</v>
      </c>
      <c r="B247" s="28" t="s">
        <v>2383</v>
      </c>
      <c r="C247" s="28" t="s">
        <v>2459</v>
      </c>
      <c r="D247" s="28" t="s">
        <v>1983</v>
      </c>
      <c r="E247" s="28">
        <v>1.22</v>
      </c>
      <c r="F247" s="28">
        <v>168</v>
      </c>
      <c r="G247" s="28"/>
      <c r="H247" s="28">
        <v>1.6</v>
      </c>
      <c r="I247" s="28"/>
      <c r="J247" s="133">
        <v>44635</v>
      </c>
      <c r="K247" s="10">
        <f t="shared" si="12"/>
        <v>327.93600000000004</v>
      </c>
      <c r="L247" s="10"/>
      <c r="M247" s="9"/>
      <c r="N247" s="9"/>
      <c r="O247" s="3"/>
    </row>
    <row r="248" spans="1:15" ht="18" customHeight="1">
      <c r="A248" s="46" t="s">
        <v>2641</v>
      </c>
      <c r="B248" s="80" t="s">
        <v>2383</v>
      </c>
      <c r="C248" s="79" t="s">
        <v>2642</v>
      </c>
      <c r="D248" s="28" t="s">
        <v>1983</v>
      </c>
      <c r="E248" s="28">
        <v>1.22</v>
      </c>
      <c r="F248" s="80">
        <v>237.17</v>
      </c>
      <c r="G248" s="110"/>
      <c r="H248" s="28">
        <v>1.4</v>
      </c>
      <c r="I248" s="110"/>
      <c r="J248" s="134">
        <v>44900</v>
      </c>
      <c r="K248" s="10">
        <f t="shared" si="12"/>
        <v>405.08635999999996</v>
      </c>
      <c r="L248" s="10"/>
      <c r="M248" s="17"/>
      <c r="N248" s="16"/>
      <c r="O248" s="16"/>
    </row>
    <row r="249" spans="1:15" ht="18" customHeight="1">
      <c r="A249" s="46" t="s">
        <v>3163</v>
      </c>
      <c r="B249" s="80" t="s">
        <v>2383</v>
      </c>
      <c r="C249" s="110" t="s">
        <v>3167</v>
      </c>
      <c r="D249" s="28" t="s">
        <v>1983</v>
      </c>
      <c r="E249" s="28">
        <v>1.22</v>
      </c>
      <c r="F249" s="87">
        <v>221</v>
      </c>
      <c r="G249" s="110"/>
      <c r="H249" s="87">
        <v>1.45</v>
      </c>
      <c r="I249" s="110"/>
      <c r="J249" s="142">
        <v>45190</v>
      </c>
      <c r="K249" s="63">
        <f t="shared" si="12"/>
        <v>390.94900000000001</v>
      </c>
      <c r="L249" s="63"/>
      <c r="M249" s="17"/>
      <c r="N249" s="16"/>
      <c r="O249" s="16"/>
    </row>
    <row r="250" spans="1:15" ht="18" customHeight="1">
      <c r="A250" s="46" t="s">
        <v>3164</v>
      </c>
      <c r="B250" s="80" t="s">
        <v>2383</v>
      </c>
      <c r="C250" s="110" t="s">
        <v>3167</v>
      </c>
      <c r="D250" s="28" t="s">
        <v>1983</v>
      </c>
      <c r="E250" s="28">
        <v>1.22</v>
      </c>
      <c r="F250" s="87">
        <v>163</v>
      </c>
      <c r="G250" s="110"/>
      <c r="H250" s="87">
        <v>1.45</v>
      </c>
      <c r="I250" s="110"/>
      <c r="J250" s="135">
        <v>45190</v>
      </c>
      <c r="K250" s="63">
        <f t="shared" si="12"/>
        <v>288.34699999999998</v>
      </c>
      <c r="L250" s="63"/>
      <c r="M250" s="17"/>
      <c r="N250" s="16"/>
      <c r="O250" s="16"/>
    </row>
    <row r="251" spans="1:15" ht="18" customHeight="1">
      <c r="A251" s="46" t="s">
        <v>3165</v>
      </c>
      <c r="B251" s="80" t="s">
        <v>2383</v>
      </c>
      <c r="C251" s="110" t="s">
        <v>3166</v>
      </c>
      <c r="D251" s="28" t="s">
        <v>1983</v>
      </c>
      <c r="E251" s="28">
        <v>1.22</v>
      </c>
      <c r="F251" s="87">
        <v>144</v>
      </c>
      <c r="G251" s="110"/>
      <c r="H251" s="87">
        <v>1.45</v>
      </c>
      <c r="I251" s="110"/>
      <c r="J251" s="135">
        <v>45190</v>
      </c>
      <c r="K251" s="63">
        <f t="shared" si="12"/>
        <v>254.73599999999999</v>
      </c>
      <c r="L251" s="63"/>
      <c r="M251" s="17"/>
      <c r="N251" s="16"/>
      <c r="O251" s="16"/>
    </row>
    <row r="252" spans="1:15" ht="18" customHeight="1">
      <c r="A252" s="16"/>
      <c r="B252" s="28" t="s">
        <v>1551</v>
      </c>
      <c r="C252" s="110"/>
      <c r="D252" s="28"/>
      <c r="E252" s="28">
        <v>1</v>
      </c>
      <c r="F252" s="28">
        <v>25</v>
      </c>
      <c r="G252" s="110"/>
      <c r="H252" s="28">
        <v>2</v>
      </c>
      <c r="I252" s="110"/>
      <c r="J252" s="135">
        <v>43900</v>
      </c>
      <c r="K252" s="10">
        <f t="shared" si="12"/>
        <v>50</v>
      </c>
      <c r="L252" s="10"/>
      <c r="M252" s="17">
        <v>1.22</v>
      </c>
      <c r="N252" s="16"/>
      <c r="O252" s="16"/>
    </row>
    <row r="253" spans="1:15" ht="18" customHeight="1">
      <c r="A253" s="21"/>
      <c r="B253" s="28" t="s">
        <v>3750</v>
      </c>
      <c r="C253" s="28"/>
      <c r="D253" s="28" t="s">
        <v>3747</v>
      </c>
      <c r="E253" s="28">
        <v>1.22</v>
      </c>
      <c r="F253" s="28"/>
      <c r="G253" s="28">
        <v>5.0999999999999996</v>
      </c>
      <c r="H253" s="28">
        <v>1.5</v>
      </c>
      <c r="I253" s="28">
        <v>41</v>
      </c>
      <c r="J253" s="133">
        <v>45541</v>
      </c>
      <c r="K253" s="10">
        <f>+E253*G253*H253*I253</f>
        <v>382.65299999999991</v>
      </c>
      <c r="L253" s="10"/>
      <c r="M253" s="9"/>
      <c r="N253" s="9"/>
      <c r="O253" s="3"/>
    </row>
    <row r="254" spans="1:15" ht="18" customHeight="1">
      <c r="A254" s="21" t="s">
        <v>2449</v>
      </c>
      <c r="B254" s="28" t="s">
        <v>2450</v>
      </c>
      <c r="C254" s="28" t="s">
        <v>1662</v>
      </c>
      <c r="D254" s="28" t="s">
        <v>3297</v>
      </c>
      <c r="E254" s="28">
        <v>1.22</v>
      </c>
      <c r="F254" s="28">
        <v>70</v>
      </c>
      <c r="G254" s="28"/>
      <c r="H254" s="28">
        <v>1.6</v>
      </c>
      <c r="I254" s="28"/>
      <c r="J254" s="133">
        <v>44635</v>
      </c>
      <c r="K254" s="10">
        <f t="shared" ref="K254:K265" si="13">E254*F254*H254</f>
        <v>136.63999999999999</v>
      </c>
      <c r="L254" s="10"/>
      <c r="M254" s="9"/>
      <c r="N254" s="9">
        <f t="shared" ref="N254:N260" si="14">G254*H254*I254*E254</f>
        <v>0</v>
      </c>
      <c r="O254" s="3">
        <f t="shared" ref="O254:O260" si="15">K254*1.6667</f>
        <v>227.737888</v>
      </c>
    </row>
    <row r="255" spans="1:15" ht="18" customHeight="1">
      <c r="A255" s="21" t="s">
        <v>1173</v>
      </c>
      <c r="B255" s="28" t="s">
        <v>1174</v>
      </c>
      <c r="C255" s="28" t="s">
        <v>1175</v>
      </c>
      <c r="D255" s="28" t="s">
        <v>3297</v>
      </c>
      <c r="E255" s="28">
        <v>1.22</v>
      </c>
      <c r="F255" s="28">
        <v>111</v>
      </c>
      <c r="G255" s="28"/>
      <c r="H255" s="28">
        <v>1.6</v>
      </c>
      <c r="I255" s="28"/>
      <c r="J255" s="133">
        <v>45777</v>
      </c>
      <c r="K255" s="10">
        <f t="shared" si="13"/>
        <v>216.672</v>
      </c>
      <c r="L255" s="10"/>
      <c r="M255" s="9"/>
      <c r="N255" s="9">
        <f t="shared" si="14"/>
        <v>0</v>
      </c>
      <c r="O255" s="3">
        <f t="shared" si="15"/>
        <v>361.12722239999999</v>
      </c>
    </row>
    <row r="256" spans="1:15" ht="18" customHeight="1">
      <c r="A256" s="21"/>
      <c r="B256" s="28" t="s">
        <v>59</v>
      </c>
      <c r="C256" s="28" t="s">
        <v>60</v>
      </c>
      <c r="D256" s="28" t="s">
        <v>23</v>
      </c>
      <c r="E256" s="28">
        <v>1</v>
      </c>
      <c r="F256" s="28">
        <v>179.24</v>
      </c>
      <c r="G256" s="28">
        <v>0</v>
      </c>
      <c r="H256" s="28">
        <v>1.3</v>
      </c>
      <c r="I256" s="28">
        <v>1</v>
      </c>
      <c r="J256" s="133">
        <v>45848</v>
      </c>
      <c r="K256" s="10">
        <f t="shared" si="13"/>
        <v>233.01200000000003</v>
      </c>
      <c r="L256" s="10"/>
      <c r="M256" s="9"/>
      <c r="N256" s="9">
        <f t="shared" si="14"/>
        <v>0</v>
      </c>
      <c r="O256" s="3">
        <f t="shared" si="15"/>
        <v>388.36110040000005</v>
      </c>
    </row>
    <row r="257" spans="1:15" ht="18" customHeight="1">
      <c r="A257" s="21" t="s">
        <v>3081</v>
      </c>
      <c r="B257" s="28" t="s">
        <v>3082</v>
      </c>
      <c r="C257" s="28" t="s">
        <v>3083</v>
      </c>
      <c r="D257" s="28" t="s">
        <v>3297</v>
      </c>
      <c r="E257" s="28">
        <v>1.22</v>
      </c>
      <c r="F257" s="28">
        <v>230.85</v>
      </c>
      <c r="G257" s="28"/>
      <c r="H257" s="28">
        <v>1.6</v>
      </c>
      <c r="I257" s="28"/>
      <c r="J257" s="133">
        <v>45485</v>
      </c>
      <c r="K257" s="10">
        <f t="shared" si="13"/>
        <v>450.61920000000003</v>
      </c>
      <c r="L257" s="10"/>
      <c r="M257" s="9"/>
      <c r="N257" s="9">
        <f t="shared" si="14"/>
        <v>0</v>
      </c>
      <c r="O257" s="3">
        <f t="shared" si="15"/>
        <v>751.04702064000014</v>
      </c>
    </row>
    <row r="258" spans="1:15" ht="18" customHeight="1">
      <c r="A258" s="46" t="s">
        <v>2688</v>
      </c>
      <c r="B258" s="28" t="s">
        <v>2689</v>
      </c>
      <c r="C258" s="79" t="s">
        <v>2690</v>
      </c>
      <c r="D258" s="28" t="s">
        <v>3297</v>
      </c>
      <c r="E258" s="28">
        <v>1.22</v>
      </c>
      <c r="F258" s="80">
        <v>222.3</v>
      </c>
      <c r="G258" s="110"/>
      <c r="H258" s="80">
        <v>1.6</v>
      </c>
      <c r="I258" s="110"/>
      <c r="J258" s="134">
        <v>45385</v>
      </c>
      <c r="K258" s="10">
        <f t="shared" si="13"/>
        <v>433.92960000000005</v>
      </c>
      <c r="L258" s="10"/>
      <c r="M258" s="17"/>
      <c r="N258" s="9">
        <f t="shared" si="14"/>
        <v>0</v>
      </c>
      <c r="O258" s="3">
        <f t="shared" si="15"/>
        <v>723.23046432000012</v>
      </c>
    </row>
    <row r="259" spans="1:15" ht="18" customHeight="1">
      <c r="A259" s="21" t="s">
        <v>3652</v>
      </c>
      <c r="B259" s="28" t="s">
        <v>3651</v>
      </c>
      <c r="C259" s="28" t="s">
        <v>3650</v>
      </c>
      <c r="D259" s="28" t="s">
        <v>1983</v>
      </c>
      <c r="E259" s="28">
        <v>1.22</v>
      </c>
      <c r="F259" s="28">
        <v>550</v>
      </c>
      <c r="G259" s="28"/>
      <c r="H259" s="28">
        <v>1.6</v>
      </c>
      <c r="I259" s="28"/>
      <c r="J259" s="133">
        <v>45523</v>
      </c>
      <c r="K259" s="10">
        <f t="shared" si="13"/>
        <v>1073.6000000000001</v>
      </c>
      <c r="L259" s="10"/>
      <c r="M259" s="9"/>
      <c r="N259" s="9">
        <f t="shared" si="14"/>
        <v>0</v>
      </c>
      <c r="O259" s="3">
        <f t="shared" si="15"/>
        <v>1789.3691200000003</v>
      </c>
    </row>
    <row r="260" spans="1:15" ht="18" customHeight="1">
      <c r="A260" s="21" t="s">
        <v>2688</v>
      </c>
      <c r="B260" s="28" t="s">
        <v>3570</v>
      </c>
      <c r="C260" s="28"/>
      <c r="D260" s="28" t="s">
        <v>3297</v>
      </c>
      <c r="E260" s="28">
        <v>1.22</v>
      </c>
      <c r="F260" s="28">
        <v>231.99</v>
      </c>
      <c r="G260" s="28"/>
      <c r="H260" s="28">
        <v>1.8</v>
      </c>
      <c r="I260" s="28"/>
      <c r="J260" s="133">
        <v>45485</v>
      </c>
      <c r="K260" s="10">
        <f t="shared" si="13"/>
        <v>509.45004000000006</v>
      </c>
      <c r="L260" s="10"/>
      <c r="M260" s="9"/>
      <c r="N260" s="9">
        <f t="shared" si="14"/>
        <v>0</v>
      </c>
      <c r="O260" s="3">
        <f t="shared" si="15"/>
        <v>849.10038166800018</v>
      </c>
    </row>
    <row r="261" spans="1:15" ht="18" customHeight="1">
      <c r="A261" s="16"/>
      <c r="B261" s="83" t="s">
        <v>2945</v>
      </c>
      <c r="C261" s="28" t="s">
        <v>2946</v>
      </c>
      <c r="D261" s="28" t="s">
        <v>3297</v>
      </c>
      <c r="E261" s="28">
        <v>1.22</v>
      </c>
      <c r="F261" s="28">
        <v>599</v>
      </c>
      <c r="G261" s="110"/>
      <c r="H261" s="28">
        <v>1.8</v>
      </c>
      <c r="I261" s="110"/>
      <c r="J261" s="135">
        <v>45005</v>
      </c>
      <c r="K261" s="10">
        <f t="shared" si="13"/>
        <v>1315.404</v>
      </c>
      <c r="L261" s="63"/>
      <c r="M261" s="17"/>
      <c r="N261" s="16"/>
      <c r="O261" s="16"/>
    </row>
    <row r="262" spans="1:15" ht="18" customHeight="1">
      <c r="A262" s="16"/>
      <c r="B262" s="83" t="s">
        <v>2945</v>
      </c>
      <c r="C262" s="28" t="s">
        <v>2947</v>
      </c>
      <c r="D262" s="28" t="s">
        <v>3297</v>
      </c>
      <c r="E262" s="28">
        <v>1.22</v>
      </c>
      <c r="F262" s="28">
        <v>799</v>
      </c>
      <c r="G262" s="110"/>
      <c r="H262" s="28">
        <v>1.8</v>
      </c>
      <c r="I262" s="110"/>
      <c r="J262" s="135">
        <v>45005</v>
      </c>
      <c r="K262" s="10">
        <f t="shared" si="13"/>
        <v>1754.604</v>
      </c>
      <c r="L262" s="63"/>
      <c r="M262" s="17"/>
      <c r="N262" s="16"/>
      <c r="O262" s="16"/>
    </row>
    <row r="263" spans="1:15" ht="18" customHeight="1">
      <c r="A263" s="21"/>
      <c r="B263" s="28" t="s">
        <v>3749</v>
      </c>
      <c r="C263" s="28"/>
      <c r="D263" s="28" t="s">
        <v>3747</v>
      </c>
      <c r="E263" s="28">
        <v>1.22</v>
      </c>
      <c r="F263" s="28">
        <v>278</v>
      </c>
      <c r="G263" s="28"/>
      <c r="H263" s="28">
        <v>1.5</v>
      </c>
      <c r="I263" s="28"/>
      <c r="J263" s="133">
        <v>45541</v>
      </c>
      <c r="K263" s="63">
        <f t="shared" si="13"/>
        <v>508.73999999999995</v>
      </c>
      <c r="L263" s="10"/>
      <c r="M263" s="9"/>
      <c r="N263" s="9"/>
      <c r="O263" s="3"/>
    </row>
    <row r="264" spans="1:15" ht="18" customHeight="1">
      <c r="A264" s="16"/>
      <c r="B264" s="87" t="s">
        <v>3174</v>
      </c>
      <c r="C264" s="110"/>
      <c r="D264" s="28" t="s">
        <v>451</v>
      </c>
      <c r="E264" s="87">
        <v>1.22</v>
      </c>
      <c r="F264" s="87">
        <v>25</v>
      </c>
      <c r="G264" s="110"/>
      <c r="H264" s="87">
        <v>1.8</v>
      </c>
      <c r="I264" s="110"/>
      <c r="J264" s="135">
        <v>45190</v>
      </c>
      <c r="K264" s="63">
        <f t="shared" si="13"/>
        <v>54.9</v>
      </c>
      <c r="L264" s="63"/>
      <c r="M264" s="17"/>
      <c r="N264" s="16"/>
      <c r="O264" s="16"/>
    </row>
    <row r="265" spans="1:15" ht="18" customHeight="1">
      <c r="A265" s="21" t="s">
        <v>3571</v>
      </c>
      <c r="B265" s="28" t="s">
        <v>61</v>
      </c>
      <c r="C265" s="28" t="s">
        <v>62</v>
      </c>
      <c r="D265" s="28" t="s">
        <v>3297</v>
      </c>
      <c r="E265" s="28">
        <v>1.22</v>
      </c>
      <c r="F265" s="28">
        <v>13</v>
      </c>
      <c r="G265" s="28"/>
      <c r="H265" s="28">
        <v>2</v>
      </c>
      <c r="I265" s="28">
        <v>0</v>
      </c>
      <c r="J265" s="133">
        <v>45740</v>
      </c>
      <c r="K265" s="10">
        <f t="shared" si="13"/>
        <v>31.72</v>
      </c>
      <c r="L265" s="10"/>
      <c r="M265" s="9"/>
      <c r="N265" s="9">
        <f>G265*H265*I265*E265</f>
        <v>0</v>
      </c>
      <c r="O265" s="3">
        <f>K265*1.6667</f>
        <v>52.867724000000003</v>
      </c>
    </row>
    <row r="266" spans="1:15" ht="18" customHeight="1">
      <c r="A266" s="32">
        <v>1221</v>
      </c>
      <c r="B266" s="93" t="s">
        <v>63</v>
      </c>
      <c r="C266" s="93" t="s">
        <v>64</v>
      </c>
      <c r="D266" s="93" t="s">
        <v>17</v>
      </c>
      <c r="E266" s="93">
        <v>1.22</v>
      </c>
      <c r="F266" s="93">
        <v>118.5</v>
      </c>
      <c r="G266" s="93">
        <v>1.1000000000000001</v>
      </c>
      <c r="H266" s="93">
        <v>1.3</v>
      </c>
      <c r="I266" s="93"/>
      <c r="J266" s="146">
        <v>45953</v>
      </c>
      <c r="K266" s="12">
        <f>+E266*F266*G266*H266</f>
        <v>206.73510000000002</v>
      </c>
      <c r="L266" s="12"/>
      <c r="M266" s="33"/>
      <c r="N266" s="9">
        <f>G266*H266*I266*E266</f>
        <v>0</v>
      </c>
      <c r="O266" s="3">
        <f>K266*1.6667</f>
        <v>344.56539117000005</v>
      </c>
    </row>
    <row r="267" spans="1:15" ht="18" customHeight="1">
      <c r="A267" s="21">
        <v>11222</v>
      </c>
      <c r="B267" s="80" t="s">
        <v>4342</v>
      </c>
      <c r="C267" s="79" t="s">
        <v>133</v>
      </c>
      <c r="D267" s="79" t="s">
        <v>17</v>
      </c>
      <c r="E267" s="80">
        <v>1.22</v>
      </c>
      <c r="F267" s="80">
        <v>171.66</v>
      </c>
      <c r="G267" s="79"/>
      <c r="H267" s="80">
        <v>1.45</v>
      </c>
      <c r="I267" s="79"/>
      <c r="J267" s="134">
        <v>45953</v>
      </c>
      <c r="K267" s="35">
        <v>290</v>
      </c>
      <c r="L267" s="37"/>
      <c r="M267" s="17"/>
      <c r="N267" s="157"/>
      <c r="O267" s="16"/>
    </row>
    <row r="268" spans="1:15" ht="18" customHeight="1">
      <c r="A268" s="20"/>
      <c r="B268" s="85" t="s">
        <v>3809</v>
      </c>
      <c r="C268" s="85" t="s">
        <v>3808</v>
      </c>
      <c r="D268" s="85" t="s">
        <v>3932</v>
      </c>
      <c r="E268" s="85">
        <v>1</v>
      </c>
      <c r="F268" s="85">
        <v>182</v>
      </c>
      <c r="G268" s="85">
        <v>0</v>
      </c>
      <c r="H268" s="162">
        <v>1.5</v>
      </c>
      <c r="I268" s="85">
        <v>42</v>
      </c>
      <c r="J268" s="131">
        <v>45635</v>
      </c>
      <c r="K268" s="10">
        <f>E268*F268*H268</f>
        <v>273</v>
      </c>
      <c r="L268" s="10"/>
      <c r="M268" s="10"/>
      <c r="N268" s="9">
        <f t="shared" ref="N268:N273" si="16">G268*H268*I268*E268</f>
        <v>0</v>
      </c>
      <c r="O268" s="3">
        <f>K268*1.6667</f>
        <v>455.00910000000005</v>
      </c>
    </row>
    <row r="269" spans="1:15" ht="18" customHeight="1">
      <c r="A269" s="21">
        <v>222000</v>
      </c>
      <c r="B269" s="28" t="s">
        <v>3176</v>
      </c>
      <c r="C269" s="28" t="s">
        <v>568</v>
      </c>
      <c r="D269" s="28" t="s">
        <v>23</v>
      </c>
      <c r="E269" s="28">
        <v>1</v>
      </c>
      <c r="F269" s="28">
        <v>2.97</v>
      </c>
      <c r="G269" s="28"/>
      <c r="H269" s="28">
        <v>1.4</v>
      </c>
      <c r="I269" s="28">
        <v>42</v>
      </c>
      <c r="J269" s="133">
        <v>45945</v>
      </c>
      <c r="K269" s="10">
        <f>E269*F269*H269*I269</f>
        <v>174.63600000000002</v>
      </c>
      <c r="L269" s="10"/>
      <c r="M269" s="9"/>
      <c r="N269" s="9">
        <f t="shared" si="16"/>
        <v>0</v>
      </c>
      <c r="O269" s="3">
        <f>K269*1.6667</f>
        <v>291.06582120000007</v>
      </c>
    </row>
    <row r="270" spans="1:15" ht="18" customHeight="1">
      <c r="A270" s="21"/>
      <c r="B270" s="28" t="s">
        <v>3242</v>
      </c>
      <c r="C270" s="28" t="s">
        <v>93</v>
      </c>
      <c r="D270" s="28" t="s">
        <v>1748</v>
      </c>
      <c r="E270" s="28">
        <v>1</v>
      </c>
      <c r="F270" s="28">
        <v>383.94</v>
      </c>
      <c r="G270" s="28"/>
      <c r="H270" s="28">
        <v>1.6</v>
      </c>
      <c r="I270" s="28"/>
      <c r="J270" s="133">
        <v>45987</v>
      </c>
      <c r="K270" s="10">
        <f t="shared" ref="K270:K303" si="17">E270*F270*H270</f>
        <v>614.30400000000009</v>
      </c>
      <c r="L270" s="10"/>
      <c r="M270" s="9"/>
      <c r="N270" s="9">
        <f t="shared" si="16"/>
        <v>0</v>
      </c>
      <c r="O270" s="3"/>
    </row>
    <row r="271" spans="1:15" ht="18" customHeight="1">
      <c r="A271" s="21">
        <v>0</v>
      </c>
      <c r="B271" s="28" t="s">
        <v>3242</v>
      </c>
      <c r="C271" s="28" t="s">
        <v>94</v>
      </c>
      <c r="D271" s="28" t="s">
        <v>3868</v>
      </c>
      <c r="E271" s="28">
        <v>1</v>
      </c>
      <c r="F271" s="28">
        <v>0</v>
      </c>
      <c r="G271" s="28">
        <v>5</v>
      </c>
      <c r="H271" s="28">
        <v>1.6</v>
      </c>
      <c r="I271" s="28">
        <v>42</v>
      </c>
      <c r="J271" s="133">
        <v>45589</v>
      </c>
      <c r="K271" s="10">
        <f t="shared" si="17"/>
        <v>0</v>
      </c>
      <c r="L271" s="10"/>
      <c r="M271" s="9"/>
      <c r="N271" s="9">
        <f t="shared" si="16"/>
        <v>336</v>
      </c>
      <c r="O271" s="3">
        <f>K271*1.6667</f>
        <v>0</v>
      </c>
    </row>
    <row r="272" spans="1:15" ht="18" customHeight="1">
      <c r="A272" s="21">
        <v>0</v>
      </c>
      <c r="B272" s="28" t="s">
        <v>3242</v>
      </c>
      <c r="C272" s="28" t="s">
        <v>1714</v>
      </c>
      <c r="D272" s="28" t="s">
        <v>3868</v>
      </c>
      <c r="E272" s="28">
        <v>1</v>
      </c>
      <c r="F272" s="28">
        <v>0</v>
      </c>
      <c r="G272" s="28">
        <v>3</v>
      </c>
      <c r="H272" s="28">
        <v>1.6</v>
      </c>
      <c r="I272" s="28">
        <v>42</v>
      </c>
      <c r="J272" s="133">
        <v>45589</v>
      </c>
      <c r="K272" s="9">
        <f t="shared" si="17"/>
        <v>0</v>
      </c>
      <c r="L272" s="10"/>
      <c r="M272" s="9"/>
      <c r="N272" s="9">
        <f t="shared" si="16"/>
        <v>201.60000000000002</v>
      </c>
      <c r="O272" s="3">
        <f>K272*1.6667</f>
        <v>0</v>
      </c>
    </row>
    <row r="273" spans="1:15" ht="18" customHeight="1">
      <c r="A273" s="21">
        <v>213</v>
      </c>
      <c r="B273" s="28" t="s">
        <v>2550</v>
      </c>
      <c r="C273" s="28" t="s">
        <v>2551</v>
      </c>
      <c r="D273" s="28"/>
      <c r="E273" s="28">
        <v>1.22</v>
      </c>
      <c r="F273" s="28">
        <v>58.2</v>
      </c>
      <c r="G273" s="28"/>
      <c r="H273" s="28">
        <v>1.3</v>
      </c>
      <c r="I273" s="28"/>
      <c r="J273" s="133">
        <v>44817</v>
      </c>
      <c r="K273" s="9">
        <f t="shared" si="17"/>
        <v>92.305200000000013</v>
      </c>
      <c r="L273" s="10"/>
      <c r="M273" s="9"/>
      <c r="N273" s="9">
        <f t="shared" si="16"/>
        <v>0</v>
      </c>
      <c r="O273" s="3">
        <f>K273*1.6667</f>
        <v>153.84507684000002</v>
      </c>
    </row>
    <row r="274" spans="1:15" ht="18" customHeight="1">
      <c r="A274" s="16">
        <v>213</v>
      </c>
      <c r="B274" s="87" t="s">
        <v>3562</v>
      </c>
      <c r="C274" s="110" t="s">
        <v>3563</v>
      </c>
      <c r="D274" s="110" t="s">
        <v>3564</v>
      </c>
      <c r="E274" s="87">
        <v>1.22</v>
      </c>
      <c r="F274" s="87">
        <v>67.05</v>
      </c>
      <c r="G274" s="110"/>
      <c r="H274" s="87">
        <v>1.5</v>
      </c>
      <c r="I274" s="110"/>
      <c r="J274" s="142">
        <v>45499</v>
      </c>
      <c r="K274" s="10">
        <f t="shared" si="17"/>
        <v>122.70149999999998</v>
      </c>
      <c r="L274" s="63"/>
      <c r="M274" s="17"/>
      <c r="N274" s="16"/>
      <c r="O274" s="16"/>
    </row>
    <row r="275" spans="1:15" ht="18" customHeight="1">
      <c r="A275" s="68" t="s">
        <v>3168</v>
      </c>
      <c r="B275" s="87" t="s">
        <v>3169</v>
      </c>
      <c r="C275" s="110" t="s">
        <v>94</v>
      </c>
      <c r="D275" s="28" t="s">
        <v>3297</v>
      </c>
      <c r="E275" s="28">
        <v>1.22</v>
      </c>
      <c r="F275" s="87">
        <v>175</v>
      </c>
      <c r="G275" s="110"/>
      <c r="H275" s="87">
        <v>1.45</v>
      </c>
      <c r="I275" s="110"/>
      <c r="J275" s="142">
        <v>45190</v>
      </c>
      <c r="K275" s="63">
        <f t="shared" si="17"/>
        <v>309.57499999999999</v>
      </c>
      <c r="L275" s="63"/>
      <c r="M275" s="17"/>
      <c r="N275" s="16"/>
      <c r="O275" s="16"/>
    </row>
    <row r="276" spans="1:15" ht="18" customHeight="1">
      <c r="A276" s="16">
        <v>1011849</v>
      </c>
      <c r="B276" s="28" t="s">
        <v>3155</v>
      </c>
      <c r="C276" s="28" t="s">
        <v>133</v>
      </c>
      <c r="D276" s="28" t="s">
        <v>3297</v>
      </c>
      <c r="E276" s="28">
        <v>1.22</v>
      </c>
      <c r="F276" s="28">
        <v>121.6</v>
      </c>
      <c r="G276" s="110"/>
      <c r="H276" s="28">
        <v>1.5</v>
      </c>
      <c r="I276" s="110"/>
      <c r="J276" s="132">
        <v>45185</v>
      </c>
      <c r="K276" s="10">
        <f t="shared" si="17"/>
        <v>222.52800000000002</v>
      </c>
      <c r="L276" s="10"/>
      <c r="M276" s="17"/>
      <c r="N276" s="16"/>
      <c r="O276" s="16"/>
    </row>
    <row r="277" spans="1:15" ht="18" customHeight="1">
      <c r="A277" s="46" t="s">
        <v>4523</v>
      </c>
      <c r="B277" s="83" t="s">
        <v>4524</v>
      </c>
      <c r="C277" s="79" t="s">
        <v>4525</v>
      </c>
      <c r="D277" s="28" t="s">
        <v>1983</v>
      </c>
      <c r="E277" s="28">
        <v>1.22</v>
      </c>
      <c r="F277" s="83">
        <v>92</v>
      </c>
      <c r="G277" s="110"/>
      <c r="H277" s="28">
        <v>1.6</v>
      </c>
      <c r="I277" s="110"/>
      <c r="J277" s="132">
        <v>45982</v>
      </c>
      <c r="K277" s="57">
        <f t="shared" si="17"/>
        <v>179.584</v>
      </c>
      <c r="L277" s="63"/>
      <c r="M277" s="17"/>
      <c r="N277" s="16"/>
      <c r="O277" s="16"/>
    </row>
    <row r="278" spans="1:15" ht="18" customHeight="1">
      <c r="A278" s="21" t="s">
        <v>662</v>
      </c>
      <c r="B278" s="28" t="s">
        <v>105</v>
      </c>
      <c r="C278" s="28" t="s">
        <v>663</v>
      </c>
      <c r="D278" s="28" t="s">
        <v>451</v>
      </c>
      <c r="E278" s="28">
        <v>1</v>
      </c>
      <c r="F278" s="28">
        <v>5720</v>
      </c>
      <c r="G278" s="28"/>
      <c r="H278" s="28">
        <v>1.6</v>
      </c>
      <c r="I278" s="28"/>
      <c r="J278" s="133">
        <v>42646</v>
      </c>
      <c r="K278" s="10">
        <f t="shared" si="17"/>
        <v>9152</v>
      </c>
      <c r="L278" s="10"/>
      <c r="M278" s="9"/>
      <c r="N278" s="9">
        <f>G278*H278*I278*E278</f>
        <v>0</v>
      </c>
      <c r="O278" s="3">
        <f>K278*1.6667</f>
        <v>15253.6384</v>
      </c>
    </row>
    <row r="279" spans="1:15" ht="18" customHeight="1">
      <c r="A279" s="21"/>
      <c r="B279" s="28" t="s">
        <v>2764</v>
      </c>
      <c r="C279" s="28" t="s">
        <v>522</v>
      </c>
      <c r="D279" s="28" t="s">
        <v>451</v>
      </c>
      <c r="E279" s="28">
        <v>1.22</v>
      </c>
      <c r="F279" s="28">
        <v>103</v>
      </c>
      <c r="G279" s="28"/>
      <c r="H279" s="28">
        <v>1.7</v>
      </c>
      <c r="I279" s="28"/>
      <c r="J279" s="133">
        <v>44847</v>
      </c>
      <c r="K279" s="10">
        <f t="shared" si="17"/>
        <v>213.62199999999999</v>
      </c>
      <c r="L279" s="10"/>
      <c r="M279" s="9"/>
      <c r="N279" s="9">
        <f>G279*H279*I279*E279</f>
        <v>0</v>
      </c>
      <c r="O279" s="3">
        <f>K279*1.6667</f>
        <v>356.04378739999999</v>
      </c>
    </row>
    <row r="280" spans="1:15" ht="18" customHeight="1">
      <c r="A280" s="21">
        <v>278</v>
      </c>
      <c r="B280" s="28" t="s">
        <v>3416</v>
      </c>
      <c r="C280" s="28">
        <v>6</v>
      </c>
      <c r="D280" s="28" t="s">
        <v>3359</v>
      </c>
      <c r="E280" s="28">
        <v>1.22</v>
      </c>
      <c r="F280" s="28">
        <v>263.98</v>
      </c>
      <c r="G280" s="28"/>
      <c r="H280" s="28">
        <v>1.3</v>
      </c>
      <c r="I280" s="28"/>
      <c r="J280" s="133">
        <v>46021</v>
      </c>
      <c r="K280" s="10">
        <f t="shared" si="17"/>
        <v>418.67228000000006</v>
      </c>
      <c r="L280" s="10"/>
      <c r="M280" s="9"/>
      <c r="N280" s="9">
        <f>G280*H280*I280*E280</f>
        <v>0</v>
      </c>
      <c r="O280" s="3">
        <f>K280*1.6667</f>
        <v>697.80108907600015</v>
      </c>
    </row>
    <row r="281" spans="1:15" ht="18" customHeight="1">
      <c r="A281" s="16" t="s">
        <v>4220</v>
      </c>
      <c r="B281" s="87" t="s">
        <v>4221</v>
      </c>
      <c r="C281" s="110"/>
      <c r="D281" s="28" t="s">
        <v>3297</v>
      </c>
      <c r="E281" s="28">
        <v>1.22</v>
      </c>
      <c r="F281" s="87">
        <v>279</v>
      </c>
      <c r="G281" s="110"/>
      <c r="H281" s="87">
        <v>1.6</v>
      </c>
      <c r="I281" s="110"/>
      <c r="J281" s="135">
        <v>45777</v>
      </c>
      <c r="K281" s="63">
        <f t="shared" si="17"/>
        <v>544.60800000000006</v>
      </c>
      <c r="L281" s="63"/>
      <c r="M281" s="17"/>
      <c r="N281" s="16"/>
      <c r="O281" s="16"/>
    </row>
    <row r="282" spans="1:15" ht="18" customHeight="1">
      <c r="A282" s="25" t="s">
        <v>4220</v>
      </c>
      <c r="B282" s="87" t="s">
        <v>4546</v>
      </c>
      <c r="C282" s="110"/>
      <c r="D282" s="28" t="s">
        <v>3297</v>
      </c>
      <c r="E282" s="28">
        <v>1.22</v>
      </c>
      <c r="F282" s="87">
        <v>266</v>
      </c>
      <c r="G282" s="110"/>
      <c r="H282" s="87">
        <v>1.8</v>
      </c>
      <c r="I282" s="110"/>
      <c r="J282" s="135">
        <v>45981</v>
      </c>
      <c r="K282" s="63">
        <f t="shared" si="17"/>
        <v>584.13599999999997</v>
      </c>
      <c r="L282" s="63"/>
      <c r="M282" s="17"/>
      <c r="N282" s="16"/>
      <c r="O282" s="16"/>
    </row>
    <row r="283" spans="1:15" ht="18" customHeight="1">
      <c r="A283" s="25" t="s">
        <v>4500</v>
      </c>
      <c r="B283" s="28" t="s">
        <v>4501</v>
      </c>
      <c r="C283" s="110"/>
      <c r="D283" s="28" t="s">
        <v>1292</v>
      </c>
      <c r="E283" s="87">
        <v>1.22</v>
      </c>
      <c r="F283" s="90">
        <v>59.9</v>
      </c>
      <c r="G283" s="110"/>
      <c r="H283" s="87">
        <v>1.8</v>
      </c>
      <c r="I283" s="110"/>
      <c r="J283" s="135">
        <v>45981</v>
      </c>
      <c r="K283" s="10">
        <f t="shared" si="17"/>
        <v>131.54040000000001</v>
      </c>
      <c r="L283" s="10"/>
      <c r="M283" s="17"/>
      <c r="N283" s="16"/>
      <c r="O283" s="16"/>
    </row>
    <row r="284" spans="1:15" ht="18" customHeight="1">
      <c r="A284" s="16"/>
      <c r="B284" s="87" t="s">
        <v>4278</v>
      </c>
      <c r="C284" s="110"/>
      <c r="D284" s="28" t="s">
        <v>451</v>
      </c>
      <c r="E284" s="28">
        <v>1.22</v>
      </c>
      <c r="F284" s="87">
        <v>50</v>
      </c>
      <c r="G284" s="110"/>
      <c r="H284" s="87">
        <v>1.8</v>
      </c>
      <c r="I284" s="110"/>
      <c r="J284" s="135">
        <v>45814</v>
      </c>
      <c r="K284" s="63">
        <f t="shared" si="17"/>
        <v>109.8</v>
      </c>
      <c r="L284" s="63"/>
      <c r="M284" s="17"/>
      <c r="N284" s="16"/>
      <c r="O284" s="16"/>
    </row>
    <row r="285" spans="1:15" ht="18" customHeight="1">
      <c r="A285" s="16"/>
      <c r="B285" s="87" t="s">
        <v>3745</v>
      </c>
      <c r="C285" s="110"/>
      <c r="D285" s="28" t="s">
        <v>451</v>
      </c>
      <c r="E285" s="28">
        <v>1.22</v>
      </c>
      <c r="F285" s="87">
        <v>90</v>
      </c>
      <c r="G285" s="110"/>
      <c r="H285" s="87">
        <v>1.8</v>
      </c>
      <c r="I285" s="110"/>
      <c r="J285" s="135">
        <v>45814</v>
      </c>
      <c r="K285" s="63">
        <f t="shared" si="17"/>
        <v>197.64</v>
      </c>
      <c r="L285" s="63"/>
      <c r="M285" s="17"/>
      <c r="N285" s="16"/>
      <c r="O285" s="16"/>
    </row>
    <row r="286" spans="1:15" ht="18" customHeight="1">
      <c r="A286" s="16"/>
      <c r="B286" s="87" t="s">
        <v>3746</v>
      </c>
      <c r="C286" s="110"/>
      <c r="D286" s="28" t="s">
        <v>451</v>
      </c>
      <c r="E286" s="28">
        <v>1.22</v>
      </c>
      <c r="F286" s="87">
        <v>190</v>
      </c>
      <c r="G286" s="110"/>
      <c r="H286" s="87">
        <v>1.8</v>
      </c>
      <c r="I286" s="110"/>
      <c r="J286" s="135">
        <v>45545</v>
      </c>
      <c r="K286" s="63">
        <f t="shared" si="17"/>
        <v>417.23999999999995</v>
      </c>
      <c r="L286" s="63"/>
      <c r="M286" s="17"/>
      <c r="N286" s="16"/>
      <c r="O286" s="16"/>
    </row>
    <row r="287" spans="1:15" ht="18" customHeight="1">
      <c r="A287" s="16" t="s">
        <v>3689</v>
      </c>
      <c r="B287" s="87" t="s">
        <v>3688</v>
      </c>
      <c r="C287" s="110"/>
      <c r="D287" s="110"/>
      <c r="E287" s="87">
        <v>1.22</v>
      </c>
      <c r="F287" s="87">
        <v>399.9</v>
      </c>
      <c r="G287" s="110"/>
      <c r="H287" s="87">
        <v>1.5</v>
      </c>
      <c r="I287" s="110"/>
      <c r="J287" s="87"/>
      <c r="K287" s="63">
        <f t="shared" si="17"/>
        <v>731.81700000000001</v>
      </c>
      <c r="L287" s="63"/>
      <c r="M287" s="17"/>
      <c r="N287" s="16"/>
      <c r="O287" s="16"/>
    </row>
    <row r="288" spans="1:15" ht="18" customHeight="1">
      <c r="A288" s="46" t="s">
        <v>3755</v>
      </c>
      <c r="B288" s="80" t="s">
        <v>3756</v>
      </c>
      <c r="C288" s="79" t="s">
        <v>3757</v>
      </c>
      <c r="D288" s="28" t="s">
        <v>1921</v>
      </c>
      <c r="E288" s="28">
        <v>1.22</v>
      </c>
      <c r="F288" s="80">
        <v>66</v>
      </c>
      <c r="G288" s="110"/>
      <c r="H288" s="28">
        <v>1.8</v>
      </c>
      <c r="I288" s="110"/>
      <c r="J288" s="134">
        <v>46009</v>
      </c>
      <c r="K288" s="57">
        <f t="shared" si="17"/>
        <v>144.93600000000001</v>
      </c>
      <c r="L288" s="57"/>
      <c r="M288" s="17"/>
      <c r="N288" s="16"/>
      <c r="O288" s="16"/>
    </row>
    <row r="289" spans="1:15" ht="18" customHeight="1">
      <c r="A289" s="46" t="s">
        <v>3758</v>
      </c>
      <c r="B289" s="80" t="s">
        <v>3759</v>
      </c>
      <c r="C289" s="79" t="s">
        <v>3760</v>
      </c>
      <c r="D289" s="28" t="s">
        <v>1921</v>
      </c>
      <c r="E289" s="28">
        <v>1.22</v>
      </c>
      <c r="F289" s="80">
        <v>87</v>
      </c>
      <c r="G289" s="110"/>
      <c r="H289" s="28">
        <v>1.8</v>
      </c>
      <c r="I289" s="110"/>
      <c r="J289" s="134">
        <v>46009</v>
      </c>
      <c r="K289" s="57">
        <f t="shared" si="17"/>
        <v>191.05199999999999</v>
      </c>
      <c r="L289" s="57"/>
      <c r="M289" s="17"/>
      <c r="N289" s="16"/>
      <c r="O289" s="16"/>
    </row>
    <row r="290" spans="1:15" ht="18" customHeight="1">
      <c r="A290" s="21">
        <v>3755</v>
      </c>
      <c r="B290" s="28" t="s">
        <v>1285</v>
      </c>
      <c r="C290" s="28" t="s">
        <v>1286</v>
      </c>
      <c r="D290" s="28" t="s">
        <v>716</v>
      </c>
      <c r="E290" s="28">
        <v>1.22</v>
      </c>
      <c r="F290" s="28">
        <v>279</v>
      </c>
      <c r="G290" s="28"/>
      <c r="H290" s="28">
        <v>1.6</v>
      </c>
      <c r="I290" s="28"/>
      <c r="J290" s="134">
        <v>45960</v>
      </c>
      <c r="K290" s="10">
        <f t="shared" si="17"/>
        <v>544.60800000000006</v>
      </c>
      <c r="L290" s="10"/>
      <c r="M290" s="9"/>
      <c r="N290" s="9">
        <f>G290*H290*I290*E290</f>
        <v>0</v>
      </c>
      <c r="O290" s="3">
        <f>K290*1.6667</f>
        <v>907.69815360000018</v>
      </c>
    </row>
    <row r="291" spans="1:15" ht="18" customHeight="1">
      <c r="A291" s="21">
        <v>3607</v>
      </c>
      <c r="B291" s="28" t="s">
        <v>2165</v>
      </c>
      <c r="C291" s="80" t="s">
        <v>1974</v>
      </c>
      <c r="D291" s="28" t="s">
        <v>716</v>
      </c>
      <c r="E291" s="28">
        <v>1.22</v>
      </c>
      <c r="F291" s="28">
        <v>138</v>
      </c>
      <c r="G291" s="110"/>
      <c r="H291" s="28">
        <v>1.5</v>
      </c>
      <c r="I291" s="110"/>
      <c r="J291" s="134">
        <v>45281</v>
      </c>
      <c r="K291" s="10">
        <f t="shared" si="17"/>
        <v>252.53999999999996</v>
      </c>
      <c r="L291" s="10"/>
      <c r="M291" s="17"/>
      <c r="N291" s="16"/>
      <c r="O291" s="16"/>
    </row>
    <row r="292" spans="1:15" ht="18" customHeight="1">
      <c r="A292" s="46">
        <v>3237</v>
      </c>
      <c r="B292" s="80" t="s">
        <v>4431</v>
      </c>
      <c r="C292" s="80" t="s">
        <v>77</v>
      </c>
      <c r="D292" s="28" t="s">
        <v>716</v>
      </c>
      <c r="E292" s="83">
        <v>1.22</v>
      </c>
      <c r="F292" s="80">
        <v>142</v>
      </c>
      <c r="G292" s="110"/>
      <c r="H292" s="83">
        <v>1.4</v>
      </c>
      <c r="I292" s="110"/>
      <c r="J292" s="134">
        <v>45960</v>
      </c>
      <c r="K292" s="57">
        <f t="shared" si="17"/>
        <v>242.536</v>
      </c>
      <c r="L292" s="57"/>
      <c r="M292" s="17"/>
      <c r="N292" s="16"/>
      <c r="O292" s="16"/>
    </row>
    <row r="293" spans="1:15" ht="18" customHeight="1">
      <c r="A293" s="16">
        <v>3300</v>
      </c>
      <c r="B293" s="28" t="s">
        <v>1437</v>
      </c>
      <c r="C293" s="28" t="s">
        <v>1438</v>
      </c>
      <c r="D293" s="28" t="s">
        <v>716</v>
      </c>
      <c r="E293" s="28">
        <v>1.22</v>
      </c>
      <c r="F293" s="28">
        <v>176</v>
      </c>
      <c r="G293" s="110"/>
      <c r="H293" s="28">
        <v>1.45</v>
      </c>
      <c r="I293" s="110"/>
      <c r="J293" s="135">
        <v>44501</v>
      </c>
      <c r="K293" s="9">
        <f t="shared" si="17"/>
        <v>311.34399999999999</v>
      </c>
      <c r="L293" s="9"/>
      <c r="M293" s="9"/>
      <c r="N293" s="9">
        <f>G293*H293*I293*E293</f>
        <v>0</v>
      </c>
      <c r="O293" s="16"/>
    </row>
    <row r="294" spans="1:15" ht="18" customHeight="1">
      <c r="A294" s="46">
        <v>3306</v>
      </c>
      <c r="B294" s="28" t="s">
        <v>1437</v>
      </c>
      <c r="C294" s="28" t="s">
        <v>1441</v>
      </c>
      <c r="D294" s="28" t="s">
        <v>716</v>
      </c>
      <c r="E294" s="28">
        <v>1.22</v>
      </c>
      <c r="F294" s="28">
        <v>119</v>
      </c>
      <c r="G294" s="110"/>
      <c r="H294" s="28">
        <v>1.45</v>
      </c>
      <c r="I294" s="110"/>
      <c r="J294" s="134">
        <v>45175</v>
      </c>
      <c r="K294" s="9">
        <f t="shared" si="17"/>
        <v>210.511</v>
      </c>
      <c r="L294" s="9"/>
      <c r="M294" s="17"/>
      <c r="N294" s="9">
        <f>G294*H294*I294*E294</f>
        <v>0</v>
      </c>
      <c r="O294" s="16"/>
    </row>
    <row r="295" spans="1:15" ht="18" customHeight="1">
      <c r="A295" s="21">
        <v>3758</v>
      </c>
      <c r="B295" s="28" t="s">
        <v>3907</v>
      </c>
      <c r="C295" s="28" t="s">
        <v>718</v>
      </c>
      <c r="D295" s="28" t="s">
        <v>716</v>
      </c>
      <c r="E295" s="28">
        <v>1.22</v>
      </c>
      <c r="F295" s="28">
        <v>219</v>
      </c>
      <c r="G295" s="28"/>
      <c r="H295" s="28">
        <v>1.6</v>
      </c>
      <c r="I295" s="28"/>
      <c r="J295" s="133">
        <v>45960</v>
      </c>
      <c r="K295" s="10">
        <f t="shared" si="17"/>
        <v>427.48800000000006</v>
      </c>
      <c r="L295" s="10"/>
      <c r="M295" s="9"/>
      <c r="N295" s="9">
        <f>G295*H295*I295*E295</f>
        <v>0</v>
      </c>
      <c r="O295" s="3">
        <f>K295*1.6667</f>
        <v>712.4942496000001</v>
      </c>
    </row>
    <row r="296" spans="1:15" ht="18" customHeight="1">
      <c r="A296" s="46">
        <v>3204</v>
      </c>
      <c r="B296" s="28" t="s">
        <v>1440</v>
      </c>
      <c r="C296" s="28" t="s">
        <v>133</v>
      </c>
      <c r="D296" s="28" t="s">
        <v>716</v>
      </c>
      <c r="E296" s="28">
        <v>1.22</v>
      </c>
      <c r="F296" s="28">
        <v>165</v>
      </c>
      <c r="G296" s="110"/>
      <c r="H296" s="28">
        <v>1.45</v>
      </c>
      <c r="I296" s="110"/>
      <c r="J296" s="134">
        <v>45175</v>
      </c>
      <c r="K296" s="10">
        <f t="shared" si="17"/>
        <v>291.88499999999999</v>
      </c>
      <c r="L296" s="10"/>
      <c r="M296" s="17"/>
      <c r="N296" s="9">
        <f>G296*H296*I296*E296</f>
        <v>0</v>
      </c>
      <c r="O296" s="16"/>
    </row>
    <row r="297" spans="1:15" ht="18" customHeight="1">
      <c r="A297" s="21">
        <v>3202</v>
      </c>
      <c r="B297" s="28" t="s">
        <v>1440</v>
      </c>
      <c r="C297" s="87" t="s">
        <v>1219</v>
      </c>
      <c r="D297" s="28" t="s">
        <v>716</v>
      </c>
      <c r="E297" s="28">
        <v>1.22</v>
      </c>
      <c r="F297" s="28">
        <v>169</v>
      </c>
      <c r="G297" s="110"/>
      <c r="H297" s="28">
        <v>1.5</v>
      </c>
      <c r="I297" s="110"/>
      <c r="J297" s="135">
        <v>44728</v>
      </c>
      <c r="K297" s="10">
        <f t="shared" si="17"/>
        <v>309.27</v>
      </c>
      <c r="L297" s="10"/>
      <c r="M297" s="30"/>
      <c r="N297" s="9">
        <f>G297*H297*I297*E297</f>
        <v>0</v>
      </c>
      <c r="O297" s="3"/>
    </row>
    <row r="298" spans="1:15" ht="18" customHeight="1">
      <c r="A298" s="21">
        <v>3236</v>
      </c>
      <c r="B298" s="28" t="s">
        <v>1976</v>
      </c>
      <c r="C298" s="28" t="s">
        <v>1846</v>
      </c>
      <c r="D298" s="28" t="s">
        <v>716</v>
      </c>
      <c r="E298" s="28">
        <v>1.22</v>
      </c>
      <c r="F298" s="28">
        <v>305</v>
      </c>
      <c r="G298" s="28"/>
      <c r="H298" s="28">
        <v>1.6</v>
      </c>
      <c r="I298" s="28"/>
      <c r="J298" s="134">
        <v>45281</v>
      </c>
      <c r="K298" s="10">
        <f t="shared" si="17"/>
        <v>595.36</v>
      </c>
      <c r="L298" s="10"/>
      <c r="M298" s="9"/>
      <c r="N298" s="9"/>
      <c r="O298" s="3"/>
    </row>
    <row r="299" spans="1:15" ht="18" customHeight="1">
      <c r="A299" s="21">
        <v>3200</v>
      </c>
      <c r="B299" s="28" t="s">
        <v>1644</v>
      </c>
      <c r="C299" s="80">
        <v>225</v>
      </c>
      <c r="D299" s="28" t="s">
        <v>716</v>
      </c>
      <c r="E299" s="28">
        <v>1.22</v>
      </c>
      <c r="F299" s="28">
        <v>200</v>
      </c>
      <c r="G299" s="110"/>
      <c r="H299" s="28">
        <v>1.5</v>
      </c>
      <c r="I299" s="110"/>
      <c r="J299" s="134">
        <v>45175</v>
      </c>
      <c r="K299" s="10">
        <f t="shared" si="17"/>
        <v>366</v>
      </c>
      <c r="L299" s="10"/>
      <c r="M299" s="17"/>
      <c r="N299" s="16"/>
      <c r="O299" s="16"/>
    </row>
    <row r="300" spans="1:15" ht="18" customHeight="1">
      <c r="A300" s="16">
        <v>3206</v>
      </c>
      <c r="B300" s="87" t="s">
        <v>4122</v>
      </c>
      <c r="C300" s="110" t="s">
        <v>4123</v>
      </c>
      <c r="D300" s="28" t="s">
        <v>716</v>
      </c>
      <c r="E300" s="28">
        <v>1.22</v>
      </c>
      <c r="F300" s="87">
        <v>206</v>
      </c>
      <c r="G300" s="110"/>
      <c r="H300" s="87">
        <v>1.6</v>
      </c>
      <c r="I300" s="110"/>
      <c r="J300" s="135">
        <v>45728</v>
      </c>
      <c r="K300" s="10">
        <f t="shared" si="17"/>
        <v>402.11200000000002</v>
      </c>
      <c r="L300" s="63"/>
      <c r="M300" s="17"/>
      <c r="N300" s="16"/>
      <c r="O300" s="16"/>
    </row>
    <row r="301" spans="1:15" ht="18" customHeight="1">
      <c r="A301" s="68">
        <v>3235</v>
      </c>
      <c r="B301" s="80" t="s">
        <v>2237</v>
      </c>
      <c r="C301" s="110" t="s">
        <v>1846</v>
      </c>
      <c r="D301" s="28" t="s">
        <v>716</v>
      </c>
      <c r="E301" s="83">
        <v>1.22</v>
      </c>
      <c r="F301" s="90">
        <v>270.16000000000003</v>
      </c>
      <c r="G301" s="110"/>
      <c r="H301" s="83">
        <v>1.6</v>
      </c>
      <c r="I301" s="110"/>
      <c r="J301" s="135">
        <v>44501</v>
      </c>
      <c r="K301" s="63">
        <f t="shared" si="17"/>
        <v>527.35232000000008</v>
      </c>
      <c r="L301" s="63"/>
      <c r="M301" s="17"/>
      <c r="N301" s="16"/>
      <c r="O301" s="16"/>
    </row>
    <row r="302" spans="1:15" ht="18" customHeight="1">
      <c r="A302" s="46">
        <v>3205</v>
      </c>
      <c r="B302" s="91" t="s">
        <v>2025</v>
      </c>
      <c r="C302" s="88" t="s">
        <v>1438</v>
      </c>
      <c r="D302" s="28" t="s">
        <v>716</v>
      </c>
      <c r="E302" s="83">
        <v>1.22</v>
      </c>
      <c r="F302" s="87">
        <v>145</v>
      </c>
      <c r="G302" s="110"/>
      <c r="H302" s="83">
        <v>1.4</v>
      </c>
      <c r="I302" s="110"/>
      <c r="J302" s="135">
        <v>44501</v>
      </c>
      <c r="K302" s="57">
        <f t="shared" si="17"/>
        <v>247.66</v>
      </c>
      <c r="L302" s="57"/>
      <c r="M302" s="17"/>
      <c r="N302" s="16"/>
      <c r="O302" s="16"/>
    </row>
    <row r="303" spans="1:15" ht="18" customHeight="1">
      <c r="A303" s="21">
        <v>3603</v>
      </c>
      <c r="B303" s="28" t="s">
        <v>1975</v>
      </c>
      <c r="C303" s="28" t="s">
        <v>1284</v>
      </c>
      <c r="D303" s="28" t="s">
        <v>716</v>
      </c>
      <c r="E303" s="28">
        <v>1.22</v>
      </c>
      <c r="F303" s="28">
        <v>224</v>
      </c>
      <c r="G303" s="28"/>
      <c r="H303" s="28">
        <v>1.5</v>
      </c>
      <c r="I303" s="28"/>
      <c r="J303" s="134">
        <v>44501</v>
      </c>
      <c r="K303" s="10">
        <f t="shared" si="17"/>
        <v>409.91999999999996</v>
      </c>
      <c r="L303" s="10"/>
      <c r="M303" s="9"/>
      <c r="N303" s="9">
        <f>G303*H303*I303*E303</f>
        <v>0</v>
      </c>
      <c r="O303" s="3">
        <f>K303*1.6667</f>
        <v>683.21366399999999</v>
      </c>
    </row>
    <row r="304" spans="1:15" ht="18" customHeight="1">
      <c r="A304" s="21">
        <v>99320</v>
      </c>
      <c r="B304" s="28" t="s">
        <v>1153</v>
      </c>
      <c r="C304" s="28" t="s">
        <v>79</v>
      </c>
      <c r="D304" s="28" t="s">
        <v>23</v>
      </c>
      <c r="E304" s="28">
        <v>1</v>
      </c>
      <c r="F304" s="28">
        <v>0</v>
      </c>
      <c r="G304" s="28">
        <v>23.65</v>
      </c>
      <c r="H304" s="28">
        <v>1.5</v>
      </c>
      <c r="I304" s="28">
        <v>45</v>
      </c>
      <c r="J304" s="134">
        <v>45359</v>
      </c>
      <c r="K304" s="10">
        <f>+E304*G304*H304*I304</f>
        <v>1596.3749999999998</v>
      </c>
      <c r="L304" s="10"/>
      <c r="M304" s="9"/>
      <c r="N304" s="9">
        <f>G304*H304*I304*E304</f>
        <v>1596.3749999999998</v>
      </c>
      <c r="O304" s="3">
        <f>K304*1.6667</f>
        <v>2660.6782124999995</v>
      </c>
    </row>
    <row r="305" spans="1:15" ht="18" customHeight="1">
      <c r="A305" s="21">
        <v>99325</v>
      </c>
      <c r="B305" s="28" t="s">
        <v>1153</v>
      </c>
      <c r="C305" s="28" t="s">
        <v>60</v>
      </c>
      <c r="D305" s="28" t="s">
        <v>23</v>
      </c>
      <c r="E305" s="28">
        <v>1</v>
      </c>
      <c r="F305" s="28">
        <v>0</v>
      </c>
      <c r="G305" s="28">
        <v>6.4</v>
      </c>
      <c r="H305" s="28">
        <v>1.5</v>
      </c>
      <c r="I305" s="28">
        <v>45</v>
      </c>
      <c r="J305" s="133">
        <v>45359</v>
      </c>
      <c r="K305" s="10">
        <f>+E305*G305*H305*I305</f>
        <v>432.00000000000006</v>
      </c>
      <c r="L305" s="10"/>
      <c r="M305" s="9"/>
      <c r="N305" s="9"/>
      <c r="O305" s="3"/>
    </row>
    <row r="306" spans="1:15" ht="18" customHeight="1">
      <c r="A306" s="16"/>
      <c r="B306" s="87" t="s">
        <v>3863</v>
      </c>
      <c r="C306" s="110" t="s">
        <v>3864</v>
      </c>
      <c r="D306" s="110" t="s">
        <v>3866</v>
      </c>
      <c r="E306" s="87">
        <v>1</v>
      </c>
      <c r="F306" s="87">
        <v>3307</v>
      </c>
      <c r="G306" s="110"/>
      <c r="H306" s="87">
        <v>1.3</v>
      </c>
      <c r="I306" s="110"/>
      <c r="J306" s="135">
        <v>45588</v>
      </c>
      <c r="K306" s="57">
        <f>E306*F306*H306</f>
        <v>4299.1000000000004</v>
      </c>
      <c r="L306" s="63"/>
      <c r="M306" s="17"/>
      <c r="N306" s="16"/>
      <c r="O306" s="16"/>
    </row>
    <row r="307" spans="1:15" ht="18" customHeight="1">
      <c r="A307" s="16"/>
      <c r="B307" s="87" t="s">
        <v>3863</v>
      </c>
      <c r="C307" s="110" t="s">
        <v>3865</v>
      </c>
      <c r="D307" s="110" t="s">
        <v>3866</v>
      </c>
      <c r="E307" s="87">
        <v>1</v>
      </c>
      <c r="F307" s="87">
        <v>7488</v>
      </c>
      <c r="G307" s="110"/>
      <c r="H307" s="87">
        <v>1.3</v>
      </c>
      <c r="I307" s="110"/>
      <c r="J307" s="135">
        <v>45588</v>
      </c>
      <c r="K307" s="57">
        <f>E307*F307*H307</f>
        <v>9734.4</v>
      </c>
      <c r="L307" s="63"/>
      <c r="M307" s="17"/>
      <c r="N307" s="16"/>
      <c r="O307" s="16"/>
    </row>
    <row r="308" spans="1:15" ht="18" customHeight="1">
      <c r="A308" s="21">
        <v>788780</v>
      </c>
      <c r="B308" s="28" t="s">
        <v>3551</v>
      </c>
      <c r="C308" s="28" t="s">
        <v>3552</v>
      </c>
      <c r="D308" s="28" t="s">
        <v>23</v>
      </c>
      <c r="E308" s="28">
        <v>1</v>
      </c>
      <c r="F308" s="28">
        <v>1760</v>
      </c>
      <c r="G308" s="28">
        <v>55.65</v>
      </c>
      <c r="H308" s="28">
        <v>1.45</v>
      </c>
      <c r="I308" s="28">
        <v>0</v>
      </c>
      <c r="J308" s="133">
        <v>45456</v>
      </c>
      <c r="K308" s="10">
        <f>E308*F308*H308</f>
        <v>2552</v>
      </c>
      <c r="L308" s="10"/>
      <c r="M308" s="9"/>
      <c r="N308" s="9">
        <f>G308*H308*I308*E308</f>
        <v>0</v>
      </c>
      <c r="O308" s="3">
        <f>K308*1.6667</f>
        <v>4253.4184000000005</v>
      </c>
    </row>
    <row r="309" spans="1:15" ht="18" customHeight="1">
      <c r="A309" s="21">
        <v>99200</v>
      </c>
      <c r="B309" s="28" t="s">
        <v>3859</v>
      </c>
      <c r="C309" s="28" t="s">
        <v>94</v>
      </c>
      <c r="D309" s="28" t="s">
        <v>23</v>
      </c>
      <c r="E309" s="28">
        <v>1</v>
      </c>
      <c r="F309" s="28">
        <v>0</v>
      </c>
      <c r="G309" s="28">
        <v>7.3</v>
      </c>
      <c r="H309" s="28">
        <v>1.5</v>
      </c>
      <c r="I309" s="28">
        <v>42</v>
      </c>
      <c r="J309" s="133">
        <v>46014</v>
      </c>
      <c r="K309" s="10">
        <f>+I309*H309*G309</f>
        <v>459.9</v>
      </c>
      <c r="L309" s="10"/>
      <c r="M309" s="9"/>
      <c r="N309" s="9">
        <f>G309*H309*I309*E309</f>
        <v>459.9</v>
      </c>
      <c r="O309" s="3">
        <f>K309*1.6667</f>
        <v>766.51532999999995</v>
      </c>
    </row>
    <row r="310" spans="1:15" ht="18" customHeight="1">
      <c r="A310" s="21"/>
      <c r="B310" s="28" t="s">
        <v>3859</v>
      </c>
      <c r="C310" s="28" t="s">
        <v>215</v>
      </c>
      <c r="D310" s="28" t="s">
        <v>23</v>
      </c>
      <c r="E310" s="28">
        <v>1</v>
      </c>
      <c r="F310" s="28"/>
      <c r="G310" s="28">
        <v>4.7</v>
      </c>
      <c r="H310" s="28">
        <v>1.5</v>
      </c>
      <c r="I310" s="28">
        <v>42</v>
      </c>
      <c r="J310" s="133">
        <v>45926</v>
      </c>
      <c r="K310" s="10">
        <f>+I310*H310*G310</f>
        <v>296.10000000000002</v>
      </c>
      <c r="L310" s="10"/>
      <c r="M310" s="9"/>
      <c r="N310" s="9">
        <f>G310*H310*I310*E310</f>
        <v>296.10000000000002</v>
      </c>
      <c r="O310" s="3"/>
    </row>
    <row r="311" spans="1:15" ht="18" customHeight="1">
      <c r="A311" s="21"/>
      <c r="B311" s="28" t="s">
        <v>533</v>
      </c>
      <c r="C311" s="28"/>
      <c r="D311" s="28" t="s">
        <v>23</v>
      </c>
      <c r="E311" s="28">
        <v>1</v>
      </c>
      <c r="F311" s="28">
        <v>0</v>
      </c>
      <c r="G311" s="28">
        <v>8</v>
      </c>
      <c r="H311" s="28">
        <v>1.5</v>
      </c>
      <c r="I311" s="28">
        <v>45</v>
      </c>
      <c r="J311" s="133">
        <v>45412</v>
      </c>
      <c r="K311" s="10">
        <f>+I311*H311*G311</f>
        <v>540</v>
      </c>
      <c r="L311" s="10"/>
      <c r="M311" s="9"/>
      <c r="N311" s="9"/>
      <c r="O311" s="3"/>
    </row>
    <row r="312" spans="1:15" ht="18" customHeight="1">
      <c r="A312" s="21">
        <v>99116</v>
      </c>
      <c r="B312" s="28" t="s">
        <v>3550</v>
      </c>
      <c r="C312" s="28" t="s">
        <v>305</v>
      </c>
      <c r="D312" s="28" t="s">
        <v>23</v>
      </c>
      <c r="E312" s="28">
        <v>1</v>
      </c>
      <c r="F312" s="28">
        <v>3485</v>
      </c>
      <c r="G312" s="28">
        <v>135</v>
      </c>
      <c r="H312" s="28">
        <v>1.45</v>
      </c>
      <c r="I312" s="28">
        <v>42</v>
      </c>
      <c r="J312" s="133">
        <v>45930</v>
      </c>
      <c r="K312" s="10">
        <f>E312*F312*H312</f>
        <v>5053.25</v>
      </c>
      <c r="L312" s="10"/>
      <c r="M312" s="9"/>
      <c r="N312" s="9">
        <f>G312*H312*I312*E312</f>
        <v>8221.5</v>
      </c>
      <c r="O312" s="3">
        <f>K312*1.6667</f>
        <v>8422.2517750000006</v>
      </c>
    </row>
    <row r="313" spans="1:15" ht="18" customHeight="1">
      <c r="A313" s="16"/>
      <c r="B313" s="87" t="s">
        <v>3584</v>
      </c>
      <c r="C313" s="110" t="s">
        <v>3585</v>
      </c>
      <c r="D313" s="110" t="s">
        <v>3312</v>
      </c>
      <c r="E313" s="87">
        <v>1</v>
      </c>
      <c r="F313" s="87">
        <v>1085</v>
      </c>
      <c r="G313" s="110"/>
      <c r="H313" s="87">
        <v>1.5</v>
      </c>
      <c r="I313" s="110"/>
      <c r="J313" s="135">
        <v>45884</v>
      </c>
      <c r="K313" s="57">
        <f>+E313*F313*H313</f>
        <v>1627.5</v>
      </c>
      <c r="L313" s="63"/>
      <c r="M313" s="17"/>
      <c r="N313" s="16"/>
      <c r="O313" s="16"/>
    </row>
    <row r="314" spans="1:15" ht="18" customHeight="1">
      <c r="A314" s="21"/>
      <c r="B314" s="28" t="s">
        <v>1856</v>
      </c>
      <c r="C314" s="28"/>
      <c r="D314" s="28" t="s">
        <v>451</v>
      </c>
      <c r="E314" s="28">
        <v>1.22</v>
      </c>
      <c r="F314" s="28">
        <v>120</v>
      </c>
      <c r="G314" s="28"/>
      <c r="H314" s="28">
        <v>1.5</v>
      </c>
      <c r="I314" s="28"/>
      <c r="J314" s="133">
        <v>45981</v>
      </c>
      <c r="K314" s="10">
        <f t="shared" ref="K314:K345" si="18">E314*F314*H314</f>
        <v>219.60000000000002</v>
      </c>
      <c r="L314" s="10"/>
      <c r="M314" s="9"/>
      <c r="N314" s="9">
        <f>G314*H314*I314*E314</f>
        <v>0</v>
      </c>
      <c r="O314" s="3">
        <f>K314*1.6667</f>
        <v>366.00732000000005</v>
      </c>
    </row>
    <row r="315" spans="1:15" ht="18" customHeight="1">
      <c r="A315" s="25">
        <v>218</v>
      </c>
      <c r="B315" s="28" t="s">
        <v>103</v>
      </c>
      <c r="C315" s="28" t="s">
        <v>3150</v>
      </c>
      <c r="D315" s="28" t="s">
        <v>451</v>
      </c>
      <c r="E315" s="28">
        <v>1.22</v>
      </c>
      <c r="F315" s="28">
        <v>305</v>
      </c>
      <c r="G315" s="110"/>
      <c r="H315" s="28">
        <v>1.7</v>
      </c>
      <c r="I315" s="110"/>
      <c r="J315" s="134">
        <v>45407</v>
      </c>
      <c r="K315" s="10">
        <f t="shared" si="18"/>
        <v>632.56999999999994</v>
      </c>
      <c r="L315" s="63"/>
      <c r="M315" s="17"/>
      <c r="N315" s="16"/>
      <c r="O315" s="16"/>
    </row>
    <row r="316" spans="1:15" ht="18" customHeight="1">
      <c r="A316" s="16"/>
      <c r="B316" s="28" t="s">
        <v>1734</v>
      </c>
      <c r="C316" s="110"/>
      <c r="D316" s="28" t="s">
        <v>3300</v>
      </c>
      <c r="E316" s="87">
        <v>1.22</v>
      </c>
      <c r="F316" s="90">
        <v>49.9</v>
      </c>
      <c r="G316" s="110"/>
      <c r="H316" s="87">
        <v>1.8</v>
      </c>
      <c r="I316" s="110"/>
      <c r="J316" s="135">
        <v>43983</v>
      </c>
      <c r="K316" s="10">
        <f t="shared" si="18"/>
        <v>109.5804</v>
      </c>
      <c r="L316" s="10"/>
      <c r="M316" s="17"/>
      <c r="N316" s="16"/>
      <c r="O316" s="16"/>
    </row>
    <row r="317" spans="1:15" ht="18" customHeight="1">
      <c r="A317" s="16" t="s">
        <v>4579</v>
      </c>
      <c r="B317" s="87" t="s">
        <v>1734</v>
      </c>
      <c r="C317" s="110"/>
      <c r="D317" s="110" t="s">
        <v>1921</v>
      </c>
      <c r="E317" s="87">
        <v>1.22</v>
      </c>
      <c r="F317" s="87">
        <v>18.899999999999999</v>
      </c>
      <c r="G317" s="110"/>
      <c r="H317" s="87">
        <v>1.8</v>
      </c>
      <c r="I317" s="110"/>
      <c r="J317" s="135">
        <v>46009</v>
      </c>
      <c r="K317" s="63">
        <f t="shared" si="18"/>
        <v>41.504399999999997</v>
      </c>
      <c r="L317" s="63"/>
      <c r="M317" s="17"/>
      <c r="N317" s="16"/>
      <c r="O317" s="16"/>
    </row>
    <row r="318" spans="1:15" ht="18" customHeight="1">
      <c r="A318" s="21"/>
      <c r="B318" s="28" t="s">
        <v>2161</v>
      </c>
      <c r="C318" s="28"/>
      <c r="D318" s="28" t="s">
        <v>1859</v>
      </c>
      <c r="E318" s="28">
        <v>1.22</v>
      </c>
      <c r="F318" s="28">
        <v>60</v>
      </c>
      <c r="G318" s="28"/>
      <c r="H318" s="28">
        <v>1.7</v>
      </c>
      <c r="I318" s="28"/>
      <c r="J318" s="133">
        <v>44323</v>
      </c>
      <c r="K318" s="10">
        <f t="shared" si="18"/>
        <v>124.44</v>
      </c>
      <c r="L318" s="10"/>
      <c r="M318" s="9"/>
      <c r="N318" s="9">
        <f>G318*H318*I318*E318</f>
        <v>0</v>
      </c>
      <c r="O318" s="3">
        <f>K318*1.6667</f>
        <v>207.40414799999999</v>
      </c>
    </row>
    <row r="319" spans="1:15" ht="18" customHeight="1">
      <c r="A319" s="16" t="s">
        <v>2191</v>
      </c>
      <c r="B319" s="28" t="s">
        <v>2190</v>
      </c>
      <c r="C319" s="110"/>
      <c r="D319" s="28" t="s">
        <v>34</v>
      </c>
      <c r="E319" s="90">
        <v>1.22</v>
      </c>
      <c r="F319" s="90">
        <v>12</v>
      </c>
      <c r="G319" s="110"/>
      <c r="H319" s="90">
        <v>2</v>
      </c>
      <c r="I319" s="110"/>
      <c r="J319" s="135">
        <v>44364</v>
      </c>
      <c r="K319" s="63">
        <f t="shared" si="18"/>
        <v>29.28</v>
      </c>
      <c r="L319" s="63"/>
      <c r="M319" s="17"/>
      <c r="N319" s="16"/>
      <c r="O319" s="16"/>
    </row>
    <row r="320" spans="1:15" ht="18" customHeight="1">
      <c r="A320" s="16" t="s">
        <v>4029</v>
      </c>
      <c r="B320" s="87" t="s">
        <v>4030</v>
      </c>
      <c r="C320" s="110"/>
      <c r="D320" s="129" t="s">
        <v>1292</v>
      </c>
      <c r="E320" s="91">
        <v>1.22</v>
      </c>
      <c r="F320" s="87">
        <v>24.9</v>
      </c>
      <c r="G320" s="110"/>
      <c r="H320" s="87">
        <v>2.5</v>
      </c>
      <c r="I320" s="110"/>
      <c r="J320" s="135">
        <v>45668</v>
      </c>
      <c r="K320" s="10">
        <f t="shared" si="18"/>
        <v>75.944999999999993</v>
      </c>
      <c r="L320" s="63"/>
      <c r="M320" s="17"/>
      <c r="N320" s="16"/>
      <c r="O320" s="16"/>
    </row>
    <row r="321" spans="1:15" ht="18" customHeight="1">
      <c r="A321" s="21">
        <v>1</v>
      </c>
      <c r="B321" s="28" t="s">
        <v>135</v>
      </c>
      <c r="C321" s="28" t="s">
        <v>1330</v>
      </c>
      <c r="D321" s="28" t="s">
        <v>1748</v>
      </c>
      <c r="E321" s="28">
        <v>1</v>
      </c>
      <c r="F321" s="28">
        <v>123</v>
      </c>
      <c r="G321" s="28"/>
      <c r="H321" s="28">
        <v>1.6</v>
      </c>
      <c r="I321" s="28"/>
      <c r="J321" s="133">
        <v>45934</v>
      </c>
      <c r="K321" s="10">
        <f t="shared" si="18"/>
        <v>196.8</v>
      </c>
      <c r="L321" s="10"/>
      <c r="M321" s="9"/>
      <c r="N321" s="9">
        <f>G321*H321*I321*E321</f>
        <v>0</v>
      </c>
      <c r="O321" s="3">
        <f>K321*1.6667</f>
        <v>328.00656000000004</v>
      </c>
    </row>
    <row r="322" spans="1:15" ht="18" customHeight="1">
      <c r="A322" s="21">
        <v>430</v>
      </c>
      <c r="B322" s="28" t="s">
        <v>135</v>
      </c>
      <c r="C322" s="28" t="s">
        <v>91</v>
      </c>
      <c r="D322" s="28" t="s">
        <v>1748</v>
      </c>
      <c r="E322" s="28">
        <v>1.22</v>
      </c>
      <c r="F322" s="28">
        <v>367</v>
      </c>
      <c r="G322" s="28">
        <v>0</v>
      </c>
      <c r="H322" s="28">
        <v>1.35</v>
      </c>
      <c r="I322" s="28">
        <v>44</v>
      </c>
      <c r="J322" s="133">
        <v>45934</v>
      </c>
      <c r="K322" s="10">
        <f t="shared" si="18"/>
        <v>604.44900000000007</v>
      </c>
      <c r="L322" s="10"/>
      <c r="M322" s="9"/>
      <c r="N322" s="9">
        <f>G322*H322*I322*E322</f>
        <v>0</v>
      </c>
      <c r="O322" s="3">
        <f>K322*1.6667</f>
        <v>1007.4351483000002</v>
      </c>
    </row>
    <row r="323" spans="1:15" ht="18" customHeight="1">
      <c r="A323" s="21"/>
      <c r="B323" s="28" t="s">
        <v>136</v>
      </c>
      <c r="C323" s="28" t="s">
        <v>137</v>
      </c>
      <c r="D323" s="28" t="s">
        <v>7</v>
      </c>
      <c r="E323" s="28">
        <v>1</v>
      </c>
      <c r="F323" s="28">
        <v>630</v>
      </c>
      <c r="G323" s="28"/>
      <c r="H323" s="28">
        <v>1.3</v>
      </c>
      <c r="I323" s="28"/>
      <c r="J323" s="133">
        <v>45759</v>
      </c>
      <c r="K323" s="10">
        <f t="shared" si="18"/>
        <v>819</v>
      </c>
      <c r="L323" s="10"/>
      <c r="M323" s="9"/>
      <c r="N323" s="9">
        <f>G323*H323*I323*E323</f>
        <v>0</v>
      </c>
      <c r="O323" s="3">
        <f>K323*1.6667</f>
        <v>1365.0273</v>
      </c>
    </row>
    <row r="324" spans="1:15" ht="18" customHeight="1">
      <c r="A324" s="21"/>
      <c r="B324" s="28" t="s">
        <v>2798</v>
      </c>
      <c r="C324" s="28" t="s">
        <v>104</v>
      </c>
      <c r="D324" s="28" t="s">
        <v>7</v>
      </c>
      <c r="E324" s="28">
        <v>1</v>
      </c>
      <c r="F324" s="28">
        <v>2692.83</v>
      </c>
      <c r="G324" s="28"/>
      <c r="H324" s="28">
        <v>1.3</v>
      </c>
      <c r="I324" s="28"/>
      <c r="J324" s="133">
        <v>45653</v>
      </c>
      <c r="K324" s="10">
        <f t="shared" si="18"/>
        <v>3500.6790000000001</v>
      </c>
      <c r="L324" s="10"/>
      <c r="M324" s="9"/>
      <c r="N324" s="9">
        <f>G324*H324*I324*E324</f>
        <v>0</v>
      </c>
      <c r="O324" s="3">
        <f>K324*1.6667</f>
        <v>5834.5816893000001</v>
      </c>
    </row>
    <row r="325" spans="1:15" ht="18" customHeight="1">
      <c r="A325" s="21">
        <v>3751</v>
      </c>
      <c r="B325" s="28" t="s">
        <v>2026</v>
      </c>
      <c r="C325" s="28" t="s">
        <v>718</v>
      </c>
      <c r="D325" s="28" t="s">
        <v>716</v>
      </c>
      <c r="E325" s="28">
        <v>1.22</v>
      </c>
      <c r="F325" s="28">
        <v>208.54</v>
      </c>
      <c r="G325" s="28"/>
      <c r="H325" s="28">
        <v>1.45</v>
      </c>
      <c r="I325" s="28"/>
      <c r="J325" s="135">
        <v>44501</v>
      </c>
      <c r="K325" s="10">
        <f t="shared" si="18"/>
        <v>368.90725999999995</v>
      </c>
      <c r="L325" s="10"/>
      <c r="M325" s="9"/>
      <c r="N325" s="9">
        <f>G325*H325*I325*E325</f>
        <v>0</v>
      </c>
      <c r="O325" s="3">
        <f>K325*1.6667</f>
        <v>614.85773024199989</v>
      </c>
    </row>
    <row r="326" spans="1:15" ht="18" customHeight="1">
      <c r="A326" s="16"/>
      <c r="B326" s="87" t="s">
        <v>3332</v>
      </c>
      <c r="C326" s="110"/>
      <c r="D326" s="110" t="s">
        <v>3301</v>
      </c>
      <c r="E326" s="87">
        <v>1.22</v>
      </c>
      <c r="F326" s="87">
        <v>14</v>
      </c>
      <c r="G326" s="110"/>
      <c r="H326" s="87">
        <v>2.5</v>
      </c>
      <c r="I326" s="110"/>
      <c r="J326" s="135">
        <v>45301</v>
      </c>
      <c r="K326" s="63">
        <f t="shared" si="18"/>
        <v>42.699999999999996</v>
      </c>
      <c r="L326" s="63"/>
      <c r="M326" s="17"/>
      <c r="N326" s="16"/>
      <c r="O326" s="16"/>
    </row>
    <row r="327" spans="1:15" ht="18" customHeight="1">
      <c r="A327" s="21" t="s">
        <v>1128</v>
      </c>
      <c r="B327" s="28" t="s">
        <v>138</v>
      </c>
      <c r="C327" s="28" t="s">
        <v>139</v>
      </c>
      <c r="D327" s="28" t="s">
        <v>3297</v>
      </c>
      <c r="E327" s="28">
        <v>1.22</v>
      </c>
      <c r="F327" s="28">
        <v>29</v>
      </c>
      <c r="G327" s="28"/>
      <c r="H327" s="28">
        <v>2</v>
      </c>
      <c r="I327" s="28"/>
      <c r="J327" s="133">
        <v>45827</v>
      </c>
      <c r="K327" s="10">
        <f t="shared" si="18"/>
        <v>70.760000000000005</v>
      </c>
      <c r="L327" s="10"/>
      <c r="M327" s="9"/>
      <c r="N327" s="9">
        <f>G327*H327*I327*E327</f>
        <v>0</v>
      </c>
      <c r="O327" s="3">
        <f>K327*1.6667</f>
        <v>117.93569200000002</v>
      </c>
    </row>
    <row r="328" spans="1:15" ht="18" customHeight="1">
      <c r="A328" s="16"/>
      <c r="B328" s="91" t="s">
        <v>3235</v>
      </c>
      <c r="C328" s="91">
        <v>15</v>
      </c>
      <c r="D328" s="28" t="s">
        <v>451</v>
      </c>
      <c r="E328" s="87">
        <v>1.22</v>
      </c>
      <c r="F328" s="87">
        <v>140</v>
      </c>
      <c r="G328" s="110"/>
      <c r="H328" s="87">
        <v>1.6</v>
      </c>
      <c r="I328" s="110"/>
      <c r="J328" s="135">
        <v>45366</v>
      </c>
      <c r="K328" s="63">
        <f t="shared" si="18"/>
        <v>273.27999999999997</v>
      </c>
      <c r="L328" s="63"/>
      <c r="M328" s="17"/>
      <c r="N328" s="16"/>
      <c r="O328" s="16"/>
    </row>
    <row r="329" spans="1:15" ht="18" customHeight="1">
      <c r="A329" s="16"/>
      <c r="B329" s="91" t="s">
        <v>3234</v>
      </c>
      <c r="C329" s="91">
        <v>25</v>
      </c>
      <c r="D329" s="28" t="s">
        <v>451</v>
      </c>
      <c r="E329" s="87">
        <v>1.22</v>
      </c>
      <c r="F329" s="87">
        <v>242</v>
      </c>
      <c r="G329" s="110"/>
      <c r="H329" s="87">
        <v>1.6</v>
      </c>
      <c r="I329" s="110"/>
      <c r="J329" s="135">
        <v>45653</v>
      </c>
      <c r="K329" s="63">
        <f t="shared" si="18"/>
        <v>472.38400000000001</v>
      </c>
      <c r="L329" s="63"/>
      <c r="M329" s="17"/>
      <c r="N329" s="16"/>
      <c r="O329" s="16"/>
    </row>
    <row r="330" spans="1:15" ht="18" customHeight="1">
      <c r="A330" s="16"/>
      <c r="B330" s="91" t="s">
        <v>3404</v>
      </c>
      <c r="C330" s="91">
        <v>35</v>
      </c>
      <c r="D330" s="28" t="s">
        <v>451</v>
      </c>
      <c r="E330" s="87">
        <v>1.22</v>
      </c>
      <c r="F330" s="87">
        <v>295</v>
      </c>
      <c r="G330" s="110"/>
      <c r="H330" s="87">
        <v>1.6</v>
      </c>
      <c r="I330" s="110"/>
      <c r="J330" s="135">
        <v>45366</v>
      </c>
      <c r="K330" s="63">
        <f t="shared" si="18"/>
        <v>575.84</v>
      </c>
      <c r="L330" s="63"/>
      <c r="M330" s="17"/>
      <c r="N330" s="16"/>
      <c r="O330" s="16"/>
    </row>
    <row r="331" spans="1:15" ht="18" customHeight="1">
      <c r="A331" s="16"/>
      <c r="B331" s="91" t="s">
        <v>3233</v>
      </c>
      <c r="C331" s="91">
        <v>40</v>
      </c>
      <c r="D331" s="28" t="s">
        <v>451</v>
      </c>
      <c r="E331" s="87">
        <v>1.22</v>
      </c>
      <c r="F331" s="87">
        <v>390</v>
      </c>
      <c r="G331" s="110"/>
      <c r="H331" s="87">
        <v>1.6</v>
      </c>
      <c r="I331" s="110"/>
      <c r="J331" s="135">
        <v>45366</v>
      </c>
      <c r="K331" s="63">
        <f t="shared" si="18"/>
        <v>761.28000000000009</v>
      </c>
      <c r="L331" s="63"/>
      <c r="M331" s="17"/>
      <c r="N331" s="16"/>
      <c r="O331" s="16"/>
    </row>
    <row r="332" spans="1:15" ht="18" customHeight="1">
      <c r="A332" s="16"/>
      <c r="B332" s="87" t="s">
        <v>4056</v>
      </c>
      <c r="C332" s="110" t="s">
        <v>1896</v>
      </c>
      <c r="D332" s="28" t="s">
        <v>1859</v>
      </c>
      <c r="E332" s="87">
        <v>1</v>
      </c>
      <c r="F332" s="87">
        <v>150</v>
      </c>
      <c r="G332" s="110"/>
      <c r="H332" s="87">
        <v>2</v>
      </c>
      <c r="I332" s="110"/>
      <c r="J332" s="135">
        <v>45678</v>
      </c>
      <c r="K332" s="10">
        <f t="shared" si="18"/>
        <v>300</v>
      </c>
      <c r="L332" s="63"/>
      <c r="M332" s="17"/>
      <c r="N332" s="16"/>
      <c r="O332" s="16"/>
    </row>
    <row r="333" spans="1:15" ht="18" customHeight="1">
      <c r="A333" s="16"/>
      <c r="B333" s="87" t="s">
        <v>3704</v>
      </c>
      <c r="C333" s="110">
        <v>7.6</v>
      </c>
      <c r="D333" s="28" t="s">
        <v>3302</v>
      </c>
      <c r="E333" s="87">
        <v>1.22</v>
      </c>
      <c r="F333" s="87">
        <v>250</v>
      </c>
      <c r="G333" s="110"/>
      <c r="H333" s="87">
        <v>1.4</v>
      </c>
      <c r="I333" s="110"/>
      <c r="J333" s="135">
        <v>45532</v>
      </c>
      <c r="K333" s="57">
        <f t="shared" si="18"/>
        <v>427</v>
      </c>
      <c r="L333" s="63"/>
      <c r="M333" s="17"/>
      <c r="N333" s="16"/>
      <c r="O333" s="16"/>
    </row>
    <row r="334" spans="1:15" ht="18" customHeight="1">
      <c r="A334" s="16"/>
      <c r="B334" s="87" t="s">
        <v>3704</v>
      </c>
      <c r="C334" s="110" t="s">
        <v>3705</v>
      </c>
      <c r="D334" s="28" t="s">
        <v>3302</v>
      </c>
      <c r="E334" s="87">
        <v>1.22</v>
      </c>
      <c r="F334" s="87">
        <v>350</v>
      </c>
      <c r="G334" s="110"/>
      <c r="H334" s="87">
        <v>1.4</v>
      </c>
      <c r="I334" s="110"/>
      <c r="J334" s="135">
        <v>45532</v>
      </c>
      <c r="K334" s="57">
        <f t="shared" si="18"/>
        <v>597.79999999999995</v>
      </c>
      <c r="L334" s="63"/>
      <c r="M334" s="17"/>
      <c r="N334" s="16"/>
      <c r="O334" s="16"/>
    </row>
    <row r="335" spans="1:15" ht="18" customHeight="1">
      <c r="A335" s="16"/>
      <c r="B335" s="87" t="s">
        <v>3704</v>
      </c>
      <c r="C335" s="110" t="s">
        <v>3706</v>
      </c>
      <c r="D335" s="110" t="s">
        <v>3302</v>
      </c>
      <c r="E335" s="87">
        <v>1.22</v>
      </c>
      <c r="F335" s="87">
        <v>3250</v>
      </c>
      <c r="G335" s="110"/>
      <c r="H335" s="87">
        <v>1.4</v>
      </c>
      <c r="I335" s="110"/>
      <c r="J335" s="135">
        <v>45532</v>
      </c>
      <c r="K335" s="57">
        <f t="shared" si="18"/>
        <v>5551</v>
      </c>
      <c r="L335" s="63"/>
      <c r="M335" s="17"/>
      <c r="N335" s="16"/>
      <c r="O335" s="16"/>
    </row>
    <row r="336" spans="1:15" ht="18" customHeight="1">
      <c r="A336" s="21" t="s">
        <v>3662</v>
      </c>
      <c r="B336" s="28" t="s">
        <v>3663</v>
      </c>
      <c r="C336" s="28" t="s">
        <v>1079</v>
      </c>
      <c r="D336" s="28" t="s">
        <v>1983</v>
      </c>
      <c r="E336" s="28">
        <v>1.22</v>
      </c>
      <c r="F336" s="28">
        <v>88</v>
      </c>
      <c r="G336" s="28"/>
      <c r="H336" s="28">
        <v>1.8</v>
      </c>
      <c r="I336" s="28"/>
      <c r="J336" s="133">
        <v>45617</v>
      </c>
      <c r="K336" s="10">
        <f t="shared" si="18"/>
        <v>193.24799999999999</v>
      </c>
      <c r="L336" s="10"/>
      <c r="M336" s="9"/>
      <c r="N336" s="9">
        <f>G336*H336*I336*E336</f>
        <v>0</v>
      </c>
      <c r="O336" s="3">
        <f>K336*1.6667</f>
        <v>322.0864416</v>
      </c>
    </row>
    <row r="337" spans="1:15" ht="18" customHeight="1">
      <c r="A337" s="21"/>
      <c r="B337" s="28" t="s">
        <v>2564</v>
      </c>
      <c r="C337" s="28"/>
      <c r="D337" s="28" t="s">
        <v>451</v>
      </c>
      <c r="E337" s="28">
        <v>1.22</v>
      </c>
      <c r="F337" s="28">
        <v>108</v>
      </c>
      <c r="G337" s="28"/>
      <c r="H337" s="28">
        <v>1.4</v>
      </c>
      <c r="I337" s="28"/>
      <c r="J337" s="133">
        <v>44714</v>
      </c>
      <c r="K337" s="10">
        <f t="shared" si="18"/>
        <v>184.46399999999997</v>
      </c>
      <c r="L337" s="10"/>
      <c r="M337" s="9"/>
      <c r="N337" s="9">
        <f>G337*H337*I337*E337</f>
        <v>0</v>
      </c>
      <c r="O337" s="3">
        <f>K337*1.6667</f>
        <v>307.44614879999995</v>
      </c>
    </row>
    <row r="338" spans="1:15" ht="18" customHeight="1">
      <c r="A338" s="21"/>
      <c r="B338" s="28" t="s">
        <v>2566</v>
      </c>
      <c r="C338" s="28"/>
      <c r="D338" s="28" t="s">
        <v>451</v>
      </c>
      <c r="E338" s="28">
        <v>1.22</v>
      </c>
      <c r="F338" s="28">
        <v>224</v>
      </c>
      <c r="G338" s="28">
        <v>0</v>
      </c>
      <c r="H338" s="28">
        <v>1.4</v>
      </c>
      <c r="I338" s="28">
        <v>0</v>
      </c>
      <c r="J338" s="133">
        <v>44714</v>
      </c>
      <c r="K338" s="10">
        <f t="shared" si="18"/>
        <v>382.59199999999993</v>
      </c>
      <c r="L338" s="10"/>
      <c r="M338" s="9"/>
      <c r="N338" s="9">
        <f>G338*H338*I338*E338</f>
        <v>0</v>
      </c>
      <c r="O338" s="3">
        <f>K338*1.6667</f>
        <v>637.66608639999993</v>
      </c>
    </row>
    <row r="339" spans="1:15" ht="18" customHeight="1">
      <c r="A339" s="16"/>
      <c r="B339" s="28" t="s">
        <v>2565</v>
      </c>
      <c r="C339" s="110"/>
      <c r="D339" s="28" t="s">
        <v>451</v>
      </c>
      <c r="E339" s="28">
        <v>1.22</v>
      </c>
      <c r="F339" s="28">
        <v>165</v>
      </c>
      <c r="G339" s="110"/>
      <c r="H339" s="28">
        <v>1.4</v>
      </c>
      <c r="I339" s="110"/>
      <c r="J339" s="134">
        <v>44714</v>
      </c>
      <c r="K339" s="57">
        <f t="shared" si="18"/>
        <v>281.81999999999994</v>
      </c>
      <c r="L339" s="63"/>
      <c r="M339" s="17"/>
      <c r="N339" s="16"/>
      <c r="O339" s="16"/>
    </row>
    <row r="340" spans="1:15" ht="18" customHeight="1">
      <c r="A340" s="21" t="s">
        <v>4262</v>
      </c>
      <c r="B340" s="87" t="s">
        <v>4263</v>
      </c>
      <c r="C340" s="110" t="s">
        <v>4264</v>
      </c>
      <c r="D340" s="28" t="s">
        <v>1983</v>
      </c>
      <c r="E340" s="28">
        <v>1.22</v>
      </c>
      <c r="F340" s="87">
        <v>97</v>
      </c>
      <c r="G340" s="110"/>
      <c r="H340" s="87">
        <v>1.4</v>
      </c>
      <c r="I340" s="110"/>
      <c r="J340" s="135">
        <v>45808</v>
      </c>
      <c r="K340" s="63">
        <f t="shared" si="18"/>
        <v>165.67599999999999</v>
      </c>
      <c r="L340" s="63"/>
      <c r="M340" s="17"/>
      <c r="N340" s="16"/>
      <c r="O340" s="16"/>
    </row>
    <row r="341" spans="1:15" ht="18" customHeight="1">
      <c r="A341" s="21">
        <v>2166</v>
      </c>
      <c r="B341" s="28" t="s">
        <v>67</v>
      </c>
      <c r="C341" s="80" t="s">
        <v>1647</v>
      </c>
      <c r="D341" s="28" t="s">
        <v>1983</v>
      </c>
      <c r="E341" s="28">
        <v>1.22</v>
      </c>
      <c r="F341" s="88">
        <v>69.56</v>
      </c>
      <c r="G341" s="136"/>
      <c r="H341" s="28">
        <v>1.4</v>
      </c>
      <c r="I341" s="136"/>
      <c r="J341" s="137">
        <v>43956</v>
      </c>
      <c r="K341" s="10">
        <f t="shared" si="18"/>
        <v>118.80848</v>
      </c>
      <c r="L341" s="10"/>
      <c r="M341" s="46"/>
      <c r="N341" s="45"/>
      <c r="O341" s="45"/>
    </row>
    <row r="342" spans="1:15" ht="18" customHeight="1">
      <c r="A342" s="21" t="s">
        <v>4400</v>
      </c>
      <c r="B342" s="28" t="s">
        <v>4398</v>
      </c>
      <c r="C342" s="28" t="s">
        <v>4401</v>
      </c>
      <c r="D342" s="28" t="s">
        <v>1983</v>
      </c>
      <c r="E342" s="28">
        <v>1.22</v>
      </c>
      <c r="F342" s="28">
        <v>143.01</v>
      </c>
      <c r="G342" s="28"/>
      <c r="H342" s="28">
        <v>1.3</v>
      </c>
      <c r="I342" s="28"/>
      <c r="J342" s="133">
        <v>44699</v>
      </c>
      <c r="K342" s="10">
        <f t="shared" si="18"/>
        <v>226.81385999999998</v>
      </c>
      <c r="L342" s="10"/>
      <c r="M342" s="9"/>
      <c r="N342" s="9">
        <f>G342*H342*I342*E342</f>
        <v>0</v>
      </c>
      <c r="O342" s="3">
        <f>K342*1.6667</f>
        <v>378.03066046199996</v>
      </c>
    </row>
    <row r="343" spans="1:15" ht="18" customHeight="1">
      <c r="A343" s="46" t="s">
        <v>4397</v>
      </c>
      <c r="B343" s="80" t="s">
        <v>4398</v>
      </c>
      <c r="C343" s="79" t="s">
        <v>4399</v>
      </c>
      <c r="D343" s="28" t="s">
        <v>1983</v>
      </c>
      <c r="E343" s="28">
        <v>1.22</v>
      </c>
      <c r="F343" s="80">
        <v>95</v>
      </c>
      <c r="G343" s="113"/>
      <c r="H343" s="28">
        <v>1.4</v>
      </c>
      <c r="I343" s="113"/>
      <c r="J343" s="134">
        <v>45929</v>
      </c>
      <c r="K343" s="10">
        <f t="shared" si="18"/>
        <v>162.26</v>
      </c>
      <c r="L343" s="10"/>
      <c r="M343" s="17"/>
      <c r="N343" s="44"/>
      <c r="O343" s="44"/>
    </row>
    <row r="344" spans="1:15" ht="18" customHeight="1">
      <c r="A344" s="21" t="s">
        <v>4402</v>
      </c>
      <c r="B344" s="28" t="s">
        <v>4398</v>
      </c>
      <c r="C344" s="28" t="s">
        <v>4403</v>
      </c>
      <c r="D344" s="28" t="s">
        <v>1983</v>
      </c>
      <c r="E344" s="28">
        <v>1.22</v>
      </c>
      <c r="F344" s="28">
        <v>212</v>
      </c>
      <c r="G344" s="28"/>
      <c r="H344" s="28">
        <v>1.6</v>
      </c>
      <c r="I344" s="28"/>
      <c r="J344" s="133">
        <v>45929</v>
      </c>
      <c r="K344" s="10">
        <f t="shared" si="18"/>
        <v>413.82400000000001</v>
      </c>
      <c r="L344" s="10"/>
      <c r="M344" s="9"/>
      <c r="N344" s="9">
        <f>G344*H344*I344*E344</f>
        <v>0</v>
      </c>
      <c r="O344" s="3">
        <f>K344*1.6667</f>
        <v>689.72046080000007</v>
      </c>
    </row>
    <row r="345" spans="1:15" ht="18" customHeight="1">
      <c r="A345" s="21">
        <v>830</v>
      </c>
      <c r="B345" s="80" t="s">
        <v>2983</v>
      </c>
      <c r="C345" s="80" t="s">
        <v>2984</v>
      </c>
      <c r="D345" s="28" t="s">
        <v>1983</v>
      </c>
      <c r="E345" s="28">
        <v>1.22</v>
      </c>
      <c r="F345" s="80">
        <v>101</v>
      </c>
      <c r="G345" s="136"/>
      <c r="H345" s="28">
        <v>1.5</v>
      </c>
      <c r="I345" s="136"/>
      <c r="J345" s="134">
        <v>45982</v>
      </c>
      <c r="K345" s="10">
        <f t="shared" si="18"/>
        <v>184.82999999999998</v>
      </c>
      <c r="L345" s="10"/>
      <c r="M345" s="46"/>
      <c r="N345" s="45"/>
      <c r="O345" s="45"/>
    </row>
    <row r="346" spans="1:15" ht="18" customHeight="1">
      <c r="A346" s="21">
        <v>831</v>
      </c>
      <c r="B346" s="80" t="s">
        <v>2983</v>
      </c>
      <c r="C346" s="80" t="s">
        <v>2985</v>
      </c>
      <c r="D346" s="28" t="s">
        <v>1983</v>
      </c>
      <c r="E346" s="28">
        <v>1.22</v>
      </c>
      <c r="F346" s="80">
        <v>105</v>
      </c>
      <c r="G346" s="136"/>
      <c r="H346" s="28">
        <v>1.8</v>
      </c>
      <c r="I346" s="136"/>
      <c r="J346" s="137">
        <v>45982</v>
      </c>
      <c r="K346" s="10">
        <f t="shared" ref="K346:K377" si="19">E346*F346*H346</f>
        <v>230.57999999999998</v>
      </c>
      <c r="L346" s="10"/>
      <c r="M346" s="46"/>
      <c r="N346" s="45"/>
      <c r="O346" s="45"/>
    </row>
    <row r="347" spans="1:15" ht="18" customHeight="1">
      <c r="A347" s="21">
        <v>821</v>
      </c>
      <c r="B347" s="80" t="s">
        <v>2983</v>
      </c>
      <c r="C347" s="80" t="s">
        <v>2986</v>
      </c>
      <c r="D347" s="28" t="s">
        <v>1983</v>
      </c>
      <c r="E347" s="28">
        <v>1.22</v>
      </c>
      <c r="F347" s="88">
        <v>88</v>
      </c>
      <c r="G347" s="136"/>
      <c r="H347" s="28">
        <v>1.5</v>
      </c>
      <c r="I347" s="136"/>
      <c r="J347" s="137">
        <v>45982</v>
      </c>
      <c r="K347" s="10">
        <f t="shared" si="19"/>
        <v>161.04</v>
      </c>
      <c r="L347" s="10"/>
      <c r="M347" s="46"/>
      <c r="N347" s="45"/>
      <c r="O347" s="45"/>
    </row>
    <row r="348" spans="1:15" ht="18" customHeight="1">
      <c r="A348" s="43" t="s">
        <v>3664</v>
      </c>
      <c r="B348" s="28" t="s">
        <v>2983</v>
      </c>
      <c r="C348" s="28" t="s">
        <v>3020</v>
      </c>
      <c r="D348" s="28" t="s">
        <v>1983</v>
      </c>
      <c r="E348" s="28">
        <v>1.22</v>
      </c>
      <c r="F348" s="28">
        <v>185</v>
      </c>
      <c r="G348" s="28"/>
      <c r="H348" s="28">
        <v>1.6</v>
      </c>
      <c r="I348" s="28"/>
      <c r="J348" s="133">
        <v>45982</v>
      </c>
      <c r="K348" s="10">
        <f t="shared" si="19"/>
        <v>361.12</v>
      </c>
      <c r="L348" s="10"/>
      <c r="M348" s="9"/>
      <c r="N348" s="9"/>
      <c r="O348" s="3"/>
    </row>
    <row r="349" spans="1:15" ht="18" customHeight="1">
      <c r="A349" s="16">
        <v>851</v>
      </c>
      <c r="B349" s="87" t="s">
        <v>2983</v>
      </c>
      <c r="C349" s="110" t="s">
        <v>3021</v>
      </c>
      <c r="D349" s="28" t="s">
        <v>1983</v>
      </c>
      <c r="E349" s="28">
        <v>1.22</v>
      </c>
      <c r="F349" s="87">
        <v>129</v>
      </c>
      <c r="G349" s="110"/>
      <c r="H349" s="28">
        <v>1.5</v>
      </c>
      <c r="I349" s="110"/>
      <c r="J349" s="135">
        <v>45055</v>
      </c>
      <c r="K349" s="10">
        <f t="shared" si="19"/>
        <v>236.07</v>
      </c>
      <c r="L349" s="10"/>
      <c r="M349" s="17"/>
      <c r="N349" s="16"/>
      <c r="O349" s="16"/>
    </row>
    <row r="350" spans="1:15" ht="18" customHeight="1">
      <c r="A350" s="21">
        <v>800</v>
      </c>
      <c r="B350" s="28" t="s">
        <v>2983</v>
      </c>
      <c r="C350" s="28" t="s">
        <v>4247</v>
      </c>
      <c r="D350" s="28" t="s">
        <v>1983</v>
      </c>
      <c r="E350" s="28">
        <v>1.22</v>
      </c>
      <c r="F350" s="28">
        <v>135</v>
      </c>
      <c r="G350" s="28"/>
      <c r="H350" s="28">
        <v>1.8</v>
      </c>
      <c r="I350" s="28"/>
      <c r="J350" s="133">
        <v>45982</v>
      </c>
      <c r="K350" s="10">
        <f t="shared" si="19"/>
        <v>296.45999999999998</v>
      </c>
      <c r="L350" s="10"/>
      <c r="M350" s="9"/>
      <c r="N350" s="9">
        <f>G350*H350*I350*E350</f>
        <v>0</v>
      </c>
      <c r="O350" s="3">
        <f>K350*1.6667</f>
        <v>494.10988199999997</v>
      </c>
    </row>
    <row r="351" spans="1:15" ht="18" customHeight="1">
      <c r="A351" s="46">
        <v>840</v>
      </c>
      <c r="B351" s="83" t="s">
        <v>2133</v>
      </c>
      <c r="C351" s="79" t="s">
        <v>2756</v>
      </c>
      <c r="D351" s="28" t="s">
        <v>1983</v>
      </c>
      <c r="E351" s="28">
        <v>1.22</v>
      </c>
      <c r="F351" s="28">
        <v>67</v>
      </c>
      <c r="G351" s="110"/>
      <c r="H351" s="28">
        <v>1.3</v>
      </c>
      <c r="I351" s="110"/>
      <c r="J351" s="134">
        <v>45982</v>
      </c>
      <c r="K351" s="57">
        <f t="shared" si="19"/>
        <v>106.262</v>
      </c>
      <c r="L351" s="63"/>
      <c r="M351" s="17"/>
      <c r="N351" s="16"/>
      <c r="O351" s="16"/>
    </row>
    <row r="352" spans="1:15" ht="18" customHeight="1">
      <c r="A352" s="46" t="s">
        <v>2390</v>
      </c>
      <c r="B352" s="83" t="s">
        <v>2133</v>
      </c>
      <c r="C352" s="79" t="s">
        <v>2391</v>
      </c>
      <c r="D352" s="28" t="s">
        <v>1983</v>
      </c>
      <c r="E352" s="28">
        <v>1.22</v>
      </c>
      <c r="F352" s="83">
        <v>156</v>
      </c>
      <c r="G352" s="110"/>
      <c r="H352" s="28">
        <v>1.6</v>
      </c>
      <c r="I352" s="110"/>
      <c r="J352" s="134">
        <v>45522</v>
      </c>
      <c r="K352" s="57">
        <f t="shared" si="19"/>
        <v>304.512</v>
      </c>
      <c r="L352" s="63"/>
      <c r="M352" s="17"/>
      <c r="N352" s="16"/>
      <c r="O352" s="16"/>
    </row>
    <row r="353" spans="1:15" ht="18" customHeight="1">
      <c r="A353" s="46">
        <v>799</v>
      </c>
      <c r="B353" s="83" t="s">
        <v>2133</v>
      </c>
      <c r="C353" s="79" t="s">
        <v>3159</v>
      </c>
      <c r="D353" s="28" t="s">
        <v>1983</v>
      </c>
      <c r="E353" s="28">
        <v>1.22</v>
      </c>
      <c r="F353" s="83">
        <v>54</v>
      </c>
      <c r="G353" s="110"/>
      <c r="H353" s="28">
        <v>1.45</v>
      </c>
      <c r="I353" s="110"/>
      <c r="J353" s="134">
        <v>45565</v>
      </c>
      <c r="K353" s="63">
        <f t="shared" si="19"/>
        <v>95.525999999999996</v>
      </c>
      <c r="L353" s="63"/>
      <c r="M353" s="17"/>
      <c r="N353" s="16"/>
      <c r="O353" s="16"/>
    </row>
    <row r="354" spans="1:15" ht="18" customHeight="1">
      <c r="A354" s="21">
        <v>810</v>
      </c>
      <c r="B354" s="28" t="s">
        <v>2646</v>
      </c>
      <c r="C354" s="315" t="s">
        <v>2530</v>
      </c>
      <c r="D354" s="28" t="s">
        <v>1983</v>
      </c>
      <c r="E354" s="28">
        <v>1.22</v>
      </c>
      <c r="F354" s="80">
        <v>70.010000000000005</v>
      </c>
      <c r="G354" s="136"/>
      <c r="H354" s="28">
        <v>1.8</v>
      </c>
      <c r="I354" s="136"/>
      <c r="J354" s="134">
        <v>45982</v>
      </c>
      <c r="K354" s="10">
        <f t="shared" si="19"/>
        <v>153.74196000000001</v>
      </c>
      <c r="L354" s="10"/>
      <c r="M354" s="46"/>
      <c r="N354" s="45"/>
      <c r="O354" s="45"/>
    </row>
    <row r="355" spans="1:15" ht="18" customHeight="1">
      <c r="A355" s="182">
        <v>820</v>
      </c>
      <c r="B355" s="176" t="s">
        <v>2647</v>
      </c>
      <c r="C355" s="251" t="s">
        <v>539</v>
      </c>
      <c r="D355" s="93" t="s">
        <v>1983</v>
      </c>
      <c r="E355" s="93">
        <v>1.22</v>
      </c>
      <c r="F355" s="176">
        <v>81</v>
      </c>
      <c r="G355" s="123"/>
      <c r="H355" s="93">
        <v>1.4</v>
      </c>
      <c r="I355" s="123"/>
      <c r="J355" s="183">
        <v>45807</v>
      </c>
      <c r="K355" s="12">
        <f t="shared" si="19"/>
        <v>138.34799999999998</v>
      </c>
      <c r="L355" s="163"/>
      <c r="M355" s="51"/>
      <c r="N355" s="42"/>
      <c r="O355" s="42"/>
    </row>
    <row r="356" spans="1:15" ht="18" customHeight="1">
      <c r="A356" s="46" t="s">
        <v>3780</v>
      </c>
      <c r="B356" s="80" t="s">
        <v>2757</v>
      </c>
      <c r="C356" s="79" t="s">
        <v>3781</v>
      </c>
      <c r="D356" s="28" t="s">
        <v>1983</v>
      </c>
      <c r="E356" s="28">
        <v>1.22</v>
      </c>
      <c r="F356" s="80">
        <v>141.80000000000001</v>
      </c>
      <c r="G356" s="110"/>
      <c r="H356" s="28">
        <v>1.5</v>
      </c>
      <c r="I356" s="110"/>
      <c r="J356" s="134">
        <v>45565</v>
      </c>
      <c r="K356" s="9">
        <f t="shared" si="19"/>
        <v>259.49400000000003</v>
      </c>
      <c r="L356" s="37"/>
      <c r="M356" s="17"/>
      <c r="N356" s="16"/>
      <c r="O356" s="16"/>
    </row>
    <row r="357" spans="1:15" ht="18" customHeight="1">
      <c r="A357" s="247" t="s">
        <v>3785</v>
      </c>
      <c r="B357" s="158" t="s">
        <v>3786</v>
      </c>
      <c r="C357" s="120" t="s">
        <v>3787</v>
      </c>
      <c r="D357" s="165" t="s">
        <v>1983</v>
      </c>
      <c r="E357" s="158">
        <v>1.22</v>
      </c>
      <c r="F357" s="162">
        <v>150</v>
      </c>
      <c r="G357" s="120"/>
      <c r="H357" s="162">
        <v>1.6</v>
      </c>
      <c r="I357" s="120"/>
      <c r="J357" s="142">
        <v>45565</v>
      </c>
      <c r="K357" s="10">
        <f t="shared" si="19"/>
        <v>292.8</v>
      </c>
      <c r="L357" s="63"/>
      <c r="M357" s="56"/>
      <c r="N357" s="156"/>
      <c r="O357" s="156"/>
    </row>
    <row r="358" spans="1:15" ht="18" customHeight="1">
      <c r="A358" s="21">
        <v>2404</v>
      </c>
      <c r="B358" s="80" t="s">
        <v>1648</v>
      </c>
      <c r="C358" s="80"/>
      <c r="D358" s="28" t="s">
        <v>1983</v>
      </c>
      <c r="E358" s="28">
        <v>1.22</v>
      </c>
      <c r="F358" s="88">
        <v>51.23</v>
      </c>
      <c r="G358" s="136"/>
      <c r="H358" s="28">
        <v>1.4</v>
      </c>
      <c r="I358" s="136"/>
      <c r="J358" s="137">
        <v>43956</v>
      </c>
      <c r="K358" s="10">
        <f t="shared" si="19"/>
        <v>87.500839999999982</v>
      </c>
      <c r="L358" s="10"/>
      <c r="M358" s="46"/>
      <c r="N358" s="45"/>
      <c r="O358" s="45"/>
    </row>
    <row r="359" spans="1:15" ht="18" customHeight="1">
      <c r="A359" s="21" t="s">
        <v>2432</v>
      </c>
      <c r="B359" s="28" t="s">
        <v>4108</v>
      </c>
      <c r="C359" s="28" t="s">
        <v>2434</v>
      </c>
      <c r="D359" s="28" t="s">
        <v>1921</v>
      </c>
      <c r="E359" s="28">
        <v>1.22</v>
      </c>
      <c r="F359" s="28">
        <v>187</v>
      </c>
      <c r="G359" s="28"/>
      <c r="H359" s="28">
        <v>1.5</v>
      </c>
      <c r="I359" s="28"/>
      <c r="J359" s="133">
        <v>45721</v>
      </c>
      <c r="K359" s="10">
        <f t="shared" si="19"/>
        <v>342.21</v>
      </c>
      <c r="L359" s="10"/>
      <c r="M359" s="9"/>
      <c r="N359" s="9">
        <f>G359*H359*I359*E359</f>
        <v>0</v>
      </c>
      <c r="O359" s="3">
        <f>K359*1.6667</f>
        <v>570.36140699999999</v>
      </c>
    </row>
    <row r="360" spans="1:15" ht="18" customHeight="1">
      <c r="A360" s="16" t="s">
        <v>2501</v>
      </c>
      <c r="B360" s="28" t="s">
        <v>4108</v>
      </c>
      <c r="C360" s="28" t="s">
        <v>4109</v>
      </c>
      <c r="D360" s="28" t="s">
        <v>1921</v>
      </c>
      <c r="E360" s="87">
        <v>1.22</v>
      </c>
      <c r="F360" s="87">
        <v>138</v>
      </c>
      <c r="G360" s="110"/>
      <c r="H360" s="87">
        <v>1.5</v>
      </c>
      <c r="I360" s="110"/>
      <c r="J360" s="135">
        <v>45721</v>
      </c>
      <c r="K360" s="10">
        <f t="shared" si="19"/>
        <v>252.53999999999996</v>
      </c>
      <c r="L360" s="180"/>
      <c r="M360" s="26"/>
      <c r="N360" s="16">
        <f>G360*H360*I360*E360</f>
        <v>0</v>
      </c>
      <c r="O360" s="16"/>
    </row>
    <row r="361" spans="1:15" ht="18" customHeight="1">
      <c r="A361" s="21" t="s">
        <v>4112</v>
      </c>
      <c r="B361" s="28" t="s">
        <v>4108</v>
      </c>
      <c r="C361" s="28" t="s">
        <v>2134</v>
      </c>
      <c r="D361" s="28" t="s">
        <v>1921</v>
      </c>
      <c r="E361" s="28">
        <v>1</v>
      </c>
      <c r="F361" s="28">
        <v>59</v>
      </c>
      <c r="G361" s="28"/>
      <c r="H361" s="28">
        <v>1.6</v>
      </c>
      <c r="I361" s="28"/>
      <c r="J361" s="133">
        <v>45721</v>
      </c>
      <c r="K361" s="10">
        <f t="shared" si="19"/>
        <v>94.4</v>
      </c>
      <c r="L361" s="10"/>
      <c r="M361" s="9"/>
      <c r="N361" s="9">
        <f>G361*H361*I361*E361</f>
        <v>0</v>
      </c>
      <c r="O361" s="3">
        <f>K361*1.6667</f>
        <v>157.33648000000002</v>
      </c>
    </row>
    <row r="362" spans="1:15" ht="18" customHeight="1">
      <c r="A362" s="21">
        <v>18</v>
      </c>
      <c r="B362" s="28" t="s">
        <v>66</v>
      </c>
      <c r="C362" s="28" t="s">
        <v>69</v>
      </c>
      <c r="D362" s="28" t="s">
        <v>1983</v>
      </c>
      <c r="E362" s="28">
        <v>1.22</v>
      </c>
      <c r="F362" s="28">
        <v>152.02000000000001</v>
      </c>
      <c r="G362" s="28"/>
      <c r="H362" s="28">
        <v>1.6</v>
      </c>
      <c r="I362" s="28"/>
      <c r="J362" s="133">
        <v>44105</v>
      </c>
      <c r="K362" s="10">
        <f t="shared" si="19"/>
        <v>296.74304000000001</v>
      </c>
      <c r="L362" s="10"/>
      <c r="M362" s="9"/>
      <c r="N362" s="9"/>
      <c r="O362" s="3"/>
    </row>
    <row r="363" spans="1:15" ht="18" customHeight="1">
      <c r="A363" s="21" t="s">
        <v>2432</v>
      </c>
      <c r="B363" s="28" t="s">
        <v>2504</v>
      </c>
      <c r="C363" s="28" t="s">
        <v>2434</v>
      </c>
      <c r="D363" s="28" t="s">
        <v>1983</v>
      </c>
      <c r="E363" s="28">
        <v>1.22</v>
      </c>
      <c r="F363" s="28">
        <v>209</v>
      </c>
      <c r="G363" s="28"/>
      <c r="H363" s="28">
        <v>1.6</v>
      </c>
      <c r="I363" s="28"/>
      <c r="J363" s="133">
        <v>44657</v>
      </c>
      <c r="K363" s="10">
        <f t="shared" si="19"/>
        <v>407.96800000000002</v>
      </c>
      <c r="L363" s="10"/>
      <c r="M363" s="9"/>
      <c r="N363" s="9"/>
      <c r="O363" s="3"/>
    </row>
    <row r="364" spans="1:15" ht="18" customHeight="1">
      <c r="A364" s="21" t="s">
        <v>2531</v>
      </c>
      <c r="B364" s="28" t="s">
        <v>2532</v>
      </c>
      <c r="C364" s="28" t="s">
        <v>2533</v>
      </c>
      <c r="D364" s="28" t="s">
        <v>1983</v>
      </c>
      <c r="E364" s="28">
        <v>1.22</v>
      </c>
      <c r="F364" s="28">
        <v>205.1</v>
      </c>
      <c r="G364" s="28"/>
      <c r="H364" s="28">
        <v>1.3</v>
      </c>
      <c r="I364" s="28"/>
      <c r="J364" s="133">
        <v>44699</v>
      </c>
      <c r="K364" s="10">
        <f t="shared" si="19"/>
        <v>325.28859999999997</v>
      </c>
      <c r="L364" s="10"/>
      <c r="M364" s="9"/>
      <c r="N364" s="9">
        <f>G364*H364*I364*E364</f>
        <v>0</v>
      </c>
      <c r="O364" s="3">
        <f>K364*1.6667</f>
        <v>542.15850962000002</v>
      </c>
    </row>
    <row r="365" spans="1:15" ht="18" customHeight="1">
      <c r="A365" s="21" t="s">
        <v>2534</v>
      </c>
      <c r="B365" s="28" t="s">
        <v>2532</v>
      </c>
      <c r="C365" s="28" t="s">
        <v>2535</v>
      </c>
      <c r="D365" s="28" t="s">
        <v>1983</v>
      </c>
      <c r="E365" s="28">
        <v>1.22</v>
      </c>
      <c r="F365" s="28">
        <v>275</v>
      </c>
      <c r="G365" s="28"/>
      <c r="H365" s="28">
        <v>1.3</v>
      </c>
      <c r="I365" s="28"/>
      <c r="J365" s="133">
        <v>44699</v>
      </c>
      <c r="K365" s="10">
        <f t="shared" si="19"/>
        <v>436.15000000000003</v>
      </c>
      <c r="L365" s="10"/>
      <c r="M365" s="9"/>
      <c r="N365" s="9">
        <f>G365*H365*I365*E365</f>
        <v>0</v>
      </c>
      <c r="O365" s="3">
        <f>K365*1.6667</f>
        <v>726.93120500000009</v>
      </c>
    </row>
    <row r="366" spans="1:15" ht="18" customHeight="1">
      <c r="A366" s="21" t="s">
        <v>3712</v>
      </c>
      <c r="B366" s="28" t="s">
        <v>2089</v>
      </c>
      <c r="C366" s="28"/>
      <c r="D366" s="28" t="s">
        <v>1905</v>
      </c>
      <c r="E366" s="28">
        <v>1.22</v>
      </c>
      <c r="F366" s="28">
        <v>300.81</v>
      </c>
      <c r="G366" s="28"/>
      <c r="H366" s="28">
        <v>1.35</v>
      </c>
      <c r="I366" s="28"/>
      <c r="J366" s="133">
        <v>45707</v>
      </c>
      <c r="K366" s="10">
        <f t="shared" si="19"/>
        <v>495.43407000000002</v>
      </c>
      <c r="L366" s="10"/>
      <c r="M366" s="9"/>
      <c r="N366" s="9">
        <f>G366*H366*I366*E366</f>
        <v>0</v>
      </c>
      <c r="O366" s="3">
        <f>K366*1.6667</f>
        <v>825.73996446900003</v>
      </c>
    </row>
    <row r="367" spans="1:15" ht="18" customHeight="1">
      <c r="A367" s="21" t="s">
        <v>3711</v>
      </c>
      <c r="B367" s="28" t="s">
        <v>2466</v>
      </c>
      <c r="C367" s="110"/>
      <c r="D367" s="28" t="s">
        <v>1905</v>
      </c>
      <c r="E367" s="28">
        <v>1.22</v>
      </c>
      <c r="F367" s="28">
        <v>468.85</v>
      </c>
      <c r="G367" s="110"/>
      <c r="H367" s="28">
        <v>1.35</v>
      </c>
      <c r="I367" s="110"/>
      <c r="J367" s="133">
        <v>45545</v>
      </c>
      <c r="K367" s="10">
        <f t="shared" si="19"/>
        <v>772.19595000000015</v>
      </c>
      <c r="L367" s="10"/>
      <c r="M367" s="9"/>
      <c r="N367" s="16"/>
      <c r="O367" s="16"/>
    </row>
    <row r="368" spans="1:15" ht="18" customHeight="1">
      <c r="A368" s="21" t="s">
        <v>4140</v>
      </c>
      <c r="B368" s="28" t="s">
        <v>592</v>
      </c>
      <c r="C368" s="28">
        <v>0</v>
      </c>
      <c r="D368" s="28" t="s">
        <v>3304</v>
      </c>
      <c r="E368" s="28">
        <v>1.22</v>
      </c>
      <c r="F368" s="28">
        <v>299.18</v>
      </c>
      <c r="G368" s="28"/>
      <c r="H368" s="28">
        <v>1.6</v>
      </c>
      <c r="I368" s="28"/>
      <c r="J368" s="133">
        <v>45946</v>
      </c>
      <c r="K368" s="10">
        <f t="shared" si="19"/>
        <v>583.99936000000002</v>
      </c>
      <c r="L368" s="10">
        <f>E368*F368*H368*G368</f>
        <v>0</v>
      </c>
      <c r="M368" s="9"/>
      <c r="N368" s="9">
        <f>G368*H368*I368*E368</f>
        <v>0</v>
      </c>
      <c r="O368" s="3">
        <f>L368*1.6667</f>
        <v>0</v>
      </c>
    </row>
    <row r="369" spans="1:15" ht="18" customHeight="1">
      <c r="A369" s="21" t="s">
        <v>3713</v>
      </c>
      <c r="B369" s="28" t="s">
        <v>592</v>
      </c>
      <c r="C369" s="28" t="s">
        <v>3140</v>
      </c>
      <c r="D369" s="28" t="s">
        <v>1905</v>
      </c>
      <c r="E369" s="28">
        <v>1.22</v>
      </c>
      <c r="F369" s="28">
        <v>299.18</v>
      </c>
      <c r="G369" s="28"/>
      <c r="H369" s="28">
        <v>1.35</v>
      </c>
      <c r="I369" s="28"/>
      <c r="J369" s="133">
        <v>45707</v>
      </c>
      <c r="K369" s="10">
        <f t="shared" si="19"/>
        <v>492.74946</v>
      </c>
      <c r="L369" s="10"/>
      <c r="M369" s="9"/>
      <c r="N369" s="9">
        <f>G369*H369*I369*E369</f>
        <v>0</v>
      </c>
      <c r="O369" s="3">
        <f>K369*1.6667</f>
        <v>821.26552498199999</v>
      </c>
    </row>
    <row r="370" spans="1:15" ht="18" customHeight="1">
      <c r="A370" s="16"/>
      <c r="B370" s="87" t="s">
        <v>3316</v>
      </c>
      <c r="C370" s="110"/>
      <c r="D370" s="110" t="s">
        <v>7</v>
      </c>
      <c r="E370" s="87">
        <v>1.22</v>
      </c>
      <c r="F370" s="87">
        <v>310</v>
      </c>
      <c r="G370" s="110"/>
      <c r="H370" s="87">
        <v>1.3</v>
      </c>
      <c r="I370" s="110"/>
      <c r="J370" s="135">
        <v>45294</v>
      </c>
      <c r="K370" s="10">
        <f t="shared" si="19"/>
        <v>491.66</v>
      </c>
      <c r="L370" s="63"/>
      <c r="M370" s="17"/>
      <c r="N370" s="16"/>
      <c r="O370" s="16"/>
    </row>
    <row r="371" spans="1:15" ht="18" customHeight="1">
      <c r="A371" s="21" t="s">
        <v>3139</v>
      </c>
      <c r="B371" s="28" t="s">
        <v>552</v>
      </c>
      <c r="C371" s="110"/>
      <c r="D371" s="28" t="s">
        <v>1905</v>
      </c>
      <c r="E371" s="28">
        <v>1.22</v>
      </c>
      <c r="F371" s="28">
        <v>394.26</v>
      </c>
      <c r="G371" s="110"/>
      <c r="H371" s="28">
        <v>1.35</v>
      </c>
      <c r="I371" s="110"/>
      <c r="J371" s="133">
        <v>45636</v>
      </c>
      <c r="K371" s="10">
        <f t="shared" si="19"/>
        <v>649.34622000000002</v>
      </c>
      <c r="L371" s="10"/>
      <c r="M371" s="9"/>
      <c r="N371" s="16"/>
      <c r="O371" s="16"/>
    </row>
    <row r="372" spans="1:15" ht="18" customHeight="1">
      <c r="A372" s="21" t="s">
        <v>3710</v>
      </c>
      <c r="B372" s="28" t="s">
        <v>710</v>
      </c>
      <c r="C372" s="110"/>
      <c r="D372" s="28" t="s">
        <v>1905</v>
      </c>
      <c r="E372" s="28">
        <v>1.22</v>
      </c>
      <c r="F372" s="28">
        <v>314.75</v>
      </c>
      <c r="G372" s="110"/>
      <c r="H372" s="28">
        <v>1.35</v>
      </c>
      <c r="I372" s="110"/>
      <c r="J372" s="133">
        <v>45707</v>
      </c>
      <c r="K372" s="10">
        <f t="shared" si="19"/>
        <v>518.39325000000008</v>
      </c>
      <c r="L372" s="10"/>
      <c r="M372" s="9"/>
      <c r="N372" s="16"/>
      <c r="O372" s="16"/>
    </row>
    <row r="373" spans="1:15" ht="18" customHeight="1">
      <c r="A373" s="16"/>
      <c r="B373" s="87" t="s">
        <v>3317</v>
      </c>
      <c r="C373" s="110"/>
      <c r="D373" s="110" t="s">
        <v>7</v>
      </c>
      <c r="E373" s="87">
        <v>1.22</v>
      </c>
      <c r="F373" s="87">
        <v>290</v>
      </c>
      <c r="G373" s="110"/>
      <c r="H373" s="87">
        <v>1.3</v>
      </c>
      <c r="I373" s="110"/>
      <c r="J373" s="135">
        <v>45294</v>
      </c>
      <c r="K373" s="10">
        <f t="shared" si="19"/>
        <v>459.94000000000005</v>
      </c>
      <c r="L373" s="63"/>
      <c r="M373" s="17"/>
      <c r="N373" s="16"/>
      <c r="O373" s="16"/>
    </row>
    <row r="374" spans="1:15" ht="18" customHeight="1">
      <c r="A374" s="16" t="s">
        <v>3782</v>
      </c>
      <c r="B374" s="87" t="s">
        <v>3783</v>
      </c>
      <c r="C374" s="110" t="s">
        <v>3784</v>
      </c>
      <c r="D374" s="28" t="s">
        <v>1983</v>
      </c>
      <c r="E374" s="87">
        <v>1.22</v>
      </c>
      <c r="F374" s="87">
        <v>32</v>
      </c>
      <c r="G374" s="110"/>
      <c r="H374" s="87">
        <v>1.8</v>
      </c>
      <c r="I374" s="110"/>
      <c r="J374" s="135">
        <v>45565</v>
      </c>
      <c r="K374" s="63">
        <f t="shared" si="19"/>
        <v>70.272000000000006</v>
      </c>
      <c r="L374" s="63"/>
      <c r="M374" s="17"/>
      <c r="N374" s="16"/>
      <c r="O374" s="16"/>
    </row>
    <row r="375" spans="1:15" ht="18" customHeight="1">
      <c r="A375" s="21" t="s">
        <v>4265</v>
      </c>
      <c r="B375" s="87" t="s">
        <v>4266</v>
      </c>
      <c r="C375" s="110" t="s">
        <v>4267</v>
      </c>
      <c r="D375" s="28" t="s">
        <v>1983</v>
      </c>
      <c r="E375" s="28">
        <v>1.22</v>
      </c>
      <c r="F375" s="87">
        <v>66</v>
      </c>
      <c r="G375" s="110"/>
      <c r="H375" s="87">
        <v>1.4</v>
      </c>
      <c r="I375" s="110"/>
      <c r="J375" s="135">
        <v>45808</v>
      </c>
      <c r="K375" s="63">
        <f t="shared" si="19"/>
        <v>112.72799999999998</v>
      </c>
      <c r="L375" s="63"/>
      <c r="M375" s="17"/>
      <c r="N375" s="16"/>
      <c r="O375" s="16"/>
    </row>
    <row r="376" spans="1:15" ht="18" customHeight="1">
      <c r="A376" s="16" t="s">
        <v>4378</v>
      </c>
      <c r="B376" s="87" t="s">
        <v>4379</v>
      </c>
      <c r="C376" s="110" t="s">
        <v>4380</v>
      </c>
      <c r="D376" s="28" t="s">
        <v>1921</v>
      </c>
      <c r="E376" s="28">
        <v>1.22</v>
      </c>
      <c r="F376" s="87">
        <v>29</v>
      </c>
      <c r="G376" s="110"/>
      <c r="H376" s="87">
        <v>1.8</v>
      </c>
      <c r="I376" s="110"/>
      <c r="J376" s="135">
        <v>45918</v>
      </c>
      <c r="K376" s="57">
        <f t="shared" si="19"/>
        <v>63.684000000000005</v>
      </c>
      <c r="L376" s="63"/>
      <c r="M376" s="17"/>
      <c r="N376" s="16"/>
      <c r="O376" s="16"/>
    </row>
    <row r="377" spans="1:15" ht="18" customHeight="1">
      <c r="A377" s="16" t="s">
        <v>4381</v>
      </c>
      <c r="B377" s="80" t="s">
        <v>4379</v>
      </c>
      <c r="C377" s="110">
        <v>39</v>
      </c>
      <c r="D377" s="28" t="s">
        <v>1921</v>
      </c>
      <c r="E377" s="28">
        <v>1.22</v>
      </c>
      <c r="F377" s="87">
        <v>49</v>
      </c>
      <c r="G377" s="110"/>
      <c r="H377" s="87">
        <v>1.8</v>
      </c>
      <c r="I377" s="110"/>
      <c r="J377" s="135">
        <v>45960</v>
      </c>
      <c r="K377" s="57">
        <f t="shared" si="19"/>
        <v>107.604</v>
      </c>
      <c r="L377" s="63"/>
      <c r="M377" s="17"/>
      <c r="N377" s="16"/>
      <c r="O377" s="16"/>
    </row>
    <row r="378" spans="1:15" ht="18" customHeight="1">
      <c r="A378" s="21" t="s">
        <v>4519</v>
      </c>
      <c r="B378" s="28" t="s">
        <v>4520</v>
      </c>
      <c r="C378" s="28">
        <v>0</v>
      </c>
      <c r="D378" s="28" t="s">
        <v>1983</v>
      </c>
      <c r="E378" s="28">
        <v>1.22</v>
      </c>
      <c r="F378" s="28">
        <v>56.09</v>
      </c>
      <c r="G378" s="28"/>
      <c r="H378" s="28">
        <v>1.8</v>
      </c>
      <c r="I378" s="28"/>
      <c r="J378" s="133">
        <v>45982</v>
      </c>
      <c r="K378" s="10">
        <f t="shared" ref="K378:K409" si="20">E378*F378*H378</f>
        <v>123.17364000000001</v>
      </c>
      <c r="L378" s="10"/>
      <c r="M378" s="9"/>
      <c r="N378" s="9">
        <f>G378*H378*I378*E378</f>
        <v>0</v>
      </c>
      <c r="O378" s="3">
        <f>K378*1.6667</f>
        <v>205.293505788</v>
      </c>
    </row>
    <row r="379" spans="1:15" ht="18" customHeight="1">
      <c r="A379" s="21" t="s">
        <v>2501</v>
      </c>
      <c r="B379" s="28" t="s">
        <v>2502</v>
      </c>
      <c r="C379" s="28" t="s">
        <v>2503</v>
      </c>
      <c r="D379" s="28" t="s">
        <v>1983</v>
      </c>
      <c r="E379" s="28">
        <v>1.22</v>
      </c>
      <c r="F379" s="28">
        <v>147</v>
      </c>
      <c r="G379" s="110"/>
      <c r="H379" s="28">
        <v>1.6</v>
      </c>
      <c r="I379" s="110"/>
      <c r="J379" s="135">
        <v>44657</v>
      </c>
      <c r="K379" s="10">
        <f t="shared" si="20"/>
        <v>286.94400000000002</v>
      </c>
      <c r="L379" s="10"/>
      <c r="M379" s="17"/>
      <c r="N379" s="16"/>
      <c r="O379" s="3">
        <f>K379*1.6667</f>
        <v>478.24956480000003</v>
      </c>
    </row>
    <row r="380" spans="1:15" ht="18" customHeight="1">
      <c r="A380" s="21">
        <v>2</v>
      </c>
      <c r="B380" s="28" t="s">
        <v>1654</v>
      </c>
      <c r="C380" s="28" t="s">
        <v>65</v>
      </c>
      <c r="D380" s="28" t="s">
        <v>1983</v>
      </c>
      <c r="E380" s="28">
        <v>1.22</v>
      </c>
      <c r="F380" s="28">
        <v>37.83</v>
      </c>
      <c r="G380" s="28"/>
      <c r="H380" s="28">
        <v>1.6</v>
      </c>
      <c r="I380" s="28"/>
      <c r="J380" s="133">
        <v>43955</v>
      </c>
      <c r="K380" s="10">
        <f t="shared" si="20"/>
        <v>73.844160000000002</v>
      </c>
      <c r="L380" s="10"/>
      <c r="M380" s="9"/>
      <c r="N380" s="9">
        <f>G380*H380*I380*E380</f>
        <v>0</v>
      </c>
      <c r="O380" s="3">
        <f>K380*1.6667</f>
        <v>123.07606147200001</v>
      </c>
    </row>
    <row r="381" spans="1:15" ht="18" customHeight="1">
      <c r="A381" s="21" t="s">
        <v>4444</v>
      </c>
      <c r="B381" s="28" t="s">
        <v>4445</v>
      </c>
      <c r="C381" s="111" t="s">
        <v>4446</v>
      </c>
      <c r="D381" s="28" t="s">
        <v>1921</v>
      </c>
      <c r="E381" s="28">
        <v>1.22</v>
      </c>
      <c r="F381" s="28">
        <v>89</v>
      </c>
      <c r="G381" s="28"/>
      <c r="H381" s="28">
        <v>1.8</v>
      </c>
      <c r="I381" s="28"/>
      <c r="J381" s="133">
        <v>45960</v>
      </c>
      <c r="K381" s="10">
        <f t="shared" si="20"/>
        <v>195.44399999999999</v>
      </c>
      <c r="L381" s="10"/>
      <c r="M381" s="9"/>
      <c r="N381" s="9">
        <f>G381*H381*I381*E381</f>
        <v>0</v>
      </c>
      <c r="O381" s="3">
        <f>K381*1.6667</f>
        <v>325.7465148</v>
      </c>
    </row>
    <row r="382" spans="1:15" ht="18" customHeight="1">
      <c r="A382" s="22" t="s">
        <v>2432</v>
      </c>
      <c r="B382" s="28" t="s">
        <v>2433</v>
      </c>
      <c r="C382" s="81" t="s">
        <v>2434</v>
      </c>
      <c r="D382" s="28" t="s">
        <v>1983</v>
      </c>
      <c r="E382" s="28">
        <v>1.22</v>
      </c>
      <c r="F382" s="28">
        <v>209</v>
      </c>
      <c r="G382" s="81"/>
      <c r="H382" s="28">
        <v>1.6</v>
      </c>
      <c r="I382" s="81"/>
      <c r="J382" s="133">
        <v>44608</v>
      </c>
      <c r="K382" s="10">
        <f t="shared" si="20"/>
        <v>407.96800000000002</v>
      </c>
      <c r="L382" s="10"/>
      <c r="M382" s="9"/>
      <c r="N382" s="9">
        <f>G382*H382*I382*E382</f>
        <v>0</v>
      </c>
      <c r="O382" s="3">
        <f>K382*1.6667</f>
        <v>679.96026560000007</v>
      </c>
    </row>
    <row r="383" spans="1:15" ht="18" customHeight="1">
      <c r="A383" s="46" t="s">
        <v>4391</v>
      </c>
      <c r="B383" s="80" t="s">
        <v>4393</v>
      </c>
      <c r="C383" s="79" t="s">
        <v>4392</v>
      </c>
      <c r="D383" s="28" t="s">
        <v>1983</v>
      </c>
      <c r="E383" s="28">
        <v>1.22</v>
      </c>
      <c r="F383" s="80">
        <v>279</v>
      </c>
      <c r="G383" s="113"/>
      <c r="H383" s="28">
        <v>1.4</v>
      </c>
      <c r="I383" s="113"/>
      <c r="J383" s="134">
        <v>45898</v>
      </c>
      <c r="K383" s="10">
        <f t="shared" si="20"/>
        <v>476.53199999999998</v>
      </c>
      <c r="L383" s="10"/>
      <c r="M383" s="17"/>
      <c r="N383" s="44"/>
      <c r="O383" s="44"/>
    </row>
    <row r="384" spans="1:15" ht="18" customHeight="1">
      <c r="A384" s="46" t="s">
        <v>4394</v>
      </c>
      <c r="B384" s="80" t="s">
        <v>4395</v>
      </c>
      <c r="C384" s="79" t="s">
        <v>4396</v>
      </c>
      <c r="D384" s="28" t="s">
        <v>1983</v>
      </c>
      <c r="E384" s="28">
        <v>1.22</v>
      </c>
      <c r="F384" s="80">
        <v>413</v>
      </c>
      <c r="G384" s="113"/>
      <c r="H384" s="28">
        <v>1.4</v>
      </c>
      <c r="I384" s="113"/>
      <c r="J384" s="134">
        <v>45929</v>
      </c>
      <c r="K384" s="10">
        <f t="shared" si="20"/>
        <v>705.404</v>
      </c>
      <c r="L384" s="10"/>
      <c r="M384" s="17"/>
      <c r="N384" s="44"/>
      <c r="O384" s="44"/>
    </row>
    <row r="385" spans="1:15" ht="18" customHeight="1">
      <c r="A385" s="21" t="s">
        <v>3788</v>
      </c>
      <c r="B385" s="87" t="s">
        <v>3789</v>
      </c>
      <c r="C385" s="110" t="s">
        <v>3790</v>
      </c>
      <c r="D385" s="110" t="s">
        <v>1983</v>
      </c>
      <c r="E385" s="87">
        <v>1.22</v>
      </c>
      <c r="F385" s="87">
        <v>69</v>
      </c>
      <c r="G385" s="110"/>
      <c r="H385" s="87">
        <v>1.8</v>
      </c>
      <c r="I385" s="110"/>
      <c r="J385" s="135">
        <v>45565</v>
      </c>
      <c r="K385" s="63">
        <f t="shared" si="20"/>
        <v>151.524</v>
      </c>
      <c r="L385" s="63"/>
      <c r="M385" s="17"/>
      <c r="N385" s="16"/>
      <c r="O385" s="16"/>
    </row>
    <row r="386" spans="1:15" ht="18" customHeight="1">
      <c r="A386" s="21" t="s">
        <v>2988</v>
      </c>
      <c r="B386" s="28" t="s">
        <v>2989</v>
      </c>
      <c r="C386" s="28"/>
      <c r="D386" s="28" t="s">
        <v>1983</v>
      </c>
      <c r="E386" s="28">
        <v>1.22</v>
      </c>
      <c r="F386" s="28">
        <v>50</v>
      </c>
      <c r="G386" s="28"/>
      <c r="H386" s="28">
        <v>1.8</v>
      </c>
      <c r="I386" s="28"/>
      <c r="J386" s="133">
        <v>45026</v>
      </c>
      <c r="K386" s="10">
        <f t="shared" si="20"/>
        <v>109.8</v>
      </c>
      <c r="L386" s="10"/>
      <c r="M386" s="9"/>
      <c r="N386" s="9"/>
      <c r="O386" s="3"/>
    </row>
    <row r="387" spans="1:15" ht="18" customHeight="1">
      <c r="A387" s="21" t="s">
        <v>3653</v>
      </c>
      <c r="B387" s="28" t="s">
        <v>3654</v>
      </c>
      <c r="C387" s="28" t="s">
        <v>15</v>
      </c>
      <c r="D387" s="28" t="s">
        <v>1983</v>
      </c>
      <c r="E387" s="28">
        <v>1.22</v>
      </c>
      <c r="F387" s="28">
        <v>71.25</v>
      </c>
      <c r="G387" s="28"/>
      <c r="H387" s="28">
        <v>1.6</v>
      </c>
      <c r="I387" s="28"/>
      <c r="J387" s="133">
        <v>45565</v>
      </c>
      <c r="K387" s="10">
        <f t="shared" si="20"/>
        <v>139.08000000000001</v>
      </c>
      <c r="L387" s="10"/>
      <c r="M387" s="9"/>
      <c r="N387" s="9">
        <f>G387*H387*I387*E387</f>
        <v>0</v>
      </c>
      <c r="O387" s="3">
        <f>K387*1.6667</f>
        <v>231.80463600000004</v>
      </c>
    </row>
    <row r="388" spans="1:15" ht="18" customHeight="1">
      <c r="A388" s="44"/>
      <c r="B388" s="80" t="s">
        <v>1825</v>
      </c>
      <c r="C388" s="79" t="s">
        <v>22</v>
      </c>
      <c r="D388" s="28" t="s">
        <v>3303</v>
      </c>
      <c r="E388" s="80">
        <v>1</v>
      </c>
      <c r="F388" s="80">
        <v>50</v>
      </c>
      <c r="G388" s="113"/>
      <c r="H388" s="80">
        <v>1.8</v>
      </c>
      <c r="I388" s="113"/>
      <c r="J388" s="134">
        <v>46013</v>
      </c>
      <c r="K388" s="10">
        <f t="shared" si="20"/>
        <v>90</v>
      </c>
      <c r="L388" s="10"/>
      <c r="M388" s="17"/>
      <c r="N388" s="44"/>
      <c r="O388" s="44"/>
    </row>
    <row r="389" spans="1:15" ht="18" customHeight="1">
      <c r="A389" s="46"/>
      <c r="B389" s="80" t="s">
        <v>1825</v>
      </c>
      <c r="C389" s="79" t="s">
        <v>98</v>
      </c>
      <c r="D389" s="28" t="s">
        <v>3303</v>
      </c>
      <c r="E389" s="80">
        <v>1</v>
      </c>
      <c r="F389" s="80">
        <v>1250</v>
      </c>
      <c r="G389" s="79"/>
      <c r="H389" s="80">
        <v>1.6</v>
      </c>
      <c r="I389" s="79"/>
      <c r="J389" s="134">
        <v>46013</v>
      </c>
      <c r="K389" s="10">
        <f t="shared" si="20"/>
        <v>2000</v>
      </c>
      <c r="L389" s="10"/>
      <c r="M389" s="46"/>
      <c r="N389" s="46"/>
      <c r="O389" s="46"/>
    </row>
    <row r="390" spans="1:15" ht="18" customHeight="1">
      <c r="A390" s="21" t="s">
        <v>2539</v>
      </c>
      <c r="B390" s="28" t="s">
        <v>2540</v>
      </c>
      <c r="C390" s="28" t="s">
        <v>1356</v>
      </c>
      <c r="D390" s="28" t="s">
        <v>1983</v>
      </c>
      <c r="E390" s="28">
        <v>1.22</v>
      </c>
      <c r="F390" s="28">
        <v>65</v>
      </c>
      <c r="G390" s="28"/>
      <c r="H390" s="28">
        <v>1.6</v>
      </c>
      <c r="I390" s="28"/>
      <c r="J390" s="133">
        <v>44699</v>
      </c>
      <c r="K390" s="10">
        <f t="shared" si="20"/>
        <v>126.88</v>
      </c>
      <c r="L390" s="10"/>
      <c r="M390" s="9"/>
      <c r="N390" s="9">
        <f>G390*H390*I390*E390</f>
        <v>0</v>
      </c>
      <c r="O390" s="3">
        <f>K390*1.6667</f>
        <v>211.47089600000001</v>
      </c>
    </row>
    <row r="391" spans="1:15" ht="18" customHeight="1">
      <c r="A391" s="21">
        <v>2029</v>
      </c>
      <c r="B391" s="28" t="s">
        <v>3897</v>
      </c>
      <c r="C391" s="28">
        <v>0</v>
      </c>
      <c r="D391" s="28" t="s">
        <v>451</v>
      </c>
      <c r="E391" s="28">
        <v>1.22</v>
      </c>
      <c r="F391" s="28">
        <v>150</v>
      </c>
      <c r="G391" s="28">
        <v>0</v>
      </c>
      <c r="H391" s="28">
        <v>1.4</v>
      </c>
      <c r="I391" s="28">
        <v>0</v>
      </c>
      <c r="J391" s="133">
        <v>45653</v>
      </c>
      <c r="K391" s="10">
        <f t="shared" si="20"/>
        <v>256.2</v>
      </c>
      <c r="L391" s="10"/>
      <c r="M391" s="9"/>
      <c r="N391" s="9">
        <f>G391*H391*I391*E391</f>
        <v>0</v>
      </c>
      <c r="O391" s="3">
        <f>K391*1.6667</f>
        <v>427.00853999999998</v>
      </c>
    </row>
    <row r="392" spans="1:15" ht="18" customHeight="1">
      <c r="A392" s="46" t="s">
        <v>2512</v>
      </c>
      <c r="B392" s="83" t="s">
        <v>2509</v>
      </c>
      <c r="C392" s="110" t="s">
        <v>2513</v>
      </c>
      <c r="D392" s="28" t="s">
        <v>1983</v>
      </c>
      <c r="E392" s="28">
        <v>1.22</v>
      </c>
      <c r="F392" s="83">
        <v>98</v>
      </c>
      <c r="G392" s="110"/>
      <c r="H392" s="28">
        <v>1.4</v>
      </c>
      <c r="I392" s="110"/>
      <c r="J392" s="134">
        <v>44676</v>
      </c>
      <c r="K392" s="63">
        <f t="shared" si="20"/>
        <v>167.38399999999999</v>
      </c>
      <c r="L392" s="63"/>
      <c r="M392" s="17"/>
      <c r="N392" s="16"/>
      <c r="O392" s="16"/>
    </row>
    <row r="393" spans="1:15" ht="18" customHeight="1">
      <c r="A393" s="21" t="s">
        <v>2398</v>
      </c>
      <c r="B393" s="28" t="s">
        <v>2399</v>
      </c>
      <c r="C393" s="28" t="s">
        <v>688</v>
      </c>
      <c r="D393" s="28" t="s">
        <v>1983</v>
      </c>
      <c r="E393" s="28">
        <v>1.22</v>
      </c>
      <c r="F393" s="28">
        <v>266.81</v>
      </c>
      <c r="G393" s="28"/>
      <c r="H393" s="28">
        <v>1.6</v>
      </c>
      <c r="I393" s="28"/>
      <c r="J393" s="133">
        <v>44560</v>
      </c>
      <c r="K393" s="10">
        <f t="shared" si="20"/>
        <v>520.81312000000003</v>
      </c>
      <c r="L393" s="10"/>
      <c r="M393" s="9"/>
      <c r="N393" s="9"/>
      <c r="O393" s="3">
        <f>K393*1.6667</f>
        <v>868.03922710400013</v>
      </c>
    </row>
    <row r="394" spans="1:15" ht="18" customHeight="1">
      <c r="A394" s="21" t="s">
        <v>1968</v>
      </c>
      <c r="B394" s="28" t="s">
        <v>1967</v>
      </c>
      <c r="C394" s="28"/>
      <c r="D394" s="28" t="s">
        <v>1983</v>
      </c>
      <c r="E394" s="28">
        <v>1.22</v>
      </c>
      <c r="F394" s="28">
        <v>80</v>
      </c>
      <c r="G394" s="28"/>
      <c r="H394" s="28">
        <v>1.6</v>
      </c>
      <c r="I394" s="28"/>
      <c r="J394" s="131">
        <v>44560</v>
      </c>
      <c r="K394" s="10">
        <f t="shared" si="20"/>
        <v>156.16</v>
      </c>
      <c r="L394" s="10"/>
      <c r="M394" s="9"/>
      <c r="N394" s="9"/>
      <c r="O394" s="3">
        <f>K394*1.6667</f>
        <v>260.27187200000003</v>
      </c>
    </row>
    <row r="395" spans="1:15" ht="18" customHeight="1">
      <c r="A395" s="16" t="s">
        <v>3248</v>
      </c>
      <c r="B395" s="87" t="s">
        <v>3870</v>
      </c>
      <c r="C395" s="110"/>
      <c r="D395" s="28" t="s">
        <v>3297</v>
      </c>
      <c r="E395" s="87">
        <v>1.22</v>
      </c>
      <c r="F395" s="87">
        <v>345</v>
      </c>
      <c r="G395" s="110"/>
      <c r="H395" s="87">
        <v>1.6</v>
      </c>
      <c r="I395" s="110"/>
      <c r="J395" s="142">
        <v>45588</v>
      </c>
      <c r="K395" s="10">
        <f t="shared" si="20"/>
        <v>673.44</v>
      </c>
      <c r="L395" s="63"/>
      <c r="M395" s="17"/>
      <c r="N395" s="16"/>
      <c r="O395" s="16"/>
    </row>
    <row r="396" spans="1:15" ht="18" customHeight="1">
      <c r="A396" s="21" t="s">
        <v>3248</v>
      </c>
      <c r="B396" s="87" t="s">
        <v>3249</v>
      </c>
      <c r="C396" s="110"/>
      <c r="D396" s="28" t="s">
        <v>1983</v>
      </c>
      <c r="E396" s="87">
        <v>1.22</v>
      </c>
      <c r="F396" s="87">
        <v>438.35</v>
      </c>
      <c r="G396" s="110"/>
      <c r="H396" s="87">
        <v>1.3</v>
      </c>
      <c r="I396" s="110"/>
      <c r="J396" s="142">
        <v>45251</v>
      </c>
      <c r="K396" s="10">
        <f t="shared" si="20"/>
        <v>695.22310000000004</v>
      </c>
      <c r="L396" s="63"/>
      <c r="M396" s="17"/>
      <c r="N396" s="16"/>
      <c r="O396" s="16"/>
    </row>
    <row r="397" spans="1:15" ht="18" customHeight="1">
      <c r="A397" s="16" t="s">
        <v>4257</v>
      </c>
      <c r="B397" s="87" t="s">
        <v>4259</v>
      </c>
      <c r="C397" s="110" t="s">
        <v>4260</v>
      </c>
      <c r="D397" s="28" t="s">
        <v>1983</v>
      </c>
      <c r="E397" s="28">
        <v>1.22</v>
      </c>
      <c r="F397" s="87">
        <v>81</v>
      </c>
      <c r="G397" s="110"/>
      <c r="H397" s="87">
        <v>1.3</v>
      </c>
      <c r="I397" s="110"/>
      <c r="J397" s="142">
        <v>45807</v>
      </c>
      <c r="K397" s="63">
        <f t="shared" si="20"/>
        <v>128.46600000000001</v>
      </c>
      <c r="L397" s="63"/>
      <c r="M397" s="17"/>
      <c r="N397" s="16"/>
      <c r="O397" s="16"/>
    </row>
    <row r="398" spans="1:15" ht="18" customHeight="1">
      <c r="A398" s="16" t="s">
        <v>4258</v>
      </c>
      <c r="B398" s="87" t="s">
        <v>4259</v>
      </c>
      <c r="C398" s="110" t="s">
        <v>4261</v>
      </c>
      <c r="D398" s="28" t="s">
        <v>1983</v>
      </c>
      <c r="E398" s="28">
        <v>1.22</v>
      </c>
      <c r="F398" s="87">
        <v>109</v>
      </c>
      <c r="G398" s="110"/>
      <c r="H398" s="87">
        <v>1.3</v>
      </c>
      <c r="I398" s="110"/>
      <c r="J398" s="142">
        <v>45807</v>
      </c>
      <c r="K398" s="63">
        <f t="shared" si="20"/>
        <v>172.874</v>
      </c>
      <c r="L398" s="63"/>
      <c r="M398" s="17"/>
      <c r="N398" s="16"/>
      <c r="O398" s="16"/>
    </row>
    <row r="399" spans="1:15" ht="18" customHeight="1">
      <c r="A399" s="21" t="s">
        <v>2419</v>
      </c>
      <c r="B399" s="28" t="s">
        <v>2420</v>
      </c>
      <c r="C399" s="28" t="s">
        <v>15</v>
      </c>
      <c r="D399" s="28" t="s">
        <v>1983</v>
      </c>
      <c r="E399" s="28">
        <v>1.22</v>
      </c>
      <c r="F399" s="28">
        <v>73.2</v>
      </c>
      <c r="G399" s="28"/>
      <c r="H399" s="28">
        <v>1.6</v>
      </c>
      <c r="I399" s="28"/>
      <c r="J399" s="131">
        <v>44613</v>
      </c>
      <c r="K399" s="10">
        <f t="shared" si="20"/>
        <v>142.88640000000001</v>
      </c>
      <c r="L399" s="10"/>
      <c r="M399" s="9"/>
      <c r="N399" s="9"/>
      <c r="O399" s="3"/>
    </row>
    <row r="400" spans="1:15" ht="18" customHeight="1">
      <c r="A400" s="16" t="s">
        <v>2511</v>
      </c>
      <c r="B400" s="28" t="s">
        <v>1984</v>
      </c>
      <c r="C400" s="79" t="s">
        <v>644</v>
      </c>
      <c r="D400" s="28" t="s">
        <v>1983</v>
      </c>
      <c r="E400" s="28">
        <v>1.22</v>
      </c>
      <c r="F400" s="80">
        <v>65</v>
      </c>
      <c r="G400" s="110"/>
      <c r="H400" s="28">
        <v>1.8</v>
      </c>
      <c r="I400" s="110"/>
      <c r="J400" s="142">
        <v>45450</v>
      </c>
      <c r="K400" s="10">
        <f t="shared" si="20"/>
        <v>142.74</v>
      </c>
      <c r="L400" s="10"/>
      <c r="M400" s="17"/>
      <c r="N400" s="16"/>
      <c r="O400" s="16"/>
    </row>
    <row r="401" spans="1:15" ht="18" customHeight="1">
      <c r="A401" s="46" t="s">
        <v>2508</v>
      </c>
      <c r="B401" s="28" t="s">
        <v>1984</v>
      </c>
      <c r="C401" s="79" t="s">
        <v>2510</v>
      </c>
      <c r="D401" s="28" t="s">
        <v>1983</v>
      </c>
      <c r="E401" s="28">
        <v>1.22</v>
      </c>
      <c r="F401" s="80">
        <v>47.01</v>
      </c>
      <c r="G401" s="110"/>
      <c r="H401" s="28">
        <v>1.8</v>
      </c>
      <c r="I401" s="110"/>
      <c r="J401" s="132">
        <v>45450</v>
      </c>
      <c r="K401" s="10">
        <f t="shared" si="20"/>
        <v>103.23396</v>
      </c>
      <c r="L401" s="10"/>
      <c r="M401" s="17"/>
      <c r="N401" s="16"/>
      <c r="O401" s="16"/>
    </row>
    <row r="402" spans="1:15" ht="18" customHeight="1">
      <c r="A402" s="21" t="s">
        <v>2538</v>
      </c>
      <c r="B402" s="28" t="s">
        <v>2536</v>
      </c>
      <c r="C402" s="28" t="s">
        <v>2537</v>
      </c>
      <c r="D402" s="28" t="s">
        <v>1983</v>
      </c>
      <c r="E402" s="28">
        <v>1.22</v>
      </c>
      <c r="F402" s="28">
        <v>122</v>
      </c>
      <c r="G402" s="28"/>
      <c r="H402" s="28">
        <v>1.3</v>
      </c>
      <c r="I402" s="28"/>
      <c r="J402" s="133">
        <v>44699</v>
      </c>
      <c r="K402" s="10">
        <f t="shared" si="20"/>
        <v>193.49200000000002</v>
      </c>
      <c r="L402" s="10"/>
      <c r="M402" s="9"/>
      <c r="N402" s="9">
        <f>G402*H402*I402*E402</f>
        <v>0</v>
      </c>
      <c r="O402" s="3">
        <f>K402*1.6667</f>
        <v>322.49311640000002</v>
      </c>
    </row>
    <row r="403" spans="1:15" ht="18" customHeight="1">
      <c r="A403" s="21" t="s">
        <v>2539</v>
      </c>
      <c r="B403" s="87" t="s">
        <v>2536</v>
      </c>
      <c r="C403" s="110" t="s">
        <v>1356</v>
      </c>
      <c r="D403" s="28" t="s">
        <v>1983</v>
      </c>
      <c r="E403" s="28">
        <v>1.22</v>
      </c>
      <c r="F403" s="87">
        <v>55</v>
      </c>
      <c r="G403" s="110"/>
      <c r="H403" s="87">
        <v>2</v>
      </c>
      <c r="I403" s="110"/>
      <c r="J403" s="135">
        <v>45450</v>
      </c>
      <c r="K403" s="63">
        <f t="shared" si="20"/>
        <v>134.19999999999999</v>
      </c>
      <c r="L403" s="63"/>
      <c r="M403" s="17"/>
      <c r="N403" s="16"/>
      <c r="O403" s="16"/>
    </row>
    <row r="404" spans="1:15" ht="18" customHeight="1">
      <c r="A404" s="28" t="s">
        <v>3533</v>
      </c>
      <c r="B404" s="80" t="s">
        <v>3534</v>
      </c>
      <c r="C404" s="79" t="s">
        <v>3535</v>
      </c>
      <c r="D404" s="28" t="s">
        <v>1983</v>
      </c>
      <c r="E404" s="28">
        <v>1.22</v>
      </c>
      <c r="F404" s="80">
        <v>179</v>
      </c>
      <c r="G404" s="79"/>
      <c r="H404" s="80">
        <v>1.8</v>
      </c>
      <c r="I404" s="79"/>
      <c r="J404" s="134">
        <v>45450</v>
      </c>
      <c r="K404" s="214">
        <f t="shared" si="20"/>
        <v>393.084</v>
      </c>
      <c r="L404" s="63"/>
      <c r="M404" s="17"/>
      <c r="N404" s="16"/>
      <c r="O404" s="16"/>
    </row>
    <row r="405" spans="1:15" ht="18" customHeight="1">
      <c r="A405" s="21">
        <v>476</v>
      </c>
      <c r="B405" s="28" t="s">
        <v>73</v>
      </c>
      <c r="C405" s="28" t="s">
        <v>72</v>
      </c>
      <c r="D405" s="28" t="s">
        <v>1983</v>
      </c>
      <c r="E405" s="28">
        <v>1.22</v>
      </c>
      <c r="F405" s="28">
        <v>43.07</v>
      </c>
      <c r="G405" s="28"/>
      <c r="H405" s="28">
        <v>1.8</v>
      </c>
      <c r="I405" s="28"/>
      <c r="J405" s="28"/>
      <c r="K405" s="10">
        <f t="shared" si="20"/>
        <v>94.581720000000004</v>
      </c>
      <c r="L405" s="10"/>
      <c r="M405" s="9"/>
      <c r="N405" s="9">
        <f>G405*H405*I405*E405</f>
        <v>0</v>
      </c>
      <c r="O405" s="3">
        <f>K405*1.6667</f>
        <v>157.63935272400002</v>
      </c>
    </row>
    <row r="406" spans="1:15" ht="18" customHeight="1">
      <c r="A406" s="46" t="s">
        <v>4526</v>
      </c>
      <c r="B406" s="80" t="s">
        <v>4527</v>
      </c>
      <c r="C406" s="79" t="s">
        <v>4528</v>
      </c>
      <c r="D406" s="28" t="s">
        <v>1983</v>
      </c>
      <c r="E406" s="28">
        <v>1.22</v>
      </c>
      <c r="F406" s="80">
        <v>98</v>
      </c>
      <c r="G406" s="110"/>
      <c r="H406" s="28">
        <v>1.6</v>
      </c>
      <c r="I406" s="110"/>
      <c r="J406" s="135">
        <v>45982</v>
      </c>
      <c r="K406" s="10">
        <f t="shared" si="20"/>
        <v>191.29600000000002</v>
      </c>
      <c r="L406" s="10"/>
      <c r="M406" s="17"/>
      <c r="N406" s="16"/>
      <c r="O406" s="16"/>
    </row>
    <row r="407" spans="1:15" ht="18" customHeight="1">
      <c r="A407" s="21" t="s">
        <v>3536</v>
      </c>
      <c r="B407" s="87" t="s">
        <v>3537</v>
      </c>
      <c r="C407" s="110" t="s">
        <v>3538</v>
      </c>
      <c r="D407" s="28" t="s">
        <v>1983</v>
      </c>
      <c r="E407" s="28">
        <v>1.22</v>
      </c>
      <c r="F407" s="87">
        <v>25</v>
      </c>
      <c r="G407" s="110"/>
      <c r="H407" s="87">
        <v>2</v>
      </c>
      <c r="I407" s="110"/>
      <c r="J407" s="135">
        <v>45450</v>
      </c>
      <c r="K407" s="63">
        <f t="shared" si="20"/>
        <v>61</v>
      </c>
      <c r="L407" s="63"/>
      <c r="M407" s="17"/>
      <c r="N407" s="16"/>
      <c r="O407" s="16"/>
    </row>
    <row r="408" spans="1:15" ht="18" customHeight="1">
      <c r="A408" s="21" t="s">
        <v>1707</v>
      </c>
      <c r="B408" s="28" t="s">
        <v>1708</v>
      </c>
      <c r="C408" s="28" t="s">
        <v>15</v>
      </c>
      <c r="D408" s="28" t="s">
        <v>1983</v>
      </c>
      <c r="E408" s="28">
        <v>1.22</v>
      </c>
      <c r="F408" s="28">
        <v>177.87</v>
      </c>
      <c r="G408" s="28"/>
      <c r="H408" s="28">
        <v>1.6</v>
      </c>
      <c r="I408" s="28"/>
      <c r="J408" s="133">
        <v>44560</v>
      </c>
      <c r="K408" s="10">
        <f t="shared" si="20"/>
        <v>347.20224000000002</v>
      </c>
      <c r="L408" s="10"/>
      <c r="M408" s="9"/>
      <c r="N408" s="9">
        <f t="shared" ref="N408:N414" si="21">G408*H408*I408*E408</f>
        <v>0</v>
      </c>
      <c r="O408" s="3">
        <f t="shared" ref="O408:O414" si="22">K408*1.6667</f>
        <v>578.68197340800009</v>
      </c>
    </row>
    <row r="409" spans="1:15" ht="18" customHeight="1">
      <c r="A409" s="21">
        <v>1583</v>
      </c>
      <c r="B409" s="28" t="s">
        <v>74</v>
      </c>
      <c r="C409" s="28"/>
      <c r="D409" s="28" t="s">
        <v>1983</v>
      </c>
      <c r="E409" s="28">
        <v>1.22</v>
      </c>
      <c r="F409" s="28">
        <v>91.22</v>
      </c>
      <c r="G409" s="28"/>
      <c r="H409" s="28">
        <v>1.8</v>
      </c>
      <c r="I409" s="28"/>
      <c r="J409" s="28"/>
      <c r="K409" s="10">
        <f t="shared" si="20"/>
        <v>200.31912</v>
      </c>
      <c r="L409" s="10"/>
      <c r="M409" s="9"/>
      <c r="N409" s="9">
        <f t="shared" si="21"/>
        <v>0</v>
      </c>
      <c r="O409" s="3">
        <f t="shared" si="22"/>
        <v>333.87187730400001</v>
      </c>
    </row>
    <row r="410" spans="1:15" ht="18" customHeight="1">
      <c r="A410" s="21" t="s">
        <v>2227</v>
      </c>
      <c r="B410" s="28" t="s">
        <v>2228</v>
      </c>
      <c r="C410" s="28" t="s">
        <v>15</v>
      </c>
      <c r="D410" s="28" t="s">
        <v>3297</v>
      </c>
      <c r="E410" s="28">
        <v>1.22</v>
      </c>
      <c r="F410" s="28">
        <v>47.92</v>
      </c>
      <c r="G410" s="28"/>
      <c r="H410" s="28">
        <v>1.6</v>
      </c>
      <c r="I410" s="28"/>
      <c r="J410" s="133">
        <v>44424</v>
      </c>
      <c r="K410" s="10">
        <f t="shared" ref="K410:K415" si="23">E410*F410*H410</f>
        <v>93.539840000000012</v>
      </c>
      <c r="L410" s="10"/>
      <c r="M410" s="9"/>
      <c r="N410" s="9">
        <f t="shared" si="21"/>
        <v>0</v>
      </c>
      <c r="O410" s="3">
        <f t="shared" si="22"/>
        <v>155.90285132800003</v>
      </c>
    </row>
    <row r="411" spans="1:15" ht="18" customHeight="1">
      <c r="A411" s="16" t="s">
        <v>3769</v>
      </c>
      <c r="B411" s="28" t="s">
        <v>3770</v>
      </c>
      <c r="C411" s="110">
        <v>0</v>
      </c>
      <c r="D411" s="28" t="s">
        <v>3297</v>
      </c>
      <c r="E411" s="28">
        <v>1.22</v>
      </c>
      <c r="F411" s="28">
        <v>67.366</v>
      </c>
      <c r="G411" s="110"/>
      <c r="H411" s="28">
        <v>1.8</v>
      </c>
      <c r="I411" s="110"/>
      <c r="J411" s="135">
        <v>45561</v>
      </c>
      <c r="K411" s="57">
        <f t="shared" si="23"/>
        <v>147.93573600000002</v>
      </c>
      <c r="L411" s="57"/>
      <c r="M411" s="17"/>
      <c r="N411" s="9">
        <f t="shared" si="21"/>
        <v>0</v>
      </c>
      <c r="O411" s="3">
        <f t="shared" si="22"/>
        <v>246.56449119120003</v>
      </c>
    </row>
    <row r="412" spans="1:15" ht="18" hidden="1" customHeight="1">
      <c r="A412" s="21">
        <v>1540</v>
      </c>
      <c r="B412" s="28" t="s">
        <v>1288</v>
      </c>
      <c r="C412" s="28" t="s">
        <v>1287</v>
      </c>
      <c r="D412" s="28" t="s">
        <v>1983</v>
      </c>
      <c r="E412" s="28">
        <v>1.22</v>
      </c>
      <c r="F412" s="28">
        <v>37.869999999999997</v>
      </c>
      <c r="G412" s="28"/>
      <c r="H412" s="28">
        <v>1.8</v>
      </c>
      <c r="I412" s="28"/>
      <c r="J412" s="133">
        <v>43612</v>
      </c>
      <c r="K412" s="10">
        <f t="shared" si="23"/>
        <v>83.162519999999986</v>
      </c>
      <c r="L412" s="10"/>
      <c r="M412" s="9"/>
      <c r="N412" s="9">
        <f t="shared" si="21"/>
        <v>0</v>
      </c>
      <c r="O412" s="3">
        <f t="shared" si="22"/>
        <v>138.60697208399998</v>
      </c>
    </row>
    <row r="413" spans="1:15" ht="18" customHeight="1">
      <c r="A413" s="22"/>
      <c r="B413" s="28" t="s">
        <v>1914</v>
      </c>
      <c r="C413" s="28" t="s">
        <v>477</v>
      </c>
      <c r="D413" s="28" t="s">
        <v>451</v>
      </c>
      <c r="E413" s="28">
        <v>1.22</v>
      </c>
      <c r="F413" s="28">
        <v>150</v>
      </c>
      <c r="G413" s="28"/>
      <c r="H413" s="28">
        <v>1.5</v>
      </c>
      <c r="I413" s="28"/>
      <c r="J413" s="133">
        <v>45981</v>
      </c>
      <c r="K413" s="10">
        <f t="shared" si="23"/>
        <v>274.5</v>
      </c>
      <c r="L413" s="10"/>
      <c r="M413" s="9"/>
      <c r="N413" s="9">
        <f t="shared" si="21"/>
        <v>0</v>
      </c>
      <c r="O413" s="3">
        <f t="shared" si="22"/>
        <v>457.50915000000003</v>
      </c>
    </row>
    <row r="414" spans="1:15" ht="18" customHeight="1">
      <c r="A414" s="21">
        <v>462</v>
      </c>
      <c r="B414" s="28" t="s">
        <v>75</v>
      </c>
      <c r="C414" s="28" t="s">
        <v>547</v>
      </c>
      <c r="D414" s="28" t="s">
        <v>3297</v>
      </c>
      <c r="E414" s="28">
        <v>1.22</v>
      </c>
      <c r="F414" s="28">
        <v>35.159999999999997</v>
      </c>
      <c r="G414" s="28"/>
      <c r="H414" s="28">
        <v>1.6</v>
      </c>
      <c r="I414" s="28"/>
      <c r="J414" s="133">
        <v>44105</v>
      </c>
      <c r="K414" s="10">
        <f t="shared" si="23"/>
        <v>68.632319999999993</v>
      </c>
      <c r="L414" s="10"/>
      <c r="M414" s="9"/>
      <c r="N414" s="9">
        <f t="shared" si="21"/>
        <v>0</v>
      </c>
      <c r="O414" s="3">
        <f t="shared" si="22"/>
        <v>114.38948774399999</v>
      </c>
    </row>
    <row r="415" spans="1:15" ht="18" customHeight="1">
      <c r="A415" s="21">
        <v>513550</v>
      </c>
      <c r="B415" s="28" t="s">
        <v>1893</v>
      </c>
      <c r="C415" s="28" t="s">
        <v>77</v>
      </c>
      <c r="D415" s="28" t="s">
        <v>23</v>
      </c>
      <c r="E415" s="28">
        <v>1.22</v>
      </c>
      <c r="F415" s="28">
        <v>143</v>
      </c>
      <c r="G415" s="28"/>
      <c r="H415" s="28">
        <v>1.6</v>
      </c>
      <c r="I415" s="28"/>
      <c r="J415" s="133">
        <v>45980</v>
      </c>
      <c r="K415" s="10">
        <f t="shared" si="23"/>
        <v>279.13600000000002</v>
      </c>
      <c r="L415" s="10"/>
      <c r="M415" s="9"/>
      <c r="N415" s="9"/>
      <c r="O415" s="3"/>
    </row>
    <row r="416" spans="1:15" ht="18" customHeight="1">
      <c r="A416" s="46">
        <v>513550</v>
      </c>
      <c r="B416" s="80" t="s">
        <v>1893</v>
      </c>
      <c r="C416" s="79" t="s">
        <v>77</v>
      </c>
      <c r="D416" s="28" t="s">
        <v>3297</v>
      </c>
      <c r="E416" s="80">
        <v>1.22</v>
      </c>
      <c r="F416" s="80">
        <v>3.47</v>
      </c>
      <c r="G416" s="110"/>
      <c r="H416" s="80">
        <v>1.45</v>
      </c>
      <c r="I416" s="79">
        <v>44</v>
      </c>
      <c r="J416" s="134">
        <v>45211</v>
      </c>
      <c r="K416" s="10">
        <f>E416*F416*H416*I416</f>
        <v>270.09092000000004</v>
      </c>
      <c r="L416" s="10"/>
      <c r="M416" s="17"/>
      <c r="N416" s="16"/>
      <c r="O416" s="16"/>
    </row>
    <row r="417" spans="1:15" ht="18" customHeight="1">
      <c r="A417" s="46" t="s">
        <v>2643</v>
      </c>
      <c r="B417" s="83" t="s">
        <v>2644</v>
      </c>
      <c r="C417" s="79" t="s">
        <v>2645</v>
      </c>
      <c r="D417" s="28" t="s">
        <v>3297</v>
      </c>
      <c r="E417" s="28">
        <v>1.22</v>
      </c>
      <c r="F417" s="83">
        <v>45</v>
      </c>
      <c r="G417" s="110"/>
      <c r="H417" s="28">
        <v>1.4</v>
      </c>
      <c r="I417" s="110"/>
      <c r="J417" s="134">
        <v>44758</v>
      </c>
      <c r="K417" s="10">
        <f t="shared" ref="K417:K429" si="24">E417*F417*H417</f>
        <v>76.86</v>
      </c>
      <c r="L417" s="63"/>
      <c r="M417" s="17"/>
      <c r="N417" s="16"/>
      <c r="O417" s="16"/>
    </row>
    <row r="418" spans="1:15" ht="18" customHeight="1">
      <c r="A418" s="21" t="s">
        <v>2395</v>
      </c>
      <c r="B418" s="28" t="s">
        <v>2785</v>
      </c>
      <c r="C418" s="28"/>
      <c r="D418" s="28" t="s">
        <v>451</v>
      </c>
      <c r="E418" s="28">
        <v>1.22</v>
      </c>
      <c r="F418" s="28">
        <v>200</v>
      </c>
      <c r="G418" s="28"/>
      <c r="H418" s="28">
        <v>1.67</v>
      </c>
      <c r="I418" s="28"/>
      <c r="J418" s="133">
        <v>44008</v>
      </c>
      <c r="K418" s="10">
        <f t="shared" si="24"/>
        <v>407.47999999999996</v>
      </c>
      <c r="L418" s="10"/>
      <c r="M418" s="9"/>
      <c r="N418" s="9">
        <f t="shared" ref="N418:N423" si="25">G418*H418*I418*E418</f>
        <v>0</v>
      </c>
      <c r="O418" s="3">
        <f>K418*1.6667</f>
        <v>679.14691599999992</v>
      </c>
    </row>
    <row r="419" spans="1:15" ht="18" customHeight="1">
      <c r="A419" s="21">
        <v>513600</v>
      </c>
      <c r="B419" s="28" t="s">
        <v>882</v>
      </c>
      <c r="C419" s="28" t="s">
        <v>883</v>
      </c>
      <c r="D419" s="28" t="s">
        <v>1983</v>
      </c>
      <c r="E419" s="28">
        <v>1.22</v>
      </c>
      <c r="F419" s="28">
        <v>320</v>
      </c>
      <c r="G419" s="28">
        <v>0</v>
      </c>
      <c r="H419" s="28">
        <v>1.2</v>
      </c>
      <c r="I419" s="28">
        <v>34</v>
      </c>
      <c r="J419" s="133">
        <v>43946</v>
      </c>
      <c r="K419" s="10">
        <f t="shared" si="24"/>
        <v>468.47999999999996</v>
      </c>
      <c r="L419" s="10"/>
      <c r="M419" s="9"/>
      <c r="N419" s="9">
        <f t="shared" si="25"/>
        <v>0</v>
      </c>
      <c r="O419" s="3">
        <f>K419*1.6667</f>
        <v>780.81561599999998</v>
      </c>
    </row>
    <row r="420" spans="1:15" ht="18" customHeight="1">
      <c r="A420" s="21">
        <v>1585</v>
      </c>
      <c r="B420" s="28" t="s">
        <v>76</v>
      </c>
      <c r="C420" s="28" t="s">
        <v>15</v>
      </c>
      <c r="D420" s="28" t="s">
        <v>451</v>
      </c>
      <c r="E420" s="28">
        <v>1.22</v>
      </c>
      <c r="F420" s="28">
        <v>49.92</v>
      </c>
      <c r="G420" s="28"/>
      <c r="H420" s="28">
        <v>1.8</v>
      </c>
      <c r="I420" s="28"/>
      <c r="J420" s="28"/>
      <c r="K420" s="10">
        <f t="shared" si="24"/>
        <v>109.62432</v>
      </c>
      <c r="L420" s="10"/>
      <c r="M420" s="9"/>
      <c r="N420" s="9">
        <f t="shared" si="25"/>
        <v>0</v>
      </c>
      <c r="O420" s="3">
        <f>K420*1.6667</f>
        <v>182.710854144</v>
      </c>
    </row>
    <row r="421" spans="1:15" ht="18" customHeight="1">
      <c r="A421" s="21" t="s">
        <v>4537</v>
      </c>
      <c r="B421" s="28" t="s">
        <v>4538</v>
      </c>
      <c r="C421" s="28" t="s">
        <v>4539</v>
      </c>
      <c r="D421" s="28" t="s">
        <v>1983</v>
      </c>
      <c r="E421" s="28">
        <v>1.22</v>
      </c>
      <c r="F421" s="28">
        <v>78.010000000000005</v>
      </c>
      <c r="G421" s="28"/>
      <c r="H421" s="28">
        <v>1.6</v>
      </c>
      <c r="I421" s="28"/>
      <c r="J421" s="133" t="s">
        <v>4540</v>
      </c>
      <c r="K421" s="10">
        <f t="shared" si="24"/>
        <v>152.27552</v>
      </c>
      <c r="L421" s="10"/>
      <c r="M421" s="9"/>
      <c r="N421" s="9">
        <f t="shared" si="25"/>
        <v>0</v>
      </c>
      <c r="O421" s="3"/>
    </row>
    <row r="422" spans="1:15" ht="18" customHeight="1">
      <c r="A422" s="21" t="s">
        <v>3130</v>
      </c>
      <c r="B422" s="28" t="s">
        <v>1038</v>
      </c>
      <c r="C422" s="28" t="s">
        <v>1039</v>
      </c>
      <c r="D422" s="28" t="s">
        <v>1030</v>
      </c>
      <c r="E422" s="28">
        <v>1</v>
      </c>
      <c r="F422" s="28">
        <v>176</v>
      </c>
      <c r="G422" s="28"/>
      <c r="H422" s="28">
        <v>1.8</v>
      </c>
      <c r="I422" s="28"/>
      <c r="J422" s="133">
        <v>45923</v>
      </c>
      <c r="K422" s="10">
        <f t="shared" si="24"/>
        <v>316.8</v>
      </c>
      <c r="L422" s="10"/>
      <c r="M422" s="9"/>
      <c r="N422" s="9">
        <f t="shared" si="25"/>
        <v>0</v>
      </c>
      <c r="O422" s="3">
        <f>K422*1.6667</f>
        <v>528.01056000000005</v>
      </c>
    </row>
    <row r="423" spans="1:15" ht="18" customHeight="1">
      <c r="A423" s="21" t="s">
        <v>3042</v>
      </c>
      <c r="B423" s="28" t="s">
        <v>1038</v>
      </c>
      <c r="C423" s="28">
        <v>7</v>
      </c>
      <c r="D423" s="28" t="s">
        <v>1030</v>
      </c>
      <c r="E423" s="28">
        <v>1</v>
      </c>
      <c r="F423" s="28">
        <v>92</v>
      </c>
      <c r="G423" s="28"/>
      <c r="H423" s="28">
        <v>1.8</v>
      </c>
      <c r="I423" s="28"/>
      <c r="J423" s="133">
        <v>45923</v>
      </c>
      <c r="K423" s="10">
        <f t="shared" si="24"/>
        <v>165.6</v>
      </c>
      <c r="L423" s="10"/>
      <c r="M423" s="9"/>
      <c r="N423" s="9">
        <f t="shared" si="25"/>
        <v>0</v>
      </c>
      <c r="O423" s="3">
        <f>K423*1.6667</f>
        <v>276.00551999999999</v>
      </c>
    </row>
    <row r="424" spans="1:15" ht="18" customHeight="1">
      <c r="A424" s="16" t="s">
        <v>3667</v>
      </c>
      <c r="B424" s="87" t="s">
        <v>1553</v>
      </c>
      <c r="C424" s="110"/>
      <c r="D424" s="28" t="s">
        <v>1292</v>
      </c>
      <c r="E424" s="87">
        <v>1.22</v>
      </c>
      <c r="F424" s="87">
        <v>19.899999999999999</v>
      </c>
      <c r="G424" s="110"/>
      <c r="H424" s="87">
        <v>2.5</v>
      </c>
      <c r="I424" s="110"/>
      <c r="J424" s="169">
        <v>45532</v>
      </c>
      <c r="K424" s="215">
        <f t="shared" si="24"/>
        <v>60.694999999999993</v>
      </c>
      <c r="L424" s="63"/>
      <c r="M424" s="17"/>
      <c r="N424" s="16"/>
      <c r="O424" s="16"/>
    </row>
    <row r="425" spans="1:15" ht="18" customHeight="1">
      <c r="A425" s="16" t="s">
        <v>1554</v>
      </c>
      <c r="B425" s="28" t="s">
        <v>1553</v>
      </c>
      <c r="C425" s="110"/>
      <c r="D425" s="28" t="s">
        <v>451</v>
      </c>
      <c r="E425" s="28">
        <v>1</v>
      </c>
      <c r="F425" s="28">
        <v>9.9</v>
      </c>
      <c r="G425" s="110"/>
      <c r="H425" s="28">
        <v>2</v>
      </c>
      <c r="I425" s="110"/>
      <c r="J425" s="135">
        <v>43900</v>
      </c>
      <c r="K425" s="10">
        <f t="shared" si="24"/>
        <v>19.8</v>
      </c>
      <c r="L425" s="10"/>
      <c r="M425" s="17">
        <v>1.22</v>
      </c>
      <c r="N425" s="16"/>
      <c r="O425" s="16"/>
    </row>
    <row r="426" spans="1:15" ht="18" customHeight="1">
      <c r="A426" s="16" t="s">
        <v>1555</v>
      </c>
      <c r="B426" s="28" t="s">
        <v>1556</v>
      </c>
      <c r="C426" s="110"/>
      <c r="D426" s="28" t="s">
        <v>451</v>
      </c>
      <c r="E426" s="28">
        <v>1</v>
      </c>
      <c r="F426" s="28">
        <v>17.899999999999999</v>
      </c>
      <c r="G426" s="110"/>
      <c r="H426" s="28">
        <v>3</v>
      </c>
      <c r="I426" s="110"/>
      <c r="J426" s="135">
        <v>44944</v>
      </c>
      <c r="K426" s="10">
        <f t="shared" si="24"/>
        <v>53.699999999999996</v>
      </c>
      <c r="L426" s="10"/>
      <c r="M426" s="17">
        <v>1.22</v>
      </c>
      <c r="N426" s="16"/>
      <c r="O426" s="16"/>
    </row>
    <row r="427" spans="1:15" ht="18" customHeight="1">
      <c r="A427" s="21"/>
      <c r="B427" s="28" t="s">
        <v>88</v>
      </c>
      <c r="C427" s="28"/>
      <c r="D427" s="28"/>
      <c r="E427" s="28">
        <v>1.22</v>
      </c>
      <c r="F427" s="28">
        <v>8.9</v>
      </c>
      <c r="G427" s="28"/>
      <c r="H427" s="28">
        <v>3</v>
      </c>
      <c r="I427" s="28"/>
      <c r="J427" s="28"/>
      <c r="K427" s="10">
        <f t="shared" si="24"/>
        <v>32.573999999999998</v>
      </c>
      <c r="L427" s="10"/>
      <c r="M427" s="9"/>
      <c r="N427" s="9">
        <f>G427*H427*I427*E427</f>
        <v>0</v>
      </c>
      <c r="O427" s="3">
        <f>K427*1.6667</f>
        <v>54.291085799999998</v>
      </c>
    </row>
    <row r="428" spans="1:15" ht="18" customHeight="1">
      <c r="A428" s="16" t="s">
        <v>4340</v>
      </c>
      <c r="B428" s="87" t="s">
        <v>4341</v>
      </c>
      <c r="C428" s="110"/>
      <c r="D428" s="28" t="s">
        <v>3297</v>
      </c>
      <c r="E428" s="28">
        <v>1.22</v>
      </c>
      <c r="F428" s="87">
        <v>164</v>
      </c>
      <c r="G428" s="110"/>
      <c r="H428" s="87">
        <v>2</v>
      </c>
      <c r="I428" s="110"/>
      <c r="J428" s="135">
        <v>45887</v>
      </c>
      <c r="K428" s="63">
        <f t="shared" si="24"/>
        <v>400.15999999999997</v>
      </c>
      <c r="L428" s="63"/>
      <c r="M428" s="17"/>
      <c r="N428" s="16"/>
      <c r="O428" s="16"/>
    </row>
    <row r="429" spans="1:15" ht="18" customHeight="1">
      <c r="A429" s="16"/>
      <c r="B429" s="87" t="s">
        <v>3327</v>
      </c>
      <c r="C429" s="110" t="s">
        <v>3328</v>
      </c>
      <c r="D429" s="110" t="s">
        <v>3301</v>
      </c>
      <c r="E429" s="87">
        <v>1.22</v>
      </c>
      <c r="F429" s="87">
        <v>99</v>
      </c>
      <c r="G429" s="110"/>
      <c r="H429" s="87">
        <v>2.5</v>
      </c>
      <c r="I429" s="110"/>
      <c r="J429" s="135">
        <v>45301</v>
      </c>
      <c r="K429" s="10">
        <f t="shared" si="24"/>
        <v>301.95</v>
      </c>
      <c r="L429" s="63"/>
      <c r="M429" s="17"/>
      <c r="N429" s="16" t="s">
        <v>3329</v>
      </c>
      <c r="O429" s="16"/>
    </row>
    <row r="430" spans="1:15" ht="18" customHeight="1">
      <c r="A430" s="16"/>
      <c r="B430" s="129" t="s">
        <v>839</v>
      </c>
      <c r="C430" s="109" t="s">
        <v>840</v>
      </c>
      <c r="D430" s="28" t="s">
        <v>3858</v>
      </c>
      <c r="E430" s="28">
        <v>1.2</v>
      </c>
      <c r="F430" s="80">
        <v>1500</v>
      </c>
      <c r="G430" s="79"/>
      <c r="H430" s="28">
        <v>2</v>
      </c>
      <c r="I430" s="79"/>
      <c r="J430" s="133">
        <v>45558</v>
      </c>
      <c r="K430" s="10">
        <v>4000</v>
      </c>
      <c r="L430" s="10"/>
      <c r="M430" s="9"/>
      <c r="N430" s="16">
        <f>G430*H430*I430*E430</f>
        <v>0</v>
      </c>
      <c r="O430" s="16"/>
    </row>
    <row r="431" spans="1:15" ht="18" customHeight="1">
      <c r="A431" s="16"/>
      <c r="B431" s="91" t="s">
        <v>3765</v>
      </c>
      <c r="C431" s="79"/>
      <c r="D431" s="28" t="s">
        <v>3858</v>
      </c>
      <c r="E431" s="28">
        <v>1.2</v>
      </c>
      <c r="F431" s="28">
        <v>3200</v>
      </c>
      <c r="G431" s="79"/>
      <c r="H431" s="28">
        <v>2</v>
      </c>
      <c r="I431" s="79"/>
      <c r="J431" s="133">
        <v>45558</v>
      </c>
      <c r="K431" s="10">
        <v>8350</v>
      </c>
      <c r="L431" s="10"/>
      <c r="M431" s="9"/>
      <c r="N431" s="16">
        <f>G431*H431*I431*E431</f>
        <v>0</v>
      </c>
      <c r="O431" s="16"/>
    </row>
    <row r="432" spans="1:15" ht="18" customHeight="1">
      <c r="A432" s="16"/>
      <c r="B432" s="91" t="s">
        <v>802</v>
      </c>
      <c r="C432" s="79" t="s">
        <v>838</v>
      </c>
      <c r="D432" s="28" t="s">
        <v>3858</v>
      </c>
      <c r="E432" s="28">
        <v>1.2</v>
      </c>
      <c r="F432" s="80">
        <v>3000</v>
      </c>
      <c r="G432" s="79"/>
      <c r="H432" s="28">
        <v>2</v>
      </c>
      <c r="I432" s="79"/>
      <c r="J432" s="133">
        <v>45558</v>
      </c>
      <c r="K432" s="10">
        <v>7400</v>
      </c>
      <c r="L432" s="10"/>
      <c r="M432" s="9"/>
      <c r="N432" s="16"/>
      <c r="O432" s="16"/>
    </row>
    <row r="433" spans="1:15" ht="30" customHeight="1">
      <c r="A433" s="16"/>
      <c r="B433" s="91" t="s">
        <v>3018</v>
      </c>
      <c r="C433" s="79" t="s">
        <v>3019</v>
      </c>
      <c r="D433" s="28" t="s">
        <v>3858</v>
      </c>
      <c r="E433" s="28">
        <v>1.2</v>
      </c>
      <c r="F433" s="80">
        <v>2500</v>
      </c>
      <c r="G433" s="79"/>
      <c r="H433" s="28">
        <v>2</v>
      </c>
      <c r="I433" s="79"/>
      <c r="J433" s="133">
        <v>45558</v>
      </c>
      <c r="K433" s="10">
        <v>4800</v>
      </c>
      <c r="L433" s="10"/>
      <c r="M433" s="9"/>
      <c r="N433" s="16"/>
      <c r="O433" s="16"/>
    </row>
    <row r="434" spans="1:15" ht="30" customHeight="1">
      <c r="A434" s="46">
        <v>600</v>
      </c>
      <c r="B434" s="80" t="s">
        <v>2074</v>
      </c>
      <c r="C434" s="110" t="s">
        <v>2071</v>
      </c>
      <c r="D434" s="28" t="s">
        <v>1983</v>
      </c>
      <c r="E434" s="28">
        <v>1.22</v>
      </c>
      <c r="F434" s="80">
        <v>92</v>
      </c>
      <c r="G434" s="110"/>
      <c r="H434" s="28">
        <v>1.5</v>
      </c>
      <c r="I434" s="110"/>
      <c r="J434" s="134">
        <v>45810</v>
      </c>
      <c r="K434" s="10">
        <f t="shared" ref="K434:K467" si="26">E434*F434*H434</f>
        <v>168.35999999999999</v>
      </c>
      <c r="L434" s="10"/>
      <c r="M434" s="17"/>
      <c r="N434" s="16"/>
      <c r="O434" s="16"/>
    </row>
    <row r="435" spans="1:15" ht="30" customHeight="1">
      <c r="A435" s="46">
        <v>610</v>
      </c>
      <c r="B435" s="80" t="s">
        <v>2074</v>
      </c>
      <c r="C435" s="110" t="s">
        <v>2987</v>
      </c>
      <c r="D435" s="28" t="s">
        <v>1983</v>
      </c>
      <c r="E435" s="28">
        <v>1.22</v>
      </c>
      <c r="F435" s="80">
        <v>91</v>
      </c>
      <c r="G435" s="110"/>
      <c r="H435" s="28">
        <v>1.5</v>
      </c>
      <c r="I435" s="110"/>
      <c r="J435" s="134">
        <v>45026</v>
      </c>
      <c r="K435" s="10">
        <f t="shared" si="26"/>
        <v>166.53</v>
      </c>
      <c r="L435" s="10"/>
      <c r="M435" s="17"/>
      <c r="N435" s="16"/>
      <c r="O435" s="16"/>
    </row>
    <row r="436" spans="1:15" ht="30" customHeight="1">
      <c r="A436" s="46">
        <v>620</v>
      </c>
      <c r="B436" s="80" t="s">
        <v>2074</v>
      </c>
      <c r="C436" s="110" t="s">
        <v>3606</v>
      </c>
      <c r="D436" s="28" t="s">
        <v>1983</v>
      </c>
      <c r="E436" s="28">
        <v>1.22</v>
      </c>
      <c r="F436" s="80">
        <v>147</v>
      </c>
      <c r="G436" s="110"/>
      <c r="H436" s="28">
        <v>1.8</v>
      </c>
      <c r="I436" s="110"/>
      <c r="J436" s="134" t="s">
        <v>4518</v>
      </c>
      <c r="K436" s="10">
        <f t="shared" si="26"/>
        <v>322.81200000000001</v>
      </c>
      <c r="L436" s="63"/>
      <c r="M436" s="17"/>
      <c r="N436" s="16"/>
      <c r="O436" s="16"/>
    </row>
    <row r="437" spans="1:15" ht="30" customHeight="1">
      <c r="A437" s="16">
        <v>630</v>
      </c>
      <c r="B437" s="80" t="s">
        <v>2074</v>
      </c>
      <c r="C437" s="110" t="s">
        <v>3607</v>
      </c>
      <c r="D437" s="28" t="s">
        <v>1983</v>
      </c>
      <c r="E437" s="28">
        <v>1.22</v>
      </c>
      <c r="F437" s="87">
        <v>158</v>
      </c>
      <c r="G437" s="110"/>
      <c r="H437" s="28">
        <v>1.5</v>
      </c>
      <c r="I437" s="110"/>
      <c r="J437" s="134">
        <v>45497</v>
      </c>
      <c r="K437" s="10">
        <f t="shared" si="26"/>
        <v>289.14</v>
      </c>
      <c r="L437" s="63"/>
      <c r="M437" s="17"/>
      <c r="N437" s="16"/>
      <c r="O437" s="16"/>
    </row>
    <row r="438" spans="1:15" ht="18" customHeight="1">
      <c r="A438" s="16" t="s">
        <v>4382</v>
      </c>
      <c r="B438" s="87" t="s">
        <v>4383</v>
      </c>
      <c r="C438" s="110"/>
      <c r="D438" s="28" t="s">
        <v>1921</v>
      </c>
      <c r="E438" s="28">
        <v>1.22</v>
      </c>
      <c r="F438" s="87">
        <v>73</v>
      </c>
      <c r="G438" s="110"/>
      <c r="H438" s="87">
        <v>1.8</v>
      </c>
      <c r="I438" s="110"/>
      <c r="J438" s="142">
        <v>45918</v>
      </c>
      <c r="K438" s="57">
        <f t="shared" si="26"/>
        <v>160.30800000000002</v>
      </c>
      <c r="L438" s="63"/>
      <c r="M438" s="17"/>
      <c r="N438" s="16"/>
      <c r="O438" s="16"/>
    </row>
    <row r="439" spans="1:15" ht="18" customHeight="1">
      <c r="A439" s="46" t="s">
        <v>2172</v>
      </c>
      <c r="B439" s="83" t="s">
        <v>2173</v>
      </c>
      <c r="C439" s="110"/>
      <c r="D439" s="28" t="s">
        <v>1983</v>
      </c>
      <c r="E439" s="28">
        <v>1.22</v>
      </c>
      <c r="F439" s="83">
        <v>324</v>
      </c>
      <c r="G439" s="110"/>
      <c r="H439" s="28">
        <v>1.4</v>
      </c>
      <c r="I439" s="110"/>
      <c r="J439" s="135">
        <v>44340</v>
      </c>
      <c r="K439" s="63">
        <f t="shared" si="26"/>
        <v>553.39199999999994</v>
      </c>
      <c r="L439" s="63"/>
      <c r="M439" s="17"/>
      <c r="N439" s="16"/>
      <c r="O439" s="16"/>
    </row>
    <row r="440" spans="1:15" ht="18" customHeight="1">
      <c r="A440" s="46">
        <v>651</v>
      </c>
      <c r="B440" s="80" t="s">
        <v>4245</v>
      </c>
      <c r="C440" s="79" t="s">
        <v>4246</v>
      </c>
      <c r="D440" s="79" t="s">
        <v>2132</v>
      </c>
      <c r="E440" s="80">
        <v>1.22</v>
      </c>
      <c r="F440" s="95">
        <v>183</v>
      </c>
      <c r="G440" s="110"/>
      <c r="H440" s="80">
        <v>1.5</v>
      </c>
      <c r="I440" s="110"/>
      <c r="J440" s="134">
        <v>45810</v>
      </c>
      <c r="K440" s="57">
        <f t="shared" si="26"/>
        <v>334.89</v>
      </c>
      <c r="L440" s="63"/>
      <c r="M440" s="17"/>
      <c r="N440" s="16"/>
      <c r="O440" s="16"/>
    </row>
    <row r="441" spans="1:15" ht="18" customHeight="1">
      <c r="A441" s="16">
        <v>640</v>
      </c>
      <c r="B441" s="87" t="s">
        <v>4245</v>
      </c>
      <c r="C441" s="110" t="s">
        <v>4268</v>
      </c>
      <c r="D441" s="28" t="s">
        <v>1983</v>
      </c>
      <c r="E441" s="44">
        <v>1.22</v>
      </c>
      <c r="F441" s="87">
        <v>176</v>
      </c>
      <c r="G441" s="110"/>
      <c r="H441" s="87">
        <v>1.4</v>
      </c>
      <c r="I441" s="110"/>
      <c r="J441" s="135">
        <v>45807</v>
      </c>
      <c r="K441" s="63">
        <f t="shared" si="26"/>
        <v>300.608</v>
      </c>
      <c r="L441" s="63"/>
      <c r="M441" s="17"/>
      <c r="N441" s="16"/>
      <c r="O441" s="16"/>
    </row>
    <row r="442" spans="1:15" ht="18" hidden="1" customHeight="1">
      <c r="A442" s="21">
        <v>120</v>
      </c>
      <c r="B442" s="28" t="s">
        <v>78</v>
      </c>
      <c r="C442" s="28" t="s">
        <v>1159</v>
      </c>
      <c r="D442" s="28" t="s">
        <v>1983</v>
      </c>
      <c r="E442" s="28">
        <v>1.22</v>
      </c>
      <c r="F442" s="28">
        <v>52.82</v>
      </c>
      <c r="G442" s="28"/>
      <c r="H442" s="28">
        <v>1.6</v>
      </c>
      <c r="I442" s="28"/>
      <c r="J442" s="133">
        <v>43460</v>
      </c>
      <c r="K442" s="10">
        <f t="shared" si="26"/>
        <v>103.10464</v>
      </c>
      <c r="L442" s="10"/>
      <c r="M442" s="9"/>
      <c r="N442" s="9">
        <f>G442*H442*I442*E442</f>
        <v>0</v>
      </c>
      <c r="O442" s="3">
        <f>K442*1.6667</f>
        <v>171.84450348800002</v>
      </c>
    </row>
    <row r="443" spans="1:15" ht="18" hidden="1" customHeight="1">
      <c r="A443" s="21">
        <v>124</v>
      </c>
      <c r="B443" s="28" t="s">
        <v>78</v>
      </c>
      <c r="C443" s="28" t="s">
        <v>1160</v>
      </c>
      <c r="D443" s="28" t="s">
        <v>1983</v>
      </c>
      <c r="E443" s="28">
        <v>1.22</v>
      </c>
      <c r="F443" s="28">
        <v>96.57</v>
      </c>
      <c r="G443" s="28"/>
      <c r="H443" s="28">
        <v>1.6</v>
      </c>
      <c r="I443" s="28"/>
      <c r="J443" s="133">
        <v>43460</v>
      </c>
      <c r="K443" s="10">
        <f t="shared" si="26"/>
        <v>188.50463999999999</v>
      </c>
      <c r="L443" s="10"/>
      <c r="M443" s="9"/>
      <c r="N443" s="9">
        <f>G443*H443*I443*E443</f>
        <v>0</v>
      </c>
      <c r="O443" s="3">
        <f>K443*1.6667</f>
        <v>314.180683488</v>
      </c>
    </row>
    <row r="444" spans="1:15" ht="18" customHeight="1">
      <c r="A444" s="46" t="s">
        <v>3170</v>
      </c>
      <c r="B444" s="80" t="s">
        <v>2129</v>
      </c>
      <c r="C444" s="109" t="s">
        <v>2753</v>
      </c>
      <c r="D444" s="28" t="s">
        <v>1983</v>
      </c>
      <c r="E444" s="28">
        <v>1.22</v>
      </c>
      <c r="F444" s="80">
        <v>220</v>
      </c>
      <c r="G444" s="110"/>
      <c r="H444" s="28">
        <v>1.45</v>
      </c>
      <c r="I444" s="110"/>
      <c r="J444" s="134">
        <v>45190</v>
      </c>
      <c r="K444" s="10">
        <f t="shared" si="26"/>
        <v>389.17999999999995</v>
      </c>
      <c r="L444" s="10"/>
      <c r="M444" s="17"/>
      <c r="N444" s="16"/>
      <c r="O444" s="16"/>
    </row>
    <row r="445" spans="1:15" ht="18" customHeight="1">
      <c r="A445" s="21"/>
      <c r="B445" s="28" t="s">
        <v>2211</v>
      </c>
      <c r="C445" s="28" t="s">
        <v>2212</v>
      </c>
      <c r="D445" s="28" t="s">
        <v>1859</v>
      </c>
      <c r="E445" s="28">
        <v>1.22</v>
      </c>
      <c r="F445" s="28">
        <v>305</v>
      </c>
      <c r="G445" s="28"/>
      <c r="H445" s="28">
        <v>1.4</v>
      </c>
      <c r="I445" s="28"/>
      <c r="J445" s="133">
        <v>45154</v>
      </c>
      <c r="K445" s="10">
        <f t="shared" si="26"/>
        <v>520.93999999999994</v>
      </c>
      <c r="L445" s="10"/>
      <c r="M445" s="9"/>
      <c r="N445" s="9">
        <f>G445*H445*I445*E445</f>
        <v>0</v>
      </c>
      <c r="O445" s="3">
        <f>K445*1.6667</f>
        <v>868.25069799999994</v>
      </c>
    </row>
    <row r="446" spans="1:15" ht="18" customHeight="1">
      <c r="A446" s="21">
        <v>3113</v>
      </c>
      <c r="B446" s="28" t="s">
        <v>2839</v>
      </c>
      <c r="C446" s="28" t="s">
        <v>2840</v>
      </c>
      <c r="D446" s="28" t="s">
        <v>716</v>
      </c>
      <c r="E446" s="28">
        <v>1.22</v>
      </c>
      <c r="F446" s="28">
        <v>254</v>
      </c>
      <c r="G446" s="28"/>
      <c r="H446" s="28">
        <v>1.8</v>
      </c>
      <c r="I446" s="28"/>
      <c r="J446" s="134">
        <v>45960</v>
      </c>
      <c r="K446" s="10">
        <f t="shared" si="26"/>
        <v>557.78399999999999</v>
      </c>
      <c r="L446" s="9"/>
      <c r="M446" s="9"/>
      <c r="N446" s="9">
        <f>G446*H446*I446*E446</f>
        <v>0</v>
      </c>
      <c r="O446" s="3">
        <f>K446*1.6667</f>
        <v>929.65859280000006</v>
      </c>
    </row>
    <row r="447" spans="1:15" ht="18" customHeight="1">
      <c r="A447" s="21">
        <v>3118</v>
      </c>
      <c r="B447" s="28" t="s">
        <v>2298</v>
      </c>
      <c r="C447" s="28" t="s">
        <v>717</v>
      </c>
      <c r="D447" s="28" t="s">
        <v>716</v>
      </c>
      <c r="E447" s="28">
        <v>1.22</v>
      </c>
      <c r="F447" s="28">
        <v>47.5</v>
      </c>
      <c r="G447" s="28"/>
      <c r="H447" s="28">
        <v>1.8</v>
      </c>
      <c r="I447" s="28"/>
      <c r="J447" s="133">
        <v>45960</v>
      </c>
      <c r="K447" s="10">
        <f t="shared" si="26"/>
        <v>104.30999999999999</v>
      </c>
      <c r="L447" s="9"/>
      <c r="M447" s="9"/>
      <c r="N447" s="9">
        <f>G447*H447*I447*E447</f>
        <v>0</v>
      </c>
      <c r="O447" s="3">
        <f>K447*1.6667</f>
        <v>173.853477</v>
      </c>
    </row>
    <row r="448" spans="1:15" ht="18" customHeight="1">
      <c r="A448" s="21">
        <v>3103</v>
      </c>
      <c r="B448" s="28" t="s">
        <v>1842</v>
      </c>
      <c r="C448" s="88" t="s">
        <v>1843</v>
      </c>
      <c r="D448" s="28" t="s">
        <v>716</v>
      </c>
      <c r="E448" s="28">
        <v>1.22</v>
      </c>
      <c r="F448" s="28">
        <v>217</v>
      </c>
      <c r="G448" s="110"/>
      <c r="H448" s="28">
        <v>1.7</v>
      </c>
      <c r="I448" s="110"/>
      <c r="J448" s="135">
        <v>45728</v>
      </c>
      <c r="K448" s="10">
        <f t="shared" si="26"/>
        <v>450.05799999999999</v>
      </c>
      <c r="L448" s="9"/>
      <c r="M448" s="30"/>
      <c r="N448" s="9">
        <f>G448*H448*I448*E448</f>
        <v>0</v>
      </c>
      <c r="O448" s="3"/>
    </row>
    <row r="449" spans="1:15" ht="18" customHeight="1">
      <c r="A449" s="21">
        <v>3130</v>
      </c>
      <c r="B449" s="28" t="s">
        <v>1218</v>
      </c>
      <c r="C449" s="88">
        <v>345</v>
      </c>
      <c r="D449" s="28" t="s">
        <v>716</v>
      </c>
      <c r="E449" s="28">
        <v>1.22</v>
      </c>
      <c r="F449" s="28">
        <v>243</v>
      </c>
      <c r="G449" s="110"/>
      <c r="H449" s="28">
        <v>1.6</v>
      </c>
      <c r="I449" s="110"/>
      <c r="J449" s="134">
        <v>45281</v>
      </c>
      <c r="K449" s="9">
        <f t="shared" si="26"/>
        <v>474.33600000000001</v>
      </c>
      <c r="L449" s="9"/>
      <c r="M449" s="30"/>
      <c r="N449" s="9">
        <f>G449*H449*I449*E449</f>
        <v>0</v>
      </c>
      <c r="O449" s="3">
        <f>K449*1.6667</f>
        <v>790.57581120000009</v>
      </c>
    </row>
    <row r="450" spans="1:15" ht="18" customHeight="1">
      <c r="A450" s="68">
        <v>3131</v>
      </c>
      <c r="B450" s="80" t="s">
        <v>2235</v>
      </c>
      <c r="C450" s="79" t="s">
        <v>2236</v>
      </c>
      <c r="D450" s="28" t="s">
        <v>716</v>
      </c>
      <c r="E450" s="83">
        <v>1.22</v>
      </c>
      <c r="F450" s="83">
        <v>139.5</v>
      </c>
      <c r="G450" s="110"/>
      <c r="H450" s="83">
        <v>1.6</v>
      </c>
      <c r="I450" s="110"/>
      <c r="J450" s="134">
        <v>45616</v>
      </c>
      <c r="K450" s="37">
        <f t="shared" si="26"/>
        <v>272.30400000000003</v>
      </c>
      <c r="L450" s="37"/>
      <c r="M450" s="17"/>
      <c r="N450" s="16"/>
      <c r="O450" s="16"/>
    </row>
    <row r="451" spans="1:15" ht="18" customHeight="1">
      <c r="A451" s="21">
        <v>3128</v>
      </c>
      <c r="B451" s="28" t="s">
        <v>1522</v>
      </c>
      <c r="C451" s="28" t="s">
        <v>1521</v>
      </c>
      <c r="D451" s="28" t="s">
        <v>716</v>
      </c>
      <c r="E451" s="28">
        <v>1.22</v>
      </c>
      <c r="F451" s="28">
        <v>46</v>
      </c>
      <c r="G451" s="28"/>
      <c r="H451" s="28">
        <v>1.7</v>
      </c>
      <c r="I451" s="28"/>
      <c r="J451" s="134">
        <v>45960</v>
      </c>
      <c r="K451" s="9">
        <f t="shared" si="26"/>
        <v>95.403999999999996</v>
      </c>
      <c r="L451" s="9"/>
      <c r="M451" s="9"/>
      <c r="N451" s="9">
        <f>G451*H451*I451*E451</f>
        <v>0</v>
      </c>
      <c r="O451" s="3">
        <f>K451*1.6667</f>
        <v>159.00984679999999</v>
      </c>
    </row>
    <row r="452" spans="1:15" ht="18" customHeight="1">
      <c r="A452" s="46">
        <v>3126</v>
      </c>
      <c r="B452" s="80" t="s">
        <v>1844</v>
      </c>
      <c r="C452" s="88" t="s">
        <v>2236</v>
      </c>
      <c r="D452" s="28" t="s">
        <v>716</v>
      </c>
      <c r="E452" s="92">
        <v>1.22</v>
      </c>
      <c r="F452" s="92">
        <v>155</v>
      </c>
      <c r="G452" s="113"/>
      <c r="H452" s="92">
        <v>1.5</v>
      </c>
      <c r="I452" s="113"/>
      <c r="J452" s="135">
        <v>45616</v>
      </c>
      <c r="K452" s="9">
        <f t="shared" si="26"/>
        <v>283.64999999999998</v>
      </c>
      <c r="L452" s="9"/>
      <c r="M452" s="17"/>
      <c r="N452" s="44"/>
      <c r="O452" s="44"/>
    </row>
    <row r="453" spans="1:15" ht="18" customHeight="1">
      <c r="A453" s="46">
        <v>3117</v>
      </c>
      <c r="B453" s="28" t="s">
        <v>1595</v>
      </c>
      <c r="C453" s="88" t="s">
        <v>1596</v>
      </c>
      <c r="D453" s="28" t="s">
        <v>716</v>
      </c>
      <c r="E453" s="28">
        <v>1.22</v>
      </c>
      <c r="F453" s="28">
        <v>331</v>
      </c>
      <c r="G453" s="110"/>
      <c r="H453" s="28">
        <v>1.6</v>
      </c>
      <c r="I453" s="110"/>
      <c r="J453" s="135">
        <v>44501</v>
      </c>
      <c r="K453" s="9">
        <f t="shared" si="26"/>
        <v>646.11200000000008</v>
      </c>
      <c r="L453" s="9"/>
      <c r="M453" s="17"/>
      <c r="N453" s="16"/>
      <c r="O453" s="16"/>
    </row>
    <row r="454" spans="1:15" ht="18" customHeight="1">
      <c r="A454" s="22">
        <v>3109</v>
      </c>
      <c r="B454" s="28" t="s">
        <v>1281</v>
      </c>
      <c r="C454" s="28" t="s">
        <v>868</v>
      </c>
      <c r="D454" s="28" t="s">
        <v>716</v>
      </c>
      <c r="E454" s="28">
        <v>1.22</v>
      </c>
      <c r="F454" s="28">
        <v>224</v>
      </c>
      <c r="G454" s="81"/>
      <c r="H454" s="28">
        <v>1.6</v>
      </c>
      <c r="I454" s="81"/>
      <c r="J454" s="134">
        <v>45616</v>
      </c>
      <c r="K454" s="9">
        <f t="shared" si="26"/>
        <v>437.24799999999999</v>
      </c>
      <c r="L454" s="9"/>
      <c r="M454" s="9"/>
      <c r="N454" s="16"/>
      <c r="O454" s="16"/>
    </row>
    <row r="455" spans="1:15" ht="18" customHeight="1">
      <c r="A455" s="21">
        <v>3129</v>
      </c>
      <c r="B455" s="28" t="s">
        <v>3135</v>
      </c>
      <c r="C455" s="28" t="s">
        <v>2236</v>
      </c>
      <c r="D455" s="28" t="s">
        <v>716</v>
      </c>
      <c r="E455" s="28">
        <v>1.22</v>
      </c>
      <c r="F455" s="28">
        <v>163</v>
      </c>
      <c r="G455" s="28"/>
      <c r="H455" s="28">
        <v>1.6</v>
      </c>
      <c r="I455" s="28"/>
      <c r="J455" s="133">
        <v>45616</v>
      </c>
      <c r="K455" s="9">
        <f t="shared" si="26"/>
        <v>318.17599999999999</v>
      </c>
      <c r="L455" s="9"/>
      <c r="M455" s="9"/>
      <c r="N455" s="9">
        <f>G455*H455*I455*E455</f>
        <v>0</v>
      </c>
      <c r="O455" s="3">
        <f>K455*1.6667</f>
        <v>530.30393919999995</v>
      </c>
    </row>
    <row r="456" spans="1:15" ht="18" customHeight="1">
      <c r="A456" s="46">
        <v>3127</v>
      </c>
      <c r="B456" s="80" t="s">
        <v>1845</v>
      </c>
      <c r="C456" s="80" t="s">
        <v>1846</v>
      </c>
      <c r="D456" s="28" t="s">
        <v>716</v>
      </c>
      <c r="E456" s="92">
        <v>1.22</v>
      </c>
      <c r="F456" s="80">
        <v>295</v>
      </c>
      <c r="G456" s="113"/>
      <c r="H456" s="92">
        <v>1.5</v>
      </c>
      <c r="I456" s="113"/>
      <c r="J456" s="134">
        <v>45728</v>
      </c>
      <c r="K456" s="35">
        <f t="shared" si="26"/>
        <v>539.84999999999991</v>
      </c>
      <c r="L456" s="35"/>
      <c r="M456" s="17"/>
      <c r="N456" s="44"/>
      <c r="O456" s="44"/>
    </row>
    <row r="457" spans="1:15" ht="18" customHeight="1">
      <c r="A457" s="46">
        <v>3124</v>
      </c>
      <c r="B457" s="28" t="s">
        <v>2838</v>
      </c>
      <c r="C457" s="28" t="s">
        <v>868</v>
      </c>
      <c r="D457" s="28" t="s">
        <v>716</v>
      </c>
      <c r="E457" s="28">
        <v>1.22</v>
      </c>
      <c r="F457" s="28">
        <v>209</v>
      </c>
      <c r="G457" s="110"/>
      <c r="H457" s="28">
        <v>1.7</v>
      </c>
      <c r="I457" s="110"/>
      <c r="J457" s="134">
        <v>45281</v>
      </c>
      <c r="K457" s="9">
        <f t="shared" si="26"/>
        <v>433.46599999999995</v>
      </c>
      <c r="L457" s="9"/>
      <c r="M457" s="17"/>
      <c r="N457" s="9">
        <f>G457*H457*I457*E457</f>
        <v>0</v>
      </c>
      <c r="O457" s="3">
        <f>K457*1.6667</f>
        <v>722.4577822</v>
      </c>
    </row>
    <row r="458" spans="1:15" ht="18" customHeight="1">
      <c r="A458" s="314">
        <v>3132</v>
      </c>
      <c r="B458" s="152" t="s">
        <v>3908</v>
      </c>
      <c r="C458" s="123" t="s">
        <v>3909</v>
      </c>
      <c r="D458" s="28" t="s">
        <v>716</v>
      </c>
      <c r="E458" s="176">
        <v>1.22</v>
      </c>
      <c r="F458" s="248">
        <v>49</v>
      </c>
      <c r="G458" s="123"/>
      <c r="H458" s="176">
        <v>1.6</v>
      </c>
      <c r="I458" s="123"/>
      <c r="J458" s="150">
        <v>45616</v>
      </c>
      <c r="K458" s="161">
        <f t="shared" si="26"/>
        <v>95.64800000000001</v>
      </c>
      <c r="L458" s="161"/>
      <c r="M458" s="17"/>
      <c r="N458" s="42"/>
      <c r="O458" s="42"/>
    </row>
    <row r="459" spans="1:15" ht="18" customHeight="1">
      <c r="A459" s="21" t="s">
        <v>3726</v>
      </c>
      <c r="B459" s="28" t="s">
        <v>1598</v>
      </c>
      <c r="C459" s="28" t="s">
        <v>3725</v>
      </c>
      <c r="D459" s="28" t="s">
        <v>1905</v>
      </c>
      <c r="E459" s="28">
        <v>1.22</v>
      </c>
      <c r="F459" s="28">
        <v>169</v>
      </c>
      <c r="G459" s="28"/>
      <c r="H459" s="28">
        <v>1.5</v>
      </c>
      <c r="I459" s="28"/>
      <c r="J459" s="133">
        <v>45545</v>
      </c>
      <c r="K459" s="9">
        <f t="shared" si="26"/>
        <v>309.27</v>
      </c>
      <c r="L459" s="9"/>
      <c r="M459" s="155"/>
      <c r="N459" s="9">
        <f>G459*H459*I459*E459</f>
        <v>0</v>
      </c>
      <c r="O459" s="3">
        <f>K459*1.6667</f>
        <v>515.46030899999994</v>
      </c>
    </row>
    <row r="460" spans="1:15" ht="18" customHeight="1">
      <c r="A460" s="263" t="s">
        <v>1970</v>
      </c>
      <c r="B460" s="93" t="s">
        <v>3906</v>
      </c>
      <c r="C460" s="93" t="s">
        <v>91</v>
      </c>
      <c r="D460" s="93" t="s">
        <v>3359</v>
      </c>
      <c r="E460" s="93">
        <v>1.22</v>
      </c>
      <c r="F460" s="93">
        <v>84.31</v>
      </c>
      <c r="G460" s="316"/>
      <c r="H460" s="93">
        <v>1.6</v>
      </c>
      <c r="I460" s="316"/>
      <c r="J460" s="146">
        <v>45614</v>
      </c>
      <c r="K460" s="33">
        <f t="shared" si="26"/>
        <v>164.57312000000002</v>
      </c>
      <c r="L460" s="33"/>
      <c r="M460" s="281"/>
      <c r="N460" s="9"/>
      <c r="O460" s="16"/>
    </row>
    <row r="461" spans="1:15" ht="18" customHeight="1">
      <c r="A461" s="16"/>
      <c r="B461" s="28" t="s">
        <v>4239</v>
      </c>
      <c r="C461" s="28" t="s">
        <v>587</v>
      </c>
      <c r="D461" s="110" t="s">
        <v>4240</v>
      </c>
      <c r="E461" s="28">
        <v>1.22</v>
      </c>
      <c r="F461" s="87">
        <v>172.13</v>
      </c>
      <c r="G461" s="110"/>
      <c r="H461" s="87">
        <v>1.35</v>
      </c>
      <c r="I461" s="110"/>
      <c r="J461" s="134">
        <v>45790</v>
      </c>
      <c r="K461" s="37">
        <f t="shared" si="26"/>
        <v>283.49811</v>
      </c>
      <c r="L461" s="37"/>
      <c r="M461" s="17"/>
      <c r="N461" s="157"/>
      <c r="O461" s="16"/>
    </row>
    <row r="462" spans="1:15" ht="18" customHeight="1">
      <c r="A462" s="16"/>
      <c r="B462" s="28" t="s">
        <v>4239</v>
      </c>
      <c r="C462" s="28" t="s">
        <v>91</v>
      </c>
      <c r="D462" s="110" t="s">
        <v>4240</v>
      </c>
      <c r="E462" s="28">
        <v>1.22</v>
      </c>
      <c r="F462" s="87">
        <v>240</v>
      </c>
      <c r="G462" s="110"/>
      <c r="H462" s="87">
        <v>1.35</v>
      </c>
      <c r="I462" s="110"/>
      <c r="J462" s="134">
        <v>45790</v>
      </c>
      <c r="K462" s="37">
        <f t="shared" si="26"/>
        <v>395.28000000000003</v>
      </c>
      <c r="L462" s="37"/>
      <c r="M462" s="17"/>
      <c r="N462" s="157"/>
      <c r="O462" s="16"/>
    </row>
    <row r="463" spans="1:15" ht="18" customHeight="1">
      <c r="A463" s="23" t="s">
        <v>790</v>
      </c>
      <c r="B463" s="96" t="s">
        <v>782</v>
      </c>
      <c r="C463" s="96" t="s">
        <v>91</v>
      </c>
      <c r="D463" s="96" t="s">
        <v>34</v>
      </c>
      <c r="E463" s="96">
        <v>1.22</v>
      </c>
      <c r="F463" s="96">
        <v>517</v>
      </c>
      <c r="G463" s="96"/>
      <c r="H463" s="96">
        <v>1.4</v>
      </c>
      <c r="I463" s="96"/>
      <c r="J463" s="164">
        <v>45449</v>
      </c>
      <c r="K463" s="12">
        <f t="shared" si="26"/>
        <v>883.03599999999994</v>
      </c>
      <c r="L463" s="12"/>
      <c r="M463" s="12"/>
      <c r="N463" s="9">
        <f>G463*H463*I463*E463</f>
        <v>0</v>
      </c>
      <c r="O463" s="3">
        <f>K463*1.6667</f>
        <v>1471.7561011999999</v>
      </c>
    </row>
    <row r="464" spans="1:15" ht="18" customHeight="1">
      <c r="A464" s="21">
        <v>127</v>
      </c>
      <c r="B464" s="28" t="s">
        <v>782</v>
      </c>
      <c r="C464" s="28" t="s">
        <v>779</v>
      </c>
      <c r="D464" s="28" t="s">
        <v>34</v>
      </c>
      <c r="E464" s="28">
        <v>1.22</v>
      </c>
      <c r="F464" s="28">
        <v>285</v>
      </c>
      <c r="G464" s="28"/>
      <c r="H464" s="28">
        <v>1.4</v>
      </c>
      <c r="I464" s="28"/>
      <c r="J464" s="133">
        <v>45449</v>
      </c>
      <c r="K464" s="9">
        <f t="shared" si="26"/>
        <v>486.78</v>
      </c>
      <c r="L464" s="9"/>
      <c r="M464" s="9"/>
      <c r="N464" s="59">
        <f>G464*H464*I464*E464</f>
        <v>0</v>
      </c>
      <c r="O464" s="3">
        <f>K464*1.6667</f>
        <v>811.31622600000003</v>
      </c>
    </row>
    <row r="465" spans="1:15" ht="18" customHeight="1">
      <c r="A465" s="20">
        <v>1108</v>
      </c>
      <c r="B465" s="85" t="s">
        <v>782</v>
      </c>
      <c r="C465" s="85" t="s">
        <v>205</v>
      </c>
      <c r="D465" s="85" t="s">
        <v>34</v>
      </c>
      <c r="E465" s="85">
        <v>1.22</v>
      </c>
      <c r="F465" s="85">
        <v>158</v>
      </c>
      <c r="G465" s="85"/>
      <c r="H465" s="85">
        <v>1.4</v>
      </c>
      <c r="I465" s="85"/>
      <c r="J465" s="131">
        <v>45504</v>
      </c>
      <c r="K465" s="10">
        <f t="shared" si="26"/>
        <v>269.86399999999998</v>
      </c>
      <c r="L465" s="10"/>
      <c r="M465" s="10"/>
      <c r="N465" s="9">
        <f>G465*H465*I465*E465</f>
        <v>0</v>
      </c>
      <c r="O465" s="3">
        <f>K465*1.6667</f>
        <v>449.78232879999996</v>
      </c>
    </row>
    <row r="466" spans="1:15" ht="18" customHeight="1">
      <c r="A466" s="22">
        <v>0</v>
      </c>
      <c r="B466" s="28" t="s">
        <v>3905</v>
      </c>
      <c r="C466" s="28" t="s">
        <v>587</v>
      </c>
      <c r="D466" s="28" t="s">
        <v>3359</v>
      </c>
      <c r="E466" s="28">
        <v>1.22</v>
      </c>
      <c r="F466" s="28">
        <v>63.21</v>
      </c>
      <c r="G466" s="81"/>
      <c r="H466" s="28">
        <v>1.6</v>
      </c>
      <c r="I466" s="81"/>
      <c r="J466" s="133">
        <v>45614</v>
      </c>
      <c r="K466" s="9">
        <f t="shared" si="26"/>
        <v>123.38592000000001</v>
      </c>
      <c r="L466" s="9"/>
      <c r="M466" s="9"/>
      <c r="N466" s="9"/>
      <c r="O466" s="16"/>
    </row>
    <row r="467" spans="1:15" ht="18" customHeight="1">
      <c r="A467" s="21" t="s">
        <v>1567</v>
      </c>
      <c r="B467" s="28" t="s">
        <v>1568</v>
      </c>
      <c r="C467" s="28"/>
      <c r="D467" s="28" t="s">
        <v>3301</v>
      </c>
      <c r="E467" s="28">
        <v>1.22</v>
      </c>
      <c r="F467" s="28">
        <v>435</v>
      </c>
      <c r="G467" s="28"/>
      <c r="H467" s="28">
        <v>2</v>
      </c>
      <c r="I467" s="28"/>
      <c r="J467" s="133">
        <v>43900</v>
      </c>
      <c r="K467" s="9">
        <f t="shared" si="26"/>
        <v>1061.3999999999999</v>
      </c>
      <c r="L467" s="9"/>
      <c r="M467" s="9"/>
      <c r="N467" s="9">
        <f>G467*H467*I467*E467</f>
        <v>0</v>
      </c>
      <c r="O467" s="3">
        <f>K467*1.6667</f>
        <v>1769.0353799999998</v>
      </c>
    </row>
    <row r="468" spans="1:15" ht="18" customHeight="1">
      <c r="A468" s="21">
        <v>1311</v>
      </c>
      <c r="B468" s="28" t="s">
        <v>769</v>
      </c>
      <c r="C468" s="28" t="s">
        <v>133</v>
      </c>
      <c r="D468" s="28" t="s">
        <v>17</v>
      </c>
      <c r="E468" s="28">
        <v>1.22</v>
      </c>
      <c r="F468" s="28">
        <v>100.56</v>
      </c>
      <c r="G468" s="28">
        <v>1.1000000000000001</v>
      </c>
      <c r="H468" s="28">
        <v>1.45</v>
      </c>
      <c r="I468" s="28">
        <v>0</v>
      </c>
      <c r="J468" s="133">
        <v>45678</v>
      </c>
      <c r="K468" s="9">
        <f>+E468*F468*G468*H468</f>
        <v>195.67970400000002</v>
      </c>
      <c r="L468" s="9"/>
      <c r="M468" s="9"/>
      <c r="N468" s="9">
        <f>G468*H468*I468*E468</f>
        <v>0</v>
      </c>
      <c r="O468" s="3">
        <f>K468*1.6667</f>
        <v>326.13936265680002</v>
      </c>
    </row>
    <row r="469" spans="1:15" ht="18" customHeight="1">
      <c r="A469" s="21">
        <v>1313</v>
      </c>
      <c r="B469" s="28" t="s">
        <v>569</v>
      </c>
      <c r="C469" s="28" t="s">
        <v>568</v>
      </c>
      <c r="D469" s="28" t="s">
        <v>17</v>
      </c>
      <c r="E469" s="28">
        <v>1.22</v>
      </c>
      <c r="F469" s="28">
        <v>0</v>
      </c>
      <c r="G469" s="28">
        <v>1.1000000000000001</v>
      </c>
      <c r="H469" s="28">
        <v>1.45</v>
      </c>
      <c r="I469" s="28"/>
      <c r="J469" s="133">
        <v>45006</v>
      </c>
      <c r="K469" s="9">
        <f>+E469*F469*G469*H469</f>
        <v>0</v>
      </c>
      <c r="L469" s="9"/>
      <c r="M469" s="9"/>
      <c r="N469" s="9">
        <f>G469*H469*I469*E469</f>
        <v>0</v>
      </c>
      <c r="O469" s="3">
        <f>K469*1.6667</f>
        <v>0</v>
      </c>
    </row>
    <row r="470" spans="1:15" ht="18" customHeight="1">
      <c r="A470" s="21" t="s">
        <v>3732</v>
      </c>
      <c r="B470" s="28" t="s">
        <v>3733</v>
      </c>
      <c r="C470" s="28">
        <v>0</v>
      </c>
      <c r="D470" s="28" t="s">
        <v>1905</v>
      </c>
      <c r="E470" s="28">
        <v>1</v>
      </c>
      <c r="F470" s="28">
        <v>165</v>
      </c>
      <c r="G470" s="28"/>
      <c r="H470" s="28">
        <v>1.8</v>
      </c>
      <c r="I470" s="28"/>
      <c r="J470" s="133">
        <v>45545</v>
      </c>
      <c r="K470" s="9">
        <f t="shared" ref="K470:K493" si="27">E470*F470*H470</f>
        <v>297</v>
      </c>
      <c r="L470" s="9"/>
      <c r="M470" s="9"/>
      <c r="N470" s="9">
        <f>G470*H470*I470*E470</f>
        <v>0</v>
      </c>
      <c r="O470" s="3">
        <f>K470*1.6667</f>
        <v>495.00990000000002</v>
      </c>
    </row>
    <row r="471" spans="1:15" ht="18" customHeight="1">
      <c r="A471" s="21">
        <v>44</v>
      </c>
      <c r="B471" s="28" t="s">
        <v>2463</v>
      </c>
      <c r="C471" s="28" t="s">
        <v>60</v>
      </c>
      <c r="D471" s="28" t="s">
        <v>17</v>
      </c>
      <c r="E471" s="28">
        <v>1.22</v>
      </c>
      <c r="F471" s="28">
        <v>108.13</v>
      </c>
      <c r="G471" s="28"/>
      <c r="H471" s="28">
        <v>1.6</v>
      </c>
      <c r="I471" s="28"/>
      <c r="J471" s="133">
        <v>45680</v>
      </c>
      <c r="K471" s="9">
        <f t="shared" si="27"/>
        <v>211.06976</v>
      </c>
      <c r="L471" s="9"/>
      <c r="M471" s="9"/>
      <c r="N471" s="9">
        <f>G471*H471*I471*E471</f>
        <v>0</v>
      </c>
      <c r="O471" s="3">
        <f>K471*1.6667</f>
        <v>351.78996899200001</v>
      </c>
    </row>
    <row r="472" spans="1:15" ht="18" customHeight="1">
      <c r="A472" s="45">
        <v>2999</v>
      </c>
      <c r="B472" s="88" t="s">
        <v>1649</v>
      </c>
      <c r="C472" s="80" t="s">
        <v>1650</v>
      </c>
      <c r="D472" s="28" t="s">
        <v>451</v>
      </c>
      <c r="E472" s="28">
        <v>1.22</v>
      </c>
      <c r="F472" s="88">
        <v>128.78</v>
      </c>
      <c r="G472" s="136"/>
      <c r="H472" s="28">
        <v>1.4</v>
      </c>
      <c r="I472" s="136"/>
      <c r="J472" s="137">
        <v>43956</v>
      </c>
      <c r="K472" s="9">
        <f t="shared" si="27"/>
        <v>219.95624000000001</v>
      </c>
      <c r="L472" s="9"/>
      <c r="M472" s="46"/>
      <c r="N472" s="45"/>
      <c r="O472" s="45"/>
    </row>
    <row r="473" spans="1:15" ht="18" customHeight="1">
      <c r="A473" s="44">
        <v>3236</v>
      </c>
      <c r="B473" s="92" t="s">
        <v>1658</v>
      </c>
      <c r="C473" s="113"/>
      <c r="D473" s="28" t="s">
        <v>451</v>
      </c>
      <c r="E473" s="28">
        <v>1.22</v>
      </c>
      <c r="F473" s="92">
        <v>121.87</v>
      </c>
      <c r="G473" s="113"/>
      <c r="H473" s="28">
        <v>1.4</v>
      </c>
      <c r="I473" s="113"/>
      <c r="J473" s="137">
        <v>43956</v>
      </c>
      <c r="K473" s="9">
        <f t="shared" si="27"/>
        <v>208.15395999999998</v>
      </c>
      <c r="L473" s="9"/>
      <c r="M473" s="17"/>
      <c r="N473" s="44"/>
      <c r="O473" s="44"/>
    </row>
    <row r="474" spans="1:15" ht="18" customHeight="1">
      <c r="A474" s="46" t="s">
        <v>3024</v>
      </c>
      <c r="B474" s="80" t="s">
        <v>3025</v>
      </c>
      <c r="C474" s="79">
        <v>0</v>
      </c>
      <c r="D474" s="28" t="s">
        <v>451</v>
      </c>
      <c r="E474" s="28">
        <v>1.22</v>
      </c>
      <c r="F474" s="80">
        <v>205.01</v>
      </c>
      <c r="G474" s="110"/>
      <c r="H474" s="28">
        <v>1.4</v>
      </c>
      <c r="I474" s="110"/>
      <c r="J474" s="134">
        <v>45055</v>
      </c>
      <c r="K474" s="9">
        <f t="shared" si="27"/>
        <v>350.15707999999995</v>
      </c>
      <c r="L474" s="9"/>
      <c r="M474" s="17"/>
      <c r="N474" s="16"/>
      <c r="O474" s="16"/>
    </row>
    <row r="475" spans="1:15" ht="18" customHeight="1">
      <c r="A475" s="21" t="s">
        <v>2046</v>
      </c>
      <c r="B475" s="28" t="s">
        <v>2047</v>
      </c>
      <c r="C475" s="110"/>
      <c r="D475" s="28" t="s">
        <v>451</v>
      </c>
      <c r="E475" s="28">
        <v>1.22</v>
      </c>
      <c r="F475" s="28">
        <v>1572</v>
      </c>
      <c r="G475" s="110"/>
      <c r="H475" s="28">
        <v>1.3</v>
      </c>
      <c r="I475" s="110"/>
      <c r="J475" s="135">
        <v>44239</v>
      </c>
      <c r="K475" s="9">
        <f t="shared" si="27"/>
        <v>2493.192</v>
      </c>
      <c r="L475" s="9"/>
      <c r="M475" s="9"/>
      <c r="N475" s="16"/>
      <c r="O475" s="16"/>
    </row>
    <row r="476" spans="1:15" ht="18" customHeight="1">
      <c r="A476" s="21" t="s">
        <v>3029</v>
      </c>
      <c r="B476" s="28" t="s">
        <v>3030</v>
      </c>
      <c r="C476" s="28" t="s">
        <v>131</v>
      </c>
      <c r="D476" s="28" t="s">
        <v>451</v>
      </c>
      <c r="E476" s="28">
        <v>1.22</v>
      </c>
      <c r="F476" s="28">
        <v>896</v>
      </c>
      <c r="G476" s="28"/>
      <c r="H476" s="28">
        <v>1.3</v>
      </c>
      <c r="I476" s="28"/>
      <c r="J476" s="133">
        <v>45055</v>
      </c>
      <c r="K476" s="9">
        <f t="shared" si="27"/>
        <v>1421.0559999999998</v>
      </c>
      <c r="L476" s="9"/>
      <c r="M476" s="9"/>
      <c r="N476" s="9"/>
      <c r="O476" s="3"/>
    </row>
    <row r="477" spans="1:15" ht="18" customHeight="1">
      <c r="A477" s="21" t="s">
        <v>3029</v>
      </c>
      <c r="B477" s="28" t="s">
        <v>3030</v>
      </c>
      <c r="C477" s="28" t="s">
        <v>3031</v>
      </c>
      <c r="D477" s="28" t="s">
        <v>451</v>
      </c>
      <c r="E477" s="28">
        <v>1.22</v>
      </c>
      <c r="F477" s="28">
        <v>650</v>
      </c>
      <c r="G477" s="28"/>
      <c r="H477" s="28">
        <v>1.3</v>
      </c>
      <c r="I477" s="28"/>
      <c r="J477" s="133">
        <v>45055</v>
      </c>
      <c r="K477" s="9">
        <f t="shared" si="27"/>
        <v>1030.9000000000001</v>
      </c>
      <c r="L477" s="9"/>
      <c r="M477" s="9"/>
      <c r="N477" s="9"/>
      <c r="O477" s="3"/>
    </row>
    <row r="478" spans="1:15" ht="18" customHeight="1">
      <c r="A478" s="21" t="s">
        <v>3029</v>
      </c>
      <c r="B478" s="28" t="s">
        <v>3030</v>
      </c>
      <c r="C478" s="28" t="s">
        <v>130</v>
      </c>
      <c r="D478" s="28" t="s">
        <v>451</v>
      </c>
      <c r="E478" s="28">
        <v>1.22</v>
      </c>
      <c r="F478" s="28">
        <v>444</v>
      </c>
      <c r="G478" s="28"/>
      <c r="H478" s="28">
        <v>1.3</v>
      </c>
      <c r="I478" s="28"/>
      <c r="J478" s="133">
        <v>45055</v>
      </c>
      <c r="K478" s="9">
        <f t="shared" si="27"/>
        <v>704.18399999999997</v>
      </c>
      <c r="L478" s="9"/>
      <c r="M478" s="9"/>
      <c r="N478" s="9"/>
      <c r="O478" s="3"/>
    </row>
    <row r="479" spans="1:15" ht="18" customHeight="1">
      <c r="A479" s="21">
        <v>100</v>
      </c>
      <c r="B479" s="28" t="s">
        <v>2596</v>
      </c>
      <c r="C479" s="28" t="s">
        <v>2597</v>
      </c>
      <c r="D479" s="28" t="s">
        <v>451</v>
      </c>
      <c r="E479" s="28">
        <v>1.22</v>
      </c>
      <c r="F479" s="28">
        <v>896</v>
      </c>
      <c r="G479" s="28"/>
      <c r="H479" s="28">
        <v>1.3</v>
      </c>
      <c r="I479" s="28"/>
      <c r="J479" s="133">
        <v>44734</v>
      </c>
      <c r="K479" s="9">
        <f t="shared" si="27"/>
        <v>1421.0559999999998</v>
      </c>
      <c r="L479" s="9"/>
      <c r="M479" s="9"/>
      <c r="N479" s="9">
        <f>G479*H479*I479*E479</f>
        <v>0</v>
      </c>
      <c r="O479" s="3">
        <f>K479*1.6667</f>
        <v>2368.4740351999999</v>
      </c>
    </row>
    <row r="480" spans="1:15" ht="18" customHeight="1">
      <c r="A480" s="16">
        <v>100</v>
      </c>
      <c r="B480" s="87" t="s">
        <v>3511</v>
      </c>
      <c r="C480" s="110" t="s">
        <v>3512</v>
      </c>
      <c r="D480" s="28" t="s">
        <v>1983</v>
      </c>
      <c r="E480" s="28">
        <v>1.22</v>
      </c>
      <c r="F480" s="87">
        <v>734</v>
      </c>
      <c r="G480" s="110"/>
      <c r="H480" s="28">
        <v>1.6</v>
      </c>
      <c r="I480" s="110"/>
      <c r="J480" s="135">
        <v>45450</v>
      </c>
      <c r="K480" s="9">
        <f t="shared" si="27"/>
        <v>1432.768</v>
      </c>
      <c r="L480" s="37"/>
      <c r="M480" s="17"/>
      <c r="N480" s="16"/>
      <c r="O480" s="16"/>
    </row>
    <row r="481" spans="1:15" ht="18" customHeight="1">
      <c r="A481" s="16">
        <v>101</v>
      </c>
      <c r="B481" s="87" t="s">
        <v>3513</v>
      </c>
      <c r="C481" s="110" t="s">
        <v>3514</v>
      </c>
      <c r="D481" s="28" t="s">
        <v>1983</v>
      </c>
      <c r="E481" s="28">
        <v>1.22</v>
      </c>
      <c r="F481" s="87">
        <v>885</v>
      </c>
      <c r="G481" s="110"/>
      <c r="H481" s="28">
        <v>1.6</v>
      </c>
      <c r="I481" s="110"/>
      <c r="J481" s="135">
        <v>45450</v>
      </c>
      <c r="K481" s="9">
        <f t="shared" si="27"/>
        <v>1727.5200000000002</v>
      </c>
      <c r="L481" s="37"/>
      <c r="M481" s="17"/>
      <c r="N481" s="16"/>
      <c r="O481" s="16"/>
    </row>
    <row r="482" spans="1:15" ht="18" customHeight="1">
      <c r="A482" s="21"/>
      <c r="B482" s="28" t="s">
        <v>2776</v>
      </c>
      <c r="C482" s="28" t="s">
        <v>2777</v>
      </c>
      <c r="D482" s="28" t="s">
        <v>7</v>
      </c>
      <c r="E482" s="28">
        <v>1</v>
      </c>
      <c r="F482" s="28">
        <v>377</v>
      </c>
      <c r="G482" s="28"/>
      <c r="H482" s="28">
        <v>1.3</v>
      </c>
      <c r="I482" s="28"/>
      <c r="J482" s="133">
        <v>45726</v>
      </c>
      <c r="K482" s="9">
        <f t="shared" si="27"/>
        <v>490.1</v>
      </c>
      <c r="L482" s="9"/>
      <c r="M482" s="9"/>
      <c r="N482" s="9">
        <f>G482*H482*I482*E482</f>
        <v>0</v>
      </c>
      <c r="O482" s="3">
        <f>K482*1.6667</f>
        <v>816.84967000000006</v>
      </c>
    </row>
    <row r="483" spans="1:15" ht="18" customHeight="1">
      <c r="A483" s="21" t="s">
        <v>3720</v>
      </c>
      <c r="B483" s="28" t="s">
        <v>3721</v>
      </c>
      <c r="C483" s="28" t="s">
        <v>3727</v>
      </c>
      <c r="D483" s="28" t="s">
        <v>1905</v>
      </c>
      <c r="E483" s="28">
        <v>1</v>
      </c>
      <c r="F483" s="28">
        <v>203.38</v>
      </c>
      <c r="G483" s="28"/>
      <c r="H483" s="28">
        <v>1.8</v>
      </c>
      <c r="I483" s="28"/>
      <c r="J483" s="133">
        <v>46003</v>
      </c>
      <c r="K483" s="9">
        <f t="shared" si="27"/>
        <v>366.084</v>
      </c>
      <c r="L483" s="9"/>
      <c r="M483" s="9"/>
      <c r="N483" s="9">
        <f>G483*H483*I483*E483</f>
        <v>0</v>
      </c>
      <c r="O483" s="3">
        <f>K483*1.6667</f>
        <v>610.15220280000005</v>
      </c>
    </row>
    <row r="484" spans="1:15" ht="18" customHeight="1">
      <c r="A484" s="21" t="s">
        <v>1585</v>
      </c>
      <c r="B484" s="28" t="s">
        <v>80</v>
      </c>
      <c r="C484" s="28"/>
      <c r="D484" s="28" t="s">
        <v>451</v>
      </c>
      <c r="E484" s="28">
        <v>1.22</v>
      </c>
      <c r="F484" s="28">
        <v>105</v>
      </c>
      <c r="G484" s="28"/>
      <c r="H484" s="28">
        <v>2</v>
      </c>
      <c r="I484" s="28"/>
      <c r="J484" s="133">
        <v>43900</v>
      </c>
      <c r="K484" s="9">
        <f t="shared" si="27"/>
        <v>256.2</v>
      </c>
      <c r="L484" s="9"/>
      <c r="M484" s="9"/>
      <c r="N484" s="9">
        <f>G484*H484*I484*E484</f>
        <v>0</v>
      </c>
      <c r="O484" s="3">
        <f>K484*1.6667</f>
        <v>427.00853999999998</v>
      </c>
    </row>
    <row r="485" spans="1:15" ht="18" hidden="1" customHeight="1">
      <c r="A485" s="21">
        <v>0</v>
      </c>
      <c r="B485" s="28" t="s">
        <v>3577</v>
      </c>
      <c r="C485" s="28" t="s">
        <v>691</v>
      </c>
      <c r="D485" s="28" t="s">
        <v>3322</v>
      </c>
      <c r="E485" s="28">
        <v>1.22</v>
      </c>
      <c r="F485" s="28">
        <v>1000</v>
      </c>
      <c r="G485" s="28"/>
      <c r="H485" s="28">
        <v>1.6</v>
      </c>
      <c r="I485" s="28"/>
      <c r="J485" s="133">
        <v>42816</v>
      </c>
      <c r="K485" s="9">
        <f t="shared" si="27"/>
        <v>1952</v>
      </c>
      <c r="L485" s="9"/>
      <c r="M485" s="9"/>
      <c r="N485" s="9">
        <f>G485*H485*I485*E485</f>
        <v>0</v>
      </c>
      <c r="O485" s="3">
        <f>K485*1.6667</f>
        <v>3253.3984</v>
      </c>
    </row>
    <row r="486" spans="1:15" ht="18" customHeight="1">
      <c r="A486" s="21" t="s">
        <v>3111</v>
      </c>
      <c r="B486" s="28" t="s">
        <v>3112</v>
      </c>
      <c r="C486" s="28" t="s">
        <v>91</v>
      </c>
      <c r="D486" s="28" t="s">
        <v>451</v>
      </c>
      <c r="E486" s="28">
        <v>1.22</v>
      </c>
      <c r="F486" s="28">
        <v>1350</v>
      </c>
      <c r="G486" s="28"/>
      <c r="H486" s="28">
        <v>1.5</v>
      </c>
      <c r="I486" s="28"/>
      <c r="J486" s="133">
        <v>45134</v>
      </c>
      <c r="K486" s="9">
        <f t="shared" si="27"/>
        <v>2470.5</v>
      </c>
      <c r="L486" s="9"/>
      <c r="M486" s="9"/>
      <c r="N486" s="9">
        <f>G486*H486*I486*E486</f>
        <v>0</v>
      </c>
      <c r="O486" s="3">
        <f>K486*1.6667</f>
        <v>4117.5823500000006</v>
      </c>
    </row>
    <row r="487" spans="1:15" ht="18" customHeight="1">
      <c r="A487" s="16"/>
      <c r="B487" s="87" t="s">
        <v>4078</v>
      </c>
      <c r="C487" s="110" t="s">
        <v>4079</v>
      </c>
      <c r="D487" s="28" t="s">
        <v>3324</v>
      </c>
      <c r="E487" s="28">
        <v>1.22</v>
      </c>
      <c r="F487" s="87">
        <v>65.010000000000005</v>
      </c>
      <c r="G487" s="110"/>
      <c r="H487" s="87">
        <v>1.6</v>
      </c>
      <c r="I487" s="110"/>
      <c r="J487" s="135">
        <v>45706</v>
      </c>
      <c r="K487" s="9">
        <f t="shared" si="27"/>
        <v>126.89952000000001</v>
      </c>
      <c r="L487" s="37"/>
      <c r="M487" s="17"/>
      <c r="N487" s="16"/>
      <c r="O487" s="16"/>
    </row>
    <row r="488" spans="1:15" ht="18" customHeight="1">
      <c r="A488" s="21">
        <v>288</v>
      </c>
      <c r="B488" s="28" t="s">
        <v>807</v>
      </c>
      <c r="C488" s="28" t="s">
        <v>254</v>
      </c>
      <c r="D488" s="28" t="s">
        <v>3322</v>
      </c>
      <c r="E488" s="28">
        <v>1.22</v>
      </c>
      <c r="F488" s="28">
        <v>56</v>
      </c>
      <c r="G488" s="28"/>
      <c r="H488" s="28">
        <v>1.6</v>
      </c>
      <c r="I488" s="28"/>
      <c r="J488" s="133">
        <v>43881</v>
      </c>
      <c r="K488" s="9">
        <f t="shared" si="27"/>
        <v>109.312</v>
      </c>
      <c r="L488" s="9"/>
      <c r="M488" s="9"/>
      <c r="N488" s="9">
        <f>G488*H488*I488*E488</f>
        <v>0</v>
      </c>
      <c r="O488" s="3">
        <f>K488*1.6667</f>
        <v>182.19031040000002</v>
      </c>
    </row>
    <row r="489" spans="1:15" ht="18" customHeight="1">
      <c r="A489" s="46" t="s">
        <v>4488</v>
      </c>
      <c r="B489" s="80" t="s">
        <v>807</v>
      </c>
      <c r="C489" s="80" t="s">
        <v>1839</v>
      </c>
      <c r="D489" s="28" t="s">
        <v>3322</v>
      </c>
      <c r="E489" s="80">
        <v>1.22</v>
      </c>
      <c r="F489" s="80">
        <v>29.9</v>
      </c>
      <c r="G489" s="113"/>
      <c r="H489" s="80">
        <v>1.6</v>
      </c>
      <c r="I489" s="113"/>
      <c r="J489" s="134">
        <v>44520</v>
      </c>
      <c r="K489" s="9">
        <f t="shared" si="27"/>
        <v>58.364799999999995</v>
      </c>
      <c r="L489" s="9"/>
      <c r="M489" s="17"/>
      <c r="N489" s="44"/>
      <c r="O489" s="44"/>
    </row>
    <row r="490" spans="1:15" ht="18" customHeight="1">
      <c r="A490" s="16"/>
      <c r="B490" s="87" t="s">
        <v>807</v>
      </c>
      <c r="C490" s="110" t="s">
        <v>3817</v>
      </c>
      <c r="D490" s="28" t="s">
        <v>3322</v>
      </c>
      <c r="E490" s="87">
        <v>1.22</v>
      </c>
      <c r="F490" s="87">
        <v>240</v>
      </c>
      <c r="G490" s="110"/>
      <c r="H490" s="87">
        <v>1.5</v>
      </c>
      <c r="I490" s="110"/>
      <c r="J490" s="133">
        <v>45635</v>
      </c>
      <c r="K490" s="9">
        <f t="shared" si="27"/>
        <v>439.20000000000005</v>
      </c>
      <c r="L490" s="37"/>
      <c r="M490" s="17"/>
      <c r="N490" s="16"/>
      <c r="O490" s="16"/>
    </row>
    <row r="491" spans="1:15" ht="18" customHeight="1">
      <c r="A491" s="21">
        <v>0</v>
      </c>
      <c r="B491" s="28" t="s">
        <v>807</v>
      </c>
      <c r="C491" s="28" t="s">
        <v>13</v>
      </c>
      <c r="D491" s="28" t="s">
        <v>3322</v>
      </c>
      <c r="E491" s="28">
        <v>1.22</v>
      </c>
      <c r="F491" s="28">
        <v>1107</v>
      </c>
      <c r="G491" s="28"/>
      <c r="H491" s="28">
        <v>1.1000000000000001</v>
      </c>
      <c r="I491" s="28">
        <v>1</v>
      </c>
      <c r="J491" s="133">
        <v>44907</v>
      </c>
      <c r="K491" s="9">
        <f t="shared" si="27"/>
        <v>1485.5940000000001</v>
      </c>
      <c r="L491" s="9"/>
      <c r="M491" s="9"/>
      <c r="N491" s="9">
        <f>G491*H491*I491*E491</f>
        <v>0</v>
      </c>
      <c r="O491" s="3">
        <f>K491*1.6667</f>
        <v>2476.0395198000001</v>
      </c>
    </row>
    <row r="492" spans="1:15" ht="18" customHeight="1">
      <c r="A492" s="44"/>
      <c r="B492" s="80" t="s">
        <v>807</v>
      </c>
      <c r="C492" s="113" t="s">
        <v>1852</v>
      </c>
      <c r="D492" s="28" t="s">
        <v>3882</v>
      </c>
      <c r="E492" s="92">
        <v>1.22</v>
      </c>
      <c r="F492" s="92">
        <v>73.5</v>
      </c>
      <c r="G492" s="113"/>
      <c r="H492" s="92">
        <v>1.4</v>
      </c>
      <c r="I492" s="113"/>
      <c r="J492" s="137">
        <v>44462</v>
      </c>
      <c r="K492" s="9">
        <f t="shared" si="27"/>
        <v>125.538</v>
      </c>
      <c r="L492" s="9"/>
      <c r="M492" s="17"/>
      <c r="N492" s="44"/>
      <c r="O492" s="44"/>
    </row>
    <row r="493" spans="1:15" ht="18" customHeight="1">
      <c r="A493" s="44"/>
      <c r="B493" s="92" t="s">
        <v>807</v>
      </c>
      <c r="C493" s="113" t="s">
        <v>1799</v>
      </c>
      <c r="D493" s="28" t="s">
        <v>3322</v>
      </c>
      <c r="E493" s="94">
        <v>1.22</v>
      </c>
      <c r="F493" s="92">
        <v>370</v>
      </c>
      <c r="G493" s="113"/>
      <c r="H493" s="92">
        <v>1.35</v>
      </c>
      <c r="I493" s="113"/>
      <c r="J493" s="141">
        <v>44177</v>
      </c>
      <c r="K493" s="9">
        <f t="shared" si="27"/>
        <v>609.39</v>
      </c>
      <c r="L493" s="9"/>
      <c r="M493" s="17"/>
      <c r="N493" s="44"/>
      <c r="O493" s="44"/>
    </row>
    <row r="494" spans="1:15" ht="18" customHeight="1">
      <c r="A494" s="16"/>
      <c r="B494" s="87" t="s">
        <v>4136</v>
      </c>
      <c r="C494" s="110"/>
      <c r="D494" s="28" t="s">
        <v>4135</v>
      </c>
      <c r="E494" s="87"/>
      <c r="F494" s="87">
        <v>150</v>
      </c>
      <c r="G494" s="110"/>
      <c r="H494" s="87"/>
      <c r="I494" s="110"/>
      <c r="J494" s="135">
        <v>45630</v>
      </c>
      <c r="K494" s="37"/>
      <c r="L494" s="37"/>
      <c r="M494" s="17"/>
      <c r="N494" s="16"/>
      <c r="O494" s="16"/>
    </row>
    <row r="495" spans="1:15" ht="18" customHeight="1">
      <c r="A495" s="16"/>
      <c r="B495" s="87" t="s">
        <v>4136</v>
      </c>
      <c r="C495" s="110"/>
      <c r="D495" s="28" t="s">
        <v>4135</v>
      </c>
      <c r="E495" s="87">
        <v>1.22</v>
      </c>
      <c r="F495" s="87">
        <v>59</v>
      </c>
      <c r="G495" s="110"/>
      <c r="H495" s="87">
        <v>1.8</v>
      </c>
      <c r="I495" s="110"/>
      <c r="J495" s="135">
        <v>45005</v>
      </c>
      <c r="K495" s="17">
        <f t="shared" ref="K495:K502" si="28">E495*F495*H495</f>
        <v>129.56400000000002</v>
      </c>
      <c r="L495" s="37"/>
      <c r="M495" s="17"/>
      <c r="N495" s="16"/>
      <c r="O495" s="16"/>
    </row>
    <row r="496" spans="1:15" ht="18" customHeight="1">
      <c r="A496" s="16"/>
      <c r="B496" s="87" t="s">
        <v>4136</v>
      </c>
      <c r="C496" s="110"/>
      <c r="D496" s="110" t="s">
        <v>4135</v>
      </c>
      <c r="E496" s="87">
        <v>1.22</v>
      </c>
      <c r="F496" s="87">
        <v>59</v>
      </c>
      <c r="G496" s="110"/>
      <c r="H496" s="87">
        <v>1.8</v>
      </c>
      <c r="I496" s="110"/>
      <c r="J496" s="135">
        <v>45301</v>
      </c>
      <c r="K496" s="9">
        <f t="shared" si="28"/>
        <v>129.56400000000002</v>
      </c>
      <c r="L496" s="37"/>
      <c r="M496" s="17"/>
      <c r="N496" s="16"/>
      <c r="O496" s="16"/>
    </row>
    <row r="497" spans="1:15" ht="18" customHeight="1">
      <c r="A497" s="16">
        <v>223</v>
      </c>
      <c r="B497" s="28" t="s">
        <v>807</v>
      </c>
      <c r="C497" s="110"/>
      <c r="D497" s="28" t="s">
        <v>3322</v>
      </c>
      <c r="E497" s="28">
        <v>1.22</v>
      </c>
      <c r="F497" s="28">
        <v>102</v>
      </c>
      <c r="G497" s="110"/>
      <c r="H497" s="28">
        <v>1.6</v>
      </c>
      <c r="I497" s="110"/>
      <c r="J497" s="137">
        <v>44270</v>
      </c>
      <c r="K497" s="9">
        <f t="shared" si="28"/>
        <v>199.10400000000001</v>
      </c>
      <c r="L497" s="9"/>
      <c r="M497" s="17"/>
      <c r="N497" s="16"/>
      <c r="O497" s="16"/>
    </row>
    <row r="498" spans="1:15" ht="18" customHeight="1">
      <c r="A498" s="16" t="s">
        <v>2040</v>
      </c>
      <c r="B498" s="90" t="s">
        <v>807</v>
      </c>
      <c r="C498" s="114">
        <v>24</v>
      </c>
      <c r="D498" s="28" t="s">
        <v>3322</v>
      </c>
      <c r="E498" s="28">
        <v>1.22</v>
      </c>
      <c r="F498" s="87">
        <v>157</v>
      </c>
      <c r="G498" s="110"/>
      <c r="H498" s="28">
        <v>1.5</v>
      </c>
      <c r="I498" s="110"/>
      <c r="J498" s="137">
        <v>44210</v>
      </c>
      <c r="K498" s="35">
        <f t="shared" si="28"/>
        <v>287.31</v>
      </c>
      <c r="L498" s="35"/>
      <c r="M498" s="17"/>
      <c r="N498" s="16"/>
      <c r="O498" s="16"/>
    </row>
    <row r="499" spans="1:15" ht="18" customHeight="1">
      <c r="A499" s="16"/>
      <c r="B499" s="89" t="s">
        <v>807</v>
      </c>
      <c r="C499" s="110"/>
      <c r="D499" s="28" t="s">
        <v>3322</v>
      </c>
      <c r="E499" s="28">
        <v>1.22</v>
      </c>
      <c r="F499" s="28">
        <v>730</v>
      </c>
      <c r="G499" s="110"/>
      <c r="H499" s="28">
        <v>1.8</v>
      </c>
      <c r="I499" s="110"/>
      <c r="J499" s="135">
        <v>45005</v>
      </c>
      <c r="K499" s="9">
        <f t="shared" si="28"/>
        <v>1603.0800000000002</v>
      </c>
      <c r="L499" s="37"/>
      <c r="M499" s="17"/>
      <c r="N499" s="16"/>
      <c r="O499" s="16"/>
    </row>
    <row r="500" spans="1:15" ht="18" customHeight="1">
      <c r="A500" s="25" t="s">
        <v>2030</v>
      </c>
      <c r="B500" s="90" t="s">
        <v>807</v>
      </c>
      <c r="C500" s="110"/>
      <c r="D500" s="28" t="s">
        <v>3322</v>
      </c>
      <c r="E500" s="28">
        <v>1.22</v>
      </c>
      <c r="F500" s="90">
        <v>102</v>
      </c>
      <c r="G500" s="110"/>
      <c r="H500" s="28">
        <v>1.5</v>
      </c>
      <c r="I500" s="110"/>
      <c r="J500" s="135">
        <v>44210</v>
      </c>
      <c r="K500" s="37">
        <f t="shared" si="28"/>
        <v>186.66</v>
      </c>
      <c r="L500" s="37"/>
      <c r="M500" s="17"/>
      <c r="N500" s="16"/>
      <c r="O500" s="16"/>
    </row>
    <row r="501" spans="1:15" ht="18" customHeight="1">
      <c r="A501" s="21"/>
      <c r="B501" s="28" t="s">
        <v>807</v>
      </c>
      <c r="C501" s="28" t="s">
        <v>15</v>
      </c>
      <c r="D501" s="28" t="s">
        <v>3322</v>
      </c>
      <c r="E501" s="28">
        <v>1.22</v>
      </c>
      <c r="F501" s="28">
        <v>310</v>
      </c>
      <c r="G501" s="28"/>
      <c r="H501" s="28">
        <v>1.3</v>
      </c>
      <c r="I501" s="28"/>
      <c r="J501" s="133">
        <v>43923</v>
      </c>
      <c r="K501" s="9">
        <f t="shared" si="28"/>
        <v>491.66</v>
      </c>
      <c r="L501" s="9"/>
      <c r="M501" s="9"/>
      <c r="N501" s="9">
        <f>G501*H501*I501*E501</f>
        <v>0</v>
      </c>
      <c r="O501" s="3">
        <f>K501*1.6667</f>
        <v>819.44972200000007</v>
      </c>
    </row>
    <row r="502" spans="1:15" ht="18" customHeight="1">
      <c r="A502" s="21">
        <v>202148</v>
      </c>
      <c r="B502" s="28" t="s">
        <v>807</v>
      </c>
      <c r="C502" s="28" t="s">
        <v>15</v>
      </c>
      <c r="D502" s="28" t="s">
        <v>3322</v>
      </c>
      <c r="E502" s="28">
        <v>1.22</v>
      </c>
      <c r="F502" s="28">
        <v>233.89</v>
      </c>
      <c r="G502" s="28">
        <v>0</v>
      </c>
      <c r="H502" s="28">
        <v>1.4</v>
      </c>
      <c r="I502" s="28">
        <v>45</v>
      </c>
      <c r="J502" s="133">
        <v>44939</v>
      </c>
      <c r="K502" s="9">
        <f t="shared" si="28"/>
        <v>399.48411999999996</v>
      </c>
      <c r="L502" s="9"/>
      <c r="M502" s="9"/>
      <c r="N502" s="9">
        <f>G502*H502*I502*E502</f>
        <v>0</v>
      </c>
      <c r="O502" s="3">
        <f>K502*1.6667</f>
        <v>665.82018280399996</v>
      </c>
    </row>
    <row r="503" spans="1:15" ht="18" customHeight="1">
      <c r="A503" s="21"/>
      <c r="B503" s="28" t="s">
        <v>807</v>
      </c>
      <c r="C503" s="28"/>
      <c r="D503" s="28" t="s">
        <v>3322</v>
      </c>
      <c r="E503" s="28"/>
      <c r="F503" s="28"/>
      <c r="G503" s="28"/>
      <c r="H503" s="28"/>
      <c r="I503" s="28"/>
      <c r="J503" s="133"/>
      <c r="K503" s="9">
        <v>108</v>
      </c>
      <c r="L503" s="9"/>
      <c r="M503" s="9"/>
      <c r="N503" s="9"/>
      <c r="O503" s="3"/>
    </row>
    <row r="504" spans="1:15" ht="18" customHeight="1">
      <c r="A504" s="21">
        <v>314100</v>
      </c>
      <c r="B504" s="28" t="s">
        <v>807</v>
      </c>
      <c r="C504" s="28" t="s">
        <v>15</v>
      </c>
      <c r="D504" s="28" t="s">
        <v>3322</v>
      </c>
      <c r="E504" s="28">
        <v>1</v>
      </c>
      <c r="F504" s="28">
        <v>143.82</v>
      </c>
      <c r="G504" s="28">
        <v>1</v>
      </c>
      <c r="H504" s="28">
        <v>1.6</v>
      </c>
      <c r="I504" s="28"/>
      <c r="J504" s="133">
        <v>44148</v>
      </c>
      <c r="K504" s="9">
        <f t="shared" ref="K504:K527" si="29">E504*F504*H504</f>
        <v>230.11199999999999</v>
      </c>
      <c r="L504" s="9"/>
      <c r="M504" s="9"/>
      <c r="N504" s="9">
        <f>G504*H504*I504*E504</f>
        <v>0</v>
      </c>
      <c r="O504" s="3">
        <f>K504*1.6667</f>
        <v>383.52767040000003</v>
      </c>
    </row>
    <row r="505" spans="1:15" ht="18" customHeight="1">
      <c r="A505" s="16"/>
      <c r="B505" s="28" t="s">
        <v>807</v>
      </c>
      <c r="C505" s="79" t="s">
        <v>3189</v>
      </c>
      <c r="D505" s="28" t="s">
        <v>3322</v>
      </c>
      <c r="E505" s="28">
        <v>1.22</v>
      </c>
      <c r="F505" s="28">
        <v>141.75</v>
      </c>
      <c r="G505" s="110">
        <v>0</v>
      </c>
      <c r="H505" s="28">
        <v>1.4</v>
      </c>
      <c r="I505" s="28">
        <v>44</v>
      </c>
      <c r="J505" s="134">
        <v>45227</v>
      </c>
      <c r="K505" s="9">
        <f t="shared" si="29"/>
        <v>242.10899999999998</v>
      </c>
      <c r="L505" s="9"/>
      <c r="M505" s="17"/>
      <c r="N505" s="16"/>
      <c r="O505" s="16"/>
    </row>
    <row r="506" spans="1:15" ht="18" customHeight="1">
      <c r="A506" s="21">
        <v>1523</v>
      </c>
      <c r="B506" s="28" t="s">
        <v>807</v>
      </c>
      <c r="C506" s="28" t="s">
        <v>1163</v>
      </c>
      <c r="D506" s="28" t="s">
        <v>3322</v>
      </c>
      <c r="E506" s="28">
        <v>1.22</v>
      </c>
      <c r="F506" s="28">
        <v>194</v>
      </c>
      <c r="G506" s="28"/>
      <c r="H506" s="28">
        <v>1.6</v>
      </c>
      <c r="I506" s="28"/>
      <c r="J506" s="133">
        <v>43956</v>
      </c>
      <c r="K506" s="9">
        <f t="shared" si="29"/>
        <v>378.68800000000005</v>
      </c>
      <c r="L506" s="9"/>
      <c r="M506" s="9"/>
      <c r="N506" s="9">
        <f>G506*H506*I506*E506</f>
        <v>0</v>
      </c>
      <c r="O506" s="3">
        <f>K506*1.6667</f>
        <v>631.15928960000008</v>
      </c>
    </row>
    <row r="507" spans="1:15" ht="18" hidden="1" customHeight="1">
      <c r="A507" s="16" t="s">
        <v>1401</v>
      </c>
      <c r="B507" s="87" t="s">
        <v>807</v>
      </c>
      <c r="C507" s="110"/>
      <c r="D507" s="28" t="s">
        <v>3322</v>
      </c>
      <c r="E507" s="87">
        <v>1.22</v>
      </c>
      <c r="F507" s="87">
        <v>77</v>
      </c>
      <c r="G507" s="110"/>
      <c r="H507" s="87">
        <v>1.6</v>
      </c>
      <c r="I507" s="110"/>
      <c r="J507" s="135">
        <v>43735</v>
      </c>
      <c r="K507" s="17">
        <f t="shared" si="29"/>
        <v>150.304</v>
      </c>
      <c r="L507" s="17"/>
      <c r="M507" s="17"/>
      <c r="N507" s="16"/>
      <c r="O507" s="16"/>
    </row>
    <row r="508" spans="1:15" ht="18" customHeight="1">
      <c r="A508" s="21" t="s">
        <v>2198</v>
      </c>
      <c r="B508" s="28" t="s">
        <v>807</v>
      </c>
      <c r="C508" s="28" t="s">
        <v>15</v>
      </c>
      <c r="D508" s="28" t="s">
        <v>3322</v>
      </c>
      <c r="E508" s="28">
        <v>1.22</v>
      </c>
      <c r="F508" s="28">
        <v>120.27</v>
      </c>
      <c r="G508" s="28"/>
      <c r="H508" s="28">
        <v>1.6</v>
      </c>
      <c r="I508" s="28"/>
      <c r="J508" s="133">
        <v>44378</v>
      </c>
      <c r="K508" s="9">
        <f t="shared" si="29"/>
        <v>234.76704000000001</v>
      </c>
      <c r="L508" s="9"/>
      <c r="M508" s="9"/>
      <c r="N508" s="9">
        <f>G508*H508*I508*E508</f>
        <v>0</v>
      </c>
      <c r="O508" s="3">
        <f>K508*1.6667</f>
        <v>391.28622556800002</v>
      </c>
    </row>
    <row r="509" spans="1:15" ht="18" customHeight="1">
      <c r="A509" s="16" t="s">
        <v>2073</v>
      </c>
      <c r="B509" s="87" t="s">
        <v>807</v>
      </c>
      <c r="C509" s="110" t="s">
        <v>2072</v>
      </c>
      <c r="D509" s="28" t="s">
        <v>3322</v>
      </c>
      <c r="E509" s="28">
        <v>1.22</v>
      </c>
      <c r="F509" s="80">
        <v>133</v>
      </c>
      <c r="G509" s="110"/>
      <c r="H509" s="28">
        <v>1.4</v>
      </c>
      <c r="I509" s="110"/>
      <c r="J509" s="135">
        <v>44249</v>
      </c>
      <c r="K509" s="9">
        <f t="shared" si="29"/>
        <v>227.16399999999996</v>
      </c>
      <c r="L509" s="9"/>
      <c r="M509" s="17"/>
      <c r="N509" s="16"/>
      <c r="O509" s="16"/>
    </row>
    <row r="510" spans="1:15" ht="18" customHeight="1">
      <c r="A510" s="21">
        <v>1547</v>
      </c>
      <c r="B510" s="93" t="s">
        <v>807</v>
      </c>
      <c r="C510" s="152" t="s">
        <v>1646</v>
      </c>
      <c r="D510" s="28" t="s">
        <v>3322</v>
      </c>
      <c r="E510" s="28">
        <v>1.22</v>
      </c>
      <c r="F510" s="88">
        <v>138.65</v>
      </c>
      <c r="G510" s="136"/>
      <c r="H510" s="28">
        <v>1.4</v>
      </c>
      <c r="I510" s="136"/>
      <c r="J510" s="137">
        <v>44227</v>
      </c>
      <c r="K510" s="33">
        <f t="shared" si="29"/>
        <v>236.81419999999997</v>
      </c>
      <c r="L510" s="33"/>
      <c r="M510" s="46"/>
      <c r="N510" s="45"/>
      <c r="O510" s="45"/>
    </row>
    <row r="511" spans="1:15" ht="18" customHeight="1">
      <c r="A511" s="61" t="s">
        <v>1571</v>
      </c>
      <c r="B511" s="28" t="s">
        <v>807</v>
      </c>
      <c r="C511" s="28"/>
      <c r="D511" s="28" t="s">
        <v>3322</v>
      </c>
      <c r="E511" s="28">
        <v>1.22</v>
      </c>
      <c r="F511" s="28">
        <v>135</v>
      </c>
      <c r="G511" s="28"/>
      <c r="H511" s="28">
        <v>2</v>
      </c>
      <c r="I511" s="28"/>
      <c r="J511" s="189">
        <v>43900</v>
      </c>
      <c r="K511" s="9">
        <f t="shared" si="29"/>
        <v>329.4</v>
      </c>
      <c r="L511" s="59"/>
      <c r="M511" s="59"/>
      <c r="N511" s="9">
        <f t="shared" ref="N511:N516" si="30">G511*H511*I511*E511</f>
        <v>0</v>
      </c>
      <c r="O511" s="3">
        <f t="shared" ref="O511:O516" si="31">K511*1.6667</f>
        <v>549.01098000000002</v>
      </c>
    </row>
    <row r="512" spans="1:15" ht="18" customHeight="1">
      <c r="A512" s="21">
        <v>0</v>
      </c>
      <c r="B512" s="85" t="s">
        <v>807</v>
      </c>
      <c r="C512" s="85" t="s">
        <v>3238</v>
      </c>
      <c r="D512" s="28" t="s">
        <v>3322</v>
      </c>
      <c r="E512" s="28">
        <v>1.22</v>
      </c>
      <c r="F512" s="28">
        <v>92</v>
      </c>
      <c r="G512" s="28"/>
      <c r="H512" s="28">
        <v>1.6</v>
      </c>
      <c r="I512" s="28"/>
      <c r="J512" s="133">
        <v>45241</v>
      </c>
      <c r="K512" s="10">
        <f t="shared" si="29"/>
        <v>179.584</v>
      </c>
      <c r="L512" s="10"/>
      <c r="M512" s="9"/>
      <c r="N512" s="9">
        <f t="shared" si="30"/>
        <v>0</v>
      </c>
      <c r="O512" s="3">
        <f t="shared" si="31"/>
        <v>299.31265280000002</v>
      </c>
    </row>
    <row r="513" spans="1:15" ht="18" customHeight="1">
      <c r="A513" s="21" t="s">
        <v>884</v>
      </c>
      <c r="B513" s="28" t="s">
        <v>807</v>
      </c>
      <c r="C513" s="28" t="s">
        <v>254</v>
      </c>
      <c r="D513" s="28" t="s">
        <v>3322</v>
      </c>
      <c r="E513" s="28">
        <v>1.22</v>
      </c>
      <c r="F513" s="28">
        <v>12</v>
      </c>
      <c r="G513" s="28"/>
      <c r="H513" s="28">
        <v>2.4</v>
      </c>
      <c r="I513" s="28"/>
      <c r="J513" s="133">
        <v>44853</v>
      </c>
      <c r="K513" s="9">
        <f t="shared" si="29"/>
        <v>35.136000000000003</v>
      </c>
      <c r="L513" s="9"/>
      <c r="M513" s="9"/>
      <c r="N513" s="9">
        <f t="shared" si="30"/>
        <v>0</v>
      </c>
      <c r="O513" s="3">
        <f t="shared" si="31"/>
        <v>58.561171200000004</v>
      </c>
    </row>
    <row r="514" spans="1:15" ht="18" customHeight="1">
      <c r="A514" s="21" t="s">
        <v>2249</v>
      </c>
      <c r="B514" s="28" t="s">
        <v>807</v>
      </c>
      <c r="C514" s="28">
        <v>2</v>
      </c>
      <c r="D514" s="28" t="s">
        <v>3322</v>
      </c>
      <c r="E514" s="28">
        <v>1.22</v>
      </c>
      <c r="F514" s="28">
        <v>23.88</v>
      </c>
      <c r="G514" s="28"/>
      <c r="H514" s="28">
        <v>1.6</v>
      </c>
      <c r="I514" s="28"/>
      <c r="J514" s="133">
        <v>44459</v>
      </c>
      <c r="K514" s="9">
        <f t="shared" si="29"/>
        <v>46.613759999999999</v>
      </c>
      <c r="L514" s="9"/>
      <c r="M514" s="9"/>
      <c r="N514" s="9">
        <f t="shared" si="30"/>
        <v>0</v>
      </c>
      <c r="O514" s="3">
        <f t="shared" si="31"/>
        <v>77.691153792000009</v>
      </c>
    </row>
    <row r="515" spans="1:15" ht="18" hidden="1" customHeight="1">
      <c r="A515" s="21"/>
      <c r="B515" s="28" t="s">
        <v>807</v>
      </c>
      <c r="C515" s="28" t="s">
        <v>472</v>
      </c>
      <c r="D515" s="28" t="s">
        <v>3322</v>
      </c>
      <c r="E515" s="28">
        <v>1.22</v>
      </c>
      <c r="F515" s="28">
        <v>70</v>
      </c>
      <c r="G515" s="28"/>
      <c r="H515" s="28">
        <v>1.6</v>
      </c>
      <c r="I515" s="28"/>
      <c r="J515" s="133">
        <v>43758</v>
      </c>
      <c r="K515" s="9">
        <f t="shared" si="29"/>
        <v>136.63999999999999</v>
      </c>
      <c r="L515" s="9"/>
      <c r="M515" s="9"/>
      <c r="N515" s="9">
        <f t="shared" si="30"/>
        <v>0</v>
      </c>
      <c r="O515" s="3">
        <f t="shared" si="31"/>
        <v>227.737888</v>
      </c>
    </row>
    <row r="516" spans="1:15" ht="18" customHeight="1">
      <c r="A516" s="21"/>
      <c r="B516" s="28" t="s">
        <v>807</v>
      </c>
      <c r="C516" s="28" t="s">
        <v>473</v>
      </c>
      <c r="D516" s="28" t="s">
        <v>3322</v>
      </c>
      <c r="E516" s="28">
        <v>1.22</v>
      </c>
      <c r="F516" s="28">
        <v>125</v>
      </c>
      <c r="G516" s="28"/>
      <c r="H516" s="28">
        <v>1.6</v>
      </c>
      <c r="I516" s="28"/>
      <c r="J516" s="133">
        <v>44125</v>
      </c>
      <c r="K516" s="9">
        <f t="shared" si="29"/>
        <v>244</v>
      </c>
      <c r="L516" s="9"/>
      <c r="M516" s="9"/>
      <c r="N516" s="9">
        <f t="shared" si="30"/>
        <v>0</v>
      </c>
      <c r="O516" s="3">
        <f t="shared" si="31"/>
        <v>406.6748</v>
      </c>
    </row>
    <row r="517" spans="1:15" ht="18" customHeight="1">
      <c r="A517" s="44" t="s">
        <v>1735</v>
      </c>
      <c r="B517" s="92" t="s">
        <v>807</v>
      </c>
      <c r="C517" s="113"/>
      <c r="D517" s="28" t="s">
        <v>3322</v>
      </c>
      <c r="E517" s="92">
        <v>1.22</v>
      </c>
      <c r="F517" s="92">
        <v>179.9</v>
      </c>
      <c r="G517" s="113"/>
      <c r="H517" s="92">
        <v>1.8</v>
      </c>
      <c r="I517" s="113"/>
      <c r="J517" s="141">
        <v>43983</v>
      </c>
      <c r="K517" s="9">
        <f t="shared" si="29"/>
        <v>395.06040000000002</v>
      </c>
      <c r="L517" s="9"/>
      <c r="M517" s="17"/>
      <c r="N517" s="44"/>
      <c r="O517" s="44"/>
    </row>
    <row r="518" spans="1:15" ht="18" customHeight="1">
      <c r="A518" s="21">
        <v>3236</v>
      </c>
      <c r="B518" s="28" t="s">
        <v>807</v>
      </c>
      <c r="C518" s="28" t="s">
        <v>624</v>
      </c>
      <c r="D518" s="28" t="s">
        <v>3322</v>
      </c>
      <c r="E518" s="28">
        <v>1.22</v>
      </c>
      <c r="F518" s="28">
        <v>179.9</v>
      </c>
      <c r="G518" s="28"/>
      <c r="H518" s="28">
        <v>2</v>
      </c>
      <c r="I518" s="28"/>
      <c r="J518" s="135">
        <v>44944</v>
      </c>
      <c r="K518" s="9">
        <f t="shared" si="29"/>
        <v>438.95600000000002</v>
      </c>
      <c r="L518" s="9"/>
      <c r="M518" s="9"/>
      <c r="N518" s="9"/>
      <c r="O518" s="3"/>
    </row>
    <row r="519" spans="1:15" ht="18" customHeight="1">
      <c r="A519" s="21" t="s">
        <v>1563</v>
      </c>
      <c r="B519" s="28" t="s">
        <v>807</v>
      </c>
      <c r="C519" s="28"/>
      <c r="D519" s="28" t="s">
        <v>3322</v>
      </c>
      <c r="E519" s="28">
        <v>1.22</v>
      </c>
      <c r="F519" s="28">
        <v>79.900000000000006</v>
      </c>
      <c r="G519" s="28"/>
      <c r="H519" s="28">
        <v>2</v>
      </c>
      <c r="I519" s="28"/>
      <c r="J519" s="133">
        <v>43900</v>
      </c>
      <c r="K519" s="9">
        <f t="shared" si="29"/>
        <v>194.95600000000002</v>
      </c>
      <c r="L519" s="9"/>
      <c r="M519" s="9"/>
      <c r="N519" s="9">
        <f>G519*H519*I519*E519</f>
        <v>0</v>
      </c>
      <c r="O519" s="3">
        <f>K519*1.6667</f>
        <v>324.93316520000002</v>
      </c>
    </row>
    <row r="520" spans="1:15" ht="18" customHeight="1">
      <c r="A520" s="16" t="s">
        <v>3065</v>
      </c>
      <c r="B520" s="90" t="s">
        <v>807</v>
      </c>
      <c r="C520" s="114" t="s">
        <v>1879</v>
      </c>
      <c r="D520" s="28" t="s">
        <v>3322</v>
      </c>
      <c r="E520" s="28">
        <v>1.22</v>
      </c>
      <c r="F520" s="87">
        <v>94</v>
      </c>
      <c r="G520" s="110"/>
      <c r="H520" s="28">
        <v>1.6</v>
      </c>
      <c r="I520" s="110"/>
      <c r="J520" s="137">
        <v>44093</v>
      </c>
      <c r="K520" s="35">
        <f t="shared" si="29"/>
        <v>183.488</v>
      </c>
      <c r="L520" s="35"/>
      <c r="M520" s="17"/>
      <c r="N520" s="16"/>
      <c r="O520" s="16"/>
    </row>
    <row r="521" spans="1:15" ht="18" hidden="1" customHeight="1">
      <c r="A521" s="21" t="s">
        <v>1172</v>
      </c>
      <c r="B521" s="28" t="s">
        <v>807</v>
      </c>
      <c r="C521" s="28" t="s">
        <v>15</v>
      </c>
      <c r="D521" s="28" t="s">
        <v>3322</v>
      </c>
      <c r="E521" s="28">
        <v>1.22</v>
      </c>
      <c r="F521" s="28">
        <v>70</v>
      </c>
      <c r="G521" s="28"/>
      <c r="H521" s="28">
        <v>1.6</v>
      </c>
      <c r="I521" s="28"/>
      <c r="J521" s="133">
        <v>43488</v>
      </c>
      <c r="K521" s="9">
        <f t="shared" si="29"/>
        <v>136.63999999999999</v>
      </c>
      <c r="L521" s="9"/>
      <c r="M521" s="9"/>
      <c r="N521" s="9">
        <f t="shared" ref="N521:N526" si="32">G521*H521*I521*E521</f>
        <v>0</v>
      </c>
      <c r="O521" s="3">
        <f t="shared" ref="O521:O526" si="33">K521*1.6667</f>
        <v>227.737888</v>
      </c>
    </row>
    <row r="522" spans="1:15" ht="18" customHeight="1">
      <c r="A522" s="21" t="s">
        <v>1584</v>
      </c>
      <c r="B522" s="28" t="s">
        <v>807</v>
      </c>
      <c r="C522" s="28"/>
      <c r="D522" s="28" t="s">
        <v>3322</v>
      </c>
      <c r="E522" s="28">
        <v>1.22</v>
      </c>
      <c r="F522" s="28">
        <v>265</v>
      </c>
      <c r="G522" s="28"/>
      <c r="H522" s="28">
        <v>2</v>
      </c>
      <c r="I522" s="28"/>
      <c r="J522" s="133">
        <v>43900</v>
      </c>
      <c r="K522" s="9">
        <f t="shared" si="29"/>
        <v>646.6</v>
      </c>
      <c r="L522" s="9"/>
      <c r="M522" s="9"/>
      <c r="N522" s="9">
        <f t="shared" si="32"/>
        <v>0</v>
      </c>
      <c r="O522" s="3">
        <f t="shared" si="33"/>
        <v>1077.68822</v>
      </c>
    </row>
    <row r="523" spans="1:15" ht="18" customHeight="1">
      <c r="A523" s="21" t="s">
        <v>704</v>
      </c>
      <c r="B523" s="28" t="s">
        <v>807</v>
      </c>
      <c r="C523" s="28" t="s">
        <v>544</v>
      </c>
      <c r="D523" s="28" t="s">
        <v>3322</v>
      </c>
      <c r="E523" s="28">
        <v>1.22</v>
      </c>
      <c r="F523" s="28">
        <v>235.27</v>
      </c>
      <c r="G523" s="28"/>
      <c r="H523" s="28">
        <v>1.7</v>
      </c>
      <c r="I523" s="28"/>
      <c r="J523" s="133">
        <v>44424</v>
      </c>
      <c r="K523" s="9">
        <f t="shared" si="29"/>
        <v>487.94997999999998</v>
      </c>
      <c r="L523" s="9"/>
      <c r="M523" s="9"/>
      <c r="N523" s="9">
        <f t="shared" si="32"/>
        <v>0</v>
      </c>
      <c r="O523" s="3">
        <f t="shared" si="33"/>
        <v>813.26623166599995</v>
      </c>
    </row>
    <row r="524" spans="1:15" ht="18" customHeight="1">
      <c r="A524" s="21" t="s">
        <v>494</v>
      </c>
      <c r="B524" s="28" t="s">
        <v>807</v>
      </c>
      <c r="C524" s="28" t="s">
        <v>53</v>
      </c>
      <c r="D524" s="28" t="s">
        <v>3322</v>
      </c>
      <c r="E524" s="28">
        <v>1.22</v>
      </c>
      <c r="F524" s="28">
        <v>124</v>
      </c>
      <c r="G524" s="28"/>
      <c r="H524" s="28">
        <v>1.6</v>
      </c>
      <c r="I524" s="28"/>
      <c r="J524" s="133">
        <v>44295</v>
      </c>
      <c r="K524" s="9">
        <f t="shared" si="29"/>
        <v>242.048</v>
      </c>
      <c r="L524" s="9"/>
      <c r="M524" s="9"/>
      <c r="N524" s="9">
        <f t="shared" si="32"/>
        <v>0</v>
      </c>
      <c r="O524" s="3">
        <f t="shared" si="33"/>
        <v>403.42140160000002</v>
      </c>
    </row>
    <row r="525" spans="1:15" ht="18" customHeight="1">
      <c r="A525" s="32" t="s">
        <v>2230</v>
      </c>
      <c r="B525" s="93" t="s">
        <v>807</v>
      </c>
      <c r="C525" s="93" t="s">
        <v>254</v>
      </c>
      <c r="D525" s="93" t="s">
        <v>3322</v>
      </c>
      <c r="E525" s="93">
        <v>1.22</v>
      </c>
      <c r="F525" s="93">
        <v>50</v>
      </c>
      <c r="G525" s="93"/>
      <c r="H525" s="93">
        <v>1.6</v>
      </c>
      <c r="I525" s="93"/>
      <c r="J525" s="146">
        <v>44424</v>
      </c>
      <c r="K525" s="33">
        <f t="shared" si="29"/>
        <v>97.600000000000009</v>
      </c>
      <c r="L525" s="33"/>
      <c r="M525" s="33"/>
      <c r="N525" s="33">
        <f t="shared" si="32"/>
        <v>0</v>
      </c>
      <c r="O525" s="34">
        <f t="shared" si="33"/>
        <v>162.66992000000002</v>
      </c>
    </row>
    <row r="526" spans="1:15" ht="18" customHeight="1">
      <c r="A526" s="21" t="s">
        <v>1566</v>
      </c>
      <c r="B526" s="28" t="s">
        <v>807</v>
      </c>
      <c r="C526" s="28"/>
      <c r="D526" s="28" t="s">
        <v>3322</v>
      </c>
      <c r="E526" s="28">
        <v>1.22</v>
      </c>
      <c r="F526" s="28">
        <v>472</v>
      </c>
      <c r="G526" s="28"/>
      <c r="H526" s="28">
        <v>2</v>
      </c>
      <c r="I526" s="28"/>
      <c r="J526" s="133">
        <v>43900</v>
      </c>
      <c r="K526" s="9">
        <f t="shared" si="29"/>
        <v>1151.68</v>
      </c>
      <c r="L526" s="9"/>
      <c r="M526" s="9"/>
      <c r="N526" s="9">
        <f t="shared" si="32"/>
        <v>0</v>
      </c>
      <c r="O526" s="3">
        <f t="shared" si="33"/>
        <v>1919.5050560000002</v>
      </c>
    </row>
    <row r="527" spans="1:15" ht="18" customHeight="1">
      <c r="A527" s="23" t="s">
        <v>1586</v>
      </c>
      <c r="B527" s="96" t="s">
        <v>807</v>
      </c>
      <c r="C527" s="101"/>
      <c r="D527" s="96" t="s">
        <v>3322</v>
      </c>
      <c r="E527" s="96">
        <v>1.22</v>
      </c>
      <c r="F527" s="96">
        <v>472</v>
      </c>
      <c r="G527" s="101"/>
      <c r="H527" s="96">
        <v>2</v>
      </c>
      <c r="I527" s="101"/>
      <c r="J527" s="164">
        <v>43900</v>
      </c>
      <c r="K527" s="241">
        <f t="shared" si="29"/>
        <v>1151.68</v>
      </c>
      <c r="L527" s="241"/>
      <c r="M527" s="280"/>
      <c r="N527" s="282"/>
      <c r="O527" s="282"/>
    </row>
    <row r="528" spans="1:15" ht="18" customHeight="1">
      <c r="A528" s="21">
        <v>1323</v>
      </c>
      <c r="B528" s="28" t="s">
        <v>807</v>
      </c>
      <c r="C528" s="28" t="s">
        <v>568</v>
      </c>
      <c r="D528" s="28" t="s">
        <v>3322</v>
      </c>
      <c r="E528" s="28">
        <v>1.22</v>
      </c>
      <c r="F528" s="28">
        <v>137.86000000000001</v>
      </c>
      <c r="G528" s="28">
        <v>1.1000000000000001</v>
      </c>
      <c r="H528" s="28">
        <v>1.45</v>
      </c>
      <c r="I528" s="28"/>
      <c r="J528" s="133">
        <v>45006</v>
      </c>
      <c r="K528" s="9">
        <f>+E528*F528*G528*H528</f>
        <v>268.261774</v>
      </c>
      <c r="L528" s="9"/>
      <c r="M528" s="9"/>
      <c r="N528" s="9">
        <f>G528*H528*I528*E528</f>
        <v>0</v>
      </c>
      <c r="O528" s="3">
        <f>K528*1.6667</f>
        <v>447.11189872580002</v>
      </c>
    </row>
    <row r="529" spans="1:15" ht="18" customHeight="1">
      <c r="A529" s="20">
        <v>1321</v>
      </c>
      <c r="B529" s="85" t="s">
        <v>807</v>
      </c>
      <c r="C529" s="85" t="s">
        <v>60</v>
      </c>
      <c r="D529" s="85" t="s">
        <v>3322</v>
      </c>
      <c r="E529" s="85">
        <v>1.22</v>
      </c>
      <c r="F529" s="85">
        <v>102.92</v>
      </c>
      <c r="G529" s="85">
        <v>1.1000000000000001</v>
      </c>
      <c r="H529" s="85">
        <v>1.25</v>
      </c>
      <c r="I529" s="85"/>
      <c r="J529" s="131">
        <v>45253</v>
      </c>
      <c r="K529" s="10">
        <f>+E529*F529*G529*H529</f>
        <v>172.64830000000001</v>
      </c>
      <c r="L529" s="10"/>
      <c r="M529" s="10"/>
      <c r="N529" s="10">
        <f>G529*H529*I529*E529</f>
        <v>0</v>
      </c>
      <c r="O529" s="14">
        <f>K529*1.6667</f>
        <v>287.75292161000004</v>
      </c>
    </row>
    <row r="530" spans="1:15" ht="18" customHeight="1">
      <c r="A530" s="42">
        <v>658570</v>
      </c>
      <c r="B530" s="160" t="s">
        <v>807</v>
      </c>
      <c r="C530" s="123"/>
      <c r="D530" s="93" t="s">
        <v>3322</v>
      </c>
      <c r="E530" s="93">
        <v>1.22</v>
      </c>
      <c r="F530" s="160">
        <v>202.5</v>
      </c>
      <c r="G530" s="123"/>
      <c r="H530" s="160">
        <v>1.3</v>
      </c>
      <c r="I530" s="123"/>
      <c r="J530" s="150">
        <v>44231</v>
      </c>
      <c r="K530" s="33">
        <f t="shared" ref="K530:K535" si="34">E530*F530*H530</f>
        <v>321.16499999999996</v>
      </c>
      <c r="L530" s="33"/>
      <c r="M530" s="51"/>
      <c r="N530" s="42"/>
      <c r="O530" s="42"/>
    </row>
    <row r="531" spans="1:15" ht="18" customHeight="1">
      <c r="A531" s="21"/>
      <c r="B531" s="28" t="s">
        <v>807</v>
      </c>
      <c r="C531" s="28" t="s">
        <v>133</v>
      </c>
      <c r="D531" s="28" t="s">
        <v>3322</v>
      </c>
      <c r="E531" s="28">
        <v>1.22</v>
      </c>
      <c r="F531" s="28">
        <v>165</v>
      </c>
      <c r="G531" s="28"/>
      <c r="H531" s="87">
        <v>1.5</v>
      </c>
      <c r="I531" s="28"/>
      <c r="J531" s="133">
        <v>45635</v>
      </c>
      <c r="K531" s="9">
        <f t="shared" si="34"/>
        <v>301.95</v>
      </c>
      <c r="L531" s="9"/>
      <c r="M531" s="9"/>
      <c r="N531" s="9">
        <f>G531*H531*I531*E531</f>
        <v>0</v>
      </c>
      <c r="O531" s="3">
        <f>K531*1.6667</f>
        <v>503.260065</v>
      </c>
    </row>
    <row r="532" spans="1:15" ht="18" customHeight="1">
      <c r="A532" s="234">
        <v>0</v>
      </c>
      <c r="B532" s="99" t="s">
        <v>807</v>
      </c>
      <c r="C532" s="271">
        <v>3</v>
      </c>
      <c r="D532" s="96" t="s">
        <v>3322</v>
      </c>
      <c r="E532" s="99">
        <v>1.22</v>
      </c>
      <c r="F532" s="99">
        <v>112.49</v>
      </c>
      <c r="G532" s="271"/>
      <c r="H532" s="271">
        <v>1.4</v>
      </c>
      <c r="I532" s="271"/>
      <c r="J532" s="276">
        <v>44307</v>
      </c>
      <c r="K532" s="12">
        <f t="shared" si="34"/>
        <v>192.13291999999998</v>
      </c>
      <c r="L532" s="12"/>
      <c r="M532" s="232"/>
      <c r="N532" s="234"/>
      <c r="O532" s="234"/>
    </row>
    <row r="533" spans="1:15" ht="18" customHeight="1">
      <c r="A533" s="16"/>
      <c r="B533" s="80" t="s">
        <v>807</v>
      </c>
      <c r="C533" s="79" t="s">
        <v>1688</v>
      </c>
      <c r="D533" s="79" t="s">
        <v>3322</v>
      </c>
      <c r="E533" s="80">
        <v>1</v>
      </c>
      <c r="F533" s="80">
        <v>0</v>
      </c>
      <c r="G533" s="110"/>
      <c r="H533" s="87">
        <v>1</v>
      </c>
      <c r="I533" s="110"/>
      <c r="J533" s="134">
        <v>45545</v>
      </c>
      <c r="K533" s="10">
        <f t="shared" si="34"/>
        <v>0</v>
      </c>
      <c r="L533" s="37"/>
      <c r="M533" s="17"/>
      <c r="N533" s="16"/>
      <c r="O533" s="16"/>
    </row>
    <row r="534" spans="1:15" ht="18" customHeight="1">
      <c r="A534" s="20">
        <v>3119</v>
      </c>
      <c r="B534" s="85" t="s">
        <v>807</v>
      </c>
      <c r="C534" s="85" t="s">
        <v>1643</v>
      </c>
      <c r="D534" s="85" t="s">
        <v>451</v>
      </c>
      <c r="E534" s="85">
        <v>1.22</v>
      </c>
      <c r="F534" s="85">
        <v>138</v>
      </c>
      <c r="G534" s="120"/>
      <c r="H534" s="85">
        <v>1.6</v>
      </c>
      <c r="I534" s="120"/>
      <c r="J534" s="142">
        <v>44501</v>
      </c>
      <c r="K534" s="10">
        <f t="shared" si="34"/>
        <v>269.37599999999998</v>
      </c>
      <c r="L534" s="10"/>
      <c r="M534" s="56"/>
      <c r="N534" s="156"/>
      <c r="O534" s="156"/>
    </row>
    <row r="535" spans="1:15" ht="18" hidden="1" customHeight="1">
      <c r="A535" s="21"/>
      <c r="B535" s="28" t="s">
        <v>807</v>
      </c>
      <c r="C535" s="28" t="s">
        <v>465</v>
      </c>
      <c r="D535" s="28" t="s">
        <v>451</v>
      </c>
      <c r="E535" s="28">
        <v>1.22</v>
      </c>
      <c r="F535" s="28">
        <v>55</v>
      </c>
      <c r="G535" s="28"/>
      <c r="H535" s="28">
        <v>1.6</v>
      </c>
      <c r="I535" s="28"/>
      <c r="J535" s="131">
        <v>43758</v>
      </c>
      <c r="K535" s="10">
        <f t="shared" si="34"/>
        <v>107.36</v>
      </c>
      <c r="L535" s="9"/>
      <c r="M535" s="9"/>
      <c r="N535" s="9">
        <f>G535*H535*I535*E535</f>
        <v>0</v>
      </c>
      <c r="O535" s="3">
        <f>K535*1.6667</f>
        <v>178.93691200000001</v>
      </c>
    </row>
    <row r="536" spans="1:15" ht="18" customHeight="1">
      <c r="A536" s="16"/>
      <c r="B536" s="28" t="s">
        <v>807</v>
      </c>
      <c r="C536" s="110"/>
      <c r="D536" s="28"/>
      <c r="E536" s="87"/>
      <c r="F536" s="87"/>
      <c r="G536" s="110"/>
      <c r="H536" s="87"/>
      <c r="I536" s="110"/>
      <c r="J536" s="87"/>
      <c r="K536" s="26">
        <v>3500</v>
      </c>
      <c r="L536" s="26"/>
      <c r="M536" s="26"/>
      <c r="N536" s="16"/>
      <c r="O536" s="16"/>
    </row>
    <row r="537" spans="1:15" ht="18" customHeight="1">
      <c r="A537" s="21"/>
      <c r="B537" s="28" t="s">
        <v>807</v>
      </c>
      <c r="C537" s="28"/>
      <c r="D537" s="28"/>
      <c r="E537" s="28">
        <v>1.22</v>
      </c>
      <c r="F537" s="28">
        <v>220</v>
      </c>
      <c r="G537" s="28"/>
      <c r="H537" s="28">
        <v>1.3</v>
      </c>
      <c r="I537" s="28"/>
      <c r="J537" s="28"/>
      <c r="K537" s="9">
        <f t="shared" ref="K537:K547" si="35">E537*F537*H537</f>
        <v>348.91999999999996</v>
      </c>
      <c r="L537" s="9"/>
      <c r="M537" s="9"/>
      <c r="N537" s="9">
        <f>G537*H537*I537*E537</f>
        <v>0</v>
      </c>
      <c r="O537" s="3">
        <f>K537*1.6667</f>
        <v>581.54496399999994</v>
      </c>
    </row>
    <row r="538" spans="1:15" ht="18" customHeight="1">
      <c r="A538" s="21"/>
      <c r="B538" s="28" t="s">
        <v>807</v>
      </c>
      <c r="C538" s="28"/>
      <c r="D538" s="28"/>
      <c r="E538" s="28">
        <v>1</v>
      </c>
      <c r="F538" s="28">
        <v>0</v>
      </c>
      <c r="G538" s="28">
        <v>12</v>
      </c>
      <c r="H538" s="28">
        <v>1.6</v>
      </c>
      <c r="I538" s="28"/>
      <c r="J538" s="28"/>
      <c r="K538" s="9">
        <f t="shared" si="35"/>
        <v>0</v>
      </c>
      <c r="L538" s="9"/>
      <c r="M538" s="9"/>
      <c r="N538" s="9">
        <f>G538*H538*I538*E538</f>
        <v>0</v>
      </c>
      <c r="O538" s="3">
        <f>K538*1.6667</f>
        <v>0</v>
      </c>
    </row>
    <row r="539" spans="1:15" ht="18" customHeight="1">
      <c r="A539" s="16"/>
      <c r="B539" s="28" t="s">
        <v>807</v>
      </c>
      <c r="C539" s="28" t="s">
        <v>1998</v>
      </c>
      <c r="D539" s="28"/>
      <c r="E539" s="28">
        <v>1.22</v>
      </c>
      <c r="F539" s="28">
        <v>258</v>
      </c>
      <c r="G539" s="110"/>
      <c r="H539" s="28">
        <v>1.1000000000000001</v>
      </c>
      <c r="I539" s="110"/>
      <c r="J539" s="133">
        <v>44184</v>
      </c>
      <c r="K539" s="9">
        <f t="shared" si="35"/>
        <v>346.23599999999999</v>
      </c>
      <c r="L539" s="9"/>
      <c r="M539" s="17"/>
      <c r="N539" s="16"/>
      <c r="O539" s="16"/>
    </row>
    <row r="540" spans="1:15" ht="18" customHeight="1">
      <c r="A540" s="16"/>
      <c r="B540" s="28" t="s">
        <v>807</v>
      </c>
      <c r="C540" s="80" t="s">
        <v>1999</v>
      </c>
      <c r="D540" s="28"/>
      <c r="E540" s="87">
        <v>1.22</v>
      </c>
      <c r="F540" s="87">
        <v>327</v>
      </c>
      <c r="G540" s="110"/>
      <c r="H540" s="28">
        <v>1.1000000000000001</v>
      </c>
      <c r="I540" s="110"/>
      <c r="J540" s="133">
        <v>44184</v>
      </c>
      <c r="K540" s="9">
        <f t="shared" si="35"/>
        <v>438.83400000000006</v>
      </c>
      <c r="L540" s="9"/>
      <c r="M540" s="17"/>
      <c r="N540" s="16"/>
      <c r="O540" s="16"/>
    </row>
    <row r="541" spans="1:15" ht="18" customHeight="1">
      <c r="A541" s="16"/>
      <c r="B541" s="28" t="s">
        <v>807</v>
      </c>
      <c r="C541" s="28" t="s">
        <v>1641</v>
      </c>
      <c r="D541" s="28"/>
      <c r="E541" s="28">
        <v>1.22</v>
      </c>
      <c r="F541" s="28">
        <v>455</v>
      </c>
      <c r="G541" s="110"/>
      <c r="H541" s="28">
        <v>1.1000000000000001</v>
      </c>
      <c r="I541" s="110"/>
      <c r="J541" s="133">
        <v>44184</v>
      </c>
      <c r="K541" s="9">
        <f t="shared" si="35"/>
        <v>610.61000000000013</v>
      </c>
      <c r="L541" s="9"/>
      <c r="M541" s="17"/>
      <c r="N541" s="16"/>
      <c r="O541" s="16"/>
    </row>
    <row r="542" spans="1:15" ht="18" customHeight="1">
      <c r="A542" s="16"/>
      <c r="B542" s="28" t="s">
        <v>807</v>
      </c>
      <c r="C542" s="28" t="s">
        <v>2000</v>
      </c>
      <c r="D542" s="28"/>
      <c r="E542" s="28">
        <v>1.22</v>
      </c>
      <c r="F542" s="28">
        <v>496</v>
      </c>
      <c r="G542" s="110"/>
      <c r="H542" s="28">
        <v>1.1000000000000001</v>
      </c>
      <c r="I542" s="110"/>
      <c r="J542" s="133">
        <v>44184</v>
      </c>
      <c r="K542" s="9">
        <f t="shared" si="35"/>
        <v>665.63200000000006</v>
      </c>
      <c r="L542" s="9"/>
      <c r="M542" s="17"/>
      <c r="N542" s="16"/>
      <c r="O542" s="16"/>
    </row>
    <row r="543" spans="1:15" ht="18" customHeight="1">
      <c r="A543" s="16"/>
      <c r="B543" s="28" t="s">
        <v>807</v>
      </c>
      <c r="C543" s="28">
        <v>0</v>
      </c>
      <c r="D543" s="28"/>
      <c r="E543" s="28">
        <v>1.22</v>
      </c>
      <c r="F543" s="28">
        <v>96</v>
      </c>
      <c r="G543" s="110"/>
      <c r="H543" s="28">
        <v>1.6</v>
      </c>
      <c r="I543" s="110"/>
      <c r="J543" s="134">
        <v>45057</v>
      </c>
      <c r="K543" s="9">
        <f t="shared" si="35"/>
        <v>187.39200000000002</v>
      </c>
      <c r="L543" s="9"/>
      <c r="M543" s="9"/>
      <c r="N543" s="16"/>
      <c r="O543" s="16"/>
    </row>
    <row r="544" spans="1:15" ht="18" customHeight="1">
      <c r="A544" s="16"/>
      <c r="B544" s="90" t="s">
        <v>807</v>
      </c>
      <c r="C544" s="110"/>
      <c r="D544" s="28"/>
      <c r="E544" s="28">
        <v>1.22</v>
      </c>
      <c r="F544" s="28">
        <v>79</v>
      </c>
      <c r="G544" s="110"/>
      <c r="H544" s="28">
        <v>1.3</v>
      </c>
      <c r="I544" s="110"/>
      <c r="J544" s="135">
        <v>44537</v>
      </c>
      <c r="K544" s="35">
        <f t="shared" si="35"/>
        <v>125.294</v>
      </c>
      <c r="L544" s="37"/>
      <c r="M544" s="17"/>
      <c r="N544" s="16"/>
      <c r="O544" s="16"/>
    </row>
    <row r="545" spans="1:15" ht="18" customHeight="1">
      <c r="A545" s="21"/>
      <c r="B545" s="28" t="s">
        <v>807</v>
      </c>
      <c r="C545" s="28" t="s">
        <v>1079</v>
      </c>
      <c r="D545" s="28"/>
      <c r="E545" s="28">
        <v>1.22</v>
      </c>
      <c r="F545" s="28">
        <v>110</v>
      </c>
      <c r="G545" s="28"/>
      <c r="H545" s="28">
        <v>1.6</v>
      </c>
      <c r="I545" s="28"/>
      <c r="J545" s="133">
        <v>45051</v>
      </c>
      <c r="K545" s="10">
        <f t="shared" si="35"/>
        <v>214.72</v>
      </c>
      <c r="L545" s="9"/>
      <c r="M545" s="9"/>
      <c r="N545" s="9">
        <f>G545*H545*I545*E545</f>
        <v>0</v>
      </c>
      <c r="O545" s="3">
        <f>K545*1.6667</f>
        <v>357.87382400000001</v>
      </c>
    </row>
    <row r="546" spans="1:15" ht="18" hidden="1" customHeight="1">
      <c r="A546" s="22"/>
      <c r="B546" s="28" t="s">
        <v>807</v>
      </c>
      <c r="C546" s="28" t="s">
        <v>15</v>
      </c>
      <c r="D546" s="28"/>
      <c r="E546" s="28">
        <v>1.22</v>
      </c>
      <c r="F546" s="28">
        <v>490</v>
      </c>
      <c r="G546" s="28"/>
      <c r="H546" s="28">
        <v>1.6</v>
      </c>
      <c r="I546" s="28"/>
      <c r="J546" s="133">
        <v>43395</v>
      </c>
      <c r="K546" s="9">
        <f t="shared" si="35"/>
        <v>956.48</v>
      </c>
      <c r="L546" s="9"/>
      <c r="M546" s="9"/>
      <c r="N546" s="9">
        <f>G546*H546*I546*E546</f>
        <v>0</v>
      </c>
      <c r="O546" s="3">
        <f>K546*1.6667</f>
        <v>1594.1652160000001</v>
      </c>
    </row>
    <row r="547" spans="1:15" ht="18" hidden="1" customHeight="1">
      <c r="A547" s="22"/>
      <c r="B547" s="28" t="s">
        <v>807</v>
      </c>
      <c r="C547" s="28" t="s">
        <v>15</v>
      </c>
      <c r="D547" s="28"/>
      <c r="E547" s="28">
        <v>1.22</v>
      </c>
      <c r="F547" s="28">
        <v>75</v>
      </c>
      <c r="G547" s="28"/>
      <c r="H547" s="28">
        <v>1.6</v>
      </c>
      <c r="I547" s="28"/>
      <c r="J547" s="133">
        <v>43451</v>
      </c>
      <c r="K547" s="9">
        <f t="shared" si="35"/>
        <v>146.4</v>
      </c>
      <c r="L547" s="9"/>
      <c r="M547" s="9"/>
      <c r="N547" s="9">
        <f>G547*H547*I547*E547</f>
        <v>0</v>
      </c>
      <c r="O547" s="3">
        <f>K547*1.6667</f>
        <v>244.00488000000001</v>
      </c>
    </row>
    <row r="548" spans="1:15" ht="18" customHeight="1">
      <c r="A548" s="16"/>
      <c r="B548" s="28" t="s">
        <v>807</v>
      </c>
      <c r="C548" s="110"/>
      <c r="D548" s="28"/>
      <c r="E548" s="87"/>
      <c r="F548" s="87"/>
      <c r="G548" s="110"/>
      <c r="H548" s="87"/>
      <c r="I548" s="110"/>
      <c r="J548" s="87"/>
      <c r="K548" s="37"/>
      <c r="L548" s="37"/>
      <c r="M548" s="17"/>
      <c r="N548" s="16"/>
      <c r="O548" s="16"/>
    </row>
    <row r="549" spans="1:15" ht="18" customHeight="1">
      <c r="A549" s="22"/>
      <c r="B549" s="28" t="s">
        <v>807</v>
      </c>
      <c r="C549" s="28" t="s">
        <v>1498</v>
      </c>
      <c r="D549" s="28"/>
      <c r="E549" s="28">
        <v>1.22</v>
      </c>
      <c r="F549" s="28">
        <v>0</v>
      </c>
      <c r="G549" s="28"/>
      <c r="H549" s="28">
        <v>1.6</v>
      </c>
      <c r="I549" s="28"/>
      <c r="J549" s="133">
        <v>44671</v>
      </c>
      <c r="K549" s="9">
        <f t="shared" ref="K549:K554" si="36">E549*F549*H549</f>
        <v>0</v>
      </c>
      <c r="L549" s="9"/>
      <c r="M549" s="9"/>
      <c r="N549" s="9">
        <f>G549*H549*I549*E549</f>
        <v>0</v>
      </c>
      <c r="O549" s="3">
        <f>K549*1.6667</f>
        <v>0</v>
      </c>
    </row>
    <row r="550" spans="1:15" ht="18" customHeight="1">
      <c r="A550" s="21"/>
      <c r="B550" s="28" t="s">
        <v>807</v>
      </c>
      <c r="C550" s="28" t="s">
        <v>112</v>
      </c>
      <c r="D550" s="28"/>
      <c r="E550" s="28">
        <v>1.22</v>
      </c>
      <c r="F550" s="28">
        <v>1333.5</v>
      </c>
      <c r="G550" s="28"/>
      <c r="H550" s="28">
        <v>1.3</v>
      </c>
      <c r="I550" s="28"/>
      <c r="J550" s="133">
        <v>45120</v>
      </c>
      <c r="K550" s="9">
        <f t="shared" si="36"/>
        <v>2114.931</v>
      </c>
      <c r="L550" s="9"/>
      <c r="M550" s="9"/>
      <c r="N550" s="9"/>
      <c r="O550" s="3"/>
    </row>
    <row r="551" spans="1:15" ht="18" customHeight="1">
      <c r="A551" s="21">
        <v>6411</v>
      </c>
      <c r="B551" s="28" t="s">
        <v>807</v>
      </c>
      <c r="C551" s="28" t="s">
        <v>779</v>
      </c>
      <c r="D551" s="28" t="s">
        <v>3322</v>
      </c>
      <c r="E551" s="28">
        <v>1.22</v>
      </c>
      <c r="F551" s="28">
        <v>234</v>
      </c>
      <c r="G551" s="28"/>
      <c r="H551" s="28">
        <v>1.6</v>
      </c>
      <c r="I551" s="28"/>
      <c r="J551" s="135">
        <v>44501</v>
      </c>
      <c r="K551" s="9">
        <f t="shared" si="36"/>
        <v>456.76800000000003</v>
      </c>
      <c r="L551" s="9"/>
      <c r="M551" s="9"/>
      <c r="N551" s="9">
        <f>G551*H551*I551*E551</f>
        <v>0</v>
      </c>
      <c r="O551" s="3">
        <f>K551*1.6667</f>
        <v>761.29522560000009</v>
      </c>
    </row>
    <row r="552" spans="1:15" ht="18" customHeight="1">
      <c r="A552" s="21">
        <v>2271</v>
      </c>
      <c r="B552" s="28" t="s">
        <v>807</v>
      </c>
      <c r="C552" s="28" t="s">
        <v>60</v>
      </c>
      <c r="D552" s="28" t="s">
        <v>3322</v>
      </c>
      <c r="E552" s="28">
        <v>1.22</v>
      </c>
      <c r="F552" s="28">
        <v>101.45</v>
      </c>
      <c r="G552" s="28"/>
      <c r="H552" s="28">
        <v>1.8</v>
      </c>
      <c r="I552" s="28"/>
      <c r="J552" s="134">
        <v>44501</v>
      </c>
      <c r="K552" s="9">
        <f t="shared" si="36"/>
        <v>222.78420000000003</v>
      </c>
      <c r="L552" s="9"/>
      <c r="M552" s="9"/>
      <c r="N552" s="9">
        <f>G552*H552*I552*E552</f>
        <v>0</v>
      </c>
      <c r="O552" s="3">
        <f>K552*1.6667</f>
        <v>371.31442614000008</v>
      </c>
    </row>
    <row r="553" spans="1:15" ht="18" customHeight="1">
      <c r="A553" s="16" t="s">
        <v>818</v>
      </c>
      <c r="B553" s="28" t="s">
        <v>807</v>
      </c>
      <c r="C553" s="110"/>
      <c r="D553" s="28" t="s">
        <v>3322</v>
      </c>
      <c r="E553" s="28">
        <v>1.22</v>
      </c>
      <c r="F553" s="28">
        <v>208.41</v>
      </c>
      <c r="G553" s="110"/>
      <c r="H553" s="28">
        <v>1.6</v>
      </c>
      <c r="I553" s="110"/>
      <c r="J553" s="135">
        <v>44037</v>
      </c>
      <c r="K553" s="35">
        <f t="shared" si="36"/>
        <v>406.81632000000002</v>
      </c>
      <c r="L553" s="35"/>
      <c r="M553" s="17"/>
      <c r="N553" s="16"/>
      <c r="O553" s="3">
        <f>K553*1.6667</f>
        <v>678.04076054400002</v>
      </c>
    </row>
    <row r="554" spans="1:15" ht="18" customHeight="1">
      <c r="A554" s="21"/>
      <c r="B554" s="28" t="s">
        <v>807</v>
      </c>
      <c r="C554" s="28" t="s">
        <v>1080</v>
      </c>
      <c r="D554" s="28"/>
      <c r="E554" s="28">
        <v>1.22</v>
      </c>
      <c r="F554" s="28">
        <v>680.71</v>
      </c>
      <c r="G554" s="28"/>
      <c r="H554" s="28">
        <v>1.3</v>
      </c>
      <c r="I554" s="28"/>
      <c r="J554" s="133">
        <v>45120</v>
      </c>
      <c r="K554" s="9">
        <f t="shared" si="36"/>
        <v>1079.6060600000001</v>
      </c>
      <c r="L554" s="9"/>
      <c r="M554" s="9"/>
      <c r="N554" s="9">
        <f>G554*H554*I554*E554</f>
        <v>0</v>
      </c>
      <c r="O554" s="3">
        <f>K554*1.6667</f>
        <v>1799.3794202020001</v>
      </c>
    </row>
    <row r="555" spans="1:15" ht="18" customHeight="1">
      <c r="A555" s="16"/>
      <c r="B555" s="80" t="s">
        <v>807</v>
      </c>
      <c r="C555" s="80" t="s">
        <v>1895</v>
      </c>
      <c r="D555" s="28"/>
      <c r="E555" s="28">
        <v>1.22</v>
      </c>
      <c r="F555" s="87">
        <v>5.95</v>
      </c>
      <c r="G555" s="110">
        <v>11.45</v>
      </c>
      <c r="H555" s="28">
        <v>1.35</v>
      </c>
      <c r="I555" s="28">
        <v>45</v>
      </c>
      <c r="J555" s="133">
        <v>45616</v>
      </c>
      <c r="K555" s="9">
        <f>E555*F555*H555*I555</f>
        <v>440.98425000000009</v>
      </c>
      <c r="L555" s="9"/>
      <c r="M555" s="17"/>
      <c r="N555" s="16"/>
      <c r="O555" s="16"/>
    </row>
    <row r="556" spans="1:15" ht="18" customHeight="1">
      <c r="A556" s="21"/>
      <c r="B556" s="28" t="s">
        <v>807</v>
      </c>
      <c r="C556" s="28" t="s">
        <v>22</v>
      </c>
      <c r="D556" s="28"/>
      <c r="E556" s="28">
        <v>1.22</v>
      </c>
      <c r="F556" s="28">
        <v>88.9</v>
      </c>
      <c r="G556" s="28"/>
      <c r="H556" s="28">
        <v>1.2</v>
      </c>
      <c r="I556" s="28"/>
      <c r="J556" s="133">
        <v>45120</v>
      </c>
      <c r="K556" s="9">
        <f t="shared" ref="K556:K570" si="37">E556*F556*H556</f>
        <v>130.14959999999999</v>
      </c>
      <c r="L556" s="9"/>
      <c r="M556" s="9"/>
      <c r="N556" s="9">
        <f>G556*H556*I556*E556</f>
        <v>0</v>
      </c>
      <c r="O556" s="3">
        <f>K556*1.6667</f>
        <v>216.92033831999998</v>
      </c>
    </row>
    <row r="557" spans="1:15" ht="18" customHeight="1">
      <c r="A557" s="16">
        <v>15988</v>
      </c>
      <c r="B557" s="28" t="s">
        <v>807</v>
      </c>
      <c r="C557" s="110"/>
      <c r="D557" s="28" t="s">
        <v>3322</v>
      </c>
      <c r="E557" s="28">
        <v>1.22</v>
      </c>
      <c r="F557" s="28">
        <v>451</v>
      </c>
      <c r="G557" s="110"/>
      <c r="H557" s="28">
        <v>1.8</v>
      </c>
      <c r="I557" s="110"/>
      <c r="J557" s="135">
        <v>45005</v>
      </c>
      <c r="K557" s="40">
        <f t="shared" si="37"/>
        <v>990.39600000000007</v>
      </c>
      <c r="L557" s="40"/>
      <c r="M557" s="17">
        <v>1.22</v>
      </c>
      <c r="N557" s="16"/>
      <c r="O557" s="16"/>
    </row>
    <row r="558" spans="1:15" ht="18" customHeight="1">
      <c r="A558" s="21">
        <v>15989</v>
      </c>
      <c r="B558" s="28" t="s">
        <v>807</v>
      </c>
      <c r="C558" s="28"/>
      <c r="D558" s="28" t="s">
        <v>3322</v>
      </c>
      <c r="E558" s="28">
        <v>1.22</v>
      </c>
      <c r="F558" s="28">
        <v>451</v>
      </c>
      <c r="G558" s="28"/>
      <c r="H558" s="28">
        <v>1.6</v>
      </c>
      <c r="I558" s="28"/>
      <c r="J558" s="135">
        <v>44944</v>
      </c>
      <c r="K558" s="9">
        <f t="shared" si="37"/>
        <v>880.35200000000009</v>
      </c>
      <c r="L558" s="9"/>
      <c r="M558" s="9"/>
      <c r="N558" s="9"/>
      <c r="O558" s="3"/>
    </row>
    <row r="559" spans="1:15" ht="18" customHeight="1">
      <c r="A559" s="21" t="s">
        <v>2435</v>
      </c>
      <c r="B559" s="28" t="s">
        <v>807</v>
      </c>
      <c r="C559" s="28" t="s">
        <v>2436</v>
      </c>
      <c r="D559" s="28" t="s">
        <v>3322</v>
      </c>
      <c r="E559" s="28">
        <v>1.22</v>
      </c>
      <c r="F559" s="28">
        <v>104</v>
      </c>
      <c r="G559" s="28">
        <v>0</v>
      </c>
      <c r="H559" s="28">
        <v>1.6</v>
      </c>
      <c r="I559" s="28">
        <v>45</v>
      </c>
      <c r="J559" s="133">
        <v>44608</v>
      </c>
      <c r="K559" s="9">
        <f t="shared" si="37"/>
        <v>203.00800000000001</v>
      </c>
      <c r="L559" s="9"/>
      <c r="M559" s="9"/>
      <c r="N559" s="9">
        <f t="shared" ref="N559:N566" si="38">G559*H559*I559*E559</f>
        <v>0</v>
      </c>
      <c r="O559" s="3">
        <f t="shared" ref="O559:O566" si="39">K559*1.6667</f>
        <v>338.35343360000002</v>
      </c>
    </row>
    <row r="560" spans="1:15" ht="18" hidden="1" customHeight="1">
      <c r="A560" s="21">
        <v>919</v>
      </c>
      <c r="B560" s="28" t="s">
        <v>807</v>
      </c>
      <c r="C560" s="28" t="s">
        <v>478</v>
      </c>
      <c r="D560" s="28" t="s">
        <v>3322</v>
      </c>
      <c r="E560" s="28">
        <v>1.22</v>
      </c>
      <c r="F560" s="28">
        <v>150</v>
      </c>
      <c r="G560" s="28"/>
      <c r="H560" s="28">
        <v>1.4</v>
      </c>
      <c r="I560" s="28"/>
      <c r="J560" s="133">
        <v>42774</v>
      </c>
      <c r="K560" s="9">
        <f t="shared" si="37"/>
        <v>256.2</v>
      </c>
      <c r="L560" s="9"/>
      <c r="M560" s="9"/>
      <c r="N560" s="9">
        <f t="shared" si="38"/>
        <v>0</v>
      </c>
      <c r="O560" s="3">
        <f t="shared" si="39"/>
        <v>427.00853999999998</v>
      </c>
    </row>
    <row r="561" spans="1:15" ht="18" customHeight="1">
      <c r="A561" s="21">
        <v>322</v>
      </c>
      <c r="B561" s="28" t="s">
        <v>807</v>
      </c>
      <c r="C561" s="28" t="s">
        <v>503</v>
      </c>
      <c r="D561" s="28" t="s">
        <v>3322</v>
      </c>
      <c r="E561" s="28">
        <v>1.22</v>
      </c>
      <c r="F561" s="28">
        <v>230</v>
      </c>
      <c r="G561" s="28"/>
      <c r="H561" s="28">
        <v>1.45</v>
      </c>
      <c r="I561" s="28"/>
      <c r="J561" s="133">
        <v>40171</v>
      </c>
      <c r="K561" s="9">
        <f t="shared" si="37"/>
        <v>406.86999999999995</v>
      </c>
      <c r="L561" s="9"/>
      <c r="M561" s="9"/>
      <c r="N561" s="9">
        <f t="shared" si="38"/>
        <v>0</v>
      </c>
      <c r="O561" s="3">
        <f t="shared" si="39"/>
        <v>678.13022899999999</v>
      </c>
    </row>
    <row r="562" spans="1:15" ht="18" customHeight="1">
      <c r="A562" s="21"/>
      <c r="B562" s="28" t="s">
        <v>807</v>
      </c>
      <c r="C562" s="28" t="s">
        <v>15</v>
      </c>
      <c r="D562" s="28" t="s">
        <v>3322</v>
      </c>
      <c r="E562" s="28">
        <v>1.22</v>
      </c>
      <c r="F562" s="28">
        <v>18.03</v>
      </c>
      <c r="G562" s="28"/>
      <c r="H562" s="28">
        <v>1.7</v>
      </c>
      <c r="I562" s="28"/>
      <c r="J562" s="133">
        <v>41818</v>
      </c>
      <c r="K562" s="9">
        <f t="shared" si="37"/>
        <v>37.394219999999997</v>
      </c>
      <c r="L562" s="9"/>
      <c r="M562" s="9"/>
      <c r="N562" s="9">
        <f t="shared" si="38"/>
        <v>0</v>
      </c>
      <c r="O562" s="3">
        <f t="shared" si="39"/>
        <v>62.324946474000001</v>
      </c>
    </row>
    <row r="563" spans="1:15" ht="18" customHeight="1">
      <c r="A563" s="21"/>
      <c r="B563" s="28" t="s">
        <v>807</v>
      </c>
      <c r="C563" s="28" t="s">
        <v>520</v>
      </c>
      <c r="D563" s="28" t="s">
        <v>3322</v>
      </c>
      <c r="E563" s="28">
        <v>1.22</v>
      </c>
      <c r="F563" s="28">
        <v>216.36</v>
      </c>
      <c r="G563" s="28"/>
      <c r="H563" s="28">
        <v>1.5</v>
      </c>
      <c r="I563" s="28"/>
      <c r="J563" s="133">
        <v>41818</v>
      </c>
      <c r="K563" s="9">
        <f t="shared" si="37"/>
        <v>395.93880000000001</v>
      </c>
      <c r="L563" s="9"/>
      <c r="M563" s="9"/>
      <c r="N563" s="9">
        <f t="shared" si="38"/>
        <v>0</v>
      </c>
      <c r="O563" s="3">
        <f t="shared" si="39"/>
        <v>659.9111979600001</v>
      </c>
    </row>
    <row r="564" spans="1:15" ht="18" customHeight="1">
      <c r="A564" s="21"/>
      <c r="B564" s="28" t="s">
        <v>807</v>
      </c>
      <c r="C564" s="28" t="s">
        <v>521</v>
      </c>
      <c r="D564" s="28" t="s">
        <v>3322</v>
      </c>
      <c r="E564" s="28">
        <v>1.22</v>
      </c>
      <c r="F564" s="28">
        <v>65</v>
      </c>
      <c r="G564" s="28"/>
      <c r="H564" s="28">
        <v>1.5</v>
      </c>
      <c r="I564" s="28"/>
      <c r="J564" s="133">
        <v>42672</v>
      </c>
      <c r="K564" s="9">
        <f t="shared" si="37"/>
        <v>118.94999999999999</v>
      </c>
      <c r="L564" s="9"/>
      <c r="M564" s="9"/>
      <c r="N564" s="9">
        <f t="shared" si="38"/>
        <v>0</v>
      </c>
      <c r="O564" s="3">
        <f t="shared" si="39"/>
        <v>198.25396499999999</v>
      </c>
    </row>
    <row r="565" spans="1:15" ht="18" customHeight="1">
      <c r="A565" s="21"/>
      <c r="B565" s="28" t="s">
        <v>807</v>
      </c>
      <c r="C565" s="28"/>
      <c r="D565" s="28" t="s">
        <v>3322</v>
      </c>
      <c r="E565" s="28">
        <v>1</v>
      </c>
      <c r="F565" s="28">
        <v>220</v>
      </c>
      <c r="G565" s="28"/>
      <c r="H565" s="28">
        <v>1.6</v>
      </c>
      <c r="I565" s="28"/>
      <c r="J565" s="133">
        <v>41806</v>
      </c>
      <c r="K565" s="9">
        <f t="shared" si="37"/>
        <v>352</v>
      </c>
      <c r="L565" s="9"/>
      <c r="M565" s="9"/>
      <c r="N565" s="9">
        <f t="shared" si="38"/>
        <v>0</v>
      </c>
      <c r="O565" s="3">
        <f t="shared" si="39"/>
        <v>586.67840000000001</v>
      </c>
    </row>
    <row r="566" spans="1:15" ht="18" hidden="1" customHeight="1">
      <c r="A566" s="21"/>
      <c r="B566" s="28" t="s">
        <v>807</v>
      </c>
      <c r="C566" s="28" t="s">
        <v>118</v>
      </c>
      <c r="D566" s="28" t="s">
        <v>3322</v>
      </c>
      <c r="E566" s="28">
        <v>1.22</v>
      </c>
      <c r="F566" s="28">
        <v>790</v>
      </c>
      <c r="G566" s="28"/>
      <c r="H566" s="28">
        <v>1</v>
      </c>
      <c r="I566" s="28"/>
      <c r="J566" s="133">
        <v>43792</v>
      </c>
      <c r="K566" s="9">
        <f t="shared" si="37"/>
        <v>963.8</v>
      </c>
      <c r="L566" s="9"/>
      <c r="M566" s="9"/>
      <c r="N566" s="9">
        <f t="shared" si="38"/>
        <v>0</v>
      </c>
      <c r="O566" s="3">
        <f t="shared" si="39"/>
        <v>1606.36546</v>
      </c>
    </row>
    <row r="567" spans="1:15" ht="18" customHeight="1">
      <c r="A567" s="16"/>
      <c r="B567" s="28" t="s">
        <v>807</v>
      </c>
      <c r="C567" s="28" t="s">
        <v>209</v>
      </c>
      <c r="D567" s="28"/>
      <c r="E567" s="28"/>
      <c r="F567" s="28">
        <v>89</v>
      </c>
      <c r="G567" s="110"/>
      <c r="H567" s="28">
        <v>1.6</v>
      </c>
      <c r="I567" s="110"/>
      <c r="J567" s="135">
        <v>44531</v>
      </c>
      <c r="K567" s="37">
        <f t="shared" si="37"/>
        <v>0</v>
      </c>
      <c r="L567" s="37"/>
      <c r="M567" s="17"/>
      <c r="N567" s="16"/>
      <c r="O567" s="16"/>
    </row>
    <row r="568" spans="1:15" ht="18" customHeight="1">
      <c r="A568" s="16"/>
      <c r="B568" s="28" t="s">
        <v>807</v>
      </c>
      <c r="C568" s="28" t="s">
        <v>2367</v>
      </c>
      <c r="D568" s="28"/>
      <c r="E568" s="28"/>
      <c r="F568" s="28">
        <v>122</v>
      </c>
      <c r="G568" s="110"/>
      <c r="H568" s="28">
        <v>1.6</v>
      </c>
      <c r="I568" s="110"/>
      <c r="J568" s="135">
        <v>44531</v>
      </c>
      <c r="K568" s="37">
        <f t="shared" si="37"/>
        <v>0</v>
      </c>
      <c r="L568" s="37"/>
      <c r="M568" s="41"/>
      <c r="N568" s="16"/>
      <c r="O568" s="16"/>
    </row>
    <row r="569" spans="1:15" ht="18" customHeight="1">
      <c r="A569" s="21" t="s">
        <v>2454</v>
      </c>
      <c r="B569" s="28" t="s">
        <v>2455</v>
      </c>
      <c r="C569" s="28" t="s">
        <v>302</v>
      </c>
      <c r="D569" s="28" t="s">
        <v>451</v>
      </c>
      <c r="E569" s="28">
        <v>1.22</v>
      </c>
      <c r="F569" s="28">
        <v>89</v>
      </c>
      <c r="G569" s="28"/>
      <c r="H569" s="28">
        <v>1.6</v>
      </c>
      <c r="I569" s="28"/>
      <c r="J569" s="133">
        <v>44635</v>
      </c>
      <c r="K569" s="9">
        <f t="shared" si="37"/>
        <v>173.72800000000001</v>
      </c>
      <c r="L569" s="9"/>
      <c r="M569" s="9"/>
      <c r="N569" s="9">
        <f>G569*H569*I569*E569</f>
        <v>0</v>
      </c>
      <c r="O569" s="3">
        <f>K569*1.6667</f>
        <v>289.55245760000003</v>
      </c>
    </row>
    <row r="570" spans="1:15" ht="18" customHeight="1">
      <c r="A570" s="21" t="s">
        <v>2453</v>
      </c>
      <c r="B570" s="28" t="s">
        <v>2452</v>
      </c>
      <c r="C570" s="28" t="s">
        <v>2451</v>
      </c>
      <c r="D570" s="28" t="s">
        <v>451</v>
      </c>
      <c r="E570" s="28">
        <v>1.22</v>
      </c>
      <c r="F570" s="28">
        <v>34</v>
      </c>
      <c r="G570" s="28"/>
      <c r="H570" s="28">
        <v>1.6</v>
      </c>
      <c r="I570" s="28"/>
      <c r="J570" s="133">
        <v>44635</v>
      </c>
      <c r="K570" s="9">
        <f t="shared" si="37"/>
        <v>66.367999999999995</v>
      </c>
      <c r="L570" s="9"/>
      <c r="M570" s="9"/>
      <c r="N570" s="9">
        <f>G570*H570*I570*E570</f>
        <v>0</v>
      </c>
      <c r="O570" s="3">
        <f>K570*1.6667</f>
        <v>110.61554559999999</v>
      </c>
    </row>
    <row r="571" spans="1:15" ht="18" customHeight="1">
      <c r="A571" s="16"/>
      <c r="B571" s="87" t="s">
        <v>4077</v>
      </c>
      <c r="C571" s="110"/>
      <c r="D571" s="110" t="s">
        <v>23</v>
      </c>
      <c r="E571" s="87">
        <v>1</v>
      </c>
      <c r="F571" s="87">
        <v>5.58</v>
      </c>
      <c r="G571" s="110">
        <v>45</v>
      </c>
      <c r="H571" s="87">
        <v>1.3</v>
      </c>
      <c r="I571" s="110"/>
      <c r="J571" s="135">
        <v>45700</v>
      </c>
      <c r="K571" s="9">
        <f>+E571*F571*G571*H571</f>
        <v>326.43</v>
      </c>
      <c r="L571" s="37"/>
      <c r="M571" s="17"/>
      <c r="N571" s="16"/>
      <c r="O571" s="16"/>
    </row>
    <row r="572" spans="1:15" ht="18" customHeight="1">
      <c r="A572" s="21">
        <v>11</v>
      </c>
      <c r="B572" s="28" t="s">
        <v>3243</v>
      </c>
      <c r="C572" s="28" t="s">
        <v>3244</v>
      </c>
      <c r="D572" s="28" t="s">
        <v>7</v>
      </c>
      <c r="E572" s="28">
        <v>1.22</v>
      </c>
      <c r="F572" s="28">
        <v>241.73</v>
      </c>
      <c r="G572" s="28"/>
      <c r="H572" s="28">
        <v>1.6</v>
      </c>
      <c r="I572" s="28"/>
      <c r="J572" s="133">
        <v>45247</v>
      </c>
      <c r="K572" s="9">
        <f t="shared" ref="K572:K596" si="40">E572*F572*H572</f>
        <v>471.85696000000002</v>
      </c>
      <c r="L572" s="9"/>
      <c r="M572" s="9"/>
      <c r="N572" s="9">
        <f>G572*H572*I572*E572</f>
        <v>0</v>
      </c>
      <c r="O572" s="3">
        <f>K572*1.6667</f>
        <v>786.44399523200002</v>
      </c>
    </row>
    <row r="573" spans="1:15" ht="18" customHeight="1">
      <c r="A573" s="22"/>
      <c r="B573" s="28" t="s">
        <v>3243</v>
      </c>
      <c r="C573" s="28" t="s">
        <v>15</v>
      </c>
      <c r="D573" s="28" t="s">
        <v>7</v>
      </c>
      <c r="E573" s="28">
        <v>1.22</v>
      </c>
      <c r="F573" s="28">
        <v>24.18</v>
      </c>
      <c r="G573" s="28"/>
      <c r="H573" s="28">
        <v>1.8</v>
      </c>
      <c r="I573" s="28"/>
      <c r="J573" s="133">
        <v>45247</v>
      </c>
      <c r="K573" s="9">
        <f t="shared" si="40"/>
        <v>53.099279999999993</v>
      </c>
      <c r="L573" s="9"/>
      <c r="M573" s="9"/>
      <c r="N573" s="9">
        <f>G573*H573*I573*E573</f>
        <v>0</v>
      </c>
      <c r="O573" s="3">
        <f>K573*1.6667</f>
        <v>88.500569975999994</v>
      </c>
    </row>
    <row r="574" spans="1:15" ht="18" customHeight="1">
      <c r="A574" s="16"/>
      <c r="B574" s="87" t="s">
        <v>3408</v>
      </c>
      <c r="C574" s="110"/>
      <c r="D574" s="28" t="s">
        <v>451</v>
      </c>
      <c r="E574" s="28">
        <v>1.22</v>
      </c>
      <c r="F574" s="87">
        <v>200</v>
      </c>
      <c r="G574" s="110"/>
      <c r="H574" s="87">
        <v>1.6</v>
      </c>
      <c r="I574" s="110"/>
      <c r="J574" s="135">
        <v>45366</v>
      </c>
      <c r="K574" s="37">
        <f t="shared" si="40"/>
        <v>390.40000000000003</v>
      </c>
      <c r="L574" s="37"/>
      <c r="M574" s="17"/>
      <c r="N574" s="16"/>
      <c r="O574" s="16"/>
    </row>
    <row r="575" spans="1:15" ht="18" customHeight="1">
      <c r="A575" s="21">
        <v>443190</v>
      </c>
      <c r="B575" s="28" t="s">
        <v>4061</v>
      </c>
      <c r="C575" s="28" t="s">
        <v>2088</v>
      </c>
      <c r="D575" s="28" t="s">
        <v>23</v>
      </c>
      <c r="E575" s="28">
        <v>1</v>
      </c>
      <c r="F575" s="28">
        <v>88.81</v>
      </c>
      <c r="G575" s="28"/>
      <c r="H575" s="28">
        <v>1.3</v>
      </c>
      <c r="I575" s="28"/>
      <c r="J575" s="133">
        <v>45980</v>
      </c>
      <c r="K575" s="9">
        <f t="shared" si="40"/>
        <v>115.453</v>
      </c>
      <c r="L575" s="9"/>
      <c r="M575" s="9"/>
      <c r="N575" s="9">
        <f>G575*H575*I575*E575</f>
        <v>0</v>
      </c>
      <c r="O575" s="3">
        <f>K575*1.6667</f>
        <v>192.42551510000001</v>
      </c>
    </row>
    <row r="576" spans="1:15" ht="18" customHeight="1">
      <c r="A576" s="21">
        <v>800</v>
      </c>
      <c r="B576" s="28" t="s">
        <v>4151</v>
      </c>
      <c r="C576" s="80" t="s">
        <v>2018</v>
      </c>
      <c r="D576" s="28" t="s">
        <v>34</v>
      </c>
      <c r="E576" s="28">
        <v>1.22</v>
      </c>
      <c r="F576" s="80">
        <v>348</v>
      </c>
      <c r="G576" s="136"/>
      <c r="H576" s="28">
        <v>1.3</v>
      </c>
      <c r="I576" s="136"/>
      <c r="J576" s="134">
        <v>46003</v>
      </c>
      <c r="K576" s="9">
        <f t="shared" si="40"/>
        <v>551.928</v>
      </c>
      <c r="L576" s="9"/>
      <c r="M576" s="46"/>
      <c r="N576" s="45"/>
      <c r="O576" s="45"/>
    </row>
    <row r="577" spans="1:15" ht="17.100000000000001" customHeight="1">
      <c r="A577" s="16">
        <v>2324</v>
      </c>
      <c r="B577" s="87" t="s">
        <v>4120</v>
      </c>
      <c r="C577" s="110" t="s">
        <v>4121</v>
      </c>
      <c r="D577" s="28" t="s">
        <v>716</v>
      </c>
      <c r="E577" s="28">
        <v>1.22</v>
      </c>
      <c r="F577" s="87">
        <v>121</v>
      </c>
      <c r="G577" s="110"/>
      <c r="H577" s="87">
        <v>1.6</v>
      </c>
      <c r="I577" s="110"/>
      <c r="J577" s="135">
        <v>45728</v>
      </c>
      <c r="K577" s="9">
        <f t="shared" si="40"/>
        <v>236.19200000000001</v>
      </c>
      <c r="L577" s="37"/>
      <c r="M577" s="17"/>
      <c r="N577" s="16"/>
      <c r="O577" s="16"/>
    </row>
    <row r="578" spans="1:15" ht="18" customHeight="1">
      <c r="A578" s="21">
        <v>201</v>
      </c>
      <c r="B578" s="87" t="s">
        <v>2113</v>
      </c>
      <c r="C578" s="110"/>
      <c r="D578" s="28" t="s">
        <v>451</v>
      </c>
      <c r="E578" s="28">
        <v>1.22</v>
      </c>
      <c r="F578" s="28">
        <v>45</v>
      </c>
      <c r="G578" s="110"/>
      <c r="H578" s="28">
        <v>1.6</v>
      </c>
      <c r="I578" s="110"/>
      <c r="J578" s="135">
        <v>44274</v>
      </c>
      <c r="K578" s="37">
        <f t="shared" si="40"/>
        <v>87.84</v>
      </c>
      <c r="L578" s="17"/>
      <c r="M578" s="17"/>
      <c r="N578" s="16"/>
      <c r="O578" s="16"/>
    </row>
    <row r="579" spans="1:15" ht="18.75" customHeight="1">
      <c r="A579" s="21">
        <v>200</v>
      </c>
      <c r="B579" s="87" t="s">
        <v>2112</v>
      </c>
      <c r="C579" s="28" t="s">
        <v>547</v>
      </c>
      <c r="D579" s="28" t="s">
        <v>451</v>
      </c>
      <c r="E579" s="28">
        <v>1.22</v>
      </c>
      <c r="F579" s="28">
        <v>20</v>
      </c>
      <c r="G579" s="110"/>
      <c r="H579" s="28">
        <v>1.6</v>
      </c>
      <c r="I579" s="110"/>
      <c r="J579" s="135">
        <v>44274</v>
      </c>
      <c r="K579" s="37">
        <f t="shared" si="40"/>
        <v>39.04</v>
      </c>
      <c r="L579" s="17"/>
      <c r="M579" s="17"/>
      <c r="N579" s="16"/>
      <c r="O579" s="16"/>
    </row>
    <row r="580" spans="1:15" ht="18.75" customHeight="1">
      <c r="A580" s="21">
        <v>391190</v>
      </c>
      <c r="B580" s="28" t="s">
        <v>81</v>
      </c>
      <c r="C580" s="28" t="s">
        <v>82</v>
      </c>
      <c r="D580" s="28" t="s">
        <v>23</v>
      </c>
      <c r="E580" s="28">
        <v>1.22</v>
      </c>
      <c r="F580" s="28">
        <v>182.9</v>
      </c>
      <c r="G580" s="28"/>
      <c r="H580" s="28">
        <v>1.4</v>
      </c>
      <c r="I580" s="28"/>
      <c r="J580" s="133">
        <v>45932</v>
      </c>
      <c r="K580" s="9">
        <f t="shared" si="40"/>
        <v>312.39319999999998</v>
      </c>
      <c r="L580" s="9"/>
      <c r="M580" s="9"/>
      <c r="N580" s="9">
        <f>G580*H580*I580*E580</f>
        <v>0</v>
      </c>
      <c r="O580" s="3">
        <f>K580*1.6667</f>
        <v>520.66574644000002</v>
      </c>
    </row>
    <row r="581" spans="1:15" ht="18.75" customHeight="1">
      <c r="A581" s="21">
        <v>3108</v>
      </c>
      <c r="B581" s="28" t="s">
        <v>2166</v>
      </c>
      <c r="C581" s="28" t="s">
        <v>868</v>
      </c>
      <c r="D581" s="28" t="s">
        <v>716</v>
      </c>
      <c r="E581" s="28">
        <v>1.22</v>
      </c>
      <c r="F581" s="28">
        <v>217</v>
      </c>
      <c r="G581" s="28"/>
      <c r="H581" s="28">
        <v>1.6</v>
      </c>
      <c r="I581" s="28"/>
      <c r="J581" s="134">
        <v>45281</v>
      </c>
      <c r="K581" s="9">
        <f t="shared" si="40"/>
        <v>423.58400000000006</v>
      </c>
      <c r="L581" s="9"/>
      <c r="M581" s="9"/>
      <c r="N581" s="9">
        <f>G581*H581*I581*E581</f>
        <v>0</v>
      </c>
      <c r="O581" s="3">
        <f>K581*1.6667</f>
        <v>705.98745280000014</v>
      </c>
    </row>
    <row r="582" spans="1:15" ht="18" customHeight="1">
      <c r="A582" s="16">
        <v>6425</v>
      </c>
      <c r="B582" s="80" t="s">
        <v>4432</v>
      </c>
      <c r="C582" s="110" t="s">
        <v>4433</v>
      </c>
      <c r="D582" s="79" t="s">
        <v>716</v>
      </c>
      <c r="E582" s="87">
        <v>1.22</v>
      </c>
      <c r="F582" s="87">
        <v>167</v>
      </c>
      <c r="G582" s="110"/>
      <c r="H582" s="87">
        <v>1.6</v>
      </c>
      <c r="I582" s="110"/>
      <c r="J582" s="135">
        <v>45960</v>
      </c>
      <c r="K582" s="9">
        <f t="shared" si="40"/>
        <v>325.98400000000004</v>
      </c>
      <c r="L582" s="37"/>
      <c r="M582" s="17"/>
      <c r="N582" s="16"/>
      <c r="O582" s="16"/>
    </row>
    <row r="583" spans="1:15" ht="18" customHeight="1">
      <c r="A583" s="16"/>
      <c r="B583" s="28" t="s">
        <v>2969</v>
      </c>
      <c r="C583" s="28" t="s">
        <v>2970</v>
      </c>
      <c r="D583" s="28"/>
      <c r="E583" s="28">
        <v>1</v>
      </c>
      <c r="F583" s="28">
        <v>210</v>
      </c>
      <c r="G583" s="110"/>
      <c r="H583" s="28">
        <v>1.4</v>
      </c>
      <c r="I583" s="110"/>
      <c r="J583" s="135">
        <v>45005</v>
      </c>
      <c r="K583" s="9">
        <f t="shared" si="40"/>
        <v>294</v>
      </c>
      <c r="L583" s="17"/>
      <c r="M583" s="17"/>
      <c r="N583" s="16"/>
      <c r="O583" s="16"/>
    </row>
    <row r="584" spans="1:15" ht="18" customHeight="1">
      <c r="A584" s="26">
        <v>246</v>
      </c>
      <c r="B584" s="80" t="s">
        <v>2108</v>
      </c>
      <c r="C584" s="80"/>
      <c r="D584" s="28" t="s">
        <v>451</v>
      </c>
      <c r="E584" s="80">
        <v>1.22</v>
      </c>
      <c r="F584" s="80">
        <v>130</v>
      </c>
      <c r="G584" s="80"/>
      <c r="H584" s="80">
        <v>1.5</v>
      </c>
      <c r="I584" s="80" t="s">
        <v>2526</v>
      </c>
      <c r="J584" s="134">
        <v>44698</v>
      </c>
      <c r="K584" s="9">
        <f t="shared" si="40"/>
        <v>237.89999999999998</v>
      </c>
      <c r="L584" s="9"/>
      <c r="M584" s="17"/>
      <c r="N584" s="44"/>
      <c r="O584" s="44"/>
    </row>
    <row r="585" spans="1:15" ht="18" hidden="1" customHeight="1">
      <c r="A585" s="22"/>
      <c r="B585" s="28" t="s">
        <v>1086</v>
      </c>
      <c r="C585" s="28" t="s">
        <v>15</v>
      </c>
      <c r="D585" s="28"/>
      <c r="E585" s="28">
        <v>1.22</v>
      </c>
      <c r="F585" s="28">
        <v>109</v>
      </c>
      <c r="G585" s="28"/>
      <c r="H585" s="28">
        <v>1.6</v>
      </c>
      <c r="I585" s="28"/>
      <c r="J585" s="133">
        <v>43451</v>
      </c>
      <c r="K585" s="9">
        <f t="shared" si="40"/>
        <v>212.768</v>
      </c>
      <c r="L585" s="9"/>
      <c r="M585" s="9"/>
      <c r="N585" s="9">
        <f>G585*H585*I585*E585</f>
        <v>0</v>
      </c>
      <c r="O585" s="3">
        <f>K585*1.6667</f>
        <v>354.62042560000003</v>
      </c>
    </row>
    <row r="586" spans="1:15" ht="18" customHeight="1">
      <c r="A586" s="16" t="s">
        <v>2481</v>
      </c>
      <c r="B586" s="87" t="s">
        <v>3539</v>
      </c>
      <c r="C586" s="110" t="s">
        <v>2482</v>
      </c>
      <c r="D586" s="28" t="s">
        <v>1921</v>
      </c>
      <c r="E586" s="28">
        <v>1.22</v>
      </c>
      <c r="F586" s="87">
        <v>124</v>
      </c>
      <c r="G586" s="110"/>
      <c r="H586" s="87">
        <v>1.5</v>
      </c>
      <c r="I586" s="110"/>
      <c r="J586" s="135">
        <v>45918</v>
      </c>
      <c r="K586" s="35">
        <f t="shared" si="40"/>
        <v>226.92000000000002</v>
      </c>
      <c r="L586" s="37"/>
      <c r="M586" s="17"/>
      <c r="N586" s="16"/>
      <c r="O586" s="16"/>
    </row>
    <row r="587" spans="1:15" ht="18" hidden="1" customHeight="1">
      <c r="A587" s="22"/>
      <c r="B587" s="28" t="s">
        <v>1085</v>
      </c>
      <c r="C587" s="28" t="s">
        <v>15</v>
      </c>
      <c r="D587" s="28"/>
      <c r="E587" s="28">
        <v>1.22</v>
      </c>
      <c r="F587" s="28">
        <v>124</v>
      </c>
      <c r="G587" s="28"/>
      <c r="H587" s="28">
        <v>1.6</v>
      </c>
      <c r="I587" s="28"/>
      <c r="J587" s="133">
        <v>43451</v>
      </c>
      <c r="K587" s="9">
        <f t="shared" si="40"/>
        <v>242.048</v>
      </c>
      <c r="L587" s="9"/>
      <c r="M587" s="9"/>
      <c r="N587" s="9">
        <f>G587*H587*I587*E587</f>
        <v>0</v>
      </c>
      <c r="O587" s="3">
        <f>K587*1.6667</f>
        <v>403.42140160000002</v>
      </c>
    </row>
    <row r="588" spans="1:15" ht="18" customHeight="1">
      <c r="A588" s="21">
        <v>15201</v>
      </c>
      <c r="B588" s="28" t="s">
        <v>1027</v>
      </c>
      <c r="C588" s="28" t="s">
        <v>15</v>
      </c>
      <c r="D588" s="28" t="s">
        <v>451</v>
      </c>
      <c r="E588" s="28">
        <v>1.22</v>
      </c>
      <c r="F588" s="28">
        <v>119</v>
      </c>
      <c r="G588" s="28"/>
      <c r="H588" s="28">
        <v>2</v>
      </c>
      <c r="I588" s="28"/>
      <c r="J588" s="133">
        <v>44939</v>
      </c>
      <c r="K588" s="9">
        <f t="shared" si="40"/>
        <v>290.36</v>
      </c>
      <c r="L588" s="9"/>
      <c r="M588" s="9"/>
      <c r="N588" s="9">
        <f>G588*H588*I588*E588</f>
        <v>0</v>
      </c>
      <c r="O588" s="3">
        <f>K588*1.6667</f>
        <v>483.94301200000007</v>
      </c>
    </row>
    <row r="589" spans="1:15" ht="18" customHeight="1">
      <c r="A589" s="26">
        <v>324</v>
      </c>
      <c r="B589" s="80" t="s">
        <v>2529</v>
      </c>
      <c r="C589" s="80"/>
      <c r="D589" s="28" t="s">
        <v>451</v>
      </c>
      <c r="E589" s="80">
        <v>1.22</v>
      </c>
      <c r="F589" s="80">
        <v>123</v>
      </c>
      <c r="G589" s="80"/>
      <c r="H589" s="80">
        <v>1.6</v>
      </c>
      <c r="I589" s="80"/>
      <c r="J589" s="134">
        <v>44698</v>
      </c>
      <c r="K589" s="9">
        <f t="shared" si="40"/>
        <v>240.096</v>
      </c>
      <c r="L589" s="9"/>
      <c r="M589" s="17"/>
      <c r="N589" s="44"/>
      <c r="O589" s="44"/>
    </row>
    <row r="590" spans="1:15" ht="18" customHeight="1">
      <c r="A590" s="21" t="s">
        <v>2357</v>
      </c>
      <c r="B590" s="28" t="s">
        <v>2358</v>
      </c>
      <c r="C590" s="28" t="s">
        <v>2359</v>
      </c>
      <c r="D590" s="28" t="s">
        <v>451</v>
      </c>
      <c r="E590" s="28">
        <v>1.22</v>
      </c>
      <c r="F590" s="28">
        <v>149.9</v>
      </c>
      <c r="G590" s="28"/>
      <c r="H590" s="28">
        <v>1.6</v>
      </c>
      <c r="I590" s="28"/>
      <c r="J590" s="133">
        <v>44524</v>
      </c>
      <c r="K590" s="9">
        <f t="shared" si="40"/>
        <v>292.60480000000001</v>
      </c>
      <c r="L590" s="9"/>
      <c r="M590" s="9"/>
      <c r="N590" s="9">
        <f>G590*H590*I590*E590</f>
        <v>0</v>
      </c>
      <c r="O590" s="3">
        <f>K590*1.6667</f>
        <v>487.68442016000006</v>
      </c>
    </row>
    <row r="591" spans="1:15" ht="18" customHeight="1">
      <c r="A591" s="21">
        <v>725038</v>
      </c>
      <c r="B591" s="28" t="s">
        <v>3951</v>
      </c>
      <c r="C591" s="28" t="s">
        <v>3952</v>
      </c>
      <c r="D591" s="28" t="s">
        <v>23</v>
      </c>
      <c r="E591" s="28">
        <v>1.22</v>
      </c>
      <c r="F591" s="28">
        <v>0</v>
      </c>
      <c r="G591" s="28">
        <v>6.18</v>
      </c>
      <c r="H591" s="28">
        <v>1.4</v>
      </c>
      <c r="I591" s="28">
        <v>47</v>
      </c>
      <c r="J591" s="133">
        <v>45643</v>
      </c>
      <c r="K591" s="9">
        <f t="shared" si="40"/>
        <v>0</v>
      </c>
      <c r="L591" s="9"/>
      <c r="M591" s="9"/>
      <c r="N591" s="9">
        <f>G591*H591*I591*E591</f>
        <v>496.10567999999995</v>
      </c>
      <c r="O591" s="3">
        <f>K591*1.6667</f>
        <v>0</v>
      </c>
    </row>
    <row r="592" spans="1:15" ht="18" customHeight="1">
      <c r="A592" s="16"/>
      <c r="B592" s="87" t="s">
        <v>3625</v>
      </c>
      <c r="C592" s="110"/>
      <c r="D592" s="110" t="s">
        <v>3626</v>
      </c>
      <c r="E592" s="87">
        <v>1.22</v>
      </c>
      <c r="F592" s="87">
        <v>590</v>
      </c>
      <c r="G592" s="110"/>
      <c r="H592" s="87">
        <v>1.35</v>
      </c>
      <c r="I592" s="110"/>
      <c r="J592" s="135">
        <v>45504</v>
      </c>
      <c r="K592" s="35">
        <f t="shared" si="40"/>
        <v>971.73</v>
      </c>
      <c r="L592" s="37"/>
      <c r="M592" s="17"/>
      <c r="N592" s="16"/>
      <c r="O592" s="16"/>
    </row>
    <row r="593" spans="1:15" ht="18" hidden="1" customHeight="1">
      <c r="A593" s="21"/>
      <c r="B593" s="28" t="s">
        <v>142</v>
      </c>
      <c r="C593" s="28" t="s">
        <v>15</v>
      </c>
      <c r="D593" s="28"/>
      <c r="E593" s="28">
        <v>1.22</v>
      </c>
      <c r="F593" s="28">
        <v>159</v>
      </c>
      <c r="G593" s="28"/>
      <c r="H593" s="28">
        <v>1.4</v>
      </c>
      <c r="I593" s="28"/>
      <c r="J593" s="133">
        <v>42823</v>
      </c>
      <c r="K593" s="9">
        <f t="shared" si="40"/>
        <v>271.57199999999995</v>
      </c>
      <c r="L593" s="9"/>
      <c r="M593" s="9"/>
      <c r="N593" s="9">
        <f>G593*H593*I593*E593</f>
        <v>0</v>
      </c>
      <c r="O593" s="3">
        <f>K593*1.6667</f>
        <v>452.62905239999992</v>
      </c>
    </row>
    <row r="594" spans="1:15" ht="18" customHeight="1">
      <c r="A594" s="21"/>
      <c r="B594" s="28" t="s">
        <v>102</v>
      </c>
      <c r="C594" s="28"/>
      <c r="D594" s="28"/>
      <c r="E594" s="28">
        <v>1.22</v>
      </c>
      <c r="F594" s="28"/>
      <c r="G594" s="28">
        <v>5</v>
      </c>
      <c r="H594" s="28">
        <v>1.7</v>
      </c>
      <c r="I594" s="28">
        <v>45</v>
      </c>
      <c r="J594" s="28"/>
      <c r="K594" s="9">
        <f t="shared" si="40"/>
        <v>0</v>
      </c>
      <c r="L594" s="9"/>
      <c r="M594" s="9"/>
      <c r="N594" s="9">
        <f>G594*H594*I594*E594</f>
        <v>466.65</v>
      </c>
      <c r="O594" s="3">
        <f>K594*1.6667</f>
        <v>0</v>
      </c>
    </row>
    <row r="595" spans="1:15" ht="18" customHeight="1">
      <c r="A595" s="16"/>
      <c r="B595" s="28" t="s">
        <v>2872</v>
      </c>
      <c r="C595" s="110"/>
      <c r="D595" s="28"/>
      <c r="E595" s="28">
        <v>1.22</v>
      </c>
      <c r="F595" s="28">
        <v>227</v>
      </c>
      <c r="G595" s="110"/>
      <c r="H595" s="28">
        <v>1.6</v>
      </c>
      <c r="I595" s="110"/>
      <c r="J595" s="135">
        <v>44939</v>
      </c>
      <c r="K595" s="37">
        <f t="shared" si="40"/>
        <v>443.10400000000004</v>
      </c>
      <c r="L595" s="37"/>
      <c r="M595" s="17"/>
      <c r="N595" s="16"/>
      <c r="O595" s="16"/>
    </row>
    <row r="596" spans="1:15" ht="18" customHeight="1">
      <c r="A596" s="22"/>
      <c r="B596" s="28" t="s">
        <v>1560</v>
      </c>
      <c r="C596" s="28"/>
      <c r="D596" s="28"/>
      <c r="E596" s="28">
        <v>1.22</v>
      </c>
      <c r="F596" s="28">
        <v>153</v>
      </c>
      <c r="G596" s="28"/>
      <c r="H596" s="28">
        <v>1.6</v>
      </c>
      <c r="I596" s="28"/>
      <c r="J596" s="133">
        <v>43900</v>
      </c>
      <c r="K596" s="9">
        <f t="shared" si="40"/>
        <v>298.65600000000001</v>
      </c>
      <c r="L596" s="9"/>
      <c r="M596" s="9"/>
      <c r="N596" s="9">
        <f>G596*H596*I596*E596</f>
        <v>0</v>
      </c>
      <c r="O596" s="3">
        <f>K596*1.6667</f>
        <v>497.76995520000003</v>
      </c>
    </row>
    <row r="597" spans="1:15" ht="18" customHeight="1">
      <c r="A597" s="16">
        <v>220</v>
      </c>
      <c r="B597" s="87" t="s">
        <v>2110</v>
      </c>
      <c r="C597" s="110"/>
      <c r="D597" s="28" t="s">
        <v>451</v>
      </c>
      <c r="E597" s="87">
        <v>1.22</v>
      </c>
      <c r="F597" s="87">
        <v>199</v>
      </c>
      <c r="G597" s="110"/>
      <c r="H597" s="87">
        <v>1.4</v>
      </c>
      <c r="I597" s="110"/>
      <c r="J597" s="135">
        <v>44270</v>
      </c>
      <c r="K597" s="9" t="s">
        <v>2355</v>
      </c>
      <c r="L597" s="17"/>
      <c r="M597" s="17"/>
      <c r="N597" s="16"/>
      <c r="O597" s="16"/>
    </row>
    <row r="598" spans="1:15" ht="18" customHeight="1">
      <c r="A598" s="42">
        <v>220</v>
      </c>
      <c r="B598" s="160" t="s">
        <v>2110</v>
      </c>
      <c r="C598" s="123"/>
      <c r="D598" s="28" t="s">
        <v>451</v>
      </c>
      <c r="E598" s="160"/>
      <c r="F598" s="160"/>
      <c r="G598" s="123"/>
      <c r="H598" s="160"/>
      <c r="I598" s="123"/>
      <c r="J598" s="150"/>
      <c r="K598" s="51"/>
      <c r="L598" s="51"/>
      <c r="M598" s="17"/>
      <c r="N598" s="42"/>
      <c r="O598" s="42"/>
    </row>
    <row r="599" spans="1:15" ht="18" customHeight="1">
      <c r="A599" s="21" t="s">
        <v>2396</v>
      </c>
      <c r="B599" s="28" t="s">
        <v>2397</v>
      </c>
      <c r="C599" s="28" t="s">
        <v>54</v>
      </c>
      <c r="D599" s="28" t="s">
        <v>3297</v>
      </c>
      <c r="E599" s="28">
        <v>1.22</v>
      </c>
      <c r="F599" s="28">
        <v>400.21</v>
      </c>
      <c r="G599" s="28"/>
      <c r="H599" s="28">
        <v>1.6</v>
      </c>
      <c r="I599" s="28"/>
      <c r="J599" s="133">
        <v>44560</v>
      </c>
      <c r="K599" s="9">
        <f t="shared" ref="K599:K605" si="41">E599*F599*H599</f>
        <v>781.20992000000001</v>
      </c>
      <c r="L599" s="9"/>
      <c r="M599" s="249"/>
      <c r="N599" s="9"/>
      <c r="O599" s="3"/>
    </row>
    <row r="600" spans="1:15" ht="18" customHeight="1">
      <c r="A600" s="21" t="s">
        <v>818</v>
      </c>
      <c r="B600" s="28" t="s">
        <v>817</v>
      </c>
      <c r="C600" s="28"/>
      <c r="D600" s="28" t="s">
        <v>3297</v>
      </c>
      <c r="E600" s="28">
        <v>1.22</v>
      </c>
      <c r="F600" s="28">
        <v>227.19</v>
      </c>
      <c r="G600" s="28"/>
      <c r="H600" s="28">
        <v>1.6</v>
      </c>
      <c r="I600" s="28"/>
      <c r="J600" s="133">
        <v>44370</v>
      </c>
      <c r="K600" s="9">
        <f t="shared" si="41"/>
        <v>443.47488000000004</v>
      </c>
      <c r="L600" s="9"/>
      <c r="M600" s="249"/>
      <c r="N600" s="9"/>
      <c r="O600" s="3"/>
    </row>
    <row r="601" spans="1:15" ht="18" customHeight="1">
      <c r="A601" s="20"/>
      <c r="B601" s="85" t="s">
        <v>143</v>
      </c>
      <c r="C601" s="85"/>
      <c r="D601" s="28"/>
      <c r="E601" s="85"/>
      <c r="F601" s="85"/>
      <c r="G601" s="85"/>
      <c r="H601" s="85"/>
      <c r="I601" s="85"/>
      <c r="J601" s="131">
        <v>42276</v>
      </c>
      <c r="K601" s="10">
        <f t="shared" si="41"/>
        <v>0</v>
      </c>
      <c r="L601" s="10"/>
      <c r="M601" s="9"/>
      <c r="N601" s="10">
        <f>G601*H601*I601*E601</f>
        <v>0</v>
      </c>
      <c r="O601" s="14">
        <f>K601*1.6667</f>
        <v>0</v>
      </c>
    </row>
    <row r="602" spans="1:15" ht="18" customHeight="1">
      <c r="A602" s="16"/>
      <c r="B602" s="87" t="s">
        <v>4365</v>
      </c>
      <c r="C602" s="110" t="s">
        <v>4366</v>
      </c>
      <c r="D602" s="28" t="s">
        <v>4158</v>
      </c>
      <c r="E602" s="28">
        <v>1.22</v>
      </c>
      <c r="F602" s="87">
        <v>53</v>
      </c>
      <c r="G602" s="110"/>
      <c r="H602" s="87">
        <v>1.5</v>
      </c>
      <c r="I602" s="110"/>
      <c r="J602" s="135">
        <v>45915</v>
      </c>
      <c r="K602" s="9">
        <f t="shared" si="41"/>
        <v>96.99</v>
      </c>
      <c r="L602" s="37"/>
      <c r="M602" s="17"/>
      <c r="N602" s="16"/>
      <c r="O602" s="16"/>
    </row>
    <row r="603" spans="1:15" ht="18" customHeight="1">
      <c r="A603" s="16"/>
      <c r="B603" s="87" t="s">
        <v>4190</v>
      </c>
      <c r="C603" s="110"/>
      <c r="D603" s="28" t="s">
        <v>451</v>
      </c>
      <c r="E603" s="28">
        <v>1.22</v>
      </c>
      <c r="F603" s="87">
        <v>336</v>
      </c>
      <c r="G603" s="110"/>
      <c r="H603" s="28">
        <v>1.6</v>
      </c>
      <c r="I603" s="110"/>
      <c r="J603" s="135">
        <v>45772</v>
      </c>
      <c r="K603" s="9">
        <f t="shared" si="41"/>
        <v>655.87200000000007</v>
      </c>
      <c r="L603" s="37"/>
      <c r="M603" s="17"/>
      <c r="N603" s="16"/>
      <c r="O603" s="16"/>
    </row>
    <row r="604" spans="1:15" ht="18" customHeight="1">
      <c r="A604" s="32"/>
      <c r="B604" s="93" t="s">
        <v>144</v>
      </c>
      <c r="C604" s="93" t="s">
        <v>145</v>
      </c>
      <c r="D604" s="28"/>
      <c r="E604" s="93">
        <v>1</v>
      </c>
      <c r="F604" s="93">
        <v>694</v>
      </c>
      <c r="G604" s="93"/>
      <c r="H604" s="93">
        <v>1.1000000000000001</v>
      </c>
      <c r="I604" s="93"/>
      <c r="J604" s="146">
        <v>42646</v>
      </c>
      <c r="K604" s="33">
        <f t="shared" si="41"/>
        <v>763.40000000000009</v>
      </c>
      <c r="L604" s="33"/>
      <c r="M604" s="9"/>
      <c r="N604" s="33">
        <f>G604*H604*I604*E604</f>
        <v>0</v>
      </c>
      <c r="O604" s="34">
        <f>K604*1.6667</f>
        <v>1272.3587800000003</v>
      </c>
    </row>
    <row r="605" spans="1:15" ht="18" customHeight="1">
      <c r="A605" s="21" t="s">
        <v>4209</v>
      </c>
      <c r="B605" s="87" t="s">
        <v>4210</v>
      </c>
      <c r="C605" s="110"/>
      <c r="D605" s="110" t="s">
        <v>3297</v>
      </c>
      <c r="E605" s="87">
        <v>1.22</v>
      </c>
      <c r="F605" s="87">
        <v>18</v>
      </c>
      <c r="G605" s="110"/>
      <c r="H605" s="87">
        <v>2</v>
      </c>
      <c r="I605" s="110"/>
      <c r="J605" s="135">
        <v>45777</v>
      </c>
      <c r="K605" s="37">
        <f t="shared" si="41"/>
        <v>43.92</v>
      </c>
      <c r="L605" s="37"/>
      <c r="M605" s="154"/>
      <c r="N605" s="16"/>
      <c r="O605" s="16"/>
    </row>
    <row r="606" spans="1:15" ht="18" customHeight="1">
      <c r="A606" s="21">
        <v>0</v>
      </c>
      <c r="B606" s="28" t="s">
        <v>2231</v>
      </c>
      <c r="C606" s="28" t="s">
        <v>15</v>
      </c>
      <c r="D606" s="28" t="s">
        <v>1905</v>
      </c>
      <c r="E606" s="93">
        <v>1.22</v>
      </c>
      <c r="F606" s="28">
        <v>3.9</v>
      </c>
      <c r="G606" s="28"/>
      <c r="H606" s="28">
        <v>3</v>
      </c>
      <c r="I606" s="28"/>
      <c r="J606" s="133">
        <v>45874</v>
      </c>
      <c r="K606" s="9">
        <f>+F606*H606</f>
        <v>11.7</v>
      </c>
      <c r="L606" s="9"/>
      <c r="M606" s="155"/>
      <c r="N606" s="9">
        <f>G606*H606*I606*E606</f>
        <v>0</v>
      </c>
      <c r="O606" s="3">
        <f>K606*1.6667</f>
        <v>19.500389999999999</v>
      </c>
    </row>
    <row r="607" spans="1:15" ht="18" customHeight="1">
      <c r="A607" s="20"/>
      <c r="B607" s="85" t="s">
        <v>4326</v>
      </c>
      <c r="C607" s="85" t="s">
        <v>129</v>
      </c>
      <c r="D607" s="28" t="s">
        <v>1905</v>
      </c>
      <c r="E607" s="93">
        <v>1.22</v>
      </c>
      <c r="F607" s="85">
        <v>78</v>
      </c>
      <c r="G607" s="85"/>
      <c r="H607" s="85">
        <v>1.7</v>
      </c>
      <c r="I607" s="85"/>
      <c r="J607" s="131">
        <v>45874</v>
      </c>
      <c r="K607" s="10">
        <f>E607*F607*H607</f>
        <v>161.77199999999999</v>
      </c>
      <c r="L607" s="10"/>
      <c r="M607" s="155"/>
      <c r="N607" s="10">
        <f>G607*H607*I607*E607</f>
        <v>0</v>
      </c>
      <c r="O607" s="14">
        <f>K607*1.6667</f>
        <v>269.62539240000001</v>
      </c>
    </row>
    <row r="608" spans="1:15" ht="18" customHeight="1">
      <c r="A608" s="21" t="s">
        <v>3716</v>
      </c>
      <c r="B608" s="28" t="s">
        <v>3717</v>
      </c>
      <c r="C608" s="28" t="s">
        <v>15</v>
      </c>
      <c r="D608" s="28" t="s">
        <v>1905</v>
      </c>
      <c r="E608" s="93">
        <v>1.22</v>
      </c>
      <c r="F608" s="28">
        <v>78.680000000000007</v>
      </c>
      <c r="G608" s="28"/>
      <c r="H608" s="28">
        <v>1.6</v>
      </c>
      <c r="I608" s="28"/>
      <c r="J608" s="133">
        <v>45545</v>
      </c>
      <c r="K608" s="9">
        <f>E608*F608*H608</f>
        <v>153.58336000000003</v>
      </c>
      <c r="L608" s="9"/>
      <c r="M608" s="155"/>
      <c r="N608" s="9">
        <f>G608*H608*I608*E608</f>
        <v>0</v>
      </c>
      <c r="O608" s="3">
        <f>K608*1.6667</f>
        <v>255.97738611200006</v>
      </c>
    </row>
    <row r="609" spans="1:15" ht="18" customHeight="1">
      <c r="A609" s="26">
        <v>50</v>
      </c>
      <c r="B609" s="80" t="s">
        <v>1831</v>
      </c>
      <c r="C609" s="80" t="s">
        <v>1832</v>
      </c>
      <c r="D609" s="28" t="s">
        <v>451</v>
      </c>
      <c r="E609" s="152">
        <v>1</v>
      </c>
      <c r="F609" s="80">
        <v>118</v>
      </c>
      <c r="G609" s="80"/>
      <c r="H609" s="80">
        <v>1.6</v>
      </c>
      <c r="I609" s="80"/>
      <c r="J609" s="134">
        <v>44698</v>
      </c>
      <c r="K609" s="9">
        <f>E609*F609*H609</f>
        <v>188.8</v>
      </c>
      <c r="L609" s="9"/>
      <c r="M609" s="154"/>
      <c r="N609" s="16"/>
      <c r="O609" s="16"/>
    </row>
    <row r="610" spans="1:15" ht="18" customHeight="1">
      <c r="A610" s="247"/>
      <c r="B610" s="80" t="s">
        <v>3510</v>
      </c>
      <c r="C610" s="165" t="s">
        <v>30</v>
      </c>
      <c r="D610" s="28" t="s">
        <v>1748</v>
      </c>
      <c r="E610" s="152">
        <v>1</v>
      </c>
      <c r="F610" s="158"/>
      <c r="G610" s="165">
        <v>82</v>
      </c>
      <c r="H610" s="158">
        <v>1.5</v>
      </c>
      <c r="I610" s="165">
        <v>41</v>
      </c>
      <c r="J610" s="132">
        <v>45939</v>
      </c>
      <c r="K610" s="57">
        <f>+E610*G610*H610*I610</f>
        <v>5043</v>
      </c>
      <c r="L610" s="57"/>
      <c r="M610" s="259"/>
      <c r="N610" s="247"/>
      <c r="O610" s="247"/>
    </row>
    <row r="611" spans="1:15" ht="18" customHeight="1">
      <c r="A611" s="247"/>
      <c r="B611" s="158" t="s">
        <v>3510</v>
      </c>
      <c r="C611" s="165" t="s">
        <v>93</v>
      </c>
      <c r="D611" s="28" t="s">
        <v>1748</v>
      </c>
      <c r="E611" s="158">
        <v>1</v>
      </c>
      <c r="F611" s="158">
        <v>140</v>
      </c>
      <c r="G611" s="165">
        <v>3.28</v>
      </c>
      <c r="H611" s="158">
        <v>1.8</v>
      </c>
      <c r="I611" s="165">
        <v>41</v>
      </c>
      <c r="J611" s="132">
        <v>45939</v>
      </c>
      <c r="K611" s="10">
        <f>E611*F611*H611</f>
        <v>252</v>
      </c>
      <c r="L611" s="57"/>
      <c r="M611" s="46"/>
      <c r="N611" s="247"/>
      <c r="O611" s="247"/>
    </row>
    <row r="612" spans="1:15" ht="18" customHeight="1">
      <c r="A612" s="32" t="s">
        <v>3276</v>
      </c>
      <c r="B612" s="93" t="s">
        <v>496</v>
      </c>
      <c r="C612" s="93" t="s">
        <v>98</v>
      </c>
      <c r="D612" s="93" t="s">
        <v>4390</v>
      </c>
      <c r="E612" s="93">
        <v>1</v>
      </c>
      <c r="F612" s="93">
        <v>740</v>
      </c>
      <c r="G612" s="93">
        <v>0</v>
      </c>
      <c r="H612" s="93">
        <v>1.6</v>
      </c>
      <c r="I612" s="93">
        <v>42</v>
      </c>
      <c r="J612" s="146">
        <v>45926</v>
      </c>
      <c r="K612" s="33">
        <f>E612*F612*H612</f>
        <v>1184</v>
      </c>
      <c r="L612" s="33"/>
      <c r="M612" s="33"/>
      <c r="N612" s="33">
        <f>G612*H612*I612*E612</f>
        <v>0</v>
      </c>
      <c r="O612" s="320">
        <f>K612*1.6667</f>
        <v>1973.3728000000001</v>
      </c>
    </row>
    <row r="613" spans="1:15" ht="18" customHeight="1">
      <c r="A613" s="21"/>
      <c r="B613" s="28" t="s">
        <v>496</v>
      </c>
      <c r="C613" s="28" t="s">
        <v>93</v>
      </c>
      <c r="D613" s="28" t="s">
        <v>23</v>
      </c>
      <c r="E613" s="28">
        <v>1.22</v>
      </c>
      <c r="F613" s="28">
        <v>83.31</v>
      </c>
      <c r="G613" s="28">
        <v>0</v>
      </c>
      <c r="H613" s="28">
        <v>1.4</v>
      </c>
      <c r="I613" s="28">
        <v>0</v>
      </c>
      <c r="J613" s="133">
        <v>45911</v>
      </c>
      <c r="K613" s="9">
        <f>E613*F613*H613</f>
        <v>142.29347999999999</v>
      </c>
      <c r="L613" s="9"/>
      <c r="M613" s="9"/>
      <c r="N613" s="9">
        <f>G613*H613*I613*E613</f>
        <v>0</v>
      </c>
      <c r="O613" s="3">
        <f>K613*1.6667</f>
        <v>237.16054311599999</v>
      </c>
    </row>
    <row r="614" spans="1:15" ht="48.75" customHeight="1">
      <c r="A614" s="20"/>
      <c r="B614" s="85" t="s">
        <v>496</v>
      </c>
      <c r="C614" s="85" t="s">
        <v>93</v>
      </c>
      <c r="D614" s="85" t="s">
        <v>1748</v>
      </c>
      <c r="E614" s="85">
        <v>1</v>
      </c>
      <c r="F614" s="85">
        <v>41.4</v>
      </c>
      <c r="G614" s="85"/>
      <c r="H614" s="85">
        <v>2.25</v>
      </c>
      <c r="I614" s="85"/>
      <c r="J614" s="131">
        <v>45926</v>
      </c>
      <c r="K614" s="10">
        <f>E614*F614*H614</f>
        <v>93.149999999999991</v>
      </c>
      <c r="L614" s="10"/>
      <c r="M614" s="10"/>
      <c r="N614" s="10"/>
      <c r="O614" s="14"/>
    </row>
    <row r="615" spans="1:15" ht="18" customHeight="1">
      <c r="A615" s="21"/>
      <c r="B615" s="28" t="s">
        <v>3628</v>
      </c>
      <c r="C615" s="28" t="s">
        <v>93</v>
      </c>
      <c r="D615" s="28" t="s">
        <v>1748</v>
      </c>
      <c r="E615" s="28">
        <v>1</v>
      </c>
      <c r="F615" s="28">
        <v>31</v>
      </c>
      <c r="G615" s="28"/>
      <c r="H615" s="28">
        <v>2.2999999999999998</v>
      </c>
      <c r="I615" s="28"/>
      <c r="J615" s="133">
        <v>45999</v>
      </c>
      <c r="K615" s="9">
        <f>E615*F615*H615</f>
        <v>71.3</v>
      </c>
      <c r="L615" s="9"/>
      <c r="M615" s="9"/>
      <c r="N615" s="9">
        <f>G615*H615*I615*E615</f>
        <v>0</v>
      </c>
      <c r="O615" s="3">
        <f>K615*1.6667</f>
        <v>118.83571000000001</v>
      </c>
    </row>
    <row r="616" spans="1:15" ht="18" customHeight="1">
      <c r="A616" s="21"/>
      <c r="B616" s="28" t="s">
        <v>3627</v>
      </c>
      <c r="C616" s="28" t="s">
        <v>98</v>
      </c>
      <c r="D616" s="28" t="s">
        <v>1748</v>
      </c>
      <c r="E616" s="28">
        <v>1</v>
      </c>
      <c r="F616" s="28"/>
      <c r="G616" s="28">
        <v>18.2</v>
      </c>
      <c r="H616" s="28">
        <v>1.6</v>
      </c>
      <c r="I616" s="28">
        <v>41</v>
      </c>
      <c r="J616" s="133">
        <v>45999</v>
      </c>
      <c r="K616" s="9">
        <f>+G616*H616*I616</f>
        <v>1193.92</v>
      </c>
      <c r="L616" s="9">
        <f>+G616*H616*I616</f>
        <v>1193.92</v>
      </c>
      <c r="M616" s="9"/>
      <c r="N616" s="9">
        <f>G616*H616*I616*E616</f>
        <v>1193.92</v>
      </c>
      <c r="O616" s="36">
        <f>K616*1.6667</f>
        <v>1989.9064640000001</v>
      </c>
    </row>
    <row r="617" spans="1:15" ht="18" customHeight="1">
      <c r="A617" s="16"/>
      <c r="B617" s="92" t="s">
        <v>1861</v>
      </c>
      <c r="C617" s="28" t="s">
        <v>133</v>
      </c>
      <c r="D617" s="28"/>
      <c r="E617" s="92">
        <v>1</v>
      </c>
      <c r="F617" s="28">
        <v>16</v>
      </c>
      <c r="G617" s="110"/>
      <c r="H617" s="28">
        <v>2</v>
      </c>
      <c r="I617" s="110"/>
      <c r="J617" s="135">
        <v>44085</v>
      </c>
      <c r="K617" s="17">
        <f>E617*F617*H617</f>
        <v>32</v>
      </c>
      <c r="L617" s="17"/>
      <c r="M617" s="17"/>
      <c r="N617" s="16"/>
      <c r="O617" s="16"/>
    </row>
    <row r="618" spans="1:15" ht="18" customHeight="1">
      <c r="A618" s="46"/>
      <c r="B618" s="80" t="s">
        <v>3509</v>
      </c>
      <c r="C618" s="79" t="s">
        <v>30</v>
      </c>
      <c r="D618" s="28" t="s">
        <v>1748</v>
      </c>
      <c r="E618" s="80">
        <v>1</v>
      </c>
      <c r="F618" s="80"/>
      <c r="G618" s="79">
        <v>41</v>
      </c>
      <c r="H618" s="80">
        <v>1.5</v>
      </c>
      <c r="I618" s="79">
        <v>44</v>
      </c>
      <c r="J618" s="134">
        <v>45939</v>
      </c>
      <c r="K618" s="35">
        <f>+E618*G618*H618*I618</f>
        <v>2706</v>
      </c>
      <c r="L618" s="35"/>
      <c r="M618" s="46"/>
      <c r="N618" s="46"/>
      <c r="O618" s="46"/>
    </row>
    <row r="619" spans="1:15" ht="18" customHeight="1">
      <c r="A619" s="46"/>
      <c r="B619" s="80" t="s">
        <v>3509</v>
      </c>
      <c r="C619" s="79" t="s">
        <v>93</v>
      </c>
      <c r="D619" s="28" t="s">
        <v>1748</v>
      </c>
      <c r="E619" s="80">
        <v>1</v>
      </c>
      <c r="F619" s="80">
        <v>69</v>
      </c>
      <c r="G619" s="79">
        <v>0</v>
      </c>
      <c r="H619" s="80">
        <v>2.6</v>
      </c>
      <c r="I619" s="79">
        <v>44</v>
      </c>
      <c r="J619" s="134">
        <v>45939</v>
      </c>
      <c r="K619" s="9">
        <f t="shared" ref="K619:K652" si="42">E619*F619*H619</f>
        <v>179.4</v>
      </c>
      <c r="L619" s="35"/>
      <c r="M619" s="17"/>
      <c r="N619" s="46"/>
      <c r="O619" s="46"/>
    </row>
    <row r="620" spans="1:15" ht="18" customHeight="1">
      <c r="A620" s="46"/>
      <c r="B620" s="80" t="s">
        <v>2981</v>
      </c>
      <c r="C620" s="79" t="s">
        <v>98</v>
      </c>
      <c r="D620" s="28"/>
      <c r="E620" s="80">
        <v>1</v>
      </c>
      <c r="F620" s="80">
        <v>1856</v>
      </c>
      <c r="G620" s="79"/>
      <c r="H620" s="80">
        <v>1.3</v>
      </c>
      <c r="I620" s="79"/>
      <c r="J620" s="134">
        <v>45027</v>
      </c>
      <c r="K620" s="46">
        <f t="shared" si="42"/>
        <v>2412.8000000000002</v>
      </c>
      <c r="L620" s="46"/>
      <c r="M620" s="46"/>
      <c r="N620" s="46"/>
      <c r="O620" s="46"/>
    </row>
    <row r="621" spans="1:15" ht="18" customHeight="1">
      <c r="A621" s="16"/>
      <c r="B621" s="80" t="s">
        <v>2981</v>
      </c>
      <c r="C621" s="28" t="s">
        <v>93</v>
      </c>
      <c r="D621" s="28"/>
      <c r="E621" s="92">
        <v>1</v>
      </c>
      <c r="F621" s="28">
        <v>96</v>
      </c>
      <c r="G621" s="110"/>
      <c r="H621" s="28">
        <v>1.6</v>
      </c>
      <c r="I621" s="110"/>
      <c r="J621" s="135">
        <v>45027</v>
      </c>
      <c r="K621" s="17">
        <f t="shared" si="42"/>
        <v>153.60000000000002</v>
      </c>
      <c r="L621" s="17"/>
      <c r="M621" s="17"/>
      <c r="N621" s="16"/>
      <c r="O621" s="16"/>
    </row>
    <row r="622" spans="1:15" ht="18" customHeight="1">
      <c r="A622" s="46"/>
      <c r="B622" s="80" t="s">
        <v>3239</v>
      </c>
      <c r="C622" s="79" t="s">
        <v>98</v>
      </c>
      <c r="D622" s="28"/>
      <c r="E622" s="80">
        <v>1.1200000000000001</v>
      </c>
      <c r="F622" s="80">
        <v>2400</v>
      </c>
      <c r="G622" s="79"/>
      <c r="H622" s="80">
        <v>1.6</v>
      </c>
      <c r="I622" s="79"/>
      <c r="J622" s="134">
        <v>45245</v>
      </c>
      <c r="K622" s="9">
        <f t="shared" si="42"/>
        <v>4300.8000000000011</v>
      </c>
      <c r="L622" s="35"/>
      <c r="M622" s="46"/>
      <c r="N622" s="46"/>
      <c r="O622" s="46"/>
    </row>
    <row r="623" spans="1:15" ht="18" customHeight="1">
      <c r="A623" s="16"/>
      <c r="B623" s="87" t="s">
        <v>3239</v>
      </c>
      <c r="C623" s="110" t="s">
        <v>93</v>
      </c>
      <c r="D623" s="28"/>
      <c r="E623" s="87">
        <v>1.1200000000000001</v>
      </c>
      <c r="F623" s="87">
        <v>172</v>
      </c>
      <c r="G623" s="110"/>
      <c r="H623" s="87">
        <v>1.3</v>
      </c>
      <c r="I623" s="110"/>
      <c r="J623" s="135">
        <v>45245</v>
      </c>
      <c r="K623" s="37">
        <f t="shared" si="42"/>
        <v>250.43200000000002</v>
      </c>
      <c r="L623" s="37"/>
      <c r="M623" s="17"/>
      <c r="N623" s="16"/>
      <c r="O623" s="16"/>
    </row>
    <row r="624" spans="1:15" ht="18" customHeight="1">
      <c r="A624" s="21"/>
      <c r="B624" s="28" t="s">
        <v>744</v>
      </c>
      <c r="C624" s="28" t="s">
        <v>133</v>
      </c>
      <c r="D624" s="28"/>
      <c r="E624" s="28">
        <v>1.22</v>
      </c>
      <c r="F624" s="28">
        <v>20</v>
      </c>
      <c r="G624" s="28"/>
      <c r="H624" s="28">
        <v>3</v>
      </c>
      <c r="I624" s="28"/>
      <c r="J624" s="133">
        <v>44527</v>
      </c>
      <c r="K624" s="9">
        <f t="shared" si="42"/>
        <v>73.199999999999989</v>
      </c>
      <c r="L624" s="9"/>
      <c r="M624" s="9"/>
      <c r="N624" s="9"/>
      <c r="O624" s="3"/>
    </row>
    <row r="625" spans="1:15" ht="18" customHeight="1">
      <c r="A625" s="16"/>
      <c r="B625" s="28" t="s">
        <v>3506</v>
      </c>
      <c r="C625" s="110"/>
      <c r="D625" s="28" t="s">
        <v>1859</v>
      </c>
      <c r="E625" s="80">
        <v>1.22</v>
      </c>
      <c r="F625" s="80">
        <v>68</v>
      </c>
      <c r="G625" s="110"/>
      <c r="H625" s="80">
        <v>1.6</v>
      </c>
      <c r="I625" s="110"/>
      <c r="J625" s="134">
        <v>45448</v>
      </c>
      <c r="K625" s="9">
        <f t="shared" si="42"/>
        <v>132.73599999999999</v>
      </c>
      <c r="L625" s="37"/>
      <c r="M625" s="17"/>
      <c r="N625" s="16"/>
      <c r="O625" s="16"/>
    </row>
    <row r="626" spans="1:15" ht="18" customHeight="1">
      <c r="A626" s="21"/>
      <c r="B626" s="28" t="s">
        <v>3946</v>
      </c>
      <c r="C626" s="28" t="s">
        <v>3251</v>
      </c>
      <c r="D626" s="28" t="s">
        <v>1859</v>
      </c>
      <c r="E626" s="28">
        <v>1.22</v>
      </c>
      <c r="F626" s="28">
        <v>73</v>
      </c>
      <c r="G626" s="28">
        <v>0</v>
      </c>
      <c r="H626" s="28">
        <v>1.6</v>
      </c>
      <c r="I626" s="28"/>
      <c r="J626" s="133">
        <v>45638</v>
      </c>
      <c r="K626" s="9">
        <f t="shared" si="42"/>
        <v>142.49600000000001</v>
      </c>
      <c r="L626" s="9"/>
      <c r="M626" s="9"/>
      <c r="N626" s="9">
        <f>G626*H626*I626*E626</f>
        <v>0</v>
      </c>
      <c r="O626" s="3">
        <f>K626*1.6667</f>
        <v>237.49808320000002</v>
      </c>
    </row>
    <row r="627" spans="1:15" ht="18" customHeight="1">
      <c r="A627" s="16" t="s">
        <v>1765</v>
      </c>
      <c r="B627" s="28" t="s">
        <v>2709</v>
      </c>
      <c r="C627" s="28" t="s">
        <v>93</v>
      </c>
      <c r="D627" s="28" t="s">
        <v>1859</v>
      </c>
      <c r="E627" s="28">
        <v>1.22</v>
      </c>
      <c r="F627" s="28">
        <v>86</v>
      </c>
      <c r="G627" s="110" t="s">
        <v>2528</v>
      </c>
      <c r="H627" s="28">
        <v>1.8</v>
      </c>
      <c r="I627" s="110"/>
      <c r="J627" s="135">
        <v>44819</v>
      </c>
      <c r="K627" s="9">
        <f t="shared" si="42"/>
        <v>188.85599999999999</v>
      </c>
      <c r="L627" s="9"/>
      <c r="M627" s="17"/>
      <c r="N627" s="16"/>
      <c r="O627" s="16"/>
    </row>
    <row r="628" spans="1:15" ht="18" customHeight="1">
      <c r="A628" s="16"/>
      <c r="B628" s="28" t="s">
        <v>2709</v>
      </c>
      <c r="C628" s="110" t="s">
        <v>1714</v>
      </c>
      <c r="D628" s="28"/>
      <c r="E628" s="28">
        <v>1.22</v>
      </c>
      <c r="F628" s="87">
        <v>62</v>
      </c>
      <c r="G628" s="110"/>
      <c r="H628" s="28">
        <v>1.8</v>
      </c>
      <c r="I628" s="110"/>
      <c r="J628" s="135">
        <v>45057</v>
      </c>
      <c r="K628" s="9">
        <f t="shared" si="42"/>
        <v>136.15200000000002</v>
      </c>
      <c r="L628" s="9"/>
      <c r="M628" s="17"/>
      <c r="N628" s="16"/>
      <c r="O628" s="16"/>
    </row>
    <row r="629" spans="1:15" ht="18" customHeight="1">
      <c r="A629" s="21"/>
      <c r="B629" s="28" t="s">
        <v>3945</v>
      </c>
      <c r="C629" s="28" t="s">
        <v>3251</v>
      </c>
      <c r="D629" s="28" t="s">
        <v>1859</v>
      </c>
      <c r="E629" s="28">
        <v>1.22</v>
      </c>
      <c r="F629" s="28">
        <v>77</v>
      </c>
      <c r="G629" s="28"/>
      <c r="H629" s="28">
        <v>1.6</v>
      </c>
      <c r="I629" s="28"/>
      <c r="J629" s="133">
        <v>45638</v>
      </c>
      <c r="K629" s="9">
        <f t="shared" si="42"/>
        <v>150.304</v>
      </c>
      <c r="L629" s="9"/>
      <c r="M629" s="9"/>
      <c r="N629" s="9">
        <f>G629*H629*I629*E629</f>
        <v>0</v>
      </c>
      <c r="O629" s="3">
        <f>K629*1.6667</f>
        <v>250.5116768</v>
      </c>
    </row>
    <row r="630" spans="1:15" ht="18" customHeight="1">
      <c r="A630" s="44">
        <v>0</v>
      </c>
      <c r="B630" s="80" t="s">
        <v>3945</v>
      </c>
      <c r="C630" s="113"/>
      <c r="D630" s="28" t="s">
        <v>1859</v>
      </c>
      <c r="E630" s="28">
        <v>1.22</v>
      </c>
      <c r="F630" s="80">
        <v>97</v>
      </c>
      <c r="G630" s="113"/>
      <c r="H630" s="28">
        <v>1.4</v>
      </c>
      <c r="I630" s="113"/>
      <c r="J630" s="143">
        <v>45638</v>
      </c>
      <c r="K630" s="9">
        <f t="shared" si="42"/>
        <v>165.67599999999999</v>
      </c>
      <c r="L630" s="9"/>
      <c r="M630" s="17"/>
      <c r="N630" s="9">
        <f>G630*H630*I630*E630</f>
        <v>0</v>
      </c>
      <c r="O630" s="44"/>
    </row>
    <row r="631" spans="1:15" ht="18" customHeight="1">
      <c r="A631" s="21"/>
      <c r="B631" s="28" t="s">
        <v>3948</v>
      </c>
      <c r="C631" s="28" t="s">
        <v>3251</v>
      </c>
      <c r="D631" s="28" t="s">
        <v>1859</v>
      </c>
      <c r="E631" s="28">
        <v>1.22</v>
      </c>
      <c r="F631" s="28">
        <v>69</v>
      </c>
      <c r="G631" s="28"/>
      <c r="H631" s="28">
        <v>1.6</v>
      </c>
      <c r="I631" s="28"/>
      <c r="J631" s="133">
        <v>45638</v>
      </c>
      <c r="K631" s="9">
        <f t="shared" si="42"/>
        <v>134.68799999999999</v>
      </c>
      <c r="L631" s="9"/>
      <c r="M631" s="9"/>
      <c r="N631" s="9">
        <f>G631*H631*I631*E631</f>
        <v>0</v>
      </c>
      <c r="O631" s="3">
        <f>K631*1.6667</f>
        <v>224.48448959999999</v>
      </c>
    </row>
    <row r="632" spans="1:15" ht="18" customHeight="1">
      <c r="A632" s="16"/>
      <c r="B632" s="87" t="s">
        <v>3283</v>
      </c>
      <c r="C632" s="110" t="s">
        <v>3251</v>
      </c>
      <c r="D632" s="28"/>
      <c r="E632" s="87">
        <v>1.22</v>
      </c>
      <c r="F632" s="87">
        <v>68</v>
      </c>
      <c r="G632" s="110"/>
      <c r="H632" s="87">
        <v>1.8</v>
      </c>
      <c r="I632" s="110"/>
      <c r="J632" s="135">
        <v>45267</v>
      </c>
      <c r="K632" s="9">
        <f t="shared" si="42"/>
        <v>149.328</v>
      </c>
      <c r="L632" s="37"/>
      <c r="M632" s="17"/>
      <c r="N632" s="16"/>
      <c r="O632" s="16"/>
    </row>
    <row r="633" spans="1:15" ht="18" customHeight="1">
      <c r="A633" s="21"/>
      <c r="B633" s="28" t="s">
        <v>3947</v>
      </c>
      <c r="C633" s="28" t="s">
        <v>3251</v>
      </c>
      <c r="D633" s="28" t="s">
        <v>1859</v>
      </c>
      <c r="E633" s="28">
        <v>1.22</v>
      </c>
      <c r="F633" s="28">
        <v>95</v>
      </c>
      <c r="G633" s="28"/>
      <c r="H633" s="28">
        <v>1.6</v>
      </c>
      <c r="I633" s="28"/>
      <c r="J633" s="133">
        <v>45638</v>
      </c>
      <c r="K633" s="9">
        <f t="shared" si="42"/>
        <v>185.44</v>
      </c>
      <c r="L633" s="9"/>
      <c r="M633" s="9"/>
      <c r="N633" s="9">
        <f>G633*H633*I633*E633</f>
        <v>0</v>
      </c>
      <c r="O633" s="3">
        <f>K633*1.6667</f>
        <v>309.07284800000002</v>
      </c>
    </row>
    <row r="634" spans="1:15" ht="18" customHeight="1">
      <c r="A634" s="21" t="s">
        <v>3044</v>
      </c>
      <c r="B634" s="28" t="s">
        <v>1036</v>
      </c>
      <c r="C634" s="28" t="s">
        <v>1037</v>
      </c>
      <c r="D634" s="28" t="s">
        <v>1030</v>
      </c>
      <c r="E634" s="28">
        <v>1.22</v>
      </c>
      <c r="F634" s="28">
        <v>473</v>
      </c>
      <c r="G634" s="28"/>
      <c r="H634" s="28">
        <v>1.8</v>
      </c>
      <c r="I634" s="28"/>
      <c r="J634" s="133">
        <v>45923</v>
      </c>
      <c r="K634" s="9">
        <f t="shared" si="42"/>
        <v>1038.7079999999999</v>
      </c>
      <c r="L634" s="9"/>
      <c r="M634" s="9"/>
      <c r="N634" s="9">
        <f>G634*H634*I634*E634</f>
        <v>0</v>
      </c>
      <c r="O634" s="3">
        <f>K634*1.6667</f>
        <v>1731.2146235999999</v>
      </c>
    </row>
    <row r="635" spans="1:15" ht="18" customHeight="1">
      <c r="A635" s="16"/>
      <c r="B635" s="87" t="s">
        <v>1036</v>
      </c>
      <c r="C635" s="110" t="s">
        <v>568</v>
      </c>
      <c r="D635" s="28"/>
      <c r="E635" s="28">
        <v>1.22</v>
      </c>
      <c r="F635" s="87">
        <v>111</v>
      </c>
      <c r="G635" s="110"/>
      <c r="H635" s="87">
        <v>1.6</v>
      </c>
      <c r="I635" s="110"/>
      <c r="J635" s="135">
        <v>45244</v>
      </c>
      <c r="K635" s="9">
        <f t="shared" si="42"/>
        <v>216.672</v>
      </c>
      <c r="L635" s="37"/>
      <c r="M635" s="17"/>
      <c r="N635" s="16"/>
      <c r="O635" s="16"/>
    </row>
    <row r="636" spans="1:15" ht="18" customHeight="1">
      <c r="A636" s="21"/>
      <c r="B636" s="28" t="s">
        <v>1036</v>
      </c>
      <c r="C636" s="28" t="s">
        <v>93</v>
      </c>
      <c r="D636" s="28"/>
      <c r="E636" s="28">
        <v>1.22</v>
      </c>
      <c r="F636" s="28">
        <v>48</v>
      </c>
      <c r="G636" s="28"/>
      <c r="H636" s="28">
        <v>2</v>
      </c>
      <c r="I636" s="28"/>
      <c r="J636" s="133">
        <v>44873</v>
      </c>
      <c r="K636" s="9">
        <f t="shared" si="42"/>
        <v>117.12</v>
      </c>
      <c r="L636" s="9"/>
      <c r="M636" s="9"/>
      <c r="N636" s="9">
        <f>G636*H636*I636*E636</f>
        <v>0</v>
      </c>
      <c r="O636" s="3">
        <f>K636*1.6667</f>
        <v>195.20390400000002</v>
      </c>
    </row>
    <row r="637" spans="1:15" ht="18" customHeight="1">
      <c r="A637" s="46">
        <v>100151</v>
      </c>
      <c r="B637" s="80" t="s">
        <v>1036</v>
      </c>
      <c r="C637" s="79" t="s">
        <v>553</v>
      </c>
      <c r="D637" s="79" t="s">
        <v>1859</v>
      </c>
      <c r="E637" s="80">
        <v>1.22</v>
      </c>
      <c r="F637" s="80">
        <v>128</v>
      </c>
      <c r="G637" s="110"/>
      <c r="H637" s="80">
        <v>1.8</v>
      </c>
      <c r="I637" s="110"/>
      <c r="J637" s="134">
        <v>45940</v>
      </c>
      <c r="K637" s="35">
        <f t="shared" si="42"/>
        <v>281.08800000000002</v>
      </c>
      <c r="L637" s="37"/>
      <c r="M637" s="17"/>
      <c r="N637" s="16"/>
      <c r="O637" s="16"/>
    </row>
    <row r="638" spans="1:15" ht="18" customHeight="1">
      <c r="A638" s="16"/>
      <c r="B638" s="87" t="s">
        <v>3240</v>
      </c>
      <c r="C638" s="110" t="s">
        <v>1896</v>
      </c>
      <c r="D638" s="28" t="s">
        <v>1859</v>
      </c>
      <c r="E638" s="87">
        <v>1.22</v>
      </c>
      <c r="F638" s="87">
        <v>150</v>
      </c>
      <c r="G638" s="110"/>
      <c r="H638" s="87">
        <v>1.8</v>
      </c>
      <c r="I638" s="110"/>
      <c r="J638" s="135">
        <v>45244</v>
      </c>
      <c r="K638" s="9">
        <f t="shared" si="42"/>
        <v>329.40000000000003</v>
      </c>
      <c r="L638" s="37"/>
      <c r="M638" s="17"/>
      <c r="N638" s="16"/>
      <c r="O638" s="16"/>
    </row>
    <row r="639" spans="1:15" ht="18" customHeight="1">
      <c r="A639" s="21" t="s">
        <v>2559</v>
      </c>
      <c r="B639" s="28" t="s">
        <v>2561</v>
      </c>
      <c r="C639" s="28" t="s">
        <v>2560</v>
      </c>
      <c r="D639" s="28" t="s">
        <v>3297</v>
      </c>
      <c r="E639" s="28">
        <v>1.22</v>
      </c>
      <c r="F639" s="28">
        <v>765</v>
      </c>
      <c r="G639" s="28"/>
      <c r="H639" s="28">
        <v>1.6</v>
      </c>
      <c r="I639" s="28"/>
      <c r="J639" s="133">
        <v>44712</v>
      </c>
      <c r="K639" s="9">
        <f t="shared" si="42"/>
        <v>1493.28</v>
      </c>
      <c r="L639" s="9"/>
      <c r="M639" s="9"/>
      <c r="N639" s="9">
        <f>G639*H639*I639*E639</f>
        <v>0</v>
      </c>
      <c r="O639" s="3">
        <f>K639*1.6667</f>
        <v>2488.849776</v>
      </c>
    </row>
    <row r="640" spans="1:15" ht="18" customHeight="1">
      <c r="A640" s="21" t="s">
        <v>2005</v>
      </c>
      <c r="B640" s="28" t="s">
        <v>2006</v>
      </c>
      <c r="C640" s="28" t="s">
        <v>2904</v>
      </c>
      <c r="D640" s="28" t="s">
        <v>3297</v>
      </c>
      <c r="E640" s="28">
        <v>1.22</v>
      </c>
      <c r="F640" s="28">
        <v>294</v>
      </c>
      <c r="G640" s="28"/>
      <c r="H640" s="28">
        <v>1.7</v>
      </c>
      <c r="I640" s="28"/>
      <c r="J640" s="133">
        <v>45827</v>
      </c>
      <c r="K640" s="9">
        <f t="shared" si="42"/>
        <v>609.75599999999997</v>
      </c>
      <c r="L640" s="9"/>
      <c r="M640" s="9"/>
      <c r="N640" s="9">
        <f>G640*H640*I640*E640</f>
        <v>0</v>
      </c>
      <c r="O640" s="3">
        <f>K640*1.6667</f>
        <v>1016.2803252</v>
      </c>
    </row>
    <row r="641" spans="1:15" ht="18" customHeight="1">
      <c r="A641" s="28" t="s">
        <v>2229</v>
      </c>
      <c r="B641" s="28" t="s">
        <v>2006</v>
      </c>
      <c r="C641" s="28" t="s">
        <v>2115</v>
      </c>
      <c r="D641" s="28" t="s">
        <v>3297</v>
      </c>
      <c r="E641" s="28">
        <v>1.22</v>
      </c>
      <c r="F641" s="28">
        <v>220.86</v>
      </c>
      <c r="G641" s="81"/>
      <c r="H641" s="28">
        <v>1.7</v>
      </c>
      <c r="I641" s="81"/>
      <c r="J641" s="133">
        <v>45988</v>
      </c>
      <c r="K641" s="9">
        <f t="shared" si="42"/>
        <v>458.06364000000002</v>
      </c>
      <c r="L641" s="17"/>
      <c r="M641" s="17"/>
      <c r="N641" s="9">
        <f>G641*H641*I641*E641</f>
        <v>0</v>
      </c>
      <c r="O641" s="16"/>
    </row>
    <row r="642" spans="1:15" ht="18" customHeight="1">
      <c r="A642" s="21" t="s">
        <v>1766</v>
      </c>
      <c r="B642" s="28" t="s">
        <v>2006</v>
      </c>
      <c r="C642" s="28" t="s">
        <v>2444</v>
      </c>
      <c r="D642" s="28" t="s">
        <v>3297</v>
      </c>
      <c r="E642" s="28">
        <v>1.22</v>
      </c>
      <c r="F642" s="28">
        <v>191.6</v>
      </c>
      <c r="G642" s="28">
        <v>0</v>
      </c>
      <c r="H642" s="28">
        <v>1.7</v>
      </c>
      <c r="I642" s="28">
        <v>0</v>
      </c>
      <c r="J642" s="133">
        <v>44613</v>
      </c>
      <c r="K642" s="9">
        <f t="shared" si="42"/>
        <v>397.37839999999994</v>
      </c>
      <c r="L642" s="9"/>
      <c r="M642" s="9"/>
      <c r="N642" s="9">
        <f>G642*H642*I642*E642</f>
        <v>0</v>
      </c>
      <c r="O642" s="3">
        <f>K642*1.6667</f>
        <v>662.31057927999996</v>
      </c>
    </row>
    <row r="643" spans="1:15" ht="18" customHeight="1">
      <c r="A643" s="21" t="s">
        <v>2019</v>
      </c>
      <c r="B643" s="28" t="s">
        <v>2006</v>
      </c>
      <c r="C643" s="28" t="s">
        <v>2445</v>
      </c>
      <c r="D643" s="28" t="s">
        <v>3297</v>
      </c>
      <c r="E643" s="28">
        <v>1.22</v>
      </c>
      <c r="F643" s="28">
        <v>231</v>
      </c>
      <c r="G643" s="28"/>
      <c r="H643" s="28">
        <v>1.7</v>
      </c>
      <c r="I643" s="28"/>
      <c r="J643" s="131">
        <v>45886</v>
      </c>
      <c r="K643" s="9">
        <f t="shared" si="42"/>
        <v>479.09399999999999</v>
      </c>
      <c r="L643" s="9"/>
      <c r="M643" s="9"/>
      <c r="N643" s="9"/>
      <c r="O643" s="3"/>
    </row>
    <row r="644" spans="1:15" ht="18" customHeight="1">
      <c r="A644" s="21" t="s">
        <v>2277</v>
      </c>
      <c r="B644" s="28" t="s">
        <v>2276</v>
      </c>
      <c r="C644" s="28" t="s">
        <v>2278</v>
      </c>
      <c r="D644" s="28" t="s">
        <v>3297</v>
      </c>
      <c r="E644" s="28">
        <v>1.22</v>
      </c>
      <c r="F644" s="28">
        <v>477.09</v>
      </c>
      <c r="G644" s="28"/>
      <c r="H644" s="28">
        <v>1.7</v>
      </c>
      <c r="I644" s="28"/>
      <c r="J644" s="131">
        <v>44473</v>
      </c>
      <c r="K644" s="9">
        <f t="shared" si="42"/>
        <v>989.48465999999996</v>
      </c>
      <c r="L644" s="9"/>
      <c r="M644" s="9"/>
      <c r="N644" s="9"/>
      <c r="O644" s="3"/>
    </row>
    <row r="645" spans="1:15" ht="18" customHeight="1">
      <c r="A645" s="26" t="s">
        <v>2048</v>
      </c>
      <c r="B645" s="80" t="s">
        <v>2049</v>
      </c>
      <c r="C645" s="80" t="s">
        <v>2050</v>
      </c>
      <c r="D645" s="28" t="s">
        <v>3297</v>
      </c>
      <c r="E645" s="80">
        <v>1.22</v>
      </c>
      <c r="F645" s="80">
        <v>418</v>
      </c>
      <c r="G645" s="80"/>
      <c r="H645" s="80">
        <v>1.6</v>
      </c>
      <c r="I645" s="80"/>
      <c r="J645" s="134">
        <v>44239</v>
      </c>
      <c r="K645" s="9">
        <f t="shared" si="42"/>
        <v>815.93600000000004</v>
      </c>
      <c r="L645" s="9"/>
      <c r="M645" s="17"/>
      <c r="N645" s="16"/>
      <c r="O645" s="16"/>
    </row>
    <row r="646" spans="1:15" ht="18" customHeight="1">
      <c r="A646" s="21" t="s">
        <v>1368</v>
      </c>
      <c r="B646" s="28" t="s">
        <v>2813</v>
      </c>
      <c r="C646" s="28" t="s">
        <v>2814</v>
      </c>
      <c r="D646" s="28" t="s">
        <v>3297</v>
      </c>
      <c r="E646" s="28">
        <v>1.22</v>
      </c>
      <c r="F646" s="28">
        <v>312</v>
      </c>
      <c r="G646" s="28"/>
      <c r="H646" s="28">
        <v>1.7</v>
      </c>
      <c r="I646" s="28"/>
      <c r="J646" s="133">
        <v>44907</v>
      </c>
      <c r="K646" s="9">
        <f t="shared" si="42"/>
        <v>647.08799999999997</v>
      </c>
      <c r="L646" s="9"/>
      <c r="M646" s="9"/>
      <c r="N646" s="9">
        <f>G646*H646*I646*E646</f>
        <v>0</v>
      </c>
      <c r="O646" s="3">
        <f>K646*1.6667</f>
        <v>1078.5015696</v>
      </c>
    </row>
    <row r="647" spans="1:15" ht="18" customHeight="1">
      <c r="A647" s="21" t="s">
        <v>857</v>
      </c>
      <c r="B647" s="28" t="s">
        <v>2815</v>
      </c>
      <c r="C647" s="28" t="s">
        <v>2816</v>
      </c>
      <c r="D647" s="28" t="s">
        <v>3297</v>
      </c>
      <c r="E647" s="28">
        <v>1.22</v>
      </c>
      <c r="F647" s="28">
        <v>331.5</v>
      </c>
      <c r="G647" s="28"/>
      <c r="H647" s="28">
        <v>1.7</v>
      </c>
      <c r="I647" s="28"/>
      <c r="J647" s="133">
        <v>44907</v>
      </c>
      <c r="K647" s="9">
        <f t="shared" si="42"/>
        <v>687.53099999999995</v>
      </c>
      <c r="L647" s="9"/>
      <c r="M647" s="9"/>
      <c r="N647" s="9">
        <f>G647*H647*I647*E647</f>
        <v>0</v>
      </c>
      <c r="O647" s="3">
        <f>K647*1.6667</f>
        <v>1145.9079176999999</v>
      </c>
    </row>
    <row r="648" spans="1:15" ht="18" customHeight="1">
      <c r="A648" s="46" t="s">
        <v>2831</v>
      </c>
      <c r="B648" s="80" t="s">
        <v>2820</v>
      </c>
      <c r="C648" s="79" t="s">
        <v>2818</v>
      </c>
      <c r="D648" s="28" t="s">
        <v>3297</v>
      </c>
      <c r="E648" s="28">
        <v>1.22</v>
      </c>
      <c r="F648" s="80">
        <v>379.76</v>
      </c>
      <c r="G648" s="110"/>
      <c r="H648" s="28">
        <v>1.7</v>
      </c>
      <c r="I648" s="110"/>
      <c r="J648" s="133">
        <v>44929</v>
      </c>
      <c r="K648" s="9">
        <f t="shared" si="42"/>
        <v>787.62223999999992</v>
      </c>
      <c r="L648" s="9"/>
      <c r="M648" s="17"/>
      <c r="N648" s="16"/>
      <c r="O648" s="16"/>
    </row>
    <row r="649" spans="1:15" ht="18" customHeight="1">
      <c r="A649" s="46" t="s">
        <v>2830</v>
      </c>
      <c r="B649" s="80" t="s">
        <v>2819</v>
      </c>
      <c r="C649" s="79" t="s">
        <v>2817</v>
      </c>
      <c r="D649" s="28" t="s">
        <v>3297</v>
      </c>
      <c r="E649" s="28">
        <v>1.22</v>
      </c>
      <c r="F649" s="80">
        <v>351.48</v>
      </c>
      <c r="G649" s="110"/>
      <c r="H649" s="28">
        <v>1.7</v>
      </c>
      <c r="I649" s="110"/>
      <c r="J649" s="140">
        <v>44929</v>
      </c>
      <c r="K649" s="9">
        <f t="shared" si="42"/>
        <v>728.96951999999999</v>
      </c>
      <c r="L649" s="9"/>
      <c r="M649" s="17"/>
      <c r="N649" s="16"/>
      <c r="O649" s="16"/>
    </row>
    <row r="650" spans="1:15" ht="18" customHeight="1">
      <c r="A650" s="16" t="s">
        <v>2833</v>
      </c>
      <c r="B650" s="28" t="s">
        <v>2832</v>
      </c>
      <c r="C650" s="79" t="s">
        <v>1670</v>
      </c>
      <c r="D650" s="28" t="s">
        <v>3297</v>
      </c>
      <c r="E650" s="28">
        <v>1.22</v>
      </c>
      <c r="F650" s="28">
        <v>307.04000000000002</v>
      </c>
      <c r="G650" s="110"/>
      <c r="H650" s="28">
        <v>1.7</v>
      </c>
      <c r="I650" s="110"/>
      <c r="J650" s="134">
        <v>44929</v>
      </c>
      <c r="K650" s="35">
        <f t="shared" si="42"/>
        <v>636.80095999999992</v>
      </c>
      <c r="L650" s="35"/>
      <c r="M650" s="17"/>
      <c r="N650" s="9"/>
      <c r="O650" s="3"/>
    </row>
    <row r="651" spans="1:15" ht="18" customHeight="1">
      <c r="A651" s="21">
        <v>0</v>
      </c>
      <c r="B651" s="28" t="s">
        <v>2562</v>
      </c>
      <c r="C651" s="28" t="s">
        <v>15</v>
      </c>
      <c r="D651" s="28" t="s">
        <v>451</v>
      </c>
      <c r="E651" s="28">
        <v>1.22</v>
      </c>
      <c r="F651" s="28">
        <v>765</v>
      </c>
      <c r="G651" s="28"/>
      <c r="H651" s="28">
        <v>1.6</v>
      </c>
      <c r="I651" s="28"/>
      <c r="J651" s="133">
        <v>44712</v>
      </c>
      <c r="K651" s="9">
        <f t="shared" si="42"/>
        <v>1493.28</v>
      </c>
      <c r="L651" s="9"/>
      <c r="M651" s="9"/>
      <c r="N651" s="9">
        <f>G651*H651*I651*E651</f>
        <v>0</v>
      </c>
      <c r="O651" s="3">
        <f>K651*1.6667</f>
        <v>2488.849776</v>
      </c>
    </row>
    <row r="652" spans="1:15" ht="18" customHeight="1">
      <c r="A652" s="21" t="s">
        <v>2192</v>
      </c>
      <c r="B652" s="28" t="s">
        <v>2193</v>
      </c>
      <c r="C652" s="28" t="s">
        <v>2194</v>
      </c>
      <c r="D652" s="28" t="s">
        <v>3297</v>
      </c>
      <c r="E652" s="28">
        <v>1.22</v>
      </c>
      <c r="F652" s="28">
        <v>411.12</v>
      </c>
      <c r="G652" s="28"/>
      <c r="H652" s="28">
        <v>1.4</v>
      </c>
      <c r="I652" s="28"/>
      <c r="J652" s="131">
        <v>44370</v>
      </c>
      <c r="K652" s="9">
        <f t="shared" si="42"/>
        <v>702.19295999999997</v>
      </c>
      <c r="L652" s="9"/>
      <c r="M652" s="9"/>
      <c r="N652" s="9"/>
      <c r="O652" s="3"/>
    </row>
    <row r="653" spans="1:15" ht="18" customHeight="1">
      <c r="A653" s="21">
        <v>61011</v>
      </c>
      <c r="B653" s="28" t="s">
        <v>3367</v>
      </c>
      <c r="C653" s="28" t="s">
        <v>3368</v>
      </c>
      <c r="D653" s="28" t="s">
        <v>34</v>
      </c>
      <c r="E653" s="28">
        <v>1.22</v>
      </c>
      <c r="F653" s="28">
        <v>159.6</v>
      </c>
      <c r="G653" s="28">
        <v>1</v>
      </c>
      <c r="H653" s="28">
        <v>1.6</v>
      </c>
      <c r="I653" s="28">
        <v>0</v>
      </c>
      <c r="J653" s="133">
        <v>45339</v>
      </c>
      <c r="K653" s="9">
        <f>+E653*F653*G653*H653</f>
        <v>311.53919999999999</v>
      </c>
      <c r="L653" s="9"/>
      <c r="M653" s="9"/>
      <c r="N653" s="9">
        <f>G653*H653*I653*E653</f>
        <v>0</v>
      </c>
      <c r="O653" s="3">
        <f>K653*1.6667</f>
        <v>519.24238464000007</v>
      </c>
    </row>
    <row r="654" spans="1:15" ht="18" customHeight="1">
      <c r="A654" s="32">
        <v>113</v>
      </c>
      <c r="B654" s="93" t="s">
        <v>1421</v>
      </c>
      <c r="C654" s="93" t="s">
        <v>104</v>
      </c>
      <c r="D654" s="93" t="s">
        <v>34</v>
      </c>
      <c r="E654" s="93">
        <v>1.22</v>
      </c>
      <c r="F654" s="93">
        <v>1045</v>
      </c>
      <c r="G654" s="93"/>
      <c r="H654" s="93">
        <v>1.3</v>
      </c>
      <c r="I654" s="93"/>
      <c r="J654" s="146">
        <v>44966</v>
      </c>
      <c r="K654" s="33">
        <f t="shared" ref="K654:K690" si="43">E654*F654*H654</f>
        <v>1657.37</v>
      </c>
      <c r="L654" s="33"/>
      <c r="M654" s="33"/>
      <c r="N654" s="33">
        <f>G654*H654*I654*E654</f>
        <v>0</v>
      </c>
      <c r="O654" s="34">
        <f>K654*1.6667</f>
        <v>2762.3385789999998</v>
      </c>
    </row>
    <row r="655" spans="1:15" ht="18" customHeight="1">
      <c r="A655" s="16"/>
      <c r="B655" s="28" t="s">
        <v>2354</v>
      </c>
      <c r="C655" s="203" t="s">
        <v>2353</v>
      </c>
      <c r="D655" s="28" t="s">
        <v>34</v>
      </c>
      <c r="E655" s="28">
        <v>1.22</v>
      </c>
      <c r="F655" s="28">
        <v>92</v>
      </c>
      <c r="G655" s="110"/>
      <c r="H655" s="28">
        <v>1.2</v>
      </c>
      <c r="I655" s="110"/>
      <c r="J655" s="183">
        <v>44966</v>
      </c>
      <c r="K655" s="35">
        <f t="shared" si="43"/>
        <v>134.68799999999999</v>
      </c>
      <c r="L655" s="37"/>
      <c r="M655" s="17"/>
      <c r="N655" s="16"/>
      <c r="O655" s="16"/>
    </row>
    <row r="656" spans="1:15" ht="18" customHeight="1">
      <c r="A656" s="20">
        <v>110</v>
      </c>
      <c r="B656" s="85" t="s">
        <v>2352</v>
      </c>
      <c r="C656" s="85" t="s">
        <v>1630</v>
      </c>
      <c r="D656" s="85" t="s">
        <v>34</v>
      </c>
      <c r="E656" s="85">
        <v>1.22</v>
      </c>
      <c r="F656" s="85">
        <v>56</v>
      </c>
      <c r="G656" s="85"/>
      <c r="H656" s="85">
        <v>1.4</v>
      </c>
      <c r="I656" s="85">
        <v>0</v>
      </c>
      <c r="J656" s="131">
        <v>45336</v>
      </c>
      <c r="K656" s="10">
        <f t="shared" si="43"/>
        <v>95.647999999999982</v>
      </c>
      <c r="L656" s="10"/>
      <c r="M656" s="10"/>
      <c r="N656" s="10">
        <f>G656*H656*I656*E656</f>
        <v>0</v>
      </c>
      <c r="O656" s="14">
        <f>K656*1.6667</f>
        <v>159.41652159999998</v>
      </c>
    </row>
    <row r="657" spans="1:15" ht="18" customHeight="1">
      <c r="A657" s="21">
        <v>33946</v>
      </c>
      <c r="B657" s="28" t="s">
        <v>2848</v>
      </c>
      <c r="C657" s="28"/>
      <c r="D657" s="28" t="s">
        <v>34</v>
      </c>
      <c r="E657" s="28">
        <v>1.22</v>
      </c>
      <c r="F657" s="28">
        <v>19.8</v>
      </c>
      <c r="G657" s="28"/>
      <c r="H657" s="28">
        <v>2</v>
      </c>
      <c r="I657" s="28"/>
      <c r="J657" s="133">
        <v>44944</v>
      </c>
      <c r="K657" s="9">
        <f t="shared" si="43"/>
        <v>48.311999999999998</v>
      </c>
      <c r="L657" s="9"/>
      <c r="M657" s="9"/>
      <c r="N657" s="9"/>
      <c r="O657" s="3"/>
    </row>
    <row r="658" spans="1:15" ht="18" customHeight="1">
      <c r="A658" s="21" t="s">
        <v>4072</v>
      </c>
      <c r="B658" s="28" t="s">
        <v>2848</v>
      </c>
      <c r="C658" s="28" t="s">
        <v>15</v>
      </c>
      <c r="D658" s="28" t="s">
        <v>1292</v>
      </c>
      <c r="E658" s="28">
        <v>1.22</v>
      </c>
      <c r="F658" s="28">
        <v>39.9</v>
      </c>
      <c r="G658" s="28"/>
      <c r="H658" s="28">
        <v>1.8</v>
      </c>
      <c r="I658" s="28"/>
      <c r="J658" s="133">
        <v>45701</v>
      </c>
      <c r="K658" s="9">
        <f t="shared" si="43"/>
        <v>87.620400000000004</v>
      </c>
      <c r="L658" s="9"/>
      <c r="M658" s="9"/>
      <c r="N658" s="9">
        <f>G658*H658*I658*E658</f>
        <v>0</v>
      </c>
      <c r="O658" s="3"/>
    </row>
    <row r="659" spans="1:15" ht="18" customHeight="1">
      <c r="A659" s="21"/>
      <c r="B659" s="28" t="s">
        <v>497</v>
      </c>
      <c r="C659" s="28" t="s">
        <v>15</v>
      </c>
      <c r="D659" s="28"/>
      <c r="E659" s="28">
        <v>1.22</v>
      </c>
      <c r="F659" s="28">
        <v>9.08</v>
      </c>
      <c r="G659" s="28"/>
      <c r="H659" s="28">
        <v>2</v>
      </c>
      <c r="I659" s="28"/>
      <c r="J659" s="133">
        <v>41804</v>
      </c>
      <c r="K659" s="9">
        <f t="shared" si="43"/>
        <v>22.155200000000001</v>
      </c>
      <c r="L659" s="9"/>
      <c r="M659" s="9"/>
      <c r="N659" s="9">
        <f>G659*H659*I659*E659</f>
        <v>0</v>
      </c>
      <c r="O659" s="3">
        <f>K659*1.6667</f>
        <v>36.926071840000006</v>
      </c>
    </row>
    <row r="660" spans="1:15" ht="18" customHeight="1">
      <c r="A660" s="26">
        <v>232</v>
      </c>
      <c r="B660" s="80" t="s">
        <v>1837</v>
      </c>
      <c r="C660" s="80"/>
      <c r="D660" s="28" t="s">
        <v>451</v>
      </c>
      <c r="E660" s="80">
        <v>1.22</v>
      </c>
      <c r="F660" s="80">
        <v>30</v>
      </c>
      <c r="G660" s="80"/>
      <c r="H660" s="80">
        <v>1.6</v>
      </c>
      <c r="I660" s="80"/>
      <c r="J660" s="134">
        <v>44114</v>
      </c>
      <c r="K660" s="9">
        <f t="shared" si="43"/>
        <v>58.56</v>
      </c>
      <c r="L660" s="9"/>
      <c r="M660" s="17"/>
      <c r="N660" s="44"/>
      <c r="O660" s="44"/>
    </row>
    <row r="661" spans="1:15" ht="18" customHeight="1">
      <c r="A661" s="16" t="s">
        <v>1557</v>
      </c>
      <c r="B661" s="28" t="s">
        <v>1558</v>
      </c>
      <c r="C661" s="110"/>
      <c r="D661" s="28" t="s">
        <v>451</v>
      </c>
      <c r="E661" s="28">
        <v>1</v>
      </c>
      <c r="F661" s="28">
        <v>89.9</v>
      </c>
      <c r="G661" s="110"/>
      <c r="H661" s="28">
        <v>2</v>
      </c>
      <c r="I661" s="110"/>
      <c r="J661" s="135">
        <v>43900</v>
      </c>
      <c r="K661" s="17">
        <f t="shared" si="43"/>
        <v>179.8</v>
      </c>
      <c r="L661" s="17"/>
      <c r="M661" s="17">
        <v>1.22</v>
      </c>
      <c r="N661" s="16"/>
      <c r="O661" s="16"/>
    </row>
    <row r="662" spans="1:15" ht="18" customHeight="1">
      <c r="A662" s="25" t="s">
        <v>1730</v>
      </c>
      <c r="B662" s="28" t="s">
        <v>1729</v>
      </c>
      <c r="C662" s="110"/>
      <c r="D662" s="28" t="s">
        <v>451</v>
      </c>
      <c r="E662" s="87">
        <v>1.22</v>
      </c>
      <c r="F662" s="90">
        <v>139.9</v>
      </c>
      <c r="G662" s="110"/>
      <c r="H662" s="87">
        <v>1.8</v>
      </c>
      <c r="I662" s="110"/>
      <c r="J662" s="135">
        <v>43983</v>
      </c>
      <c r="K662" s="9">
        <f t="shared" si="43"/>
        <v>307.22039999999998</v>
      </c>
      <c r="L662" s="9"/>
      <c r="M662" s="17"/>
      <c r="N662" s="16"/>
      <c r="O662" s="16"/>
    </row>
    <row r="663" spans="1:15" ht="18" customHeight="1">
      <c r="A663" s="25" t="s">
        <v>1731</v>
      </c>
      <c r="B663" s="28" t="s">
        <v>1729</v>
      </c>
      <c r="C663" s="110"/>
      <c r="D663" s="28" t="s">
        <v>451</v>
      </c>
      <c r="E663" s="87">
        <v>1.22</v>
      </c>
      <c r="F663" s="90">
        <v>29.9</v>
      </c>
      <c r="G663" s="110"/>
      <c r="H663" s="87">
        <v>1.8</v>
      </c>
      <c r="I663" s="110"/>
      <c r="J663" s="135">
        <v>43983</v>
      </c>
      <c r="K663" s="9">
        <f t="shared" si="43"/>
        <v>65.660399999999996</v>
      </c>
      <c r="L663" s="9"/>
      <c r="M663" s="17"/>
      <c r="N663" s="16"/>
      <c r="O663" s="16"/>
    </row>
    <row r="664" spans="1:15" ht="18" customHeight="1">
      <c r="A664" s="25" t="s">
        <v>1732</v>
      </c>
      <c r="B664" s="28" t="s">
        <v>1729</v>
      </c>
      <c r="C664" s="110"/>
      <c r="D664" s="28" t="s">
        <v>451</v>
      </c>
      <c r="E664" s="87">
        <v>1.22</v>
      </c>
      <c r="F664" s="90">
        <v>99.9</v>
      </c>
      <c r="G664" s="110"/>
      <c r="H664" s="87">
        <v>1.8</v>
      </c>
      <c r="I664" s="110"/>
      <c r="J664" s="135">
        <v>43983</v>
      </c>
      <c r="K664" s="9">
        <f t="shared" si="43"/>
        <v>219.38040000000001</v>
      </c>
      <c r="L664" s="9"/>
      <c r="M664" s="17"/>
      <c r="N664" s="16"/>
      <c r="O664" s="16"/>
    </row>
    <row r="665" spans="1:15" ht="18" customHeight="1">
      <c r="A665" s="21">
        <v>552</v>
      </c>
      <c r="B665" s="28" t="s">
        <v>2263</v>
      </c>
      <c r="C665" s="28" t="s">
        <v>15</v>
      </c>
      <c r="D665" s="28" t="s">
        <v>451</v>
      </c>
      <c r="E665" s="28">
        <v>1.22</v>
      </c>
      <c r="F665" s="28">
        <v>43</v>
      </c>
      <c r="G665" s="28"/>
      <c r="H665" s="28">
        <v>1.6</v>
      </c>
      <c r="I665" s="28"/>
      <c r="J665" s="133">
        <v>44455</v>
      </c>
      <c r="K665" s="10">
        <f t="shared" si="43"/>
        <v>83.936000000000007</v>
      </c>
      <c r="L665" s="9"/>
      <c r="M665" s="9"/>
      <c r="N665" s="9">
        <f>G665*H665*I665*E665</f>
        <v>0</v>
      </c>
      <c r="O665" s="3">
        <f>K665*1.6667</f>
        <v>139.89613120000001</v>
      </c>
    </row>
    <row r="666" spans="1:15" ht="18" hidden="1" customHeight="1">
      <c r="A666" s="21">
        <v>13129</v>
      </c>
      <c r="B666" s="28" t="s">
        <v>1145</v>
      </c>
      <c r="C666" s="28" t="s">
        <v>1144</v>
      </c>
      <c r="D666" s="28" t="s">
        <v>451</v>
      </c>
      <c r="E666" s="28">
        <v>1.22</v>
      </c>
      <c r="F666" s="28">
        <v>311</v>
      </c>
      <c r="G666" s="28"/>
      <c r="H666" s="28">
        <v>1.6</v>
      </c>
      <c r="I666" s="28"/>
      <c r="J666" s="133">
        <v>43448</v>
      </c>
      <c r="K666" s="9">
        <f t="shared" si="43"/>
        <v>607.072</v>
      </c>
      <c r="L666" s="9"/>
      <c r="M666" s="9"/>
      <c r="N666" s="9">
        <f>G666*H666*I666*E666</f>
        <v>0</v>
      </c>
      <c r="O666" s="3">
        <f>K666*1.6667</f>
        <v>1011.8069024</v>
      </c>
    </row>
    <row r="667" spans="1:15" ht="18" customHeight="1">
      <c r="A667" s="16"/>
      <c r="B667" s="28" t="s">
        <v>2957</v>
      </c>
      <c r="C667" s="110"/>
      <c r="D667" s="28"/>
      <c r="E667" s="87">
        <v>1.22</v>
      </c>
      <c r="F667" s="28">
        <v>189</v>
      </c>
      <c r="G667" s="110"/>
      <c r="H667" s="87">
        <v>1.8</v>
      </c>
      <c r="I667" s="110"/>
      <c r="J667" s="135">
        <v>45005</v>
      </c>
      <c r="K667" s="17">
        <f t="shared" si="43"/>
        <v>415.04399999999998</v>
      </c>
      <c r="L667" s="37"/>
      <c r="M667" s="17"/>
      <c r="N667" s="16"/>
      <c r="O667" s="16"/>
    </row>
    <row r="668" spans="1:15" ht="18" customHeight="1">
      <c r="A668" s="16" t="s">
        <v>4031</v>
      </c>
      <c r="B668" s="87" t="s">
        <v>2097</v>
      </c>
      <c r="C668" s="110"/>
      <c r="D668" s="129" t="s">
        <v>1292</v>
      </c>
      <c r="E668" s="91">
        <v>1.22</v>
      </c>
      <c r="F668" s="87">
        <v>99.9</v>
      </c>
      <c r="G668" s="110"/>
      <c r="H668" s="87">
        <v>2</v>
      </c>
      <c r="I668" s="110"/>
      <c r="J668" s="135">
        <v>45668</v>
      </c>
      <c r="K668" s="9">
        <f t="shared" si="43"/>
        <v>243.756</v>
      </c>
      <c r="L668" s="37"/>
      <c r="M668" s="17"/>
      <c r="N668" s="16"/>
      <c r="O668" s="16"/>
    </row>
    <row r="669" spans="1:15" ht="18" customHeight="1">
      <c r="A669" s="16"/>
      <c r="B669" s="28" t="s">
        <v>2097</v>
      </c>
      <c r="C669" s="110"/>
      <c r="D669" s="28"/>
      <c r="E669" s="28">
        <v>1.22</v>
      </c>
      <c r="F669" s="28">
        <v>69</v>
      </c>
      <c r="G669" s="110"/>
      <c r="H669" s="28">
        <v>1.8</v>
      </c>
      <c r="I669" s="110"/>
      <c r="J669" s="135">
        <v>44267</v>
      </c>
      <c r="K669" s="17">
        <f t="shared" si="43"/>
        <v>151.524</v>
      </c>
      <c r="L669" s="17"/>
      <c r="M669" s="17"/>
      <c r="N669" s="9">
        <f>G669*H669*I669*E669</f>
        <v>0</v>
      </c>
      <c r="O669" s="3">
        <f>K669*1.6667</f>
        <v>252.54505080000001</v>
      </c>
    </row>
    <row r="670" spans="1:15" ht="18" customHeight="1">
      <c r="A670" s="16"/>
      <c r="B670" s="28" t="s">
        <v>2097</v>
      </c>
      <c r="C670" s="110"/>
      <c r="D670" s="28"/>
      <c r="E670" s="28">
        <v>1.22</v>
      </c>
      <c r="F670" s="28">
        <v>99</v>
      </c>
      <c r="G670" s="110"/>
      <c r="H670" s="28">
        <v>1.8</v>
      </c>
      <c r="I670" s="110"/>
      <c r="J670" s="135">
        <v>44267</v>
      </c>
      <c r="K670" s="17">
        <f t="shared" si="43"/>
        <v>217.404</v>
      </c>
      <c r="L670" s="17"/>
      <c r="M670" s="17"/>
      <c r="N670" s="9">
        <f>G670*H670*I670*E670</f>
        <v>0</v>
      </c>
      <c r="O670" s="3">
        <f>K670*1.6667</f>
        <v>362.34724679999999</v>
      </c>
    </row>
    <row r="671" spans="1:15" ht="18" customHeight="1">
      <c r="A671" s="21"/>
      <c r="B671" s="28" t="s">
        <v>2097</v>
      </c>
      <c r="C671" s="28"/>
      <c r="D671" s="28"/>
      <c r="E671" s="28">
        <v>1.22</v>
      </c>
      <c r="F671" s="96">
        <v>79</v>
      </c>
      <c r="G671" s="78"/>
      <c r="H671" s="96">
        <v>1.8</v>
      </c>
      <c r="I671" s="78"/>
      <c r="J671" s="140">
        <v>44293</v>
      </c>
      <c r="K671" s="13">
        <f t="shared" si="43"/>
        <v>173.48400000000001</v>
      </c>
      <c r="L671" s="13"/>
      <c r="M671" s="13"/>
      <c r="N671" s="12">
        <f>G671*H671*I671*E671</f>
        <v>0</v>
      </c>
      <c r="O671" s="11">
        <f>K671*1.6667</f>
        <v>289.14578280000001</v>
      </c>
    </row>
    <row r="672" spans="1:15" ht="18" customHeight="1">
      <c r="A672" s="16">
        <v>22497</v>
      </c>
      <c r="B672" s="28" t="s">
        <v>1550</v>
      </c>
      <c r="C672" s="110"/>
      <c r="D672" s="78" t="s">
        <v>451</v>
      </c>
      <c r="E672" s="28">
        <v>1.22</v>
      </c>
      <c r="F672" s="28">
        <v>152</v>
      </c>
      <c r="G672" s="110"/>
      <c r="H672" s="28">
        <v>2</v>
      </c>
      <c r="I672" s="110"/>
      <c r="J672" s="135">
        <v>45005</v>
      </c>
      <c r="K672" s="40">
        <f t="shared" si="43"/>
        <v>370.88</v>
      </c>
      <c r="L672" s="40"/>
      <c r="M672" s="17">
        <v>1.22</v>
      </c>
      <c r="N672" s="16"/>
      <c r="O672" s="16"/>
    </row>
    <row r="673" spans="1:15" ht="18" hidden="1" customHeight="1">
      <c r="A673" s="21"/>
      <c r="B673" s="28" t="s">
        <v>1078</v>
      </c>
      <c r="C673" s="28"/>
      <c r="D673" s="28"/>
      <c r="E673" s="28">
        <v>1.22</v>
      </c>
      <c r="F673" s="28">
        <v>158</v>
      </c>
      <c r="G673" s="28"/>
      <c r="H673" s="28">
        <v>1.6</v>
      </c>
      <c r="I673" s="28"/>
      <c r="J673" s="133">
        <v>43385</v>
      </c>
      <c r="K673" s="9">
        <f t="shared" si="43"/>
        <v>308.416</v>
      </c>
      <c r="L673" s="9"/>
      <c r="M673" s="9"/>
      <c r="N673" s="9">
        <f>G673*H673*I673*E673</f>
        <v>0</v>
      </c>
      <c r="O673" s="3">
        <f>K673*1.6667</f>
        <v>514.03694719999999</v>
      </c>
    </row>
    <row r="674" spans="1:15" ht="18" customHeight="1">
      <c r="A674" s="44">
        <v>26828</v>
      </c>
      <c r="B674" s="92" t="s">
        <v>2858</v>
      </c>
      <c r="C674" s="113" t="s">
        <v>2859</v>
      </c>
      <c r="D674" s="28" t="s">
        <v>451</v>
      </c>
      <c r="E674" s="28">
        <v>1.22</v>
      </c>
      <c r="F674" s="92">
        <v>119.9</v>
      </c>
      <c r="G674" s="113"/>
      <c r="H674" s="92">
        <v>2</v>
      </c>
      <c r="I674" s="113"/>
      <c r="J674" s="134">
        <v>44944</v>
      </c>
      <c r="K674" s="9">
        <f t="shared" si="43"/>
        <v>292.55599999999998</v>
      </c>
      <c r="L674" s="9"/>
      <c r="M674" s="17"/>
      <c r="N674" s="44"/>
      <c r="O674" s="44"/>
    </row>
    <row r="675" spans="1:15" ht="18" customHeight="1">
      <c r="A675" s="44">
        <v>28427</v>
      </c>
      <c r="B675" s="92" t="s">
        <v>2858</v>
      </c>
      <c r="C675" s="113" t="s">
        <v>2860</v>
      </c>
      <c r="D675" s="28" t="s">
        <v>451</v>
      </c>
      <c r="E675" s="28">
        <v>1.22</v>
      </c>
      <c r="F675" s="92">
        <v>189.9</v>
      </c>
      <c r="G675" s="113"/>
      <c r="H675" s="92">
        <v>2</v>
      </c>
      <c r="I675" s="113"/>
      <c r="J675" s="134">
        <v>44944</v>
      </c>
      <c r="K675" s="10">
        <f t="shared" si="43"/>
        <v>463.35599999999999</v>
      </c>
      <c r="L675" s="9"/>
      <c r="M675" s="17"/>
      <c r="N675" s="44"/>
      <c r="O675" s="44"/>
    </row>
    <row r="676" spans="1:15" ht="18" customHeight="1">
      <c r="A676" s="44">
        <v>26827</v>
      </c>
      <c r="B676" s="92" t="s">
        <v>2858</v>
      </c>
      <c r="C676" s="113" t="s">
        <v>2861</v>
      </c>
      <c r="D676" s="28" t="s">
        <v>451</v>
      </c>
      <c r="E676" s="92">
        <v>1.22</v>
      </c>
      <c r="F676" s="92">
        <v>79.900000000000006</v>
      </c>
      <c r="G676" s="113"/>
      <c r="H676" s="92">
        <v>2</v>
      </c>
      <c r="I676" s="113"/>
      <c r="J676" s="134">
        <v>44944</v>
      </c>
      <c r="K676" s="9">
        <f t="shared" si="43"/>
        <v>194.95600000000002</v>
      </c>
      <c r="L676" s="9"/>
      <c r="M676" s="17"/>
      <c r="N676" s="44"/>
      <c r="O676" s="44"/>
    </row>
    <row r="677" spans="1:15" ht="18" customHeight="1">
      <c r="A677" s="21">
        <v>28422</v>
      </c>
      <c r="B677" s="92" t="s">
        <v>2858</v>
      </c>
      <c r="C677" s="28" t="s">
        <v>2865</v>
      </c>
      <c r="D677" s="28" t="s">
        <v>451</v>
      </c>
      <c r="E677" s="28">
        <v>1.22</v>
      </c>
      <c r="F677" s="28">
        <v>75</v>
      </c>
      <c r="G677" s="28"/>
      <c r="H677" s="28">
        <v>2</v>
      </c>
      <c r="I677" s="28"/>
      <c r="J677" s="134">
        <v>44944</v>
      </c>
      <c r="K677" s="9">
        <f t="shared" si="43"/>
        <v>183</v>
      </c>
      <c r="L677" s="9"/>
      <c r="M677" s="9"/>
      <c r="N677" s="9">
        <f>G677*H677*I677*E677</f>
        <v>0</v>
      </c>
      <c r="O677" s="3">
        <f>K677*1.6667</f>
        <v>305.0061</v>
      </c>
    </row>
    <row r="678" spans="1:15" ht="18" customHeight="1">
      <c r="A678" s="219" t="s">
        <v>4180</v>
      </c>
      <c r="B678" s="88" t="s">
        <v>4181</v>
      </c>
      <c r="C678" s="136"/>
      <c r="D678" s="28" t="s">
        <v>1921</v>
      </c>
      <c r="E678" s="28">
        <v>1.22</v>
      </c>
      <c r="F678" s="88">
        <v>164</v>
      </c>
      <c r="G678" s="136"/>
      <c r="H678" s="88">
        <v>1.5</v>
      </c>
      <c r="I678" s="136"/>
      <c r="J678" s="137">
        <v>45762</v>
      </c>
      <c r="K678" s="35">
        <f t="shared" si="43"/>
        <v>300.12</v>
      </c>
      <c r="L678" s="37"/>
      <c r="M678" s="17"/>
      <c r="N678" s="16"/>
      <c r="O678" s="16"/>
    </row>
    <row r="679" spans="1:15" ht="18" customHeight="1">
      <c r="A679" s="21"/>
      <c r="B679" s="28" t="s">
        <v>498</v>
      </c>
      <c r="C679" s="28"/>
      <c r="D679" s="28" t="s">
        <v>3301</v>
      </c>
      <c r="E679" s="28">
        <v>1.22</v>
      </c>
      <c r="F679" s="28">
        <v>260</v>
      </c>
      <c r="G679" s="28"/>
      <c r="H679" s="28">
        <v>1.8</v>
      </c>
      <c r="I679" s="28"/>
      <c r="J679" s="133">
        <v>42601</v>
      </c>
      <c r="K679" s="9">
        <f t="shared" si="43"/>
        <v>570.96</v>
      </c>
      <c r="L679" s="9"/>
      <c r="M679" s="9"/>
      <c r="N679" s="9">
        <f>G679*H679*I679*E679</f>
        <v>0</v>
      </c>
      <c r="O679" s="3">
        <f>K679*1.6667</f>
        <v>951.61903200000006</v>
      </c>
    </row>
    <row r="680" spans="1:15" ht="18" customHeight="1">
      <c r="A680" s="21">
        <v>322</v>
      </c>
      <c r="B680" s="28" t="s">
        <v>499</v>
      </c>
      <c r="C680" s="28" t="s">
        <v>500</v>
      </c>
      <c r="D680" s="28" t="s">
        <v>451</v>
      </c>
      <c r="E680" s="28">
        <v>1.22</v>
      </c>
      <c r="F680" s="28">
        <v>160</v>
      </c>
      <c r="G680" s="28"/>
      <c r="H680" s="28">
        <v>1.8</v>
      </c>
      <c r="I680" s="28"/>
      <c r="J680" s="133">
        <v>41506</v>
      </c>
      <c r="K680" s="9">
        <f t="shared" si="43"/>
        <v>351.36</v>
      </c>
      <c r="L680" s="9"/>
      <c r="M680" s="9"/>
      <c r="N680" s="9">
        <f>G680*H680*I680*E680</f>
        <v>0</v>
      </c>
      <c r="O680" s="3">
        <f>K680*1.6667</f>
        <v>585.61171200000001</v>
      </c>
    </row>
    <row r="681" spans="1:15" ht="18" customHeight="1">
      <c r="A681" s="21"/>
      <c r="B681" s="28" t="s">
        <v>501</v>
      </c>
      <c r="C681" s="28" t="s">
        <v>502</v>
      </c>
      <c r="D681" s="28" t="s">
        <v>3301</v>
      </c>
      <c r="E681" s="28">
        <v>1.22</v>
      </c>
      <c r="F681" s="28">
        <v>16</v>
      </c>
      <c r="G681" s="28"/>
      <c r="H681" s="28">
        <v>1.8</v>
      </c>
      <c r="I681" s="28"/>
      <c r="J681" s="133">
        <v>41506</v>
      </c>
      <c r="K681" s="13">
        <f t="shared" si="43"/>
        <v>35.136000000000003</v>
      </c>
      <c r="L681" s="13"/>
      <c r="M681" s="13"/>
      <c r="N681" s="12">
        <f>G681*H681*I681*E681</f>
        <v>0</v>
      </c>
      <c r="O681" s="11">
        <f>K681*1.6667</f>
        <v>58.561171200000004</v>
      </c>
    </row>
    <row r="682" spans="1:15" ht="18" customHeight="1">
      <c r="A682" s="168" t="s">
        <v>3836</v>
      </c>
      <c r="B682" s="87" t="s">
        <v>3852</v>
      </c>
      <c r="C682" s="110"/>
      <c r="D682" s="110" t="s">
        <v>3824</v>
      </c>
      <c r="E682" s="87">
        <v>1.22</v>
      </c>
      <c r="F682" s="87">
        <v>135</v>
      </c>
      <c r="G682" s="110"/>
      <c r="H682" s="87">
        <v>1.8</v>
      </c>
      <c r="I682" s="110"/>
      <c r="J682" s="135">
        <v>45567</v>
      </c>
      <c r="K682" s="9">
        <f t="shared" si="43"/>
        <v>296.45999999999998</v>
      </c>
      <c r="L682" s="37"/>
      <c r="M682" s="17"/>
      <c r="N682" s="16"/>
      <c r="O682" s="16"/>
    </row>
    <row r="683" spans="1:15" ht="18" customHeight="1">
      <c r="A683" s="168" t="s">
        <v>3834</v>
      </c>
      <c r="B683" s="87" t="s">
        <v>3848</v>
      </c>
      <c r="C683" s="110"/>
      <c r="D683" s="110" t="s">
        <v>3824</v>
      </c>
      <c r="E683" s="87">
        <v>1.22</v>
      </c>
      <c r="F683" s="87">
        <v>120</v>
      </c>
      <c r="G683" s="110"/>
      <c r="H683" s="87">
        <v>1.8</v>
      </c>
      <c r="I683" s="110"/>
      <c r="J683" s="135">
        <v>45567</v>
      </c>
      <c r="K683" s="9">
        <f t="shared" si="43"/>
        <v>263.52000000000004</v>
      </c>
      <c r="L683" s="37"/>
      <c r="M683" s="17"/>
      <c r="N683" s="16"/>
      <c r="O683" s="16"/>
    </row>
    <row r="684" spans="1:15" ht="18" customHeight="1">
      <c r="A684" s="168" t="s">
        <v>3835</v>
      </c>
      <c r="B684" s="87" t="s">
        <v>3849</v>
      </c>
      <c r="C684" s="110"/>
      <c r="D684" s="110" t="s">
        <v>3824</v>
      </c>
      <c r="E684" s="87">
        <v>1.22</v>
      </c>
      <c r="F684" s="87">
        <v>135</v>
      </c>
      <c r="G684" s="110"/>
      <c r="H684" s="87">
        <v>1.8</v>
      </c>
      <c r="I684" s="110"/>
      <c r="J684" s="135">
        <v>45567</v>
      </c>
      <c r="K684" s="9">
        <f t="shared" si="43"/>
        <v>296.45999999999998</v>
      </c>
      <c r="L684" s="37"/>
      <c r="M684" s="17"/>
      <c r="N684" s="16"/>
      <c r="O684" s="16"/>
    </row>
    <row r="685" spans="1:15" ht="18" customHeight="1">
      <c r="A685" s="168" t="s">
        <v>3831</v>
      </c>
      <c r="B685" s="87" t="s">
        <v>3847</v>
      </c>
      <c r="C685" s="110"/>
      <c r="D685" s="110" t="s">
        <v>3824</v>
      </c>
      <c r="E685" s="87">
        <v>1.22</v>
      </c>
      <c r="F685" s="87">
        <v>249</v>
      </c>
      <c r="G685" s="110"/>
      <c r="H685" s="87">
        <v>1.8</v>
      </c>
      <c r="I685" s="110"/>
      <c r="J685" s="135">
        <v>45567</v>
      </c>
      <c r="K685" s="9">
        <f t="shared" si="43"/>
        <v>546.80399999999997</v>
      </c>
      <c r="L685" s="37"/>
      <c r="M685" s="17"/>
      <c r="N685" s="16"/>
      <c r="O685" s="16"/>
    </row>
    <row r="686" spans="1:15" ht="18" customHeight="1">
      <c r="A686" s="168" t="s">
        <v>3832</v>
      </c>
      <c r="B686" s="87" t="s">
        <v>3847</v>
      </c>
      <c r="C686" s="110"/>
      <c r="D686" s="110" t="s">
        <v>3824</v>
      </c>
      <c r="E686" s="87">
        <v>1.22</v>
      </c>
      <c r="F686" s="87">
        <v>159</v>
      </c>
      <c r="G686" s="110"/>
      <c r="H686" s="87">
        <v>1.8</v>
      </c>
      <c r="I686" s="110"/>
      <c r="J686" s="135">
        <v>45567</v>
      </c>
      <c r="K686" s="9">
        <f t="shared" si="43"/>
        <v>349.16399999999999</v>
      </c>
      <c r="L686" s="37"/>
      <c r="M686" s="17"/>
      <c r="N686" s="16"/>
      <c r="O686" s="16"/>
    </row>
    <row r="687" spans="1:15" ht="18" customHeight="1">
      <c r="A687" s="168" t="s">
        <v>3833</v>
      </c>
      <c r="B687" s="87" t="s">
        <v>3847</v>
      </c>
      <c r="C687" s="110"/>
      <c r="D687" s="110" t="s">
        <v>3824</v>
      </c>
      <c r="E687" s="87">
        <v>1.22</v>
      </c>
      <c r="F687" s="87">
        <v>110</v>
      </c>
      <c r="G687" s="110"/>
      <c r="H687" s="87">
        <v>1.8</v>
      </c>
      <c r="I687" s="110"/>
      <c r="J687" s="135">
        <v>45567</v>
      </c>
      <c r="K687" s="9">
        <f t="shared" si="43"/>
        <v>241.55999999999997</v>
      </c>
      <c r="L687" s="37"/>
      <c r="M687" s="17"/>
      <c r="N687" s="16"/>
      <c r="O687" s="16"/>
    </row>
    <row r="688" spans="1:15" ht="18" customHeight="1">
      <c r="A688" s="21">
        <v>0</v>
      </c>
      <c r="B688" s="28" t="s">
        <v>4514</v>
      </c>
      <c r="C688" s="28">
        <v>0</v>
      </c>
      <c r="D688" s="28" t="s">
        <v>1292</v>
      </c>
      <c r="E688" s="28">
        <v>1.22</v>
      </c>
      <c r="F688" s="28">
        <v>14.9</v>
      </c>
      <c r="G688" s="28"/>
      <c r="H688" s="28">
        <v>1.8</v>
      </c>
      <c r="I688" s="28"/>
      <c r="J688" s="133">
        <v>45982</v>
      </c>
      <c r="K688" s="9">
        <f t="shared" si="43"/>
        <v>32.720400000000005</v>
      </c>
      <c r="L688" s="9"/>
      <c r="M688" s="9"/>
      <c r="N688" s="9">
        <f>G688*H688*I688*E688</f>
        <v>0</v>
      </c>
      <c r="O688" s="3">
        <f>K688*1.6667</f>
        <v>54.53509068000001</v>
      </c>
    </row>
    <row r="689" spans="1:15" ht="18" customHeight="1">
      <c r="A689" s="21">
        <v>0</v>
      </c>
      <c r="B689" s="28" t="s">
        <v>1101</v>
      </c>
      <c r="C689" s="28" t="s">
        <v>560</v>
      </c>
      <c r="D689" s="28" t="s">
        <v>41</v>
      </c>
      <c r="E689" s="28">
        <v>1.22</v>
      </c>
      <c r="F689" s="28">
        <v>9</v>
      </c>
      <c r="G689" s="28"/>
      <c r="H689" s="28">
        <v>1</v>
      </c>
      <c r="I689" s="28"/>
      <c r="J689" s="133">
        <v>45611</v>
      </c>
      <c r="K689" s="9">
        <f t="shared" si="43"/>
        <v>10.98</v>
      </c>
      <c r="L689" s="9"/>
      <c r="M689" s="9"/>
      <c r="N689" s="9">
        <f>G689*H689*I689*E689</f>
        <v>0</v>
      </c>
      <c r="O689" s="3">
        <f>K689*1.6667</f>
        <v>18.300366</v>
      </c>
    </row>
    <row r="690" spans="1:15" ht="18" customHeight="1">
      <c r="A690" s="21">
        <v>0</v>
      </c>
      <c r="B690" s="28" t="s">
        <v>1101</v>
      </c>
      <c r="C690" s="28" t="s">
        <v>122</v>
      </c>
      <c r="D690" s="28" t="s">
        <v>41</v>
      </c>
      <c r="E690" s="28">
        <v>1.22</v>
      </c>
      <c r="F690" s="28">
        <v>9.8000000000000007</v>
      </c>
      <c r="G690" s="28"/>
      <c r="H690" s="28">
        <v>1</v>
      </c>
      <c r="I690" s="28"/>
      <c r="J690" s="133">
        <v>45611</v>
      </c>
      <c r="K690" s="9">
        <f t="shared" si="43"/>
        <v>11.956000000000001</v>
      </c>
      <c r="L690" s="9"/>
      <c r="M690" s="9"/>
      <c r="N690" s="9">
        <f>G690*H690*I690*E690</f>
        <v>0</v>
      </c>
      <c r="O690" s="3">
        <f>K690*1.6667</f>
        <v>19.927065200000001</v>
      </c>
    </row>
    <row r="691" spans="1:15" ht="18" customHeight="1">
      <c r="A691" s="16"/>
      <c r="B691" s="28" t="s">
        <v>2876</v>
      </c>
      <c r="C691" s="110"/>
      <c r="D691" s="28"/>
      <c r="E691" s="87"/>
      <c r="F691" s="87"/>
      <c r="G691" s="110"/>
      <c r="H691" s="87"/>
      <c r="I691" s="110"/>
      <c r="J691" s="87"/>
      <c r="K691" s="37"/>
      <c r="L691" s="37"/>
      <c r="M691" s="17"/>
      <c r="N691" s="16"/>
      <c r="O691" s="16"/>
    </row>
    <row r="692" spans="1:15" ht="18" customHeight="1">
      <c r="A692" s="16">
        <v>23837</v>
      </c>
      <c r="B692" s="87" t="s">
        <v>3277</v>
      </c>
      <c r="C692" s="110" t="s">
        <v>2222</v>
      </c>
      <c r="D692" s="28" t="s">
        <v>3413</v>
      </c>
      <c r="E692" s="87">
        <v>1.22</v>
      </c>
      <c r="F692" s="87">
        <v>429.9</v>
      </c>
      <c r="G692" s="110"/>
      <c r="H692" s="87">
        <v>1.6</v>
      </c>
      <c r="I692" s="110"/>
      <c r="J692" s="135">
        <v>45265</v>
      </c>
      <c r="K692" s="37">
        <f>E692*F692*H692</f>
        <v>839.16480000000001</v>
      </c>
      <c r="L692" s="37"/>
      <c r="M692" s="17"/>
      <c r="N692" s="16"/>
      <c r="O692" s="16"/>
    </row>
    <row r="693" spans="1:15" ht="18" customHeight="1">
      <c r="A693" s="16">
        <v>28763</v>
      </c>
      <c r="B693" s="87" t="s">
        <v>3277</v>
      </c>
      <c r="C693" s="110" t="s">
        <v>3278</v>
      </c>
      <c r="D693" s="28" t="s">
        <v>3414</v>
      </c>
      <c r="E693" s="87">
        <v>1.22</v>
      </c>
      <c r="F693" s="87">
        <v>179.9</v>
      </c>
      <c r="G693" s="110"/>
      <c r="H693" s="87">
        <v>1.6</v>
      </c>
      <c r="I693" s="110"/>
      <c r="J693" s="135">
        <v>45265</v>
      </c>
      <c r="K693" s="37">
        <f>E693*F693*H693</f>
        <v>351.16480000000001</v>
      </c>
      <c r="L693" s="37"/>
      <c r="M693" s="17"/>
      <c r="N693" s="16"/>
      <c r="O693" s="16"/>
    </row>
    <row r="694" spans="1:15" ht="18" hidden="1" customHeight="1">
      <c r="A694" s="22"/>
      <c r="B694" s="28" t="s">
        <v>1087</v>
      </c>
      <c r="C694" s="28" t="s">
        <v>104</v>
      </c>
      <c r="D694" s="28"/>
      <c r="E694" s="28">
        <v>1.22</v>
      </c>
      <c r="F694" s="28">
        <v>639</v>
      </c>
      <c r="G694" s="28"/>
      <c r="H694" s="28">
        <v>1.6</v>
      </c>
      <c r="I694" s="28"/>
      <c r="J694" s="133">
        <v>43396</v>
      </c>
      <c r="K694" s="9">
        <f>E694*F694*H694</f>
        <v>1247.328</v>
      </c>
      <c r="L694" s="9"/>
      <c r="M694" s="9"/>
      <c r="N694" s="9">
        <f>G694*H694*I694*E694</f>
        <v>0</v>
      </c>
      <c r="O694" s="3">
        <f>K694*1.6667</f>
        <v>2078.9215776000001</v>
      </c>
    </row>
    <row r="695" spans="1:15" ht="18" customHeight="1">
      <c r="A695" s="21"/>
      <c r="B695" s="28" t="s">
        <v>1589</v>
      </c>
      <c r="C695" s="28" t="s">
        <v>1590</v>
      </c>
      <c r="D695" s="28"/>
      <c r="E695" s="28">
        <v>1.22</v>
      </c>
      <c r="F695" s="28">
        <v>316.8</v>
      </c>
      <c r="G695" s="28"/>
      <c r="H695" s="28">
        <v>1.2</v>
      </c>
      <c r="I695" s="28"/>
      <c r="J695" s="133">
        <v>44678</v>
      </c>
      <c r="K695" s="9">
        <f>E695*F695*H695</f>
        <v>463.79519999999997</v>
      </c>
      <c r="L695" s="9"/>
      <c r="M695" s="9"/>
      <c r="N695" s="9">
        <f>G695*H695*I695*E695</f>
        <v>0</v>
      </c>
      <c r="O695" s="3" t="e">
        <f>#REF!*1.6667</f>
        <v>#REF!</v>
      </c>
    </row>
    <row r="696" spans="1:15" ht="18" customHeight="1">
      <c r="A696" s="16"/>
      <c r="B696" s="94" t="s">
        <v>2652</v>
      </c>
      <c r="C696" s="112" t="s">
        <v>1980</v>
      </c>
      <c r="D696" s="28"/>
      <c r="E696" s="94">
        <v>1.22</v>
      </c>
      <c r="F696" s="94">
        <v>1592</v>
      </c>
      <c r="G696" s="112"/>
      <c r="H696" s="94">
        <v>1.3</v>
      </c>
      <c r="I696" s="112"/>
      <c r="J696" s="133">
        <v>44572</v>
      </c>
      <c r="K696" s="172">
        <f>H696*F696</f>
        <v>2069.6</v>
      </c>
      <c r="L696" s="172"/>
      <c r="M696" s="17"/>
      <c r="N696" s="16"/>
      <c r="O696" s="16"/>
    </row>
    <row r="697" spans="1:15" ht="18" customHeight="1">
      <c r="A697" s="21">
        <v>313</v>
      </c>
      <c r="B697" s="28" t="s">
        <v>3389</v>
      </c>
      <c r="C697" s="28" t="s">
        <v>532</v>
      </c>
      <c r="D697" s="28" t="s">
        <v>34</v>
      </c>
      <c r="E697" s="28">
        <v>1.22</v>
      </c>
      <c r="F697" s="28">
        <v>254</v>
      </c>
      <c r="G697" s="28"/>
      <c r="H697" s="28">
        <v>1.3</v>
      </c>
      <c r="I697" s="28"/>
      <c r="J697" s="133">
        <v>45943</v>
      </c>
      <c r="K697" s="9">
        <f t="shared" ref="K697:K702" si="44">E697*F697*H697</f>
        <v>402.84399999999999</v>
      </c>
      <c r="L697" s="9"/>
      <c r="M697" s="9"/>
      <c r="N697" s="9">
        <f>G697*H697*I697*E697</f>
        <v>0</v>
      </c>
      <c r="O697" s="3">
        <f>K697*1.6667</f>
        <v>671.42009480000002</v>
      </c>
    </row>
    <row r="698" spans="1:15" ht="18" hidden="1" customHeight="1">
      <c r="A698" s="16"/>
      <c r="B698" s="28" t="s">
        <v>1445</v>
      </c>
      <c r="C698" s="28" t="s">
        <v>1446</v>
      </c>
      <c r="D698" s="28"/>
      <c r="E698" s="28">
        <v>1.22</v>
      </c>
      <c r="F698" s="28">
        <v>86</v>
      </c>
      <c r="G698" s="110"/>
      <c r="H698" s="28">
        <v>1.3</v>
      </c>
      <c r="I698" s="110"/>
      <c r="J698" s="135">
        <v>43811</v>
      </c>
      <c r="K698" s="9">
        <f t="shared" si="44"/>
        <v>136.39600000000002</v>
      </c>
      <c r="L698" s="9"/>
      <c r="M698" s="9"/>
      <c r="N698" s="16"/>
      <c r="O698" s="16"/>
    </row>
    <row r="699" spans="1:15" ht="18" customHeight="1">
      <c r="A699" s="21"/>
      <c r="B699" s="28" t="s">
        <v>128</v>
      </c>
      <c r="C699" s="28" t="s">
        <v>91</v>
      </c>
      <c r="D699" s="28" t="s">
        <v>7</v>
      </c>
      <c r="E699" s="28">
        <v>1</v>
      </c>
      <c r="F699" s="28">
        <v>2150</v>
      </c>
      <c r="G699" s="28"/>
      <c r="H699" s="28">
        <v>1.3</v>
      </c>
      <c r="I699" s="28"/>
      <c r="J699" s="133">
        <v>45329</v>
      </c>
      <c r="K699" s="9">
        <f t="shared" si="44"/>
        <v>2795</v>
      </c>
      <c r="L699" s="9"/>
      <c r="M699" s="9"/>
      <c r="N699" s="9">
        <f>G699*H699*I699*E699</f>
        <v>0</v>
      </c>
      <c r="O699" s="3">
        <f>K699*1.6667</f>
        <v>4658.4265000000005</v>
      </c>
    </row>
    <row r="700" spans="1:15" ht="18" customHeight="1">
      <c r="A700" s="21"/>
      <c r="B700" s="28" t="s">
        <v>128</v>
      </c>
      <c r="C700" s="28" t="s">
        <v>122</v>
      </c>
      <c r="D700" s="28" t="s">
        <v>7</v>
      </c>
      <c r="E700" s="28">
        <v>1</v>
      </c>
      <c r="F700" s="28">
        <v>215</v>
      </c>
      <c r="G700" s="28"/>
      <c r="H700" s="28">
        <v>1.5</v>
      </c>
      <c r="I700" s="28"/>
      <c r="J700" s="133">
        <v>45329</v>
      </c>
      <c r="K700" s="10">
        <f t="shared" si="44"/>
        <v>322.5</v>
      </c>
      <c r="L700" s="9"/>
      <c r="M700" s="9"/>
      <c r="N700" s="9">
        <f>G700*H700*I700*E700</f>
        <v>0</v>
      </c>
      <c r="O700" s="3">
        <f>K700*1.6667</f>
        <v>537.51075000000003</v>
      </c>
    </row>
    <row r="701" spans="1:15" ht="18" customHeight="1">
      <c r="A701" s="45" t="s">
        <v>4182</v>
      </c>
      <c r="B701" s="88" t="s">
        <v>4183</v>
      </c>
      <c r="C701" s="136"/>
      <c r="D701" s="28" t="s">
        <v>1921</v>
      </c>
      <c r="E701" s="28">
        <v>1.22</v>
      </c>
      <c r="F701" s="88">
        <v>158</v>
      </c>
      <c r="G701" s="136"/>
      <c r="H701" s="88">
        <v>1.5</v>
      </c>
      <c r="I701" s="136"/>
      <c r="J701" s="137">
        <v>45762</v>
      </c>
      <c r="K701" s="57">
        <f t="shared" si="44"/>
        <v>289.14</v>
      </c>
      <c r="L701" s="37"/>
      <c r="M701" s="17"/>
      <c r="N701" s="16"/>
      <c r="O701" s="16"/>
    </row>
    <row r="702" spans="1:15" ht="18" customHeight="1">
      <c r="A702" s="16"/>
      <c r="B702" s="87" t="s">
        <v>3087</v>
      </c>
      <c r="C702" s="110"/>
      <c r="D702" s="28" t="s">
        <v>451</v>
      </c>
      <c r="E702" s="87">
        <v>1.22</v>
      </c>
      <c r="F702" s="87">
        <v>23</v>
      </c>
      <c r="G702" s="110"/>
      <c r="H702" s="87">
        <v>2</v>
      </c>
      <c r="I702" s="110"/>
      <c r="J702" s="135">
        <v>45909</v>
      </c>
      <c r="K702" s="35">
        <f t="shared" si="44"/>
        <v>56.12</v>
      </c>
      <c r="L702" s="37"/>
      <c r="M702" s="17"/>
      <c r="N702" s="16"/>
      <c r="O702" s="16"/>
    </row>
    <row r="703" spans="1:15" ht="18" customHeight="1">
      <c r="A703" s="16"/>
      <c r="B703" s="28" t="s">
        <v>3353</v>
      </c>
      <c r="C703" s="28" t="s">
        <v>842</v>
      </c>
      <c r="D703" s="28" t="s">
        <v>3324</v>
      </c>
      <c r="E703" s="28">
        <v>1.22</v>
      </c>
      <c r="F703" s="28">
        <v>1639.21</v>
      </c>
      <c r="G703" s="110"/>
      <c r="H703" s="28">
        <v>1.3</v>
      </c>
      <c r="I703" s="110"/>
      <c r="J703" s="134">
        <v>45850</v>
      </c>
      <c r="K703" s="35">
        <f>+E703*F703*H703</f>
        <v>2599.7870600000001</v>
      </c>
      <c r="L703" s="9"/>
      <c r="M703" s="9"/>
      <c r="N703" s="9"/>
      <c r="O703" s="3"/>
    </row>
    <row r="704" spans="1:15" ht="18" customHeight="1">
      <c r="A704" s="21">
        <v>120105</v>
      </c>
      <c r="B704" s="28" t="s">
        <v>523</v>
      </c>
      <c r="C704" s="28" t="s">
        <v>305</v>
      </c>
      <c r="D704" s="28" t="s">
        <v>3306</v>
      </c>
      <c r="E704" s="28">
        <v>1</v>
      </c>
      <c r="F704" s="28">
        <v>350</v>
      </c>
      <c r="G704" s="28"/>
      <c r="H704" s="28">
        <v>1.4</v>
      </c>
      <c r="I704" s="28"/>
      <c r="J704" s="133">
        <v>45923</v>
      </c>
      <c r="K704" s="9">
        <f t="shared" ref="K704:K709" si="45">E704*F704*H704</f>
        <v>489.99999999999994</v>
      </c>
      <c r="L704" s="9"/>
      <c r="M704" s="9"/>
      <c r="N704" s="9">
        <f>G704*H704*I704*E704</f>
        <v>0</v>
      </c>
      <c r="O704" s="3">
        <f>K704*1.6667</f>
        <v>816.68299999999999</v>
      </c>
    </row>
    <row r="705" spans="1:15" ht="18" customHeight="1">
      <c r="A705" s="22" t="s">
        <v>2545</v>
      </c>
      <c r="B705" s="28" t="s">
        <v>2411</v>
      </c>
      <c r="C705" s="28" t="s">
        <v>1080</v>
      </c>
      <c r="D705" s="28" t="s">
        <v>3304</v>
      </c>
      <c r="E705" s="28">
        <v>1.22</v>
      </c>
      <c r="F705" s="28">
        <v>1445</v>
      </c>
      <c r="G705" s="28"/>
      <c r="H705" s="28">
        <v>1.3</v>
      </c>
      <c r="I705" s="28"/>
      <c r="J705" s="133">
        <v>45925</v>
      </c>
      <c r="K705" s="9">
        <f t="shared" si="45"/>
        <v>2291.77</v>
      </c>
      <c r="L705" s="9"/>
      <c r="M705" s="9"/>
      <c r="N705" s="16"/>
      <c r="O705" s="16"/>
    </row>
    <row r="706" spans="1:15" ht="18" customHeight="1">
      <c r="A706" s="22" t="s">
        <v>2545</v>
      </c>
      <c r="B706" s="28" t="s">
        <v>2412</v>
      </c>
      <c r="C706" s="28" t="s">
        <v>125</v>
      </c>
      <c r="D706" s="28" t="s">
        <v>3304</v>
      </c>
      <c r="E706" s="28">
        <v>1.22</v>
      </c>
      <c r="F706" s="28">
        <v>96</v>
      </c>
      <c r="G706" s="28"/>
      <c r="H706" s="28">
        <v>1.45</v>
      </c>
      <c r="I706" s="28"/>
      <c r="J706" s="133">
        <v>45925</v>
      </c>
      <c r="K706" s="9">
        <f t="shared" si="45"/>
        <v>169.82400000000001</v>
      </c>
      <c r="L706" s="9"/>
      <c r="M706" s="9"/>
      <c r="N706" s="16"/>
      <c r="O706" s="16"/>
    </row>
    <row r="707" spans="1:15" ht="18" customHeight="1">
      <c r="A707" s="21">
        <v>127176</v>
      </c>
      <c r="B707" s="28" t="s">
        <v>2974</v>
      </c>
      <c r="C707" s="28" t="s">
        <v>98</v>
      </c>
      <c r="D707" s="28" t="s">
        <v>451</v>
      </c>
      <c r="E707" s="28">
        <v>1.22</v>
      </c>
      <c r="F707" s="28">
        <v>2422.8200000000002</v>
      </c>
      <c r="G707" s="28"/>
      <c r="H707" s="28">
        <v>1.2</v>
      </c>
      <c r="I707" s="28"/>
      <c r="J707" s="133">
        <v>45015</v>
      </c>
      <c r="K707" s="9">
        <f t="shared" si="45"/>
        <v>3547.00848</v>
      </c>
      <c r="L707" s="9"/>
      <c r="M707" s="9"/>
      <c r="N707" s="9">
        <f>G707*H707*I707*E707</f>
        <v>0</v>
      </c>
      <c r="O707" s="36">
        <f>K707*1.6667</f>
        <v>5911.7990336160001</v>
      </c>
    </row>
    <row r="708" spans="1:15" ht="18" customHeight="1">
      <c r="A708" s="21">
        <v>127176</v>
      </c>
      <c r="B708" s="28" t="s">
        <v>2974</v>
      </c>
      <c r="C708" s="28" t="s">
        <v>125</v>
      </c>
      <c r="D708" s="28" t="s">
        <v>451</v>
      </c>
      <c r="E708" s="28">
        <v>1.22</v>
      </c>
      <c r="F708" s="28">
        <v>48.46</v>
      </c>
      <c r="G708" s="28"/>
      <c r="H708" s="28">
        <v>1.4</v>
      </c>
      <c r="I708" s="28"/>
      <c r="J708" s="133">
        <v>45015</v>
      </c>
      <c r="K708" s="9">
        <f t="shared" si="45"/>
        <v>82.769679999999994</v>
      </c>
      <c r="L708" s="9"/>
      <c r="M708" s="9"/>
      <c r="N708" s="9">
        <f>G708*H708*I708*E708</f>
        <v>0</v>
      </c>
      <c r="O708" s="3">
        <f>K708*1.6667</f>
        <v>137.952225656</v>
      </c>
    </row>
    <row r="709" spans="1:15" ht="18" customHeight="1">
      <c r="A709" s="21"/>
      <c r="B709" s="28" t="s">
        <v>841</v>
      </c>
      <c r="C709" s="28" t="s">
        <v>87</v>
      </c>
      <c r="D709" s="28" t="s">
        <v>3308</v>
      </c>
      <c r="E709" s="28">
        <v>1.22</v>
      </c>
      <c r="F709" s="28">
        <v>833</v>
      </c>
      <c r="G709" s="28"/>
      <c r="H709" s="28">
        <v>1.3</v>
      </c>
      <c r="I709" s="28"/>
      <c r="J709" s="133">
        <v>45120</v>
      </c>
      <c r="K709" s="9">
        <f t="shared" si="45"/>
        <v>1321.1379999999999</v>
      </c>
      <c r="L709" s="9"/>
      <c r="M709" s="9"/>
      <c r="N709" s="9">
        <f>G709*H709*I709*E709</f>
        <v>0</v>
      </c>
      <c r="O709" s="3">
        <f>K709*1.6667</f>
        <v>2201.9407046000001</v>
      </c>
    </row>
    <row r="710" spans="1:15" ht="18" customHeight="1">
      <c r="A710" s="21"/>
      <c r="B710" s="28" t="s">
        <v>841</v>
      </c>
      <c r="C710" s="28" t="s">
        <v>125</v>
      </c>
      <c r="D710" s="28" t="s">
        <v>3308</v>
      </c>
      <c r="E710" s="28"/>
      <c r="F710" s="28">
        <v>59.57</v>
      </c>
      <c r="G710" s="28"/>
      <c r="H710" s="28"/>
      <c r="I710" s="28"/>
      <c r="J710" s="133">
        <v>45120</v>
      </c>
      <c r="K710" s="9">
        <v>120</v>
      </c>
      <c r="L710" s="9"/>
      <c r="M710" s="9"/>
      <c r="N710" s="9"/>
      <c r="O710" s="3"/>
    </row>
    <row r="711" spans="1:15" ht="18" customHeight="1">
      <c r="A711" s="16" t="s">
        <v>2041</v>
      </c>
      <c r="B711" s="90" t="s">
        <v>4443</v>
      </c>
      <c r="C711" s="114" t="s">
        <v>125</v>
      </c>
      <c r="D711" s="28" t="s">
        <v>3306</v>
      </c>
      <c r="E711" s="28">
        <v>1</v>
      </c>
      <c r="F711" s="87">
        <v>46.64</v>
      </c>
      <c r="G711" s="110"/>
      <c r="H711" s="28">
        <v>1.8</v>
      </c>
      <c r="I711" s="110"/>
      <c r="J711" s="137">
        <v>44210</v>
      </c>
      <c r="K711" s="35">
        <f t="shared" ref="K711:K729" si="46">E711*F711*H711</f>
        <v>83.951999999999998</v>
      </c>
      <c r="L711" s="35"/>
      <c r="M711" s="17"/>
      <c r="N711" s="16"/>
      <c r="O711" s="16"/>
    </row>
    <row r="712" spans="1:15" ht="18" customHeight="1">
      <c r="A712" s="16"/>
      <c r="B712" s="87" t="s">
        <v>4081</v>
      </c>
      <c r="C712" s="110" t="s">
        <v>94</v>
      </c>
      <c r="D712" s="110" t="s">
        <v>1905</v>
      </c>
      <c r="E712" s="87">
        <v>1.22</v>
      </c>
      <c r="F712" s="87">
        <v>60</v>
      </c>
      <c r="G712" s="110"/>
      <c r="H712" s="87">
        <v>1.45</v>
      </c>
      <c r="I712" s="110"/>
      <c r="J712" s="225">
        <v>45689</v>
      </c>
      <c r="K712" s="10">
        <f t="shared" si="46"/>
        <v>106.14</v>
      </c>
      <c r="L712" s="63"/>
      <c r="M712" s="17"/>
      <c r="N712" s="16"/>
      <c r="O712" s="16"/>
    </row>
    <row r="713" spans="1:15" ht="18" customHeight="1">
      <c r="A713" s="21"/>
      <c r="B713" s="28" t="s">
        <v>2910</v>
      </c>
      <c r="C713" s="28" t="s">
        <v>125</v>
      </c>
      <c r="D713" s="28" t="s">
        <v>3324</v>
      </c>
      <c r="E713" s="28">
        <v>1.22</v>
      </c>
      <c r="F713" s="28">
        <v>81</v>
      </c>
      <c r="G713" s="28"/>
      <c r="H713" s="28">
        <v>1.6</v>
      </c>
      <c r="I713" s="28"/>
      <c r="J713" s="134">
        <v>45850</v>
      </c>
      <c r="K713" s="10">
        <f t="shared" si="46"/>
        <v>158.11199999999999</v>
      </c>
      <c r="L713" s="10"/>
      <c r="M713" s="17"/>
      <c r="N713" s="9">
        <f>G713*H713*I713*E713</f>
        <v>0</v>
      </c>
      <c r="O713" s="3"/>
    </row>
    <row r="714" spans="1:15" ht="18" customHeight="1">
      <c r="A714" s="21"/>
      <c r="B714" s="28" t="s">
        <v>127</v>
      </c>
      <c r="C714" s="28" t="s">
        <v>125</v>
      </c>
      <c r="D714" s="28" t="s">
        <v>3324</v>
      </c>
      <c r="E714" s="28">
        <v>1.22</v>
      </c>
      <c r="F714" s="28">
        <v>76.38</v>
      </c>
      <c r="G714" s="28"/>
      <c r="H714" s="28">
        <v>1.25</v>
      </c>
      <c r="I714" s="28"/>
      <c r="J714" s="133">
        <v>45014</v>
      </c>
      <c r="K714" s="10">
        <f t="shared" si="46"/>
        <v>116.4795</v>
      </c>
      <c r="L714" s="10"/>
      <c r="M714" s="9"/>
      <c r="N714" s="9"/>
      <c r="O714" s="3"/>
    </row>
    <row r="715" spans="1:15" ht="18" customHeight="1">
      <c r="A715" s="21"/>
      <c r="B715" s="28" t="s">
        <v>127</v>
      </c>
      <c r="C715" s="28" t="s">
        <v>112</v>
      </c>
      <c r="D715" s="28" t="s">
        <v>3324</v>
      </c>
      <c r="E715" s="28">
        <v>1.22</v>
      </c>
      <c r="F715" s="28">
        <v>1960</v>
      </c>
      <c r="G715" s="28"/>
      <c r="H715" s="28">
        <v>1.3</v>
      </c>
      <c r="I715" s="28"/>
      <c r="J715" s="133">
        <v>45014</v>
      </c>
      <c r="K715" s="10">
        <f t="shared" si="46"/>
        <v>3108.56</v>
      </c>
      <c r="L715" s="10"/>
      <c r="M715" s="9"/>
      <c r="N715" s="9">
        <f>G715*H715*I715*E715</f>
        <v>0</v>
      </c>
      <c r="O715" s="3">
        <f>K715*1.6667</f>
        <v>5181.0369520000004</v>
      </c>
    </row>
    <row r="716" spans="1:15" ht="18" customHeight="1">
      <c r="A716" s="21">
        <v>9552</v>
      </c>
      <c r="B716" s="28" t="s">
        <v>2972</v>
      </c>
      <c r="C716" s="28" t="s">
        <v>112</v>
      </c>
      <c r="D716" s="28" t="s">
        <v>3324</v>
      </c>
      <c r="E716" s="28">
        <v>1.22</v>
      </c>
      <c r="F716" s="28">
        <v>2291.44</v>
      </c>
      <c r="G716" s="28"/>
      <c r="H716" s="28">
        <v>1.3</v>
      </c>
      <c r="I716" s="28"/>
      <c r="J716" s="133">
        <v>45014</v>
      </c>
      <c r="K716" s="9">
        <f t="shared" si="46"/>
        <v>3634.2238400000001</v>
      </c>
      <c r="L716" s="9"/>
      <c r="M716" s="9"/>
      <c r="N716" s="9"/>
      <c r="O716" s="3"/>
    </row>
    <row r="717" spans="1:15" ht="18" customHeight="1">
      <c r="A717" s="21"/>
      <c r="B717" s="28" t="s">
        <v>2973</v>
      </c>
      <c r="C717" s="28" t="s">
        <v>125</v>
      </c>
      <c r="D717" s="28" t="s">
        <v>3324</v>
      </c>
      <c r="E717" s="28">
        <v>1.22</v>
      </c>
      <c r="F717" s="28">
        <v>96.6</v>
      </c>
      <c r="G717" s="28"/>
      <c r="H717" s="28">
        <v>1.4</v>
      </c>
      <c r="I717" s="28"/>
      <c r="J717" s="131">
        <v>45014</v>
      </c>
      <c r="K717" s="9">
        <f t="shared" si="46"/>
        <v>164.99279999999999</v>
      </c>
      <c r="L717" s="9"/>
      <c r="M717" s="9"/>
      <c r="N717" s="9">
        <f>G717*H717*I717*E717</f>
        <v>0</v>
      </c>
      <c r="O717" s="3">
        <f>K717*1.6667</f>
        <v>274.99349976000002</v>
      </c>
    </row>
    <row r="718" spans="1:15" ht="18" customHeight="1">
      <c r="A718" s="21" t="s">
        <v>3714</v>
      </c>
      <c r="B718" s="28" t="s">
        <v>3715</v>
      </c>
      <c r="C718" s="28" t="s">
        <v>20</v>
      </c>
      <c r="D718" s="28" t="s">
        <v>1905</v>
      </c>
      <c r="E718" s="28">
        <v>1.22</v>
      </c>
      <c r="F718" s="28">
        <v>97.54</v>
      </c>
      <c r="G718" s="28">
        <v>0</v>
      </c>
      <c r="H718" s="28">
        <v>1.6</v>
      </c>
      <c r="I718" s="28">
        <v>0</v>
      </c>
      <c r="J718" s="133">
        <v>45545</v>
      </c>
      <c r="K718" s="9">
        <f t="shared" si="46"/>
        <v>190.39808000000002</v>
      </c>
      <c r="L718" s="9"/>
      <c r="M718" s="9"/>
      <c r="N718" s="9">
        <f>G718*H718*I718*E718</f>
        <v>0</v>
      </c>
      <c r="O718" s="3">
        <f>K718*1.6667</f>
        <v>317.33647993600005</v>
      </c>
    </row>
    <row r="719" spans="1:15" ht="18" customHeight="1">
      <c r="A719" s="21" t="s">
        <v>3434</v>
      </c>
      <c r="B719" s="28" t="s">
        <v>3436</v>
      </c>
      <c r="C719" s="111" t="s">
        <v>3423</v>
      </c>
      <c r="D719" s="28" t="s">
        <v>3420</v>
      </c>
      <c r="E719" s="28">
        <v>1.22</v>
      </c>
      <c r="F719" s="28">
        <v>157.37</v>
      </c>
      <c r="G719" s="28"/>
      <c r="H719" s="28">
        <v>1.4</v>
      </c>
      <c r="I719" s="28"/>
      <c r="J719" s="133">
        <v>45390</v>
      </c>
      <c r="K719" s="10">
        <f t="shared" si="46"/>
        <v>268.78796</v>
      </c>
      <c r="L719" s="9"/>
      <c r="M719" s="9"/>
      <c r="N719" s="9">
        <f>G719*H719*I719*E719</f>
        <v>0</v>
      </c>
      <c r="O719" s="3">
        <f>K719*1.6667</f>
        <v>447.988892932</v>
      </c>
    </row>
    <row r="720" spans="1:15" ht="18" customHeight="1">
      <c r="A720" s="21" t="s">
        <v>3435</v>
      </c>
      <c r="B720" s="28" t="s">
        <v>3436</v>
      </c>
      <c r="C720" s="28" t="s">
        <v>3424</v>
      </c>
      <c r="D720" s="28" t="s">
        <v>3420</v>
      </c>
      <c r="E720" s="28">
        <v>1.22</v>
      </c>
      <c r="F720" s="28">
        <v>1043.44</v>
      </c>
      <c r="G720" s="28"/>
      <c r="H720" s="28">
        <v>1.4</v>
      </c>
      <c r="I720" s="28"/>
      <c r="J720" s="133">
        <v>45390</v>
      </c>
      <c r="K720" s="9">
        <f t="shared" si="46"/>
        <v>1782.19552</v>
      </c>
      <c r="L720" s="9"/>
      <c r="M720" s="9"/>
      <c r="N720" s="9">
        <f>G720*H720*I720*E720</f>
        <v>0</v>
      </c>
      <c r="O720" s="3">
        <f>K720*1.6667</f>
        <v>2970.3852731840002</v>
      </c>
    </row>
    <row r="721" spans="1:15" ht="18" customHeight="1">
      <c r="A721" s="21" t="s">
        <v>3421</v>
      </c>
      <c r="B721" s="28" t="s">
        <v>3422</v>
      </c>
      <c r="C721" s="80" t="s">
        <v>3419</v>
      </c>
      <c r="D721" s="28" t="s">
        <v>3420</v>
      </c>
      <c r="E721" s="28">
        <v>1.22</v>
      </c>
      <c r="F721" s="80">
        <v>516.39</v>
      </c>
      <c r="G721" s="136"/>
      <c r="H721" s="28">
        <v>1.4</v>
      </c>
      <c r="I721" s="136"/>
      <c r="J721" s="134">
        <v>45390</v>
      </c>
      <c r="K721" s="9">
        <f t="shared" si="46"/>
        <v>881.99411999999984</v>
      </c>
      <c r="L721" s="9"/>
      <c r="M721" s="46"/>
      <c r="N721" s="45"/>
      <c r="O721" s="45"/>
    </row>
    <row r="722" spans="1:15" ht="18" customHeight="1">
      <c r="A722" s="26" t="s">
        <v>3421</v>
      </c>
      <c r="B722" s="80" t="s">
        <v>3422</v>
      </c>
      <c r="C722" s="80" t="s">
        <v>3423</v>
      </c>
      <c r="D722" s="28" t="s">
        <v>3420</v>
      </c>
      <c r="E722" s="80">
        <v>1.22</v>
      </c>
      <c r="F722" s="80">
        <v>92.62</v>
      </c>
      <c r="G722" s="80"/>
      <c r="H722" s="80">
        <v>1.4</v>
      </c>
      <c r="I722" s="80"/>
      <c r="J722" s="134">
        <v>45390</v>
      </c>
      <c r="K722" s="9">
        <f t="shared" si="46"/>
        <v>158.19496000000001</v>
      </c>
      <c r="L722" s="35"/>
      <c r="M722" s="17"/>
      <c r="N722" s="44"/>
      <c r="O722" s="44"/>
    </row>
    <row r="723" spans="1:15" ht="18" customHeight="1">
      <c r="A723" s="46" t="s">
        <v>2544</v>
      </c>
      <c r="B723" s="28" t="s">
        <v>2793</v>
      </c>
      <c r="C723" s="28" t="s">
        <v>125</v>
      </c>
      <c r="D723" s="28" t="s">
        <v>3304</v>
      </c>
      <c r="E723" s="28">
        <v>1.22</v>
      </c>
      <c r="F723" s="28">
        <v>96.33</v>
      </c>
      <c r="G723" s="28"/>
      <c r="H723" s="28">
        <v>1.4</v>
      </c>
      <c r="I723" s="81"/>
      <c r="J723" s="133">
        <v>45842</v>
      </c>
      <c r="K723" s="9">
        <f t="shared" si="46"/>
        <v>164.53163999999998</v>
      </c>
      <c r="L723" s="17"/>
      <c r="M723" s="17"/>
      <c r="N723" s="16"/>
      <c r="O723" s="16"/>
    </row>
    <row r="724" spans="1:15" ht="18" customHeight="1">
      <c r="A724" s="46" t="s">
        <v>2544</v>
      </c>
      <c r="B724" s="28" t="s">
        <v>2793</v>
      </c>
      <c r="C724" s="28" t="s">
        <v>1080</v>
      </c>
      <c r="D724" s="28" t="s">
        <v>3304</v>
      </c>
      <c r="E724" s="28">
        <v>1.22</v>
      </c>
      <c r="F724" s="28">
        <v>1445.08</v>
      </c>
      <c r="G724" s="28"/>
      <c r="H724" s="28">
        <v>1.3</v>
      </c>
      <c r="I724" s="81"/>
      <c r="J724" s="133">
        <v>45842</v>
      </c>
      <c r="K724" s="9">
        <f t="shared" si="46"/>
        <v>2291.8968799999998</v>
      </c>
      <c r="L724" s="17"/>
      <c r="M724" s="17"/>
      <c r="N724" s="16"/>
      <c r="O724" s="16"/>
    </row>
    <row r="725" spans="1:15" ht="18" customHeight="1">
      <c r="A725" s="21"/>
      <c r="B725" s="28" t="s">
        <v>124</v>
      </c>
      <c r="C725" s="28" t="s">
        <v>112</v>
      </c>
      <c r="D725" s="28"/>
      <c r="E725" s="28">
        <v>1.22</v>
      </c>
      <c r="F725" s="28">
        <v>1853.51</v>
      </c>
      <c r="G725" s="28"/>
      <c r="H725" s="28">
        <v>1.3</v>
      </c>
      <c r="I725" s="28"/>
      <c r="J725" s="133">
        <v>45014</v>
      </c>
      <c r="K725" s="9">
        <f t="shared" si="46"/>
        <v>2939.6668600000003</v>
      </c>
      <c r="L725" s="9"/>
      <c r="M725" s="9"/>
      <c r="N725" s="9">
        <f t="shared" ref="N725:N733" si="47">G725*H725*I725*E725</f>
        <v>0</v>
      </c>
      <c r="O725" s="3">
        <f t="shared" ref="O725:O733" si="48">K725*1.6667</f>
        <v>4899.5427555620008</v>
      </c>
    </row>
    <row r="726" spans="1:15" ht="18" customHeight="1">
      <c r="A726" s="21"/>
      <c r="B726" s="28" t="s">
        <v>124</v>
      </c>
      <c r="C726" s="28" t="s">
        <v>125</v>
      </c>
      <c r="D726" s="28"/>
      <c r="E726" s="28">
        <v>1.22</v>
      </c>
      <c r="F726" s="28">
        <v>61.78</v>
      </c>
      <c r="G726" s="28"/>
      <c r="H726" s="28">
        <v>1.5</v>
      </c>
      <c r="I726" s="28">
        <v>0</v>
      </c>
      <c r="J726" s="133">
        <v>45014</v>
      </c>
      <c r="K726" s="9">
        <f t="shared" si="46"/>
        <v>113.0574</v>
      </c>
      <c r="L726" s="9"/>
      <c r="M726" s="9"/>
      <c r="N726" s="9">
        <f t="shared" si="47"/>
        <v>0</v>
      </c>
      <c r="O726" s="3">
        <f t="shared" si="48"/>
        <v>188.43276858000002</v>
      </c>
    </row>
    <row r="727" spans="1:15" ht="18" customHeight="1">
      <c r="A727" s="21" t="s">
        <v>3427</v>
      </c>
      <c r="B727" s="28" t="s">
        <v>3428</v>
      </c>
      <c r="C727" s="28">
        <v>0.5</v>
      </c>
      <c r="D727" s="28" t="s">
        <v>3420</v>
      </c>
      <c r="E727" s="28">
        <v>1.22</v>
      </c>
      <c r="F727" s="28">
        <v>85.24</v>
      </c>
      <c r="G727" s="28"/>
      <c r="H727" s="28">
        <v>1.4</v>
      </c>
      <c r="I727" s="28"/>
      <c r="J727" s="133" t="s">
        <v>3429</v>
      </c>
      <c r="K727" s="9">
        <f t="shared" si="46"/>
        <v>145.58991999999998</v>
      </c>
      <c r="L727" s="9"/>
      <c r="M727" s="9"/>
      <c r="N727" s="9">
        <f t="shared" si="47"/>
        <v>0</v>
      </c>
      <c r="O727" s="3">
        <f t="shared" si="48"/>
        <v>242.65471966399997</v>
      </c>
    </row>
    <row r="728" spans="1:15" ht="18" customHeight="1">
      <c r="A728" s="21"/>
      <c r="B728" s="28" t="s">
        <v>92</v>
      </c>
      <c r="C728" s="28" t="s">
        <v>87</v>
      </c>
      <c r="D728" s="28" t="s">
        <v>3352</v>
      </c>
      <c r="E728" s="28">
        <v>1.22</v>
      </c>
      <c r="F728" s="28">
        <v>532.79</v>
      </c>
      <c r="G728" s="28"/>
      <c r="H728" s="28">
        <v>1.4</v>
      </c>
      <c r="I728" s="28"/>
      <c r="J728" s="133">
        <v>46015</v>
      </c>
      <c r="K728" s="9">
        <f t="shared" si="46"/>
        <v>910.00531999999987</v>
      </c>
      <c r="L728" s="9"/>
      <c r="M728" s="9"/>
      <c r="N728" s="9">
        <f t="shared" si="47"/>
        <v>0</v>
      </c>
      <c r="O728" s="3">
        <f t="shared" si="48"/>
        <v>1516.705866844</v>
      </c>
    </row>
    <row r="729" spans="1:15" ht="18" customHeight="1">
      <c r="A729" s="21"/>
      <c r="B729" s="28" t="s">
        <v>92</v>
      </c>
      <c r="C729" s="111" t="s">
        <v>94</v>
      </c>
      <c r="D729" s="28" t="s">
        <v>3352</v>
      </c>
      <c r="E729" s="28">
        <v>1.22</v>
      </c>
      <c r="F729" s="28">
        <v>38.06</v>
      </c>
      <c r="G729" s="28">
        <v>36.32</v>
      </c>
      <c r="H729" s="28">
        <v>1.6</v>
      </c>
      <c r="I729" s="28"/>
      <c r="J729" s="133">
        <v>46015</v>
      </c>
      <c r="K729" s="9">
        <f t="shared" si="46"/>
        <v>74.293120000000002</v>
      </c>
      <c r="L729" s="9"/>
      <c r="M729" s="9" t="s">
        <v>4580</v>
      </c>
      <c r="N729" s="9">
        <f t="shared" si="47"/>
        <v>0</v>
      </c>
      <c r="O729" s="3">
        <f t="shared" si="48"/>
        <v>123.82434310400001</v>
      </c>
    </row>
    <row r="730" spans="1:15" ht="18" customHeight="1">
      <c r="A730" s="53"/>
      <c r="B730" s="28" t="s">
        <v>1246</v>
      </c>
      <c r="C730" s="28" t="s">
        <v>842</v>
      </c>
      <c r="D730" s="28" t="s">
        <v>1245</v>
      </c>
      <c r="E730" s="28">
        <v>1.22</v>
      </c>
      <c r="F730" s="28">
        <v>0</v>
      </c>
      <c r="G730" s="129">
        <v>1</v>
      </c>
      <c r="H730" s="28">
        <v>1.2</v>
      </c>
      <c r="I730" s="129">
        <v>0</v>
      </c>
      <c r="J730" s="133">
        <v>44952</v>
      </c>
      <c r="K730" s="9">
        <f>+F730*H730</f>
        <v>0</v>
      </c>
      <c r="L730" s="54"/>
      <c r="M730" s="54"/>
      <c r="N730" s="54">
        <f t="shared" si="47"/>
        <v>0</v>
      </c>
      <c r="O730" s="55">
        <f t="shared" si="48"/>
        <v>0</v>
      </c>
    </row>
    <row r="731" spans="1:15" ht="18" customHeight="1">
      <c r="A731" s="21">
        <v>121575</v>
      </c>
      <c r="B731" s="28" t="s">
        <v>1850</v>
      </c>
      <c r="C731" s="28">
        <v>22</v>
      </c>
      <c r="D731" s="28" t="s">
        <v>1245</v>
      </c>
      <c r="E731" s="28">
        <v>1.22</v>
      </c>
      <c r="F731" s="28">
        <v>3575</v>
      </c>
      <c r="G731" s="28"/>
      <c r="H731" s="28">
        <v>1.4</v>
      </c>
      <c r="I731" s="28"/>
      <c r="J731" s="133">
        <v>45937</v>
      </c>
      <c r="K731" s="9">
        <f t="shared" ref="K731:K770" si="49">E731*F731*H731</f>
        <v>6106.0999999999995</v>
      </c>
      <c r="L731" s="9"/>
      <c r="M731" s="9"/>
      <c r="N731" s="9">
        <f t="shared" si="47"/>
        <v>0</v>
      </c>
      <c r="O731" s="3">
        <f t="shared" si="48"/>
        <v>10177.03687</v>
      </c>
    </row>
    <row r="732" spans="1:15" ht="18" customHeight="1">
      <c r="A732" s="21">
        <v>121575</v>
      </c>
      <c r="B732" s="28" t="s">
        <v>1850</v>
      </c>
      <c r="C732" s="28" t="s">
        <v>125</v>
      </c>
      <c r="D732" s="28" t="s">
        <v>1245</v>
      </c>
      <c r="E732" s="28">
        <v>1.22</v>
      </c>
      <c r="F732" s="28">
        <v>84</v>
      </c>
      <c r="G732" s="28"/>
      <c r="H732" s="28">
        <v>1.5</v>
      </c>
      <c r="I732" s="28"/>
      <c r="J732" s="133">
        <v>45937</v>
      </c>
      <c r="K732" s="9">
        <f t="shared" si="49"/>
        <v>153.72</v>
      </c>
      <c r="L732" s="9"/>
      <c r="M732" s="9"/>
      <c r="N732" s="9">
        <f t="shared" si="47"/>
        <v>0</v>
      </c>
      <c r="O732" s="3">
        <f t="shared" si="48"/>
        <v>256.20512400000001</v>
      </c>
    </row>
    <row r="733" spans="1:15" ht="18" customHeight="1">
      <c r="A733" s="21">
        <v>121557</v>
      </c>
      <c r="B733" s="28" t="s">
        <v>1851</v>
      </c>
      <c r="C733" s="28" t="s">
        <v>112</v>
      </c>
      <c r="D733" s="28" t="s">
        <v>1245</v>
      </c>
      <c r="E733" s="28">
        <v>1.22</v>
      </c>
      <c r="F733" s="28">
        <v>2617.5</v>
      </c>
      <c r="G733" s="28"/>
      <c r="H733" s="28">
        <v>1.4</v>
      </c>
      <c r="I733" s="28"/>
      <c r="J733" s="133" t="s">
        <v>4564</v>
      </c>
      <c r="K733" s="9">
        <f t="shared" si="49"/>
        <v>4470.6899999999996</v>
      </c>
      <c r="L733" s="9"/>
      <c r="M733" s="9"/>
      <c r="N733" s="9">
        <f t="shared" si="47"/>
        <v>0</v>
      </c>
      <c r="O733" s="3">
        <f t="shared" si="48"/>
        <v>7451.2990229999996</v>
      </c>
    </row>
    <row r="734" spans="1:15" ht="18" customHeight="1">
      <c r="A734" s="46">
        <v>121557</v>
      </c>
      <c r="B734" s="28" t="s">
        <v>1851</v>
      </c>
      <c r="C734" s="28" t="s">
        <v>125</v>
      </c>
      <c r="D734" s="28" t="s">
        <v>1245</v>
      </c>
      <c r="E734" s="28">
        <v>1.22</v>
      </c>
      <c r="F734" s="28">
        <v>87</v>
      </c>
      <c r="G734" s="110"/>
      <c r="H734" s="28">
        <v>1.5</v>
      </c>
      <c r="I734" s="110"/>
      <c r="J734" s="133" t="s">
        <v>4564</v>
      </c>
      <c r="K734" s="9">
        <f t="shared" si="49"/>
        <v>159.21</v>
      </c>
      <c r="L734" s="17"/>
      <c r="M734" s="17"/>
      <c r="N734" s="16"/>
      <c r="O734" s="16"/>
    </row>
    <row r="735" spans="1:15" ht="18" customHeight="1">
      <c r="A735" s="21"/>
      <c r="B735" s="28" t="s">
        <v>4157</v>
      </c>
      <c r="C735" s="28" t="s">
        <v>842</v>
      </c>
      <c r="D735" s="28" t="s">
        <v>1245</v>
      </c>
      <c r="E735" s="28">
        <v>1.22</v>
      </c>
      <c r="F735" s="28">
        <v>1886.25</v>
      </c>
      <c r="G735" s="28"/>
      <c r="H735" s="28">
        <v>1.45</v>
      </c>
      <c r="I735" s="28"/>
      <c r="J735" s="133">
        <v>45769</v>
      </c>
      <c r="K735" s="9">
        <f t="shared" si="49"/>
        <v>3336.7762499999999</v>
      </c>
      <c r="L735" s="9"/>
      <c r="M735" s="9"/>
      <c r="N735" s="9">
        <f>G735*H735*I735*E735</f>
        <v>0</v>
      </c>
      <c r="O735" s="2">
        <f>K735*1.6667</f>
        <v>5561.4049758749998</v>
      </c>
    </row>
    <row r="736" spans="1:15" ht="18" customHeight="1">
      <c r="A736" s="21" t="s">
        <v>3051</v>
      </c>
      <c r="B736" s="28" t="s">
        <v>4157</v>
      </c>
      <c r="C736" s="28" t="s">
        <v>125</v>
      </c>
      <c r="D736" s="28" t="s">
        <v>1245</v>
      </c>
      <c r="E736" s="28">
        <v>1.22</v>
      </c>
      <c r="F736" s="28">
        <v>94</v>
      </c>
      <c r="G736" s="28"/>
      <c r="H736" s="28">
        <v>1.3</v>
      </c>
      <c r="I736" s="28"/>
      <c r="J736" s="133">
        <v>45769</v>
      </c>
      <c r="K736" s="9">
        <f t="shared" si="49"/>
        <v>149.084</v>
      </c>
      <c r="L736" s="9"/>
      <c r="M736" s="9"/>
      <c r="N736" s="9">
        <f>G736*H736*I736*E736</f>
        <v>0</v>
      </c>
      <c r="O736" s="3">
        <f>K736*1.6667</f>
        <v>248.47830280000002</v>
      </c>
    </row>
    <row r="737" spans="1:15" ht="18" customHeight="1">
      <c r="A737" s="21"/>
      <c r="B737" s="28" t="s">
        <v>115</v>
      </c>
      <c r="C737" s="28" t="s">
        <v>113</v>
      </c>
      <c r="D737" s="28" t="s">
        <v>3306</v>
      </c>
      <c r="E737" s="28">
        <v>1</v>
      </c>
      <c r="F737" s="28">
        <v>541</v>
      </c>
      <c r="G737" s="28"/>
      <c r="H737" s="28">
        <v>1.5</v>
      </c>
      <c r="I737" s="28"/>
      <c r="J737" s="133">
        <v>45962</v>
      </c>
      <c r="K737" s="9">
        <f t="shared" si="49"/>
        <v>811.5</v>
      </c>
      <c r="L737" s="9"/>
      <c r="M737" s="9"/>
      <c r="N737" s="9">
        <f>G737*H737*I737*E737</f>
        <v>0</v>
      </c>
      <c r="O737" s="3">
        <f>K737*1.6667</f>
        <v>1352.5270500000001</v>
      </c>
    </row>
    <row r="738" spans="1:15" ht="18" customHeight="1">
      <c r="A738" s="21">
        <v>1202</v>
      </c>
      <c r="B738" s="28" t="s">
        <v>115</v>
      </c>
      <c r="C738" s="28" t="s">
        <v>504</v>
      </c>
      <c r="D738" s="28" t="s">
        <v>3306</v>
      </c>
      <c r="E738" s="28">
        <v>1</v>
      </c>
      <c r="F738" s="28">
        <v>1229</v>
      </c>
      <c r="G738" s="28"/>
      <c r="H738" s="28">
        <v>1.5</v>
      </c>
      <c r="I738" s="28"/>
      <c r="J738" s="133">
        <v>45962</v>
      </c>
      <c r="K738" s="9">
        <f t="shared" si="49"/>
        <v>1843.5</v>
      </c>
      <c r="L738" s="9"/>
      <c r="M738" s="9"/>
      <c r="N738" s="9">
        <f>G738*I745*I738*E738</f>
        <v>0</v>
      </c>
      <c r="O738" s="3">
        <f>K738*1.6667</f>
        <v>3072.5614500000001</v>
      </c>
    </row>
    <row r="739" spans="1:15" ht="18" customHeight="1">
      <c r="A739" s="21">
        <v>12</v>
      </c>
      <c r="B739" s="28" t="s">
        <v>3354</v>
      </c>
      <c r="C739" s="28" t="s">
        <v>71</v>
      </c>
      <c r="D739" s="28" t="s">
        <v>3324</v>
      </c>
      <c r="E739" s="28">
        <v>1.22</v>
      </c>
      <c r="F739" s="28">
        <v>1572.3</v>
      </c>
      <c r="G739" s="28"/>
      <c r="H739" s="28">
        <v>1.6</v>
      </c>
      <c r="I739" s="28"/>
      <c r="J739" s="133">
        <v>45323</v>
      </c>
      <c r="K739" s="9">
        <f t="shared" si="49"/>
        <v>3069.1296000000002</v>
      </c>
      <c r="L739" s="9"/>
      <c r="M739" s="9"/>
      <c r="N739" s="9">
        <f>G739*H739*I739*E739</f>
        <v>0</v>
      </c>
      <c r="O739" s="3">
        <f>K739*1.6667</f>
        <v>5115.3183043200006</v>
      </c>
    </row>
    <row r="740" spans="1:15" ht="18" customHeight="1">
      <c r="A740" s="21">
        <v>0</v>
      </c>
      <c r="B740" s="28" t="s">
        <v>3354</v>
      </c>
      <c r="C740" s="28" t="s">
        <v>93</v>
      </c>
      <c r="D740" s="28" t="s">
        <v>3324</v>
      </c>
      <c r="E740" s="28">
        <v>1.22</v>
      </c>
      <c r="F740" s="28">
        <v>78.61</v>
      </c>
      <c r="G740" s="28"/>
      <c r="H740" s="28">
        <v>1.6</v>
      </c>
      <c r="I740" s="28"/>
      <c r="J740" s="133">
        <v>45323</v>
      </c>
      <c r="K740" s="9">
        <f t="shared" si="49"/>
        <v>153.44672</v>
      </c>
      <c r="L740" s="9"/>
      <c r="M740" s="9"/>
      <c r="N740" s="9"/>
      <c r="O740" s="3"/>
    </row>
    <row r="741" spans="1:15" ht="18" customHeight="1">
      <c r="A741" s="21">
        <v>53.1</v>
      </c>
      <c r="B741" s="28" t="s">
        <v>505</v>
      </c>
      <c r="C741" s="28" t="s">
        <v>506</v>
      </c>
      <c r="D741" s="28" t="s">
        <v>3324</v>
      </c>
      <c r="E741" s="28">
        <v>1.22</v>
      </c>
      <c r="F741" s="28">
        <v>32.92</v>
      </c>
      <c r="G741" s="28"/>
      <c r="H741" s="28">
        <v>1.6</v>
      </c>
      <c r="I741" s="28"/>
      <c r="J741" s="134">
        <v>45664</v>
      </c>
      <c r="K741" s="9">
        <f t="shared" si="49"/>
        <v>64.259839999999997</v>
      </c>
      <c r="L741" s="9"/>
      <c r="M741" s="9"/>
      <c r="N741" s="9">
        <f>G741*H741*I741*E741</f>
        <v>0</v>
      </c>
      <c r="O741" s="3">
        <f>K741*1.6667</f>
        <v>107.10187532800001</v>
      </c>
    </row>
    <row r="742" spans="1:15" ht="18" customHeight="1">
      <c r="A742" s="21">
        <v>0</v>
      </c>
      <c r="B742" s="28" t="s">
        <v>3128</v>
      </c>
      <c r="C742" s="28" t="s">
        <v>125</v>
      </c>
      <c r="D742" s="28" t="s">
        <v>3324</v>
      </c>
      <c r="E742" s="28">
        <v>1.22</v>
      </c>
      <c r="F742" s="28">
        <v>73.260000000000005</v>
      </c>
      <c r="G742" s="28"/>
      <c r="H742" s="28">
        <v>1.6</v>
      </c>
      <c r="I742" s="28"/>
      <c r="J742" s="133">
        <v>45323</v>
      </c>
      <c r="K742" s="9">
        <f t="shared" si="49"/>
        <v>143.00352000000001</v>
      </c>
      <c r="L742" s="9"/>
      <c r="M742" s="9"/>
      <c r="N742" s="9"/>
      <c r="O742" s="3"/>
    </row>
    <row r="743" spans="1:15" ht="18" customHeight="1">
      <c r="A743" s="21">
        <v>77</v>
      </c>
      <c r="B743" s="28" t="s">
        <v>2916</v>
      </c>
      <c r="C743" s="28" t="s">
        <v>125</v>
      </c>
      <c r="D743" s="28" t="s">
        <v>3324</v>
      </c>
      <c r="E743" s="28">
        <v>1.22</v>
      </c>
      <c r="F743" s="28">
        <v>81.96</v>
      </c>
      <c r="G743" s="28"/>
      <c r="H743" s="28">
        <v>1.6</v>
      </c>
      <c r="I743" s="28"/>
      <c r="J743" s="133">
        <v>45850</v>
      </c>
      <c r="K743" s="9">
        <f t="shared" si="49"/>
        <v>159.98591999999999</v>
      </c>
      <c r="L743" s="9"/>
      <c r="M743" s="9"/>
      <c r="N743" s="9"/>
      <c r="O743" s="3"/>
    </row>
    <row r="744" spans="1:15" ht="18" customHeight="1">
      <c r="A744" s="21"/>
      <c r="B744" s="28" t="s">
        <v>2916</v>
      </c>
      <c r="C744" s="28" t="s">
        <v>508</v>
      </c>
      <c r="D744" s="28" t="s">
        <v>3324</v>
      </c>
      <c r="E744" s="28">
        <v>1.22</v>
      </c>
      <c r="F744" s="28">
        <v>1639.21</v>
      </c>
      <c r="G744" s="28"/>
      <c r="H744" s="28">
        <v>1.3</v>
      </c>
      <c r="I744" s="28"/>
      <c r="J744" s="134">
        <v>45850</v>
      </c>
      <c r="K744" s="9">
        <f t="shared" si="49"/>
        <v>2599.7870600000001</v>
      </c>
      <c r="L744" s="9"/>
      <c r="M744" s="9"/>
      <c r="N744" s="9"/>
      <c r="O744" s="3"/>
    </row>
    <row r="745" spans="1:15" ht="18" customHeight="1">
      <c r="A745" s="21">
        <v>38.1</v>
      </c>
      <c r="B745" s="28" t="s">
        <v>507</v>
      </c>
      <c r="C745" s="28" t="s">
        <v>508</v>
      </c>
      <c r="D745" s="28" t="s">
        <v>3324</v>
      </c>
      <c r="E745" s="28">
        <v>1.22</v>
      </c>
      <c r="F745" s="28">
        <v>1465.26</v>
      </c>
      <c r="G745" s="28"/>
      <c r="H745" s="28">
        <v>1.3</v>
      </c>
      <c r="I745" s="28"/>
      <c r="J745" s="134">
        <v>45611</v>
      </c>
      <c r="K745" s="9">
        <f t="shared" si="49"/>
        <v>2323.90236</v>
      </c>
      <c r="L745" s="9"/>
      <c r="M745" s="9"/>
      <c r="N745" s="9">
        <f>G745*H745*I745*E745</f>
        <v>0</v>
      </c>
      <c r="O745" s="3">
        <f>K745*1.6667</f>
        <v>3873.2480634120002</v>
      </c>
    </row>
    <row r="746" spans="1:15" ht="18" customHeight="1">
      <c r="A746" s="21"/>
      <c r="B746" s="28" t="s">
        <v>1363</v>
      </c>
      <c r="C746" s="28" t="s">
        <v>513</v>
      </c>
      <c r="D746" s="28" t="s">
        <v>3306</v>
      </c>
      <c r="E746" s="28">
        <v>1</v>
      </c>
      <c r="F746" s="28">
        <v>497</v>
      </c>
      <c r="G746" s="28"/>
      <c r="H746" s="28">
        <v>1.4</v>
      </c>
      <c r="I746" s="28">
        <v>0</v>
      </c>
      <c r="J746" s="133">
        <v>45923</v>
      </c>
      <c r="K746" s="9">
        <f t="shared" si="49"/>
        <v>695.8</v>
      </c>
      <c r="L746" s="9"/>
      <c r="M746" s="9"/>
      <c r="N746" s="9" t="e">
        <f>G746*H746*#REF!*E746</f>
        <v>#REF!</v>
      </c>
      <c r="O746" s="3">
        <f>K746*1.6667</f>
        <v>1159.68986</v>
      </c>
    </row>
    <row r="747" spans="1:15" ht="18" customHeight="1">
      <c r="A747" s="16"/>
      <c r="B747" s="87" t="s">
        <v>3815</v>
      </c>
      <c r="C747" s="110"/>
      <c r="D747" s="110" t="s">
        <v>3816</v>
      </c>
      <c r="E747" s="87">
        <v>1.22</v>
      </c>
      <c r="F747" s="87">
        <v>246.82</v>
      </c>
      <c r="G747" s="110"/>
      <c r="H747" s="87">
        <v>1.6</v>
      </c>
      <c r="I747" s="110"/>
      <c r="J747" s="135">
        <v>45568</v>
      </c>
      <c r="K747" s="37">
        <f t="shared" si="49"/>
        <v>481.79263999999995</v>
      </c>
      <c r="L747" s="37"/>
      <c r="M747" s="17"/>
      <c r="N747" s="16"/>
      <c r="O747" s="16"/>
    </row>
    <row r="748" spans="1:15" ht="18" customHeight="1">
      <c r="A748" s="21"/>
      <c r="B748" s="28" t="s">
        <v>509</v>
      </c>
      <c r="C748" s="28" t="s">
        <v>98</v>
      </c>
      <c r="D748" s="28"/>
      <c r="E748" s="28">
        <v>1</v>
      </c>
      <c r="F748" s="28">
        <v>2500</v>
      </c>
      <c r="G748" s="28"/>
      <c r="H748" s="28">
        <v>1.3</v>
      </c>
      <c r="I748" s="28"/>
      <c r="J748" s="133">
        <v>45729</v>
      </c>
      <c r="K748" s="9">
        <f t="shared" si="49"/>
        <v>3250</v>
      </c>
      <c r="L748" s="9"/>
      <c r="M748" s="9"/>
      <c r="N748" s="9">
        <f t="shared" ref="N748:N753" si="50">G748*H748*I748*E748</f>
        <v>0</v>
      </c>
      <c r="O748" s="3">
        <f t="shared" ref="O748:O753" si="51">K748*1.6667</f>
        <v>5416.7750000000005</v>
      </c>
    </row>
    <row r="749" spans="1:15" ht="18" customHeight="1">
      <c r="A749" s="21"/>
      <c r="B749" s="28" t="s">
        <v>509</v>
      </c>
      <c r="C749" s="28" t="s">
        <v>20</v>
      </c>
      <c r="D749" s="28"/>
      <c r="E749" s="28">
        <v>1</v>
      </c>
      <c r="F749" s="28">
        <v>100</v>
      </c>
      <c r="G749" s="28"/>
      <c r="H749" s="28">
        <v>1.8</v>
      </c>
      <c r="I749" s="28"/>
      <c r="J749" s="133">
        <v>45729</v>
      </c>
      <c r="K749" s="9">
        <f t="shared" si="49"/>
        <v>180</v>
      </c>
      <c r="L749" s="9"/>
      <c r="M749" s="9"/>
      <c r="N749" s="9">
        <f t="shared" si="50"/>
        <v>0</v>
      </c>
      <c r="O749" s="3">
        <f t="shared" si="51"/>
        <v>300.00600000000003</v>
      </c>
    </row>
    <row r="750" spans="1:15" ht="18" customHeight="1">
      <c r="A750" s="21" t="s">
        <v>455</v>
      </c>
      <c r="B750" s="28" t="s">
        <v>3262</v>
      </c>
      <c r="C750" s="28" t="s">
        <v>109</v>
      </c>
      <c r="D750" s="28" t="s">
        <v>3303</v>
      </c>
      <c r="E750" s="28">
        <v>1</v>
      </c>
      <c r="F750" s="28">
        <v>1400</v>
      </c>
      <c r="G750" s="28"/>
      <c r="H750" s="28">
        <v>1.5</v>
      </c>
      <c r="I750" s="28"/>
      <c r="J750" s="133">
        <v>46013</v>
      </c>
      <c r="K750" s="9">
        <f t="shared" si="49"/>
        <v>2100</v>
      </c>
      <c r="L750" s="9"/>
      <c r="M750" s="9"/>
      <c r="N750" s="9">
        <f t="shared" si="50"/>
        <v>0</v>
      </c>
      <c r="O750" s="36">
        <f t="shared" si="51"/>
        <v>3500.07</v>
      </c>
    </row>
    <row r="751" spans="1:15" ht="18" customHeight="1">
      <c r="A751" s="21" t="s">
        <v>454</v>
      </c>
      <c r="B751" s="28" t="s">
        <v>3262</v>
      </c>
      <c r="C751" s="28" t="s">
        <v>20</v>
      </c>
      <c r="D751" s="28" t="s">
        <v>3303</v>
      </c>
      <c r="E751" s="28">
        <v>1</v>
      </c>
      <c r="F751" s="28">
        <v>70</v>
      </c>
      <c r="G751" s="28"/>
      <c r="H751" s="28">
        <v>1.8</v>
      </c>
      <c r="I751" s="28"/>
      <c r="J751" s="133">
        <v>46013</v>
      </c>
      <c r="K751" s="9">
        <f t="shared" si="49"/>
        <v>126</v>
      </c>
      <c r="L751" s="9"/>
      <c r="M751" s="9"/>
      <c r="N751" s="9">
        <f t="shared" si="50"/>
        <v>0</v>
      </c>
      <c r="O751" s="3">
        <f t="shared" si="51"/>
        <v>210.0042</v>
      </c>
    </row>
    <row r="752" spans="1:15" ht="18" customHeight="1">
      <c r="A752" s="21"/>
      <c r="B752" s="28" t="s">
        <v>510</v>
      </c>
      <c r="C752" s="28" t="s">
        <v>93</v>
      </c>
      <c r="D752" s="28"/>
      <c r="E752" s="28">
        <v>1</v>
      </c>
      <c r="F752" s="28">
        <v>0</v>
      </c>
      <c r="G752" s="28"/>
      <c r="H752" s="28">
        <v>1.8</v>
      </c>
      <c r="I752" s="28"/>
      <c r="J752" s="133">
        <v>43914</v>
      </c>
      <c r="K752" s="9">
        <f t="shared" si="49"/>
        <v>0</v>
      </c>
      <c r="L752" s="9"/>
      <c r="M752" s="9"/>
      <c r="N752" s="9">
        <f t="shared" si="50"/>
        <v>0</v>
      </c>
      <c r="O752" s="3">
        <f t="shared" si="51"/>
        <v>0</v>
      </c>
    </row>
    <row r="753" spans="1:15" ht="18" customHeight="1">
      <c r="A753" s="21"/>
      <c r="B753" s="28" t="s">
        <v>510</v>
      </c>
      <c r="C753" s="28" t="s">
        <v>553</v>
      </c>
      <c r="D753" s="28"/>
      <c r="E753" s="28">
        <v>1</v>
      </c>
      <c r="F753" s="28"/>
      <c r="G753" s="28"/>
      <c r="H753" s="28">
        <v>3</v>
      </c>
      <c r="I753" s="28"/>
      <c r="J753" s="133">
        <v>43914</v>
      </c>
      <c r="K753" s="9">
        <f t="shared" si="49"/>
        <v>0</v>
      </c>
      <c r="L753" s="9"/>
      <c r="M753" s="9"/>
      <c r="N753" s="9">
        <f t="shared" si="50"/>
        <v>0</v>
      </c>
      <c r="O753" s="3">
        <f t="shared" si="51"/>
        <v>0</v>
      </c>
    </row>
    <row r="754" spans="1:15" ht="18" hidden="1" customHeight="1">
      <c r="A754" s="16"/>
      <c r="B754" s="28" t="s">
        <v>1447</v>
      </c>
      <c r="C754" s="110"/>
      <c r="D754" s="28"/>
      <c r="E754" s="28">
        <v>1.22</v>
      </c>
      <c r="F754" s="28">
        <v>85</v>
      </c>
      <c r="G754" s="110"/>
      <c r="H754" s="28">
        <v>1.3</v>
      </c>
      <c r="I754" s="110"/>
      <c r="J754" s="135">
        <v>43811</v>
      </c>
      <c r="K754" s="9">
        <f t="shared" si="49"/>
        <v>134.81</v>
      </c>
      <c r="L754" s="9"/>
      <c r="M754" s="9"/>
      <c r="N754" s="16"/>
      <c r="O754" s="16"/>
    </row>
    <row r="755" spans="1:15" ht="18" customHeight="1">
      <c r="A755" s="21">
        <v>1</v>
      </c>
      <c r="B755" s="28" t="s">
        <v>4418</v>
      </c>
      <c r="C755" s="28" t="s">
        <v>629</v>
      </c>
      <c r="D755" s="28" t="s">
        <v>1748</v>
      </c>
      <c r="E755" s="28">
        <v>1</v>
      </c>
      <c r="F755" s="28">
        <v>2640</v>
      </c>
      <c r="G755" s="28"/>
      <c r="H755" s="28">
        <v>1.6</v>
      </c>
      <c r="I755" s="28"/>
      <c r="J755" s="134">
        <v>45936</v>
      </c>
      <c r="K755" s="9">
        <f t="shared" si="49"/>
        <v>4224</v>
      </c>
      <c r="L755" s="9"/>
      <c r="M755" s="9"/>
      <c r="N755" s="9"/>
      <c r="O755" s="3"/>
    </row>
    <row r="756" spans="1:15" ht="18" customHeight="1">
      <c r="A756" s="26"/>
      <c r="B756" s="28" t="s">
        <v>4418</v>
      </c>
      <c r="C756" s="80" t="s">
        <v>91</v>
      </c>
      <c r="D756" s="28" t="s">
        <v>1748</v>
      </c>
      <c r="E756" s="80">
        <v>1</v>
      </c>
      <c r="F756" s="80">
        <v>132</v>
      </c>
      <c r="G756" s="80"/>
      <c r="H756" s="80">
        <v>1.6</v>
      </c>
      <c r="I756" s="80"/>
      <c r="J756" s="134">
        <v>45936</v>
      </c>
      <c r="K756" s="9">
        <f t="shared" si="49"/>
        <v>211.20000000000002</v>
      </c>
      <c r="L756" s="9"/>
      <c r="M756" s="26"/>
      <c r="N756" s="26"/>
      <c r="O756" s="26"/>
    </row>
    <row r="757" spans="1:15" ht="18" customHeight="1">
      <c r="A757" s="46">
        <v>0</v>
      </c>
      <c r="B757" s="83" t="s">
        <v>4370</v>
      </c>
      <c r="C757" s="79" t="s">
        <v>305</v>
      </c>
      <c r="D757" s="28" t="s">
        <v>4369</v>
      </c>
      <c r="E757" s="28">
        <v>1</v>
      </c>
      <c r="F757" s="83">
        <v>50</v>
      </c>
      <c r="G757" s="110"/>
      <c r="H757" s="28">
        <v>1.4</v>
      </c>
      <c r="I757" s="110"/>
      <c r="J757" s="134">
        <v>44758</v>
      </c>
      <c r="K757" s="35">
        <f t="shared" si="49"/>
        <v>70</v>
      </c>
      <c r="L757" s="37"/>
      <c r="M757" s="17"/>
      <c r="N757" s="16"/>
      <c r="O757" s="16"/>
    </row>
    <row r="758" spans="1:15" ht="18" customHeight="1">
      <c r="A758" s="21">
        <v>6710</v>
      </c>
      <c r="B758" s="28" t="s">
        <v>1973</v>
      </c>
      <c r="C758" s="28" t="s">
        <v>1278</v>
      </c>
      <c r="D758" s="28" t="s">
        <v>716</v>
      </c>
      <c r="E758" s="28">
        <v>1.22</v>
      </c>
      <c r="F758" s="28">
        <v>214</v>
      </c>
      <c r="G758" s="28"/>
      <c r="H758" s="28">
        <v>1.6</v>
      </c>
      <c r="I758" s="28"/>
      <c r="J758" s="134">
        <v>45175</v>
      </c>
      <c r="K758" s="9">
        <f t="shared" si="49"/>
        <v>417.72800000000001</v>
      </c>
      <c r="L758" s="9"/>
      <c r="M758" s="9"/>
      <c r="N758" s="9">
        <f>G758*H758*I758*E758</f>
        <v>0</v>
      </c>
      <c r="O758" s="3">
        <f>K758*1.6667</f>
        <v>696.22725760000003</v>
      </c>
    </row>
    <row r="759" spans="1:15" ht="18" customHeight="1">
      <c r="A759" s="16">
        <v>6222</v>
      </c>
      <c r="B759" s="87" t="s">
        <v>3568</v>
      </c>
      <c r="C759" s="110" t="s">
        <v>3569</v>
      </c>
      <c r="D759" s="110" t="s">
        <v>716</v>
      </c>
      <c r="E759" s="87">
        <v>1.22</v>
      </c>
      <c r="F759" s="87">
        <v>251.57</v>
      </c>
      <c r="G759" s="110"/>
      <c r="H759" s="87">
        <v>1.5</v>
      </c>
      <c r="I759" s="110"/>
      <c r="J759" s="135">
        <v>45471</v>
      </c>
      <c r="K759" s="9">
        <f t="shared" si="49"/>
        <v>460.37309999999997</v>
      </c>
      <c r="L759" s="37"/>
      <c r="M759" s="17"/>
      <c r="N759" s="16"/>
      <c r="O759" s="16"/>
    </row>
    <row r="760" spans="1:15" ht="18" customHeight="1">
      <c r="A760" s="16"/>
      <c r="B760" s="89" t="s">
        <v>2366</v>
      </c>
      <c r="C760" s="110" t="s">
        <v>1800</v>
      </c>
      <c r="D760" s="28"/>
      <c r="E760" s="94">
        <v>1.22</v>
      </c>
      <c r="F760" s="89">
        <v>630</v>
      </c>
      <c r="G760" s="110"/>
      <c r="H760" s="89">
        <v>1.4</v>
      </c>
      <c r="I760" s="110"/>
      <c r="J760" s="135">
        <v>44523</v>
      </c>
      <c r="K760" s="35">
        <f t="shared" si="49"/>
        <v>1076.04</v>
      </c>
      <c r="L760" s="37"/>
      <c r="M760" s="17"/>
      <c r="N760" s="16"/>
      <c r="O760" s="16"/>
    </row>
    <row r="761" spans="1:15" ht="18" hidden="1" customHeight="1">
      <c r="A761" s="16"/>
      <c r="B761" s="28" t="s">
        <v>1392</v>
      </c>
      <c r="C761" s="28" t="s">
        <v>1393</v>
      </c>
      <c r="D761" s="28" t="s">
        <v>3299</v>
      </c>
      <c r="E761" s="28">
        <v>1.22</v>
      </c>
      <c r="F761" s="28">
        <v>250</v>
      </c>
      <c r="G761" s="110"/>
      <c r="H761" s="28">
        <v>1.4</v>
      </c>
      <c r="I761" s="110"/>
      <c r="J761" s="135">
        <v>43728</v>
      </c>
      <c r="K761" s="26">
        <f t="shared" si="49"/>
        <v>427</v>
      </c>
      <c r="L761" s="26"/>
      <c r="M761" s="17"/>
      <c r="N761" s="16"/>
      <c r="O761" s="16"/>
    </row>
    <row r="762" spans="1:15" ht="18" customHeight="1">
      <c r="A762" s="21" t="s">
        <v>3131</v>
      </c>
      <c r="B762" s="28" t="s">
        <v>1035</v>
      </c>
      <c r="C762" s="28" t="s">
        <v>79</v>
      </c>
      <c r="D762" s="28" t="s">
        <v>1030</v>
      </c>
      <c r="E762" s="28">
        <v>1.22</v>
      </c>
      <c r="F762" s="28">
        <v>56</v>
      </c>
      <c r="G762" s="28"/>
      <c r="H762" s="28">
        <v>2.5</v>
      </c>
      <c r="I762" s="28"/>
      <c r="J762" s="133">
        <v>45802</v>
      </c>
      <c r="K762" s="9">
        <f t="shared" si="49"/>
        <v>170.79999999999998</v>
      </c>
      <c r="L762" s="9"/>
      <c r="M762" s="9"/>
      <c r="N762" s="9">
        <f>G762*H762*I762*E762</f>
        <v>0</v>
      </c>
      <c r="O762" s="3">
        <f>K762*1.6667</f>
        <v>284.67235999999997</v>
      </c>
    </row>
    <row r="763" spans="1:15" ht="18" customHeight="1">
      <c r="A763" s="16" t="s">
        <v>3695</v>
      </c>
      <c r="B763" s="87" t="s">
        <v>3694</v>
      </c>
      <c r="C763" s="110"/>
      <c r="D763" s="110"/>
      <c r="E763" s="87">
        <v>1.22</v>
      </c>
      <c r="F763" s="87">
        <v>29.9</v>
      </c>
      <c r="G763" s="110"/>
      <c r="H763" s="87">
        <v>3</v>
      </c>
      <c r="I763" s="110"/>
      <c r="J763" s="87"/>
      <c r="K763" s="37">
        <f t="shared" si="49"/>
        <v>109.43399999999998</v>
      </c>
      <c r="L763" s="37"/>
      <c r="M763" s="17"/>
      <c r="N763" s="16"/>
      <c r="O763" s="16"/>
    </row>
    <row r="764" spans="1:15" ht="18" customHeight="1">
      <c r="A764" s="16" t="s">
        <v>3693</v>
      </c>
      <c r="B764" s="87" t="s">
        <v>3692</v>
      </c>
      <c r="C764" s="110"/>
      <c r="D764" s="110"/>
      <c r="E764" s="87">
        <v>1.22</v>
      </c>
      <c r="F764" s="87">
        <v>79.900000000000006</v>
      </c>
      <c r="G764" s="110"/>
      <c r="H764" s="87">
        <v>2</v>
      </c>
      <c r="I764" s="110"/>
      <c r="J764" s="87"/>
      <c r="K764" s="37">
        <f t="shared" si="49"/>
        <v>194.95600000000002</v>
      </c>
      <c r="L764" s="37"/>
      <c r="M764" s="17"/>
      <c r="N764" s="16"/>
      <c r="O764" s="16"/>
    </row>
    <row r="765" spans="1:15" ht="18" customHeight="1">
      <c r="A765" s="68" t="s">
        <v>3103</v>
      </c>
      <c r="B765" s="83" t="s">
        <v>2142</v>
      </c>
      <c r="C765" s="110"/>
      <c r="D765" s="28" t="s">
        <v>451</v>
      </c>
      <c r="E765" s="28">
        <v>1.22</v>
      </c>
      <c r="F765" s="83">
        <v>109</v>
      </c>
      <c r="G765" s="110"/>
      <c r="H765" s="28">
        <v>1.5</v>
      </c>
      <c r="I765" s="110"/>
      <c r="J765" s="134">
        <v>45134</v>
      </c>
      <c r="K765" s="37">
        <f t="shared" si="49"/>
        <v>199.46999999999997</v>
      </c>
      <c r="L765" s="37"/>
      <c r="M765" s="17"/>
      <c r="N765" s="16"/>
      <c r="O765" s="16"/>
    </row>
    <row r="766" spans="1:15" ht="18" customHeight="1">
      <c r="A766" s="16" t="s">
        <v>3618</v>
      </c>
      <c r="B766" s="87" t="s">
        <v>3619</v>
      </c>
      <c r="C766" s="110" t="s">
        <v>3620</v>
      </c>
      <c r="D766" s="110" t="s">
        <v>1921</v>
      </c>
      <c r="E766" s="87">
        <v>1.22</v>
      </c>
      <c r="F766" s="87">
        <v>99</v>
      </c>
      <c r="G766" s="110"/>
      <c r="H766" s="87">
        <v>1.6</v>
      </c>
      <c r="I766" s="110"/>
      <c r="J766" s="135">
        <v>45504</v>
      </c>
      <c r="K766" s="37">
        <f t="shared" si="49"/>
        <v>193.24800000000002</v>
      </c>
      <c r="L766" s="37"/>
      <c r="M766" s="17"/>
      <c r="N766" s="16"/>
      <c r="O766" s="16"/>
    </row>
    <row r="767" spans="1:15" ht="18" customHeight="1">
      <c r="A767" s="16" t="s">
        <v>3104</v>
      </c>
      <c r="B767" s="87" t="s">
        <v>3105</v>
      </c>
      <c r="C767" s="110">
        <v>0</v>
      </c>
      <c r="D767" s="28" t="s">
        <v>451</v>
      </c>
      <c r="E767" s="28">
        <v>1.22</v>
      </c>
      <c r="F767" s="87">
        <v>148</v>
      </c>
      <c r="G767" s="110"/>
      <c r="H767" s="87">
        <v>1.5</v>
      </c>
      <c r="I767" s="110"/>
      <c r="J767" s="135">
        <v>45134</v>
      </c>
      <c r="K767" s="37">
        <f t="shared" si="49"/>
        <v>270.84000000000003</v>
      </c>
      <c r="L767" s="37"/>
      <c r="M767" s="17"/>
      <c r="N767" s="16"/>
      <c r="O767" s="16"/>
    </row>
    <row r="768" spans="1:15" ht="18" customHeight="1">
      <c r="A768" s="21" t="s">
        <v>2486</v>
      </c>
      <c r="B768" s="28" t="s">
        <v>2487</v>
      </c>
      <c r="C768" s="28">
        <v>0</v>
      </c>
      <c r="D768" s="28" t="s">
        <v>1921</v>
      </c>
      <c r="E768" s="28">
        <v>1.22</v>
      </c>
      <c r="F768" s="28">
        <v>33</v>
      </c>
      <c r="G768" s="28"/>
      <c r="H768" s="28">
        <v>1.6</v>
      </c>
      <c r="I768" s="28"/>
      <c r="J768" s="133">
        <v>45721</v>
      </c>
      <c r="K768" s="9">
        <f t="shared" si="49"/>
        <v>64.415999999999997</v>
      </c>
      <c r="L768" s="9"/>
      <c r="M768" s="9"/>
      <c r="N768" s="9">
        <f>G768*H768*I768*E768</f>
        <v>0</v>
      </c>
      <c r="O768" s="3">
        <f>K768*1.6667</f>
        <v>107.3621472</v>
      </c>
    </row>
    <row r="769" spans="1:15" ht="18" customHeight="1">
      <c r="A769" s="16"/>
      <c r="B769" s="87" t="s">
        <v>2100</v>
      </c>
      <c r="C769" s="110"/>
      <c r="D769" s="28" t="s">
        <v>3301</v>
      </c>
      <c r="E769" s="87">
        <v>1.22</v>
      </c>
      <c r="F769" s="87">
        <v>90</v>
      </c>
      <c r="G769" s="110"/>
      <c r="H769" s="87">
        <v>1.6</v>
      </c>
      <c r="I769" s="110"/>
      <c r="J769" s="135">
        <v>44267</v>
      </c>
      <c r="K769" s="17">
        <f t="shared" si="49"/>
        <v>175.68</v>
      </c>
      <c r="L769" s="17"/>
      <c r="M769" s="17"/>
      <c r="N769" s="9">
        <f>G769*H769*I769*E769</f>
        <v>0</v>
      </c>
      <c r="O769" s="3">
        <f>K769*1.6667</f>
        <v>292.80585600000001</v>
      </c>
    </row>
    <row r="770" spans="1:15" ht="18" customHeight="1">
      <c r="A770" s="21">
        <v>0</v>
      </c>
      <c r="B770" s="28" t="s">
        <v>4485</v>
      </c>
      <c r="C770" s="28">
        <v>0</v>
      </c>
      <c r="D770" s="28" t="s">
        <v>1292</v>
      </c>
      <c r="E770" s="28">
        <v>1.22</v>
      </c>
      <c r="F770" s="28">
        <v>99.9</v>
      </c>
      <c r="G770" s="111"/>
      <c r="H770" s="28">
        <v>1.8</v>
      </c>
      <c r="I770" s="28"/>
      <c r="J770" s="133">
        <v>45981</v>
      </c>
      <c r="K770" s="9">
        <f t="shared" si="49"/>
        <v>219.38040000000001</v>
      </c>
      <c r="L770" s="9"/>
      <c r="M770" s="9"/>
      <c r="N770" s="9">
        <f>G770*H770*I770*E770</f>
        <v>0</v>
      </c>
      <c r="O770" s="3">
        <f>K770*1.6667</f>
        <v>365.64131268000006</v>
      </c>
    </row>
    <row r="771" spans="1:15" ht="18" customHeight="1">
      <c r="A771" s="16"/>
      <c r="B771" s="28" t="s">
        <v>2877</v>
      </c>
      <c r="C771" s="110"/>
      <c r="D771" s="28" t="s">
        <v>3301</v>
      </c>
      <c r="E771" s="87"/>
      <c r="F771" s="87"/>
      <c r="G771" s="110"/>
      <c r="H771" s="87"/>
      <c r="I771" s="110"/>
      <c r="J771" s="87"/>
      <c r="K771" s="37"/>
      <c r="L771" s="37"/>
      <c r="M771" s="17"/>
      <c r="N771" s="16"/>
      <c r="O771" s="16"/>
    </row>
    <row r="772" spans="1:15" ht="18" customHeight="1">
      <c r="A772" s="16"/>
      <c r="B772" s="28" t="s">
        <v>2878</v>
      </c>
      <c r="C772" s="110"/>
      <c r="D772" s="28" t="s">
        <v>3301</v>
      </c>
      <c r="E772" s="87"/>
      <c r="F772" s="87"/>
      <c r="G772" s="110"/>
      <c r="H772" s="87"/>
      <c r="I772" s="110"/>
      <c r="J772" s="87"/>
      <c r="K772" s="37"/>
      <c r="L772" s="37"/>
      <c r="M772" s="17"/>
      <c r="N772" s="16"/>
      <c r="O772" s="16"/>
    </row>
    <row r="773" spans="1:15" ht="18" customHeight="1">
      <c r="A773" s="16" t="s">
        <v>3684</v>
      </c>
      <c r="B773" s="87" t="s">
        <v>3682</v>
      </c>
      <c r="C773" s="110"/>
      <c r="D773" s="110"/>
      <c r="E773" s="87">
        <v>1.22</v>
      </c>
      <c r="F773" s="87">
        <v>269.89999999999998</v>
      </c>
      <c r="G773" s="110"/>
      <c r="H773" s="87">
        <v>1.7</v>
      </c>
      <c r="I773" s="110"/>
      <c r="J773" s="87"/>
      <c r="K773" s="37">
        <f>E773*F773*H773</f>
        <v>559.7725999999999</v>
      </c>
      <c r="L773" s="37"/>
      <c r="M773" s="17"/>
      <c r="N773" s="16"/>
      <c r="O773" s="16"/>
    </row>
    <row r="774" spans="1:15" ht="18" customHeight="1">
      <c r="A774" s="16" t="s">
        <v>3685</v>
      </c>
      <c r="B774" s="87" t="s">
        <v>3683</v>
      </c>
      <c r="C774" s="110"/>
      <c r="D774" s="110"/>
      <c r="E774" s="87">
        <v>1.22</v>
      </c>
      <c r="F774" s="87">
        <v>269.89999999999998</v>
      </c>
      <c r="G774" s="110"/>
      <c r="H774" s="87">
        <v>1.7</v>
      </c>
      <c r="I774" s="110"/>
      <c r="J774" s="87"/>
      <c r="K774" s="37">
        <f>E774*F774*H774</f>
        <v>559.7725999999999</v>
      </c>
      <c r="L774" s="37"/>
      <c r="M774" s="17"/>
      <c r="N774" s="16"/>
      <c r="O774" s="16"/>
    </row>
    <row r="775" spans="1:15" ht="18" customHeight="1">
      <c r="A775" s="16"/>
      <c r="B775" s="28" t="s">
        <v>3033</v>
      </c>
      <c r="C775" s="110"/>
      <c r="D775" s="28" t="s">
        <v>1859</v>
      </c>
      <c r="E775" s="28">
        <v>1.22</v>
      </c>
      <c r="F775" s="28">
        <v>265</v>
      </c>
      <c r="G775" s="110"/>
      <c r="H775" s="28">
        <v>1.2</v>
      </c>
      <c r="I775" s="110"/>
      <c r="J775" s="134">
        <v>45154</v>
      </c>
      <c r="K775" s="35">
        <f>E775*F775*H775</f>
        <v>387.96</v>
      </c>
      <c r="L775" s="37"/>
      <c r="M775" s="17"/>
      <c r="N775" s="16"/>
      <c r="O775" s="16"/>
    </row>
    <row r="776" spans="1:15" ht="18" customHeight="1">
      <c r="A776" s="21">
        <v>0</v>
      </c>
      <c r="B776" s="28" t="s">
        <v>1310</v>
      </c>
      <c r="C776" s="28" t="s">
        <v>93</v>
      </c>
      <c r="D776" s="28" t="s">
        <v>451</v>
      </c>
      <c r="E776" s="28">
        <v>1.22</v>
      </c>
      <c r="F776" s="28">
        <v>170</v>
      </c>
      <c r="G776" s="28"/>
      <c r="H776" s="28">
        <v>1.4</v>
      </c>
      <c r="I776" s="28"/>
      <c r="J776" s="133">
        <v>45219</v>
      </c>
      <c r="K776" s="9">
        <f>E776*F776*H776</f>
        <v>290.36</v>
      </c>
      <c r="L776" s="9"/>
      <c r="M776" s="9"/>
      <c r="N776" s="9">
        <f>G776*H776*I776*E776</f>
        <v>0</v>
      </c>
      <c r="O776" s="3">
        <f>K776*1.6667</f>
        <v>483.94301200000007</v>
      </c>
    </row>
    <row r="777" spans="1:15" ht="18" customHeight="1">
      <c r="A777" s="21"/>
      <c r="B777" s="28" t="s">
        <v>121</v>
      </c>
      <c r="C777" s="28" t="s">
        <v>122</v>
      </c>
      <c r="D777" s="28" t="s">
        <v>10</v>
      </c>
      <c r="E777" s="28">
        <v>1</v>
      </c>
      <c r="F777" s="28">
        <v>0</v>
      </c>
      <c r="G777" s="28">
        <v>0</v>
      </c>
      <c r="H777" s="28">
        <v>5</v>
      </c>
      <c r="I777" s="28">
        <v>0</v>
      </c>
      <c r="J777" s="133">
        <v>45203</v>
      </c>
      <c r="K777" s="9">
        <v>105</v>
      </c>
      <c r="L777" s="9"/>
      <c r="M777" s="9"/>
      <c r="N777" s="9">
        <f>G777*H777*I777*E777</f>
        <v>0</v>
      </c>
      <c r="O777" s="3">
        <f>K777*1.6667</f>
        <v>175.0035</v>
      </c>
    </row>
    <row r="778" spans="1:15" ht="18" customHeight="1">
      <c r="A778" s="16"/>
      <c r="B778" s="28" t="s">
        <v>121</v>
      </c>
      <c r="C778" s="88" t="s">
        <v>3761</v>
      </c>
      <c r="D778" s="28" t="s">
        <v>10</v>
      </c>
      <c r="E778" s="28">
        <v>1</v>
      </c>
      <c r="F778" s="87"/>
      <c r="G778" s="110"/>
      <c r="H778" s="87"/>
      <c r="I778" s="110"/>
      <c r="J778" s="87"/>
      <c r="K778" s="9">
        <f>+F778*H778</f>
        <v>0</v>
      </c>
      <c r="L778" s="37"/>
      <c r="M778" s="17"/>
      <c r="N778" s="16"/>
      <c r="O778" s="16"/>
    </row>
    <row r="779" spans="1:15" ht="18" customHeight="1">
      <c r="A779" s="16"/>
      <c r="B779" s="28" t="s">
        <v>121</v>
      </c>
      <c r="C779" s="88" t="s">
        <v>3762</v>
      </c>
      <c r="D779" s="28" t="s">
        <v>10</v>
      </c>
      <c r="E779" s="28">
        <v>1</v>
      </c>
      <c r="F779" s="87"/>
      <c r="G779" s="110"/>
      <c r="H779" s="87"/>
      <c r="I779" s="110"/>
      <c r="J779" s="87"/>
      <c r="K779" s="9">
        <f>+F779*H779</f>
        <v>0</v>
      </c>
      <c r="L779" s="37"/>
      <c r="M779" s="17"/>
      <c r="N779" s="16"/>
      <c r="O779" s="16"/>
    </row>
    <row r="780" spans="1:15" ht="18" customHeight="1">
      <c r="A780" s="16"/>
      <c r="B780" s="28" t="s">
        <v>3867</v>
      </c>
      <c r="C780" s="28" t="s">
        <v>11</v>
      </c>
      <c r="D780" s="28" t="s">
        <v>3868</v>
      </c>
      <c r="E780" s="28">
        <v>1</v>
      </c>
      <c r="F780" s="28">
        <v>0</v>
      </c>
      <c r="G780" s="79">
        <v>3</v>
      </c>
      <c r="H780" s="28">
        <v>1.7</v>
      </c>
      <c r="I780" s="79">
        <v>42</v>
      </c>
      <c r="J780" s="134">
        <v>45589</v>
      </c>
      <c r="K780" s="9">
        <f>+G780*E780*H780*I780</f>
        <v>214.2</v>
      </c>
      <c r="L780" s="9"/>
      <c r="M780" s="17"/>
      <c r="N780" s="9">
        <f>G780*H780*I780*E780</f>
        <v>214.2</v>
      </c>
      <c r="O780" s="16"/>
    </row>
    <row r="781" spans="1:15" ht="18" customHeight="1">
      <c r="A781" s="21"/>
      <c r="B781" s="28" t="s">
        <v>4441</v>
      </c>
      <c r="C781" s="28" t="s">
        <v>91</v>
      </c>
      <c r="D781" s="28" t="s">
        <v>1748</v>
      </c>
      <c r="E781" s="28">
        <v>1</v>
      </c>
      <c r="F781" s="28">
        <v>229.28</v>
      </c>
      <c r="G781" s="28">
        <v>0</v>
      </c>
      <c r="H781" s="28">
        <v>1.6</v>
      </c>
      <c r="I781" s="28"/>
      <c r="J781" s="133">
        <v>45964</v>
      </c>
      <c r="K781" s="9">
        <f t="shared" ref="K781:K790" si="52">E781*F781*H781</f>
        <v>366.84800000000001</v>
      </c>
      <c r="L781" s="9"/>
      <c r="M781" s="9"/>
      <c r="N781" s="9">
        <f>G781*H781*I781*E781</f>
        <v>0</v>
      </c>
      <c r="O781" s="3">
        <f>K781*1.6667</f>
        <v>611.42556160000004</v>
      </c>
    </row>
    <row r="782" spans="1:15" ht="18" customHeight="1">
      <c r="A782" s="26"/>
      <c r="B782" s="28" t="s">
        <v>4442</v>
      </c>
      <c r="C782" s="80" t="s">
        <v>300</v>
      </c>
      <c r="D782" s="28" t="s">
        <v>1748</v>
      </c>
      <c r="E782" s="80">
        <v>1</v>
      </c>
      <c r="F782" s="80">
        <v>122.55</v>
      </c>
      <c r="G782" s="80"/>
      <c r="H782" s="80">
        <v>2.1</v>
      </c>
      <c r="I782" s="80"/>
      <c r="J782" s="133">
        <v>45964</v>
      </c>
      <c r="K782" s="35">
        <f t="shared" si="52"/>
        <v>257.35500000000002</v>
      </c>
      <c r="L782" s="35"/>
      <c r="M782" s="17"/>
      <c r="N782" s="44"/>
      <c r="O782" s="44"/>
    </row>
    <row r="783" spans="1:15" ht="18" customHeight="1">
      <c r="A783" s="21"/>
      <c r="B783" s="28" t="s">
        <v>3064</v>
      </c>
      <c r="C783" s="28" t="s">
        <v>1688</v>
      </c>
      <c r="D783" s="28" t="s">
        <v>10</v>
      </c>
      <c r="E783" s="28">
        <v>1</v>
      </c>
      <c r="F783" s="28">
        <v>2451</v>
      </c>
      <c r="G783" s="28">
        <v>0</v>
      </c>
      <c r="H783" s="28">
        <v>1.4</v>
      </c>
      <c r="I783" s="28"/>
      <c r="J783" s="133">
        <v>45964</v>
      </c>
      <c r="K783" s="9">
        <f t="shared" si="52"/>
        <v>3431.3999999999996</v>
      </c>
      <c r="L783" s="9"/>
      <c r="M783" s="9"/>
      <c r="N783" s="9">
        <f>G783*H783*I783*E783</f>
        <v>0</v>
      </c>
      <c r="O783" s="3">
        <f>K783*1.6667</f>
        <v>5719.11438</v>
      </c>
    </row>
    <row r="784" spans="1:15" ht="18" customHeight="1">
      <c r="A784" s="16" t="s">
        <v>4494</v>
      </c>
      <c r="B784" s="96" t="s">
        <v>4495</v>
      </c>
      <c r="C784" s="28" t="s">
        <v>15</v>
      </c>
      <c r="D784" s="28" t="s">
        <v>1292</v>
      </c>
      <c r="E784" s="28">
        <v>1.22</v>
      </c>
      <c r="F784" s="28">
        <v>89.9</v>
      </c>
      <c r="G784" s="110"/>
      <c r="H784" s="28">
        <v>1.8</v>
      </c>
      <c r="I784" s="110"/>
      <c r="J784" s="135">
        <v>45981</v>
      </c>
      <c r="K784" s="75">
        <f t="shared" si="52"/>
        <v>197.42040000000003</v>
      </c>
      <c r="L784" s="75"/>
      <c r="M784" s="17"/>
      <c r="N784" s="16"/>
      <c r="O784" s="16"/>
    </row>
    <row r="785" spans="1:15" ht="18" customHeight="1">
      <c r="A785" s="21" t="s">
        <v>4498</v>
      </c>
      <c r="B785" s="28" t="s">
        <v>4495</v>
      </c>
      <c r="C785" s="28">
        <v>0</v>
      </c>
      <c r="D785" s="28" t="s">
        <v>1292</v>
      </c>
      <c r="E785" s="28">
        <v>1.22</v>
      </c>
      <c r="F785" s="28">
        <v>79.900000000000006</v>
      </c>
      <c r="G785" s="28"/>
      <c r="H785" s="28">
        <v>2</v>
      </c>
      <c r="I785" s="28"/>
      <c r="J785" s="133">
        <v>45981</v>
      </c>
      <c r="K785" s="9">
        <f t="shared" si="52"/>
        <v>194.95600000000002</v>
      </c>
      <c r="L785" s="9"/>
      <c r="M785" s="9"/>
      <c r="N785" s="9">
        <f>G785*H785*I785*E785</f>
        <v>0</v>
      </c>
      <c r="O785" s="3">
        <f>K785*1.6667</f>
        <v>324.93316520000002</v>
      </c>
    </row>
    <row r="786" spans="1:15" ht="18" customHeight="1">
      <c r="A786" s="21" t="s">
        <v>2600</v>
      </c>
      <c r="B786" s="28" t="s">
        <v>2601</v>
      </c>
      <c r="C786" s="28" t="s">
        <v>2602</v>
      </c>
      <c r="D786" s="28" t="s">
        <v>451</v>
      </c>
      <c r="E786" s="28">
        <v>1.22</v>
      </c>
      <c r="F786" s="28">
        <v>25</v>
      </c>
      <c r="G786" s="28"/>
      <c r="H786" s="28">
        <v>1.4</v>
      </c>
      <c r="I786" s="28"/>
      <c r="J786" s="133">
        <v>44734</v>
      </c>
      <c r="K786" s="9">
        <f t="shared" si="52"/>
        <v>42.699999999999996</v>
      </c>
      <c r="L786" s="9"/>
      <c r="M786" s="9"/>
      <c r="N786" s="9">
        <f>G786*H786*I786*E786</f>
        <v>0</v>
      </c>
      <c r="O786" s="3">
        <f>K786*1.6667</f>
        <v>71.168089999999992</v>
      </c>
    </row>
    <row r="787" spans="1:15" ht="18" customHeight="1">
      <c r="A787" s="21">
        <v>1010683</v>
      </c>
      <c r="B787" s="28" t="s">
        <v>1492</v>
      </c>
      <c r="C787" s="28" t="s">
        <v>90</v>
      </c>
      <c r="D787" s="28" t="s">
        <v>451</v>
      </c>
      <c r="E787" s="28">
        <v>1.22</v>
      </c>
      <c r="F787" s="28">
        <v>0</v>
      </c>
      <c r="G787" s="28"/>
      <c r="H787" s="28">
        <v>1.6</v>
      </c>
      <c r="I787" s="28"/>
      <c r="J787" s="133">
        <v>43839</v>
      </c>
      <c r="K787" s="9">
        <f t="shared" si="52"/>
        <v>0</v>
      </c>
      <c r="L787" s="9"/>
      <c r="M787" s="9"/>
      <c r="N787" s="9">
        <f>G787*H787*I787*E787</f>
        <v>0</v>
      </c>
      <c r="O787" s="3">
        <f>K787*1.6667</f>
        <v>0</v>
      </c>
    </row>
    <row r="788" spans="1:15" ht="18" customHeight="1">
      <c r="A788" s="21">
        <v>631247</v>
      </c>
      <c r="B788" s="28" t="s">
        <v>1492</v>
      </c>
      <c r="C788" s="28" t="s">
        <v>15</v>
      </c>
      <c r="D788" s="28" t="s">
        <v>451</v>
      </c>
      <c r="E788" s="28">
        <v>1.22</v>
      </c>
      <c r="F788" s="28">
        <v>0</v>
      </c>
      <c r="G788" s="28">
        <v>0</v>
      </c>
      <c r="H788" s="28">
        <v>1.3</v>
      </c>
      <c r="I788" s="28">
        <v>0</v>
      </c>
      <c r="J788" s="133">
        <v>43839</v>
      </c>
      <c r="K788" s="9">
        <f t="shared" si="52"/>
        <v>0</v>
      </c>
      <c r="L788" s="9"/>
      <c r="M788" s="9"/>
      <c r="N788" s="9">
        <f>G788*H788*I788*E788</f>
        <v>0</v>
      </c>
      <c r="O788" s="3">
        <f>K788*1.6667</f>
        <v>0</v>
      </c>
    </row>
    <row r="789" spans="1:15" ht="18" customHeight="1">
      <c r="A789" s="16"/>
      <c r="B789" s="87" t="s">
        <v>3334</v>
      </c>
      <c r="C789" s="110"/>
      <c r="D789" s="110" t="s">
        <v>3301</v>
      </c>
      <c r="E789" s="87">
        <v>1.22</v>
      </c>
      <c r="F789" s="87">
        <v>15</v>
      </c>
      <c r="G789" s="110"/>
      <c r="H789" s="87">
        <v>2.5</v>
      </c>
      <c r="I789" s="110"/>
      <c r="J789" s="135">
        <v>45301</v>
      </c>
      <c r="K789" s="37">
        <f t="shared" si="52"/>
        <v>45.75</v>
      </c>
      <c r="L789" s="37"/>
      <c r="M789" s="17"/>
      <c r="N789" s="16"/>
      <c r="O789" s="16"/>
    </row>
    <row r="790" spans="1:15" ht="18" customHeight="1">
      <c r="A790" s="21">
        <v>412</v>
      </c>
      <c r="B790" s="28" t="s">
        <v>4154</v>
      </c>
      <c r="C790" s="28" t="s">
        <v>133</v>
      </c>
      <c r="D790" s="28" t="s">
        <v>34</v>
      </c>
      <c r="E790" s="28">
        <v>1.22</v>
      </c>
      <c r="F790" s="28">
        <v>79</v>
      </c>
      <c r="G790" s="28"/>
      <c r="H790" s="28">
        <v>1.2</v>
      </c>
      <c r="I790" s="28"/>
      <c r="J790" s="133">
        <v>45763</v>
      </c>
      <c r="K790" s="9">
        <f t="shared" si="52"/>
        <v>115.65599999999999</v>
      </c>
      <c r="L790" s="9"/>
      <c r="M790" s="9"/>
      <c r="N790" s="9"/>
      <c r="O790" s="3"/>
    </row>
    <row r="791" spans="1:15" ht="18" customHeight="1">
      <c r="A791" s="46">
        <v>204200</v>
      </c>
      <c r="B791" s="28" t="s">
        <v>3084</v>
      </c>
      <c r="C791" s="28" t="s">
        <v>1989</v>
      </c>
      <c r="D791" s="28" t="s">
        <v>23</v>
      </c>
      <c r="E791" s="28">
        <v>1</v>
      </c>
      <c r="F791" s="28">
        <v>2.1</v>
      </c>
      <c r="G791" s="110"/>
      <c r="H791" s="28">
        <v>1.6</v>
      </c>
      <c r="I791" s="28">
        <v>44</v>
      </c>
      <c r="J791" s="134">
        <v>45909</v>
      </c>
      <c r="K791" s="9">
        <f>E791*F791*H791*I791</f>
        <v>147.84</v>
      </c>
      <c r="L791" s="9"/>
      <c r="M791" s="17"/>
      <c r="N791" s="16"/>
      <c r="O791" s="16"/>
    </row>
    <row r="792" spans="1:15" ht="18" customHeight="1">
      <c r="A792" s="21">
        <v>260800</v>
      </c>
      <c r="B792" s="28" t="s">
        <v>3371</v>
      </c>
      <c r="C792" s="28" t="s">
        <v>79</v>
      </c>
      <c r="D792" s="28" t="s">
        <v>1748</v>
      </c>
      <c r="E792" s="28">
        <v>1</v>
      </c>
      <c r="F792" s="28">
        <v>2.2999999999999998</v>
      </c>
      <c r="G792" s="28">
        <v>2.4</v>
      </c>
      <c r="H792" s="28">
        <v>1.5</v>
      </c>
      <c r="I792" s="28">
        <v>45</v>
      </c>
      <c r="J792" s="133">
        <v>45730</v>
      </c>
      <c r="K792" s="9">
        <f>+I792*H792*G792</f>
        <v>162</v>
      </c>
      <c r="L792" s="9"/>
      <c r="M792" s="9"/>
      <c r="N792" s="9"/>
      <c r="O792" s="3"/>
    </row>
    <row r="793" spans="1:15" ht="18" customHeight="1">
      <c r="A793" s="26">
        <v>206910</v>
      </c>
      <c r="B793" s="80" t="s">
        <v>3369</v>
      </c>
      <c r="C793" s="99" t="s">
        <v>94</v>
      </c>
      <c r="D793" s="28" t="s">
        <v>23</v>
      </c>
      <c r="E793" s="80"/>
      <c r="F793" s="80">
        <v>0</v>
      </c>
      <c r="G793" s="80">
        <v>2.99</v>
      </c>
      <c r="H793" s="80">
        <v>1.7</v>
      </c>
      <c r="I793" s="80">
        <v>42</v>
      </c>
      <c r="J793" s="134">
        <v>45220</v>
      </c>
      <c r="K793" s="35">
        <f>+I793*H793*G793</f>
        <v>213.48599999999999</v>
      </c>
      <c r="L793" s="35"/>
      <c r="M793" s="17"/>
      <c r="N793" s="44"/>
      <c r="O793" s="44"/>
    </row>
    <row r="794" spans="1:15" ht="18" customHeight="1">
      <c r="A794" s="26">
        <v>206890</v>
      </c>
      <c r="B794" s="80" t="s">
        <v>3370</v>
      </c>
      <c r="C794" s="80">
        <v>250</v>
      </c>
      <c r="D794" s="28" t="s">
        <v>23</v>
      </c>
      <c r="E794" s="80">
        <v>1</v>
      </c>
      <c r="F794" s="80">
        <v>1</v>
      </c>
      <c r="G794" s="80">
        <v>2.78</v>
      </c>
      <c r="H794" s="80">
        <v>1.4</v>
      </c>
      <c r="I794" s="80">
        <v>42</v>
      </c>
      <c r="J794" s="134">
        <v>45999</v>
      </c>
      <c r="K794" s="9">
        <f>+G794*H794*I794</f>
        <v>163.46399999999997</v>
      </c>
      <c r="L794" s="35"/>
      <c r="M794" s="17"/>
      <c r="N794" s="44"/>
      <c r="O794" s="44"/>
    </row>
    <row r="795" spans="1:15" ht="18" customHeight="1">
      <c r="A795" s="21">
        <v>206880</v>
      </c>
      <c r="B795" s="80" t="s">
        <v>3372</v>
      </c>
      <c r="C795" s="28" t="s">
        <v>133</v>
      </c>
      <c r="D795" s="28" t="s">
        <v>23</v>
      </c>
      <c r="E795" s="28">
        <v>1</v>
      </c>
      <c r="F795" s="28">
        <v>0</v>
      </c>
      <c r="G795" s="28">
        <v>1.55</v>
      </c>
      <c r="H795" s="28">
        <v>1.5</v>
      </c>
      <c r="I795" s="28">
        <v>42</v>
      </c>
      <c r="J795" s="133">
        <v>45743</v>
      </c>
      <c r="K795" s="9">
        <f>+G795*H795*I795</f>
        <v>97.65</v>
      </c>
      <c r="L795" s="9"/>
      <c r="M795" s="9"/>
      <c r="N795" s="9">
        <f>G795*H795*I795*E795</f>
        <v>97.65</v>
      </c>
      <c r="O795" s="3">
        <f>K795*1.6667</f>
        <v>162.75325500000002</v>
      </c>
    </row>
    <row r="796" spans="1:15" ht="18" customHeight="1">
      <c r="A796" s="22"/>
      <c r="B796" s="80" t="s">
        <v>3325</v>
      </c>
      <c r="C796" s="28" t="s">
        <v>93</v>
      </c>
      <c r="D796" s="28" t="s">
        <v>10</v>
      </c>
      <c r="E796" s="28">
        <v>1</v>
      </c>
      <c r="F796" s="28">
        <v>164.8</v>
      </c>
      <c r="G796" s="28"/>
      <c r="H796" s="28">
        <v>1.5</v>
      </c>
      <c r="I796" s="28"/>
      <c r="J796" s="133">
        <v>45979</v>
      </c>
      <c r="K796" s="9">
        <f>E796*F796*H796</f>
        <v>247.20000000000002</v>
      </c>
      <c r="L796" s="9"/>
      <c r="M796" s="9"/>
      <c r="N796" s="9">
        <f>G796*H796*I796*E796</f>
        <v>0</v>
      </c>
      <c r="O796" s="3">
        <f>K796*1.6667</f>
        <v>412.00824000000006</v>
      </c>
    </row>
    <row r="797" spans="1:15" ht="18" customHeight="1">
      <c r="A797" s="16"/>
      <c r="B797" s="80" t="s">
        <v>2789</v>
      </c>
      <c r="C797" s="28" t="s">
        <v>93</v>
      </c>
      <c r="D797" s="28" t="s">
        <v>34</v>
      </c>
      <c r="E797" s="28">
        <v>1.22</v>
      </c>
      <c r="F797" s="28">
        <v>98.12</v>
      </c>
      <c r="G797" s="110"/>
      <c r="H797" s="28">
        <v>1.8</v>
      </c>
      <c r="I797" s="110"/>
      <c r="J797" s="134">
        <v>45350</v>
      </c>
      <c r="K797" s="9">
        <f>E797*F797*H797</f>
        <v>215.47152</v>
      </c>
      <c r="L797" s="17"/>
      <c r="M797" s="17"/>
      <c r="N797" s="16"/>
      <c r="O797" s="16"/>
    </row>
    <row r="798" spans="1:15" ht="18" customHeight="1">
      <c r="A798" s="21"/>
      <c r="B798" s="28" t="s">
        <v>3230</v>
      </c>
      <c r="C798" s="28" t="s">
        <v>93</v>
      </c>
      <c r="D798" s="28" t="s">
        <v>10</v>
      </c>
      <c r="E798" s="28">
        <v>1</v>
      </c>
      <c r="F798" s="28">
        <v>184.95</v>
      </c>
      <c r="G798" s="28"/>
      <c r="H798" s="28">
        <v>1.5</v>
      </c>
      <c r="I798" s="28"/>
      <c r="J798" s="133">
        <v>45948</v>
      </c>
      <c r="K798" s="9">
        <f>E798*F798*H798</f>
        <v>277.42499999999995</v>
      </c>
      <c r="L798" s="9"/>
      <c r="M798" s="9"/>
      <c r="N798" s="9">
        <f>G798*H798*I798*E798</f>
        <v>0</v>
      </c>
      <c r="O798" s="3">
        <f>K798*1.6667</f>
        <v>462.38424749999996</v>
      </c>
    </row>
    <row r="799" spans="1:15" ht="18" customHeight="1">
      <c r="A799" s="21">
        <v>500</v>
      </c>
      <c r="B799" s="28" t="s">
        <v>3085</v>
      </c>
      <c r="C799" s="28" t="s">
        <v>133</v>
      </c>
      <c r="D799" s="28" t="s">
        <v>23</v>
      </c>
      <c r="E799" s="28">
        <v>1</v>
      </c>
      <c r="F799" s="28">
        <v>0</v>
      </c>
      <c r="G799" s="28">
        <v>1.52</v>
      </c>
      <c r="H799" s="28">
        <v>1.6</v>
      </c>
      <c r="I799" s="28">
        <v>42</v>
      </c>
      <c r="J799" s="133">
        <v>45579</v>
      </c>
      <c r="K799" s="9">
        <f>+I799*H799*G799</f>
        <v>102.14400000000001</v>
      </c>
      <c r="L799" s="9"/>
      <c r="M799" s="9"/>
      <c r="N799" s="9">
        <f>G799*H799*I799*E799</f>
        <v>102.14400000000002</v>
      </c>
      <c r="O799" s="3">
        <f>K799*1.6667</f>
        <v>170.24340480000001</v>
      </c>
    </row>
    <row r="800" spans="1:15" ht="18" customHeight="1">
      <c r="A800" s="46">
        <v>1321</v>
      </c>
      <c r="B800" s="80" t="s">
        <v>3601</v>
      </c>
      <c r="C800" s="79" t="s">
        <v>133</v>
      </c>
      <c r="D800" s="28" t="s">
        <v>17</v>
      </c>
      <c r="E800" s="80">
        <v>1.22</v>
      </c>
      <c r="F800" s="80">
        <v>105.49</v>
      </c>
      <c r="G800" s="118"/>
      <c r="H800" s="80">
        <v>1.3</v>
      </c>
      <c r="I800" s="118"/>
      <c r="J800" s="133">
        <v>45498</v>
      </c>
      <c r="K800" s="9">
        <f t="shared" ref="K800:K820" si="53">E800*F800*H800</f>
        <v>167.30714</v>
      </c>
      <c r="L800" s="9"/>
      <c r="M800" s="17"/>
      <c r="N800" s="16"/>
      <c r="O800" s="16"/>
    </row>
    <row r="801" spans="1:15" ht="18" customHeight="1">
      <c r="A801" s="21"/>
      <c r="B801" s="28" t="s">
        <v>1534</v>
      </c>
      <c r="C801" s="28"/>
      <c r="D801" s="110"/>
      <c r="E801" s="28">
        <v>1.22</v>
      </c>
      <c r="F801" s="28">
        <v>39</v>
      </c>
      <c r="G801" s="28"/>
      <c r="H801" s="28">
        <v>1.8</v>
      </c>
      <c r="I801" s="28"/>
      <c r="J801" s="135">
        <v>43900</v>
      </c>
      <c r="K801" s="9">
        <f t="shared" si="53"/>
        <v>85.644000000000005</v>
      </c>
      <c r="L801" s="9"/>
      <c r="M801" s="9"/>
      <c r="N801" s="9">
        <f>G801*H801*I801*E801</f>
        <v>0</v>
      </c>
      <c r="O801" s="3">
        <f>K801*1.6667</f>
        <v>142.7428548</v>
      </c>
    </row>
    <row r="802" spans="1:15" ht="18" customHeight="1">
      <c r="A802" s="44">
        <v>3830</v>
      </c>
      <c r="B802" s="92" t="s">
        <v>1653</v>
      </c>
      <c r="C802" s="113"/>
      <c r="D802" s="28" t="s">
        <v>451</v>
      </c>
      <c r="E802" s="28">
        <v>1.22</v>
      </c>
      <c r="F802" s="92">
        <v>122.67</v>
      </c>
      <c r="G802" s="113"/>
      <c r="H802" s="28">
        <v>1.4</v>
      </c>
      <c r="I802" s="113"/>
      <c r="J802" s="137">
        <v>43956</v>
      </c>
      <c r="K802" s="9">
        <f t="shared" si="53"/>
        <v>209.52035999999998</v>
      </c>
      <c r="L802" s="9"/>
      <c r="M802" s="17"/>
      <c r="N802" s="44"/>
      <c r="O802" s="44"/>
    </row>
    <row r="803" spans="1:15" ht="18" customHeight="1">
      <c r="A803" s="21" t="s">
        <v>2460</v>
      </c>
      <c r="B803" s="28" t="s">
        <v>2461</v>
      </c>
      <c r="C803" s="28" t="s">
        <v>15</v>
      </c>
      <c r="D803" s="28" t="s">
        <v>451</v>
      </c>
      <c r="E803" s="28">
        <v>1.22</v>
      </c>
      <c r="F803" s="28">
        <v>26.72</v>
      </c>
      <c r="G803" s="28"/>
      <c r="H803" s="28">
        <v>1.6</v>
      </c>
      <c r="I803" s="28"/>
      <c r="J803" s="133">
        <v>44635</v>
      </c>
      <c r="K803" s="9">
        <f t="shared" si="53"/>
        <v>52.157440000000001</v>
      </c>
      <c r="L803" s="9"/>
      <c r="M803" s="9"/>
      <c r="N803" s="9">
        <f>G803*H803*I803*E803</f>
        <v>0</v>
      </c>
      <c r="O803" s="3">
        <f>K803*1.6667</f>
        <v>86.930805247999999</v>
      </c>
    </row>
    <row r="804" spans="1:15" ht="18" customHeight="1">
      <c r="A804" s="21" t="s">
        <v>4515</v>
      </c>
      <c r="B804" s="28" t="s">
        <v>2461</v>
      </c>
      <c r="C804" s="28" t="s">
        <v>15</v>
      </c>
      <c r="D804" s="28" t="s">
        <v>1983</v>
      </c>
      <c r="E804" s="28">
        <v>1.22</v>
      </c>
      <c r="F804" s="28">
        <v>26.15</v>
      </c>
      <c r="G804" s="28"/>
      <c r="H804" s="28">
        <v>1.8</v>
      </c>
      <c r="I804" s="28"/>
      <c r="J804" s="133">
        <v>45982</v>
      </c>
      <c r="K804" s="9">
        <f t="shared" si="53"/>
        <v>57.425399999999996</v>
      </c>
      <c r="L804" s="9"/>
      <c r="M804" s="9"/>
      <c r="N804" s="9">
        <f>G804*H804*I804*E804</f>
        <v>0</v>
      </c>
      <c r="O804" s="3">
        <f>K804*1.6667</f>
        <v>95.710914180000003</v>
      </c>
    </row>
    <row r="805" spans="1:15" ht="18" customHeight="1">
      <c r="A805" s="21" t="s">
        <v>3602</v>
      </c>
      <c r="B805" s="87" t="s">
        <v>3603</v>
      </c>
      <c r="C805" s="110" t="s">
        <v>3604</v>
      </c>
      <c r="D805" s="28" t="s">
        <v>1983</v>
      </c>
      <c r="E805" s="28">
        <v>1.22</v>
      </c>
      <c r="F805" s="87">
        <v>1600</v>
      </c>
      <c r="G805" s="110"/>
      <c r="H805" s="87">
        <v>1.6</v>
      </c>
      <c r="I805" s="110"/>
      <c r="J805" s="135">
        <v>45499</v>
      </c>
      <c r="K805" s="37">
        <f t="shared" si="53"/>
        <v>3123.2000000000003</v>
      </c>
      <c r="L805" s="37"/>
      <c r="M805" s="17"/>
      <c r="N805" s="16"/>
      <c r="O805" s="16"/>
    </row>
    <row r="806" spans="1:15" ht="18" customHeight="1">
      <c r="A806" s="21" t="s">
        <v>3602</v>
      </c>
      <c r="B806" s="87" t="s">
        <v>3603</v>
      </c>
      <c r="C806" s="110" t="s">
        <v>3605</v>
      </c>
      <c r="D806" s="28" t="s">
        <v>1983</v>
      </c>
      <c r="E806" s="28">
        <v>1</v>
      </c>
      <c r="F806" s="87">
        <v>130</v>
      </c>
      <c r="G806" s="110"/>
      <c r="H806" s="87">
        <v>1</v>
      </c>
      <c r="I806" s="110"/>
      <c r="J806" s="135">
        <v>45499</v>
      </c>
      <c r="K806" s="37">
        <f t="shared" si="53"/>
        <v>130</v>
      </c>
      <c r="L806" s="37"/>
      <c r="M806" s="17"/>
      <c r="N806" s="16"/>
      <c r="O806" s="16"/>
    </row>
    <row r="807" spans="1:15" ht="18" customHeight="1">
      <c r="A807" s="21" t="s">
        <v>1709</v>
      </c>
      <c r="B807" s="28" t="s">
        <v>1710</v>
      </c>
      <c r="C807" s="28" t="s">
        <v>1711</v>
      </c>
      <c r="D807" s="28" t="s">
        <v>451</v>
      </c>
      <c r="E807" s="28">
        <v>1.22</v>
      </c>
      <c r="F807" s="28">
        <v>35</v>
      </c>
      <c r="G807" s="28"/>
      <c r="H807" s="28">
        <v>1.6</v>
      </c>
      <c r="I807" s="28"/>
      <c r="J807" s="133">
        <v>43977</v>
      </c>
      <c r="K807" s="9">
        <f t="shared" si="53"/>
        <v>68.319999999999993</v>
      </c>
      <c r="L807" s="9"/>
      <c r="M807" s="9"/>
      <c r="N807" s="9">
        <f>G807*H807*I807*E807</f>
        <v>0</v>
      </c>
      <c r="O807" s="3">
        <f>K807*1.6667</f>
        <v>113.868944</v>
      </c>
    </row>
    <row r="808" spans="1:15" ht="18" customHeight="1">
      <c r="A808" s="16">
        <v>53</v>
      </c>
      <c r="B808" s="28" t="s">
        <v>1311</v>
      </c>
      <c r="C808" s="28" t="s">
        <v>1899</v>
      </c>
      <c r="D808" s="28" t="s">
        <v>451</v>
      </c>
      <c r="E808" s="28">
        <v>1</v>
      </c>
      <c r="F808" s="28">
        <v>104</v>
      </c>
      <c r="G808" s="110"/>
      <c r="H808" s="28">
        <v>1.6</v>
      </c>
      <c r="I808" s="110"/>
      <c r="J808" s="135">
        <v>44114</v>
      </c>
      <c r="K808" s="9">
        <f t="shared" si="53"/>
        <v>166.4</v>
      </c>
      <c r="L808" s="9"/>
      <c r="M808" s="17"/>
      <c r="N808" s="16"/>
      <c r="O808" s="16"/>
    </row>
    <row r="809" spans="1:15" ht="18" customHeight="1">
      <c r="A809" s="16"/>
      <c r="B809" s="87" t="s">
        <v>1311</v>
      </c>
      <c r="C809" s="110" t="s">
        <v>2127</v>
      </c>
      <c r="D809" s="110" t="s">
        <v>1859</v>
      </c>
      <c r="E809" s="87">
        <v>1.22</v>
      </c>
      <c r="F809" s="87">
        <v>125</v>
      </c>
      <c r="G809" s="110"/>
      <c r="H809" s="87">
        <v>2</v>
      </c>
      <c r="I809" s="110"/>
      <c r="J809" s="135">
        <v>45504</v>
      </c>
      <c r="K809" s="37">
        <f t="shared" si="53"/>
        <v>305</v>
      </c>
      <c r="L809" s="37"/>
      <c r="M809" s="17"/>
      <c r="N809" s="16"/>
      <c r="O809" s="16"/>
    </row>
    <row r="810" spans="1:15" ht="18" customHeight="1">
      <c r="A810" s="16"/>
      <c r="B810" s="28" t="s">
        <v>2223</v>
      </c>
      <c r="C810" s="78" t="s">
        <v>2222</v>
      </c>
      <c r="D810" s="28"/>
      <c r="E810" s="28">
        <v>1.22</v>
      </c>
      <c r="F810" s="28">
        <v>98</v>
      </c>
      <c r="G810" s="110"/>
      <c r="H810" s="28">
        <v>1.5</v>
      </c>
      <c r="I810" s="110"/>
      <c r="J810" s="135">
        <v>44416</v>
      </c>
      <c r="K810" s="37">
        <f t="shared" si="53"/>
        <v>179.34</v>
      </c>
      <c r="L810" s="37"/>
      <c r="M810" s="17"/>
      <c r="N810" s="16"/>
      <c r="O810" s="16"/>
    </row>
    <row r="811" spans="1:15" ht="18" customHeight="1">
      <c r="A811" s="16"/>
      <c r="B811" s="28" t="s">
        <v>2223</v>
      </c>
      <c r="C811" s="78" t="s">
        <v>1855</v>
      </c>
      <c r="D811" s="28"/>
      <c r="E811" s="28">
        <v>1.22</v>
      </c>
      <c r="F811" s="28">
        <v>210</v>
      </c>
      <c r="G811" s="110"/>
      <c r="H811" s="28">
        <v>1.5</v>
      </c>
      <c r="I811" s="110"/>
      <c r="J811" s="135">
        <v>44416</v>
      </c>
      <c r="K811" s="37">
        <f t="shared" si="53"/>
        <v>384.29999999999995</v>
      </c>
      <c r="L811" s="37"/>
      <c r="M811" s="17"/>
      <c r="N811" s="16"/>
      <c r="O811" s="16"/>
    </row>
    <row r="812" spans="1:15" ht="18" customHeight="1">
      <c r="A812" s="229"/>
      <c r="B812" s="152" t="s">
        <v>1854</v>
      </c>
      <c r="C812" s="124" t="s">
        <v>1852</v>
      </c>
      <c r="D812" s="93"/>
      <c r="E812" s="230">
        <v>1</v>
      </c>
      <c r="F812" s="152">
        <v>112.48</v>
      </c>
      <c r="G812" s="317"/>
      <c r="H812" s="230">
        <v>1.4</v>
      </c>
      <c r="I812" s="317"/>
      <c r="J812" s="319">
        <v>44462</v>
      </c>
      <c r="K812" s="33">
        <f t="shared" si="53"/>
        <v>157.47200000000001</v>
      </c>
      <c r="L812" s="33"/>
      <c r="M812" s="51"/>
      <c r="N812" s="44"/>
      <c r="O812" s="44"/>
    </row>
    <row r="813" spans="1:15" ht="18" customHeight="1">
      <c r="A813" s="21" t="s">
        <v>1809</v>
      </c>
      <c r="B813" s="28" t="s">
        <v>1808</v>
      </c>
      <c r="C813" s="28"/>
      <c r="D813" s="28" t="s">
        <v>451</v>
      </c>
      <c r="E813" s="28">
        <v>1.22</v>
      </c>
      <c r="F813" s="28">
        <v>78.680000000000007</v>
      </c>
      <c r="G813" s="28"/>
      <c r="H813" s="28">
        <v>1.6</v>
      </c>
      <c r="I813" s="28"/>
      <c r="J813" s="133">
        <v>44037</v>
      </c>
      <c r="K813" s="9">
        <f t="shared" si="53"/>
        <v>153.58336000000003</v>
      </c>
      <c r="L813" s="9"/>
      <c r="M813" s="9"/>
      <c r="N813" s="59"/>
      <c r="O813" s="3"/>
    </row>
    <row r="814" spans="1:15" ht="18" customHeight="1">
      <c r="A814" s="20">
        <v>469</v>
      </c>
      <c r="B814" s="85" t="s">
        <v>2464</v>
      </c>
      <c r="C814" s="78" t="s">
        <v>15</v>
      </c>
      <c r="D814" s="85" t="s">
        <v>451</v>
      </c>
      <c r="E814" s="85">
        <v>1.22</v>
      </c>
      <c r="F814" s="85">
        <v>51</v>
      </c>
      <c r="G814" s="85"/>
      <c r="H814" s="85">
        <v>1.6</v>
      </c>
      <c r="I814" s="85"/>
      <c r="J814" s="131">
        <v>44636</v>
      </c>
      <c r="K814" s="10">
        <f t="shared" si="53"/>
        <v>99.552000000000007</v>
      </c>
      <c r="L814" s="10"/>
      <c r="M814" s="10"/>
      <c r="N814" s="9">
        <f>G814*H814*I814*E814</f>
        <v>0</v>
      </c>
      <c r="O814" s="3">
        <f>K814*1.6667</f>
        <v>165.92331840000003</v>
      </c>
    </row>
    <row r="815" spans="1:15" ht="18" customHeight="1">
      <c r="A815" s="16">
        <v>130</v>
      </c>
      <c r="B815" s="87" t="s">
        <v>3515</v>
      </c>
      <c r="C815" s="121" t="s">
        <v>3517</v>
      </c>
      <c r="D815" s="28" t="s">
        <v>1983</v>
      </c>
      <c r="E815" s="28">
        <v>1.22</v>
      </c>
      <c r="F815" s="87">
        <v>699</v>
      </c>
      <c r="G815" s="110"/>
      <c r="H815" s="28">
        <v>1.6</v>
      </c>
      <c r="I815" s="110"/>
      <c r="J815" s="135">
        <v>45450</v>
      </c>
      <c r="K815" s="9">
        <f t="shared" si="53"/>
        <v>1364.4480000000001</v>
      </c>
      <c r="L815" s="37"/>
      <c r="M815" s="17"/>
      <c r="N815" s="16"/>
      <c r="O815" s="16"/>
    </row>
    <row r="816" spans="1:15" ht="18" customHeight="1">
      <c r="A816" s="16">
        <v>131</v>
      </c>
      <c r="B816" s="87" t="s">
        <v>3516</v>
      </c>
      <c r="C816" s="110" t="s">
        <v>3518</v>
      </c>
      <c r="D816" s="28" t="s">
        <v>1983</v>
      </c>
      <c r="E816" s="28">
        <v>1.22</v>
      </c>
      <c r="F816" s="87">
        <v>819</v>
      </c>
      <c r="G816" s="110"/>
      <c r="H816" s="28">
        <v>1.6</v>
      </c>
      <c r="I816" s="110"/>
      <c r="J816" s="135">
        <v>45450</v>
      </c>
      <c r="K816" s="9">
        <f t="shared" si="53"/>
        <v>1598.6880000000001</v>
      </c>
      <c r="L816" s="37"/>
      <c r="M816" s="17"/>
      <c r="N816" s="16"/>
      <c r="O816" s="16"/>
    </row>
    <row r="817" spans="1:15" ht="18" customHeight="1">
      <c r="A817" s="21" t="s">
        <v>3519</v>
      </c>
      <c r="B817" s="87" t="s">
        <v>3520</v>
      </c>
      <c r="C817" s="110" t="s">
        <v>3521</v>
      </c>
      <c r="D817" s="28" t="s">
        <v>1983</v>
      </c>
      <c r="E817" s="28">
        <v>1.22</v>
      </c>
      <c r="F817" s="87">
        <v>779</v>
      </c>
      <c r="G817" s="110"/>
      <c r="H817" s="87">
        <v>1.6</v>
      </c>
      <c r="I817" s="110"/>
      <c r="J817" s="135">
        <v>45450</v>
      </c>
      <c r="K817" s="37">
        <f t="shared" si="53"/>
        <v>1520.6080000000002</v>
      </c>
      <c r="L817" s="37"/>
      <c r="M817" s="17"/>
      <c r="N817" s="16"/>
      <c r="O817" s="16"/>
    </row>
    <row r="818" spans="1:15" ht="18" customHeight="1">
      <c r="A818" s="21">
        <v>125</v>
      </c>
      <c r="B818" s="28" t="s">
        <v>3856</v>
      </c>
      <c r="C818" s="28" t="s">
        <v>3857</v>
      </c>
      <c r="D818" s="28" t="s">
        <v>34</v>
      </c>
      <c r="E818" s="28">
        <v>1.22</v>
      </c>
      <c r="F818" s="28">
        <v>175</v>
      </c>
      <c r="G818" s="28"/>
      <c r="H818" s="28">
        <v>1.3</v>
      </c>
      <c r="I818" s="28"/>
      <c r="J818" s="133">
        <v>45582</v>
      </c>
      <c r="K818" s="9">
        <f t="shared" si="53"/>
        <v>277.55</v>
      </c>
      <c r="L818" s="9"/>
      <c r="M818" s="9"/>
      <c r="N818" s="9">
        <f>G818*H818*I818*E818</f>
        <v>0</v>
      </c>
      <c r="O818" s="3">
        <f>K818*1.6667</f>
        <v>462.59258500000004</v>
      </c>
    </row>
    <row r="819" spans="1:15" ht="18" customHeight="1">
      <c r="A819" s="16"/>
      <c r="B819" s="28" t="s">
        <v>2898</v>
      </c>
      <c r="C819" s="28" t="s">
        <v>122</v>
      </c>
      <c r="D819" s="28"/>
      <c r="E819" s="28">
        <v>1.22</v>
      </c>
      <c r="F819" s="80">
        <v>167</v>
      </c>
      <c r="G819" s="110"/>
      <c r="H819" s="87">
        <v>1.2</v>
      </c>
      <c r="I819" s="110"/>
      <c r="J819" s="143">
        <v>44986</v>
      </c>
      <c r="K819" s="9">
        <f t="shared" si="53"/>
        <v>244.488</v>
      </c>
      <c r="L819" s="9"/>
      <c r="M819" s="9"/>
      <c r="N819" s="16"/>
      <c r="O819" s="3">
        <f>K819*1.6667</f>
        <v>407.48814960000004</v>
      </c>
    </row>
    <row r="820" spans="1:15" ht="18" customHeight="1">
      <c r="A820" s="21"/>
      <c r="B820" s="28" t="s">
        <v>1533</v>
      </c>
      <c r="C820" s="110"/>
      <c r="D820" s="28"/>
      <c r="E820" s="28">
        <v>1.22</v>
      </c>
      <c r="F820" s="28">
        <v>6.96</v>
      </c>
      <c r="G820" s="110"/>
      <c r="H820" s="28">
        <v>1.8</v>
      </c>
      <c r="I820" s="110"/>
      <c r="J820" s="135">
        <v>43900</v>
      </c>
      <c r="K820" s="9">
        <f t="shared" si="53"/>
        <v>15.284159999999998</v>
      </c>
      <c r="L820" s="9"/>
      <c r="M820" s="9"/>
      <c r="N820" s="16"/>
      <c r="O820" s="16"/>
    </row>
    <row r="821" spans="1:15" ht="18" customHeight="1">
      <c r="A821" s="16"/>
      <c r="B821" s="87" t="s">
        <v>4388</v>
      </c>
      <c r="C821" s="110"/>
      <c r="D821" s="110"/>
      <c r="E821" s="87"/>
      <c r="F821" s="87"/>
      <c r="G821" s="110"/>
      <c r="H821" s="87"/>
      <c r="I821" s="110"/>
      <c r="J821" s="87"/>
      <c r="K821" s="37"/>
      <c r="L821" s="37"/>
      <c r="M821" s="17"/>
      <c r="N821" s="16"/>
      <c r="O821" s="16"/>
    </row>
    <row r="822" spans="1:15" ht="18" customHeight="1">
      <c r="A822" s="46">
        <v>122</v>
      </c>
      <c r="B822" s="28" t="s">
        <v>3649</v>
      </c>
      <c r="C822" s="28" t="s">
        <v>91</v>
      </c>
      <c r="D822" s="28" t="s">
        <v>34</v>
      </c>
      <c r="E822" s="28">
        <v>1.22</v>
      </c>
      <c r="F822" s="28">
        <v>897</v>
      </c>
      <c r="G822" s="110"/>
      <c r="H822" s="28">
        <v>1.5</v>
      </c>
      <c r="I822" s="110"/>
      <c r="J822" s="134">
        <v>45867</v>
      </c>
      <c r="K822" s="9">
        <f t="shared" ref="K822:K861" si="54">E822*F822*H822</f>
        <v>1641.5099999999998</v>
      </c>
      <c r="L822" s="17"/>
      <c r="M822" s="17"/>
      <c r="N822" s="16"/>
      <c r="O822" s="16"/>
    </row>
    <row r="823" spans="1:15" ht="18" customHeight="1">
      <c r="A823" s="21"/>
      <c r="B823" s="28" t="s">
        <v>2469</v>
      </c>
      <c r="C823" s="28" t="s">
        <v>535</v>
      </c>
      <c r="D823" s="28" t="s">
        <v>34</v>
      </c>
      <c r="E823" s="28">
        <v>1.22</v>
      </c>
      <c r="F823" s="28">
        <v>175</v>
      </c>
      <c r="G823" s="28"/>
      <c r="H823" s="28">
        <v>1.4</v>
      </c>
      <c r="I823" s="28"/>
      <c r="J823" s="134">
        <v>45867</v>
      </c>
      <c r="K823" s="9">
        <f t="shared" si="54"/>
        <v>298.89999999999998</v>
      </c>
      <c r="L823" s="9"/>
      <c r="M823" s="9"/>
      <c r="N823" s="9"/>
      <c r="O823" s="3"/>
    </row>
    <row r="824" spans="1:15" ht="18" customHeight="1">
      <c r="A824" s="46">
        <v>150702</v>
      </c>
      <c r="B824" s="28" t="s">
        <v>3288</v>
      </c>
      <c r="C824" s="110"/>
      <c r="D824" s="28" t="s">
        <v>1245</v>
      </c>
      <c r="E824" s="28">
        <v>1.22</v>
      </c>
      <c r="F824" s="28">
        <v>80.5</v>
      </c>
      <c r="G824" s="110"/>
      <c r="H824" s="28">
        <v>1.55</v>
      </c>
      <c r="I824" s="110"/>
      <c r="J824" s="134">
        <v>45687</v>
      </c>
      <c r="K824" s="37">
        <f t="shared" si="54"/>
        <v>152.22549999999998</v>
      </c>
      <c r="L824" s="37"/>
      <c r="M824" s="17"/>
      <c r="N824" s="16"/>
      <c r="O824" s="16"/>
    </row>
    <row r="825" spans="1:15" ht="18" customHeight="1">
      <c r="A825" s="44"/>
      <c r="B825" s="80" t="s">
        <v>2883</v>
      </c>
      <c r="C825" s="113" t="s">
        <v>1703</v>
      </c>
      <c r="D825" s="28" t="s">
        <v>1245</v>
      </c>
      <c r="E825" s="92">
        <v>1.22</v>
      </c>
      <c r="F825" s="95">
        <v>162</v>
      </c>
      <c r="G825" s="113"/>
      <c r="H825" s="92">
        <v>1.2</v>
      </c>
      <c r="I825" s="113"/>
      <c r="J825" s="134">
        <v>44949</v>
      </c>
      <c r="K825" s="9">
        <f t="shared" si="54"/>
        <v>237.16799999999998</v>
      </c>
      <c r="L825" s="17"/>
      <c r="M825" s="17"/>
      <c r="N825" s="44"/>
      <c r="O825" s="44"/>
    </row>
    <row r="826" spans="1:15" ht="18" customHeight="1">
      <c r="A826" s="44"/>
      <c r="B826" s="80" t="s">
        <v>1853</v>
      </c>
      <c r="C826" s="113" t="s">
        <v>1852</v>
      </c>
      <c r="D826" s="28" t="s">
        <v>1245</v>
      </c>
      <c r="E826" s="92">
        <v>1.22</v>
      </c>
      <c r="F826" s="80">
        <v>123.68</v>
      </c>
      <c r="G826" s="113"/>
      <c r="H826" s="92">
        <v>1.2</v>
      </c>
      <c r="I826" s="113"/>
      <c r="J826" s="134">
        <v>45197</v>
      </c>
      <c r="K826" s="9">
        <f t="shared" si="54"/>
        <v>181.06752</v>
      </c>
      <c r="L826" s="9"/>
      <c r="M826" s="17"/>
      <c r="N826" s="44"/>
      <c r="O826" s="44"/>
    </row>
    <row r="827" spans="1:15" ht="18" customHeight="1">
      <c r="A827" s="16"/>
      <c r="B827" s="28" t="s">
        <v>1660</v>
      </c>
      <c r="C827" s="88" t="s">
        <v>11</v>
      </c>
      <c r="D827" s="28" t="s">
        <v>3309</v>
      </c>
      <c r="E827" s="28">
        <v>1</v>
      </c>
      <c r="F827" s="28">
        <v>84</v>
      </c>
      <c r="G827" s="110"/>
      <c r="H827" s="28">
        <v>1.5</v>
      </c>
      <c r="I827" s="110"/>
      <c r="J827" s="135">
        <v>44999</v>
      </c>
      <c r="K827" s="9">
        <f t="shared" si="54"/>
        <v>126</v>
      </c>
      <c r="L827" s="9"/>
      <c r="M827" s="17"/>
      <c r="N827" s="16"/>
      <c r="O827" s="16"/>
    </row>
    <row r="828" spans="1:15" ht="18" customHeight="1">
      <c r="A828" s="16"/>
      <c r="B828" s="28" t="s">
        <v>1660</v>
      </c>
      <c r="C828" s="88">
        <v>500</v>
      </c>
      <c r="D828" s="28" t="s">
        <v>3309</v>
      </c>
      <c r="E828" s="28">
        <v>1</v>
      </c>
      <c r="F828" s="28">
        <v>310</v>
      </c>
      <c r="G828" s="110"/>
      <c r="H828" s="28">
        <v>1.5</v>
      </c>
      <c r="I828" s="110"/>
      <c r="J828" s="133">
        <v>44999</v>
      </c>
      <c r="K828" s="9">
        <f t="shared" si="54"/>
        <v>465</v>
      </c>
      <c r="L828" s="9"/>
      <c r="M828" s="17"/>
      <c r="N828" s="16"/>
      <c r="O828" s="16"/>
    </row>
    <row r="829" spans="1:15" ht="18" customHeight="1">
      <c r="A829" s="21"/>
      <c r="B829" s="28" t="s">
        <v>1660</v>
      </c>
      <c r="C829" s="28" t="s">
        <v>300</v>
      </c>
      <c r="D829" s="28" t="s">
        <v>3309</v>
      </c>
      <c r="E829" s="28">
        <v>1</v>
      </c>
      <c r="F829" s="28">
        <v>560</v>
      </c>
      <c r="G829" s="28"/>
      <c r="H829" s="28">
        <v>1.5</v>
      </c>
      <c r="I829" s="28"/>
      <c r="J829" s="133">
        <v>44999</v>
      </c>
      <c r="K829" s="9">
        <f t="shared" si="54"/>
        <v>840</v>
      </c>
      <c r="L829" s="9"/>
      <c r="M829" s="9"/>
      <c r="N829" s="9"/>
      <c r="O829" s="3"/>
    </row>
    <row r="830" spans="1:15" ht="18" customHeight="1">
      <c r="A830" s="16"/>
      <c r="B830" s="28" t="s">
        <v>1660</v>
      </c>
      <c r="C830" s="80" t="s">
        <v>1606</v>
      </c>
      <c r="D830" s="28" t="s">
        <v>3309</v>
      </c>
      <c r="E830" s="28">
        <v>1</v>
      </c>
      <c r="F830" s="28">
        <v>3700</v>
      </c>
      <c r="G830" s="110"/>
      <c r="H830" s="28">
        <v>1.4</v>
      </c>
      <c r="I830" s="110"/>
      <c r="J830" s="135">
        <v>45099</v>
      </c>
      <c r="K830" s="37">
        <f t="shared" si="54"/>
        <v>5180</v>
      </c>
      <c r="L830" s="37"/>
      <c r="M830" s="17"/>
      <c r="N830" s="16"/>
      <c r="O830" s="16"/>
    </row>
    <row r="831" spans="1:15" ht="18" hidden="1" customHeight="1">
      <c r="A831" s="21"/>
      <c r="B831" s="28" t="s">
        <v>483</v>
      </c>
      <c r="C831" s="28"/>
      <c r="D831" s="28"/>
      <c r="E831" s="28">
        <v>1</v>
      </c>
      <c r="F831" s="28">
        <v>265</v>
      </c>
      <c r="G831" s="28"/>
      <c r="H831" s="28">
        <v>1.3</v>
      </c>
      <c r="I831" s="28"/>
      <c r="J831" s="133">
        <v>43154</v>
      </c>
      <c r="K831" s="9">
        <f t="shared" si="54"/>
        <v>344.5</v>
      </c>
      <c r="L831" s="9"/>
      <c r="M831" s="9"/>
      <c r="N831" s="9">
        <f>G831*H831*I831*E831</f>
        <v>0</v>
      </c>
      <c r="O831" s="3">
        <f>K831*1.6667</f>
        <v>574.17815000000007</v>
      </c>
    </row>
    <row r="832" spans="1:15" ht="18" customHeight="1">
      <c r="A832" s="21">
        <v>0</v>
      </c>
      <c r="B832" s="28" t="s">
        <v>2617</v>
      </c>
      <c r="C832" s="28" t="s">
        <v>77</v>
      </c>
      <c r="D832" s="28" t="s">
        <v>451</v>
      </c>
      <c r="E832" s="28">
        <v>1.22</v>
      </c>
      <c r="F832" s="28">
        <v>265</v>
      </c>
      <c r="G832" s="28"/>
      <c r="H832" s="28">
        <v>1.4</v>
      </c>
      <c r="I832" s="28"/>
      <c r="J832" s="133">
        <v>44749</v>
      </c>
      <c r="K832" s="9">
        <f t="shared" si="54"/>
        <v>452.62</v>
      </c>
      <c r="L832" s="9"/>
      <c r="M832" s="9"/>
      <c r="N832" s="9">
        <f>G832*H832*I832*E832</f>
        <v>0</v>
      </c>
      <c r="O832" s="3">
        <f>K832*1.6667</f>
        <v>754.381754</v>
      </c>
    </row>
    <row r="833" spans="1:15" ht="18" customHeight="1">
      <c r="A833" s="25" t="s">
        <v>2261</v>
      </c>
      <c r="B833" s="90" t="s">
        <v>1146</v>
      </c>
      <c r="C833" s="109" t="s">
        <v>2262</v>
      </c>
      <c r="D833" s="28" t="s">
        <v>451</v>
      </c>
      <c r="E833" s="28">
        <v>1.22</v>
      </c>
      <c r="F833" s="90">
        <v>91</v>
      </c>
      <c r="G833" s="110"/>
      <c r="H833" s="28">
        <v>1.5</v>
      </c>
      <c r="I833" s="110"/>
      <c r="J833" s="135">
        <v>44657</v>
      </c>
      <c r="K833" s="37">
        <f t="shared" si="54"/>
        <v>166.53</v>
      </c>
      <c r="L833" s="37"/>
      <c r="M833" s="17"/>
      <c r="N833" s="16"/>
      <c r="O833" s="16"/>
    </row>
    <row r="834" spans="1:15" ht="18" customHeight="1">
      <c r="A834" s="16"/>
      <c r="B834" s="28" t="s">
        <v>1146</v>
      </c>
      <c r="C834" s="110" t="s">
        <v>2951</v>
      </c>
      <c r="D834" s="28" t="s">
        <v>451</v>
      </c>
      <c r="E834" s="28">
        <v>1.22</v>
      </c>
      <c r="F834" s="28">
        <v>115</v>
      </c>
      <c r="G834" s="110"/>
      <c r="H834" s="28">
        <v>1.8</v>
      </c>
      <c r="I834" s="110"/>
      <c r="J834" s="135">
        <v>45005</v>
      </c>
      <c r="K834" s="37">
        <f t="shared" si="54"/>
        <v>252.53999999999996</v>
      </c>
      <c r="L834" s="37"/>
      <c r="M834" s="17"/>
      <c r="N834" s="16"/>
      <c r="O834" s="16"/>
    </row>
    <row r="835" spans="1:15" ht="18" customHeight="1">
      <c r="A835" s="16"/>
      <c r="B835" s="28" t="s">
        <v>1146</v>
      </c>
      <c r="C835" s="110" t="s">
        <v>2952</v>
      </c>
      <c r="D835" s="28" t="s">
        <v>451</v>
      </c>
      <c r="E835" s="28">
        <v>1.22</v>
      </c>
      <c r="F835" s="28">
        <v>155</v>
      </c>
      <c r="G835" s="110"/>
      <c r="H835" s="28">
        <v>1.8</v>
      </c>
      <c r="I835" s="110"/>
      <c r="J835" s="135">
        <v>45005</v>
      </c>
      <c r="K835" s="37">
        <f t="shared" si="54"/>
        <v>340.38</v>
      </c>
      <c r="L835" s="37"/>
      <c r="M835" s="17"/>
      <c r="N835" s="16"/>
      <c r="O835" s="16"/>
    </row>
    <row r="836" spans="1:15" ht="18" customHeight="1">
      <c r="A836" s="16"/>
      <c r="B836" s="28" t="s">
        <v>1146</v>
      </c>
      <c r="C836" s="110" t="s">
        <v>2953</v>
      </c>
      <c r="D836" s="28" t="s">
        <v>451</v>
      </c>
      <c r="E836" s="28">
        <v>1.22</v>
      </c>
      <c r="F836" s="28">
        <v>220</v>
      </c>
      <c r="G836" s="110"/>
      <c r="H836" s="28">
        <v>1.8</v>
      </c>
      <c r="I836" s="110"/>
      <c r="J836" s="135">
        <v>45005</v>
      </c>
      <c r="K836" s="37">
        <f t="shared" si="54"/>
        <v>483.11999999999995</v>
      </c>
      <c r="L836" s="37"/>
      <c r="M836" s="17"/>
      <c r="N836" s="16"/>
      <c r="O836" s="16"/>
    </row>
    <row r="837" spans="1:15" ht="18" customHeight="1">
      <c r="A837" s="21"/>
      <c r="B837" s="28" t="s">
        <v>1665</v>
      </c>
      <c r="C837" s="28" t="s">
        <v>1666</v>
      </c>
      <c r="D837" s="28" t="s">
        <v>451</v>
      </c>
      <c r="E837" s="28">
        <v>1.22</v>
      </c>
      <c r="F837" s="28">
        <v>250</v>
      </c>
      <c r="G837" s="28"/>
      <c r="H837" s="28">
        <v>1.6</v>
      </c>
      <c r="I837" s="28"/>
      <c r="J837" s="133">
        <v>43956</v>
      </c>
      <c r="K837" s="9">
        <f t="shared" si="54"/>
        <v>488</v>
      </c>
      <c r="L837" s="9"/>
      <c r="M837" s="9"/>
      <c r="N837" s="9"/>
      <c r="O837" s="3">
        <f>K837*1.6667</f>
        <v>813.34960000000001</v>
      </c>
    </row>
    <row r="838" spans="1:15" ht="18" customHeight="1">
      <c r="A838" s="21">
        <v>100092</v>
      </c>
      <c r="B838" s="28" t="s">
        <v>2698</v>
      </c>
      <c r="C838" s="28" t="s">
        <v>2699</v>
      </c>
      <c r="D838" s="28" t="s">
        <v>451</v>
      </c>
      <c r="E838" s="28">
        <v>1.22</v>
      </c>
      <c r="F838" s="28">
        <v>128.13999999999999</v>
      </c>
      <c r="G838" s="28"/>
      <c r="H838" s="28">
        <v>1.4</v>
      </c>
      <c r="I838" s="28"/>
      <c r="J838" s="133">
        <v>44813</v>
      </c>
      <c r="K838" s="9">
        <f t="shared" si="54"/>
        <v>218.86311999999995</v>
      </c>
      <c r="L838" s="9"/>
      <c r="M838" s="9"/>
      <c r="N838" s="9">
        <f t="shared" ref="N838:N846" si="55">G838*H838*I838*E838</f>
        <v>0</v>
      </c>
      <c r="O838" s="3">
        <f>K838*1.6667</f>
        <v>364.77916210399991</v>
      </c>
    </row>
    <row r="839" spans="1:15" ht="18" customHeight="1">
      <c r="A839" s="21">
        <v>100112</v>
      </c>
      <c r="B839" s="28" t="s">
        <v>2697</v>
      </c>
      <c r="C839" s="28" t="s">
        <v>2517</v>
      </c>
      <c r="D839" s="28" t="s">
        <v>451</v>
      </c>
      <c r="E839" s="28">
        <v>1.22</v>
      </c>
      <c r="F839" s="28">
        <v>662.18</v>
      </c>
      <c r="G839" s="28"/>
      <c r="H839" s="28">
        <v>1.4</v>
      </c>
      <c r="I839" s="28"/>
      <c r="J839" s="133">
        <v>44813</v>
      </c>
      <c r="K839" s="9">
        <f t="shared" si="54"/>
        <v>1131.0034399999997</v>
      </c>
      <c r="L839" s="9"/>
      <c r="M839" s="9"/>
      <c r="N839" s="9">
        <f t="shared" si="55"/>
        <v>0</v>
      </c>
      <c r="O839" s="3"/>
    </row>
    <row r="840" spans="1:15" ht="18" hidden="1" customHeight="1">
      <c r="A840" s="21">
        <v>52044</v>
      </c>
      <c r="B840" s="28" t="s">
        <v>825</v>
      </c>
      <c r="C840" s="28" t="s">
        <v>826</v>
      </c>
      <c r="D840" s="28" t="s">
        <v>451</v>
      </c>
      <c r="E840" s="28">
        <v>1.22</v>
      </c>
      <c r="F840" s="28">
        <v>550</v>
      </c>
      <c r="G840" s="28"/>
      <c r="H840" s="28">
        <v>1.6</v>
      </c>
      <c r="I840" s="28"/>
      <c r="J840" s="133">
        <v>43213</v>
      </c>
      <c r="K840" s="9">
        <f t="shared" si="54"/>
        <v>1073.6000000000001</v>
      </c>
      <c r="L840" s="9"/>
      <c r="M840" s="9"/>
      <c r="N840" s="9">
        <f t="shared" si="55"/>
        <v>0</v>
      </c>
      <c r="O840" s="3">
        <f t="shared" ref="O840:O846" si="56">K840*1.6667</f>
        <v>1789.3691200000003</v>
      </c>
    </row>
    <row r="841" spans="1:15" ht="18" customHeight="1">
      <c r="A841" s="21">
        <v>22072</v>
      </c>
      <c r="B841" s="28" t="s">
        <v>1056</v>
      </c>
      <c r="C841" s="28"/>
      <c r="D841" s="28" t="s">
        <v>451</v>
      </c>
      <c r="E841" s="28">
        <v>1.22</v>
      </c>
      <c r="F841" s="28">
        <v>149</v>
      </c>
      <c r="G841" s="28"/>
      <c r="H841" s="28">
        <v>1.7</v>
      </c>
      <c r="I841" s="28"/>
      <c r="J841" s="133">
        <v>44455</v>
      </c>
      <c r="K841" s="9">
        <f t="shared" si="54"/>
        <v>309.02600000000001</v>
      </c>
      <c r="L841" s="9"/>
      <c r="M841" s="9"/>
      <c r="N841" s="9">
        <f t="shared" si="55"/>
        <v>0</v>
      </c>
      <c r="O841" s="3">
        <f t="shared" si="56"/>
        <v>515.05363420000003</v>
      </c>
    </row>
    <row r="842" spans="1:15" ht="18" customHeight="1">
      <c r="A842" s="21"/>
      <c r="B842" s="28" t="s">
        <v>670</v>
      </c>
      <c r="C842" s="28" t="s">
        <v>545</v>
      </c>
      <c r="D842" s="28" t="s">
        <v>451</v>
      </c>
      <c r="E842" s="28">
        <v>1.22</v>
      </c>
      <c r="F842" s="28">
        <v>74</v>
      </c>
      <c r="G842" s="28"/>
      <c r="H842" s="28">
        <v>1.6</v>
      </c>
      <c r="I842" s="28"/>
      <c r="J842" s="133">
        <v>44834</v>
      </c>
      <c r="K842" s="9">
        <f t="shared" si="54"/>
        <v>144.44800000000001</v>
      </c>
      <c r="L842" s="9"/>
      <c r="M842" s="9"/>
      <c r="N842" s="9">
        <f t="shared" si="55"/>
        <v>0</v>
      </c>
      <c r="O842" s="3">
        <f t="shared" si="56"/>
        <v>240.75148160000003</v>
      </c>
    </row>
    <row r="843" spans="1:15" ht="18" customHeight="1">
      <c r="A843" s="21"/>
      <c r="B843" s="28" t="s">
        <v>670</v>
      </c>
      <c r="C843" s="28" t="s">
        <v>141</v>
      </c>
      <c r="D843" s="28" t="s">
        <v>451</v>
      </c>
      <c r="E843" s="28">
        <v>1.22</v>
      </c>
      <c r="F843" s="28">
        <v>133</v>
      </c>
      <c r="G843" s="28"/>
      <c r="H843" s="28">
        <v>1.6</v>
      </c>
      <c r="I843" s="28"/>
      <c r="J843" s="133">
        <v>45545</v>
      </c>
      <c r="K843" s="9">
        <f t="shared" si="54"/>
        <v>259.61599999999999</v>
      </c>
      <c r="L843" s="9"/>
      <c r="M843" s="9"/>
      <c r="N843" s="9">
        <f t="shared" si="55"/>
        <v>0</v>
      </c>
      <c r="O843" s="3">
        <f t="shared" si="56"/>
        <v>432.70198720000002</v>
      </c>
    </row>
    <row r="844" spans="1:15" ht="15" customHeight="1">
      <c r="A844" s="24"/>
      <c r="B844" s="78" t="s">
        <v>670</v>
      </c>
      <c r="C844" s="78" t="s">
        <v>539</v>
      </c>
      <c r="D844" s="78" t="s">
        <v>451</v>
      </c>
      <c r="E844" s="78">
        <v>1.22</v>
      </c>
      <c r="F844" s="78">
        <v>164</v>
      </c>
      <c r="G844" s="78"/>
      <c r="H844" s="78">
        <v>1.6</v>
      </c>
      <c r="I844" s="78"/>
      <c r="J844" s="140">
        <v>45545</v>
      </c>
      <c r="K844" s="13">
        <f t="shared" si="54"/>
        <v>320.12799999999999</v>
      </c>
      <c r="L844" s="13"/>
      <c r="M844" s="13"/>
      <c r="N844" s="13">
        <f t="shared" si="55"/>
        <v>0</v>
      </c>
      <c r="O844" s="15">
        <f t="shared" si="56"/>
        <v>533.55733759999998</v>
      </c>
    </row>
    <row r="845" spans="1:15" ht="15" customHeight="1">
      <c r="A845" s="24"/>
      <c r="B845" s="78" t="s">
        <v>670</v>
      </c>
      <c r="C845" s="78" t="s">
        <v>77</v>
      </c>
      <c r="D845" s="78" t="s">
        <v>451</v>
      </c>
      <c r="E845" s="78">
        <v>1.22</v>
      </c>
      <c r="F845" s="78">
        <v>194</v>
      </c>
      <c r="G845" s="78"/>
      <c r="H845" s="78">
        <v>1.6</v>
      </c>
      <c r="I845" s="78"/>
      <c r="J845" s="140">
        <v>45545</v>
      </c>
      <c r="K845" s="13">
        <f t="shared" si="54"/>
        <v>378.68800000000005</v>
      </c>
      <c r="L845" s="13"/>
      <c r="M845" s="13"/>
      <c r="N845" s="13">
        <f t="shared" si="55"/>
        <v>0</v>
      </c>
      <c r="O845" s="15">
        <f t="shared" si="56"/>
        <v>631.15928960000008</v>
      </c>
    </row>
    <row r="846" spans="1:15" ht="15" customHeight="1">
      <c r="A846" s="24"/>
      <c r="B846" s="78" t="s">
        <v>670</v>
      </c>
      <c r="C846" s="78" t="s">
        <v>70</v>
      </c>
      <c r="D846" s="78" t="s">
        <v>451</v>
      </c>
      <c r="E846" s="78">
        <v>1.22</v>
      </c>
      <c r="F846" s="78">
        <v>431</v>
      </c>
      <c r="G846" s="78"/>
      <c r="H846" s="78">
        <v>1.7</v>
      </c>
      <c r="I846" s="78"/>
      <c r="J846" s="140">
        <v>43970</v>
      </c>
      <c r="K846" s="13">
        <f t="shared" si="54"/>
        <v>893.89399999999989</v>
      </c>
      <c r="L846" s="13"/>
      <c r="M846" s="13"/>
      <c r="N846" s="13">
        <f t="shared" si="55"/>
        <v>0</v>
      </c>
      <c r="O846" s="15">
        <f t="shared" si="56"/>
        <v>1489.8531297999998</v>
      </c>
    </row>
    <row r="847" spans="1:15" ht="15" customHeight="1">
      <c r="A847" s="38">
        <v>100046</v>
      </c>
      <c r="B847" s="103" t="s">
        <v>4091</v>
      </c>
      <c r="C847" s="121" t="s">
        <v>4092</v>
      </c>
      <c r="D847" s="78" t="s">
        <v>1859</v>
      </c>
      <c r="E847" s="78">
        <v>1.22</v>
      </c>
      <c r="F847" s="103">
        <v>121.14</v>
      </c>
      <c r="G847" s="121"/>
      <c r="H847" s="78">
        <v>1.7</v>
      </c>
      <c r="I847" s="121"/>
      <c r="J847" s="138">
        <v>45945</v>
      </c>
      <c r="K847" s="13">
        <f t="shared" si="54"/>
        <v>251.24435999999997</v>
      </c>
      <c r="L847" s="13"/>
      <c r="M847" s="41"/>
      <c r="N847" s="38"/>
      <c r="O847" s="38"/>
    </row>
    <row r="848" spans="1:15" ht="15" customHeight="1">
      <c r="A848" s="48">
        <v>100046</v>
      </c>
      <c r="B848" s="100" t="s">
        <v>4091</v>
      </c>
      <c r="C848" s="124" t="s">
        <v>4093</v>
      </c>
      <c r="D848" s="78" t="s">
        <v>1859</v>
      </c>
      <c r="E848" s="78">
        <v>1.22</v>
      </c>
      <c r="F848" s="100">
        <v>50.66</v>
      </c>
      <c r="G848" s="124"/>
      <c r="H848" s="78">
        <v>1.7</v>
      </c>
      <c r="I848" s="124"/>
      <c r="J848" s="139">
        <v>45945</v>
      </c>
      <c r="K848" s="13">
        <f t="shared" si="54"/>
        <v>105.06883999999998</v>
      </c>
      <c r="L848" s="13"/>
      <c r="M848" s="41"/>
      <c r="N848" s="48"/>
      <c r="O848" s="48"/>
    </row>
    <row r="849" spans="1:15" ht="15" customHeight="1">
      <c r="A849" s="38"/>
      <c r="B849" s="103" t="s">
        <v>4283</v>
      </c>
      <c r="C849" s="121">
        <v>20</v>
      </c>
      <c r="D849" s="78" t="s">
        <v>451</v>
      </c>
      <c r="E849" s="78">
        <v>1.22</v>
      </c>
      <c r="F849" s="103">
        <v>60</v>
      </c>
      <c r="G849" s="121"/>
      <c r="H849" s="103">
        <v>1.7</v>
      </c>
      <c r="I849" s="121"/>
      <c r="J849" s="138">
        <v>45812</v>
      </c>
      <c r="K849" s="50">
        <f t="shared" si="54"/>
        <v>124.44</v>
      </c>
      <c r="L849" s="64"/>
      <c r="M849" s="41"/>
      <c r="N849" s="38"/>
      <c r="O849" s="38"/>
    </row>
    <row r="850" spans="1:15" ht="18" customHeight="1">
      <c r="A850" s="16"/>
      <c r="B850" s="87" t="s">
        <v>4283</v>
      </c>
      <c r="C850" s="110">
        <v>36</v>
      </c>
      <c r="D850" s="28" t="s">
        <v>451</v>
      </c>
      <c r="E850" s="28">
        <v>1.22</v>
      </c>
      <c r="F850" s="87">
        <v>113</v>
      </c>
      <c r="G850" s="110"/>
      <c r="H850" s="87">
        <v>1.7</v>
      </c>
      <c r="I850" s="110"/>
      <c r="J850" s="138">
        <v>45812</v>
      </c>
      <c r="K850" s="57">
        <f t="shared" si="54"/>
        <v>234.36199999999997</v>
      </c>
      <c r="L850" s="63"/>
      <c r="M850" s="17"/>
      <c r="N850" s="16"/>
      <c r="O850" s="16"/>
    </row>
    <row r="851" spans="1:15" ht="18" customHeight="1">
      <c r="A851" s="21"/>
      <c r="B851" s="28" t="s">
        <v>3744</v>
      </c>
      <c r="C851" s="28" t="s">
        <v>141</v>
      </c>
      <c r="D851" s="28" t="s">
        <v>451</v>
      </c>
      <c r="E851" s="28">
        <v>1.22</v>
      </c>
      <c r="F851" s="28">
        <v>75</v>
      </c>
      <c r="G851" s="28"/>
      <c r="H851" s="28">
        <v>1.6</v>
      </c>
      <c r="I851" s="28"/>
      <c r="J851" s="140">
        <v>45981</v>
      </c>
      <c r="K851" s="9">
        <f t="shared" si="54"/>
        <v>146.4</v>
      </c>
      <c r="L851" s="9"/>
      <c r="M851" s="9"/>
      <c r="N851" s="9">
        <f>G851*H851*I851*E851</f>
        <v>0</v>
      </c>
      <c r="O851" s="3">
        <f>K851*1.6667</f>
        <v>244.00488000000001</v>
      </c>
    </row>
    <row r="852" spans="1:15" ht="18" customHeight="1">
      <c r="A852" s="21"/>
      <c r="B852" s="28" t="s">
        <v>3744</v>
      </c>
      <c r="C852" s="28" t="s">
        <v>539</v>
      </c>
      <c r="D852" s="28" t="s">
        <v>451</v>
      </c>
      <c r="E852" s="28">
        <v>1.22</v>
      </c>
      <c r="F852" s="28">
        <v>85</v>
      </c>
      <c r="G852" s="28"/>
      <c r="H852" s="28">
        <v>1.6</v>
      </c>
      <c r="I852" s="28"/>
      <c r="J852" s="133">
        <v>45981</v>
      </c>
      <c r="K852" s="9">
        <f t="shared" si="54"/>
        <v>165.92000000000002</v>
      </c>
      <c r="L852" s="9"/>
      <c r="M852" s="9"/>
      <c r="N852" s="9"/>
      <c r="O852" s="3"/>
    </row>
    <row r="853" spans="1:15" ht="18" customHeight="1">
      <c r="A853" s="21"/>
      <c r="B853" s="28" t="s">
        <v>3744</v>
      </c>
      <c r="C853" s="28" t="s">
        <v>77</v>
      </c>
      <c r="D853" s="28" t="s">
        <v>451</v>
      </c>
      <c r="E853" s="28">
        <v>1.22</v>
      </c>
      <c r="F853" s="28">
        <v>95</v>
      </c>
      <c r="G853" s="28"/>
      <c r="H853" s="28">
        <v>1.6</v>
      </c>
      <c r="I853" s="28"/>
      <c r="J853" s="133">
        <v>45981</v>
      </c>
      <c r="K853" s="9">
        <f t="shared" si="54"/>
        <v>185.44</v>
      </c>
      <c r="L853" s="9"/>
      <c r="M853" s="9"/>
      <c r="N853" s="9"/>
      <c r="O853" s="3"/>
    </row>
    <row r="854" spans="1:15" ht="18" customHeight="1">
      <c r="A854" s="21"/>
      <c r="B854" s="28" t="s">
        <v>3744</v>
      </c>
      <c r="C854" s="28" t="s">
        <v>70</v>
      </c>
      <c r="D854" s="28" t="s">
        <v>451</v>
      </c>
      <c r="E854" s="28">
        <v>1.22</v>
      </c>
      <c r="F854" s="28">
        <v>120</v>
      </c>
      <c r="G854" s="28"/>
      <c r="H854" s="28">
        <v>1.6</v>
      </c>
      <c r="I854" s="28"/>
      <c r="J854" s="133">
        <v>45981</v>
      </c>
      <c r="K854" s="9">
        <f t="shared" si="54"/>
        <v>234.24</v>
      </c>
      <c r="L854" s="9"/>
      <c r="M854" s="9"/>
      <c r="N854" s="9"/>
      <c r="O854" s="3"/>
    </row>
    <row r="855" spans="1:15" ht="18" customHeight="1">
      <c r="A855" s="21">
        <v>100092</v>
      </c>
      <c r="B855" s="28" t="s">
        <v>3273</v>
      </c>
      <c r="C855" s="28" t="s">
        <v>77</v>
      </c>
      <c r="D855" s="28" t="s">
        <v>451</v>
      </c>
      <c r="E855" s="28">
        <v>1.22</v>
      </c>
      <c r="F855" s="28">
        <v>300</v>
      </c>
      <c r="G855" s="28"/>
      <c r="H855" s="28">
        <v>1.4</v>
      </c>
      <c r="I855" s="28"/>
      <c r="J855" s="133">
        <v>45981</v>
      </c>
      <c r="K855" s="9">
        <f t="shared" si="54"/>
        <v>512.4</v>
      </c>
      <c r="L855" s="9"/>
      <c r="M855" s="9"/>
      <c r="N855" s="9">
        <f>G855*H855*I855*E855</f>
        <v>0</v>
      </c>
      <c r="O855" s="3"/>
    </row>
    <row r="856" spans="1:15" ht="18" customHeight="1">
      <c r="A856" s="222" t="s">
        <v>1639</v>
      </c>
      <c r="B856" s="28" t="s">
        <v>1350</v>
      </c>
      <c r="C856" s="28" t="s">
        <v>1351</v>
      </c>
      <c r="D856" s="28" t="s">
        <v>451</v>
      </c>
      <c r="E856" s="28">
        <v>1.22</v>
      </c>
      <c r="F856" s="28">
        <v>1653</v>
      </c>
      <c r="G856" s="110"/>
      <c r="H856" s="28">
        <v>1.4</v>
      </c>
      <c r="I856" s="110"/>
      <c r="J856" s="135">
        <v>43945</v>
      </c>
      <c r="K856" s="17">
        <f t="shared" si="54"/>
        <v>2823.3239999999996</v>
      </c>
      <c r="L856" s="17"/>
      <c r="M856" s="17"/>
      <c r="N856" s="9">
        <f>G856*H856*I856*E856</f>
        <v>0</v>
      </c>
      <c r="O856" s="3">
        <f>K856*1.6667</f>
        <v>4705.6341107999997</v>
      </c>
    </row>
    <row r="857" spans="1:15" ht="18" hidden="1" customHeight="1">
      <c r="A857" s="16"/>
      <c r="B857" s="28" t="s">
        <v>1350</v>
      </c>
      <c r="C857" s="28" t="s">
        <v>1352</v>
      </c>
      <c r="D857" s="28" t="s">
        <v>451</v>
      </c>
      <c r="E857" s="28">
        <v>1.22</v>
      </c>
      <c r="F857" s="28">
        <v>1690</v>
      </c>
      <c r="G857" s="110"/>
      <c r="H857" s="28">
        <v>1.5</v>
      </c>
      <c r="I857" s="110"/>
      <c r="J857" s="135">
        <v>43683</v>
      </c>
      <c r="K857" s="56">
        <f t="shared" si="54"/>
        <v>3092.7000000000003</v>
      </c>
      <c r="L857" s="56"/>
      <c r="M857" s="17"/>
      <c r="N857" s="9">
        <f>G857*H857*I857*E857</f>
        <v>0</v>
      </c>
      <c r="O857" s="3">
        <f>K857*1.6667</f>
        <v>5154.6030900000005</v>
      </c>
    </row>
    <row r="858" spans="1:15" ht="18" customHeight="1">
      <c r="A858" s="21" t="s">
        <v>4447</v>
      </c>
      <c r="B858" s="28" t="s">
        <v>4448</v>
      </c>
      <c r="C858" s="28" t="s">
        <v>4449</v>
      </c>
      <c r="D858" s="28" t="s">
        <v>1921</v>
      </c>
      <c r="E858" s="28">
        <v>1.22</v>
      </c>
      <c r="F858" s="28">
        <v>94</v>
      </c>
      <c r="G858" s="28"/>
      <c r="H858" s="28">
        <v>1.8</v>
      </c>
      <c r="I858" s="28"/>
      <c r="J858" s="133">
        <v>45960</v>
      </c>
      <c r="K858" s="10">
        <f t="shared" si="54"/>
        <v>206.42399999999998</v>
      </c>
      <c r="L858" s="10"/>
      <c r="M858" s="9"/>
      <c r="N858" s="9">
        <f>G858*H858*I858*E858</f>
        <v>0</v>
      </c>
      <c r="O858" s="3">
        <f>K858*1.6667</f>
        <v>344.0468808</v>
      </c>
    </row>
    <row r="859" spans="1:15" ht="18" customHeight="1">
      <c r="A859" s="16"/>
      <c r="B859" s="87" t="s">
        <v>4286</v>
      </c>
      <c r="C859" s="110"/>
      <c r="D859" s="28" t="s">
        <v>451</v>
      </c>
      <c r="E859" s="28">
        <v>1.22</v>
      </c>
      <c r="F859" s="87">
        <v>175</v>
      </c>
      <c r="G859" s="110"/>
      <c r="H859" s="87">
        <v>1.7</v>
      </c>
      <c r="I859" s="110"/>
      <c r="J859" s="135">
        <v>45981</v>
      </c>
      <c r="K859" s="63">
        <f t="shared" si="54"/>
        <v>362.95</v>
      </c>
      <c r="L859" s="63"/>
      <c r="M859" s="17"/>
      <c r="N859" s="16"/>
      <c r="O859" s="16"/>
    </row>
    <row r="860" spans="1:15" ht="18" customHeight="1">
      <c r="A860" s="16">
        <v>449</v>
      </c>
      <c r="B860" s="28" t="s">
        <v>2158</v>
      </c>
      <c r="C860" s="28"/>
      <c r="D860" s="28" t="s">
        <v>451</v>
      </c>
      <c r="E860" s="28">
        <v>1.22</v>
      </c>
      <c r="F860" s="28">
        <v>184</v>
      </c>
      <c r="G860" s="110"/>
      <c r="H860" s="28">
        <v>1.6</v>
      </c>
      <c r="I860" s="110"/>
      <c r="J860" s="135">
        <v>44323</v>
      </c>
      <c r="K860" s="56">
        <f t="shared" si="54"/>
        <v>359.16800000000001</v>
      </c>
      <c r="L860" s="56"/>
      <c r="M860" s="17"/>
      <c r="N860" s="9">
        <f>G860*H860*I860*E860</f>
        <v>0</v>
      </c>
      <c r="O860" s="3">
        <f>K860*1.6667</f>
        <v>598.62530560000005</v>
      </c>
    </row>
    <row r="861" spans="1:15" ht="18" customHeight="1">
      <c r="A861" s="21" t="s">
        <v>3036</v>
      </c>
      <c r="B861" s="93" t="s">
        <v>771</v>
      </c>
      <c r="C861" s="93" t="s">
        <v>772</v>
      </c>
      <c r="D861" s="28" t="s">
        <v>451</v>
      </c>
      <c r="E861" s="28">
        <v>1.22</v>
      </c>
      <c r="F861" s="28">
        <v>1600</v>
      </c>
      <c r="G861" s="28"/>
      <c r="H861" s="28">
        <v>1.4</v>
      </c>
      <c r="I861" s="28"/>
      <c r="J861" s="133">
        <v>45057</v>
      </c>
      <c r="K861" s="12">
        <f t="shared" si="54"/>
        <v>2732.7999999999997</v>
      </c>
      <c r="L861" s="12"/>
      <c r="M861" s="9"/>
      <c r="N861" s="9">
        <f>G861*H861*I861*E861</f>
        <v>0</v>
      </c>
      <c r="O861" s="3">
        <f>K861*1.6667</f>
        <v>4554.7577599999995</v>
      </c>
    </row>
    <row r="862" spans="1:15" ht="18" customHeight="1">
      <c r="A862" s="221"/>
      <c r="B862" s="87" t="s">
        <v>3453</v>
      </c>
      <c r="C862" s="110">
        <v>35</v>
      </c>
      <c r="D862" s="28" t="s">
        <v>451</v>
      </c>
      <c r="E862" s="28">
        <v>1.22</v>
      </c>
      <c r="F862" s="87">
        <v>147</v>
      </c>
      <c r="G862" s="110"/>
      <c r="H862" s="87">
        <v>1.6</v>
      </c>
      <c r="I862" s="110"/>
      <c r="J862" s="257">
        <v>45960</v>
      </c>
      <c r="K862" s="37">
        <f>+E862*F862*H862</f>
        <v>286.94400000000002</v>
      </c>
      <c r="L862" s="231"/>
      <c r="M862" s="204"/>
      <c r="N862" s="16"/>
      <c r="O862" s="16"/>
    </row>
    <row r="863" spans="1:15" ht="18" customHeight="1">
      <c r="A863" s="16"/>
      <c r="B863" s="162" t="s">
        <v>3453</v>
      </c>
      <c r="C863" s="120">
        <v>45</v>
      </c>
      <c r="D863" s="28" t="s">
        <v>451</v>
      </c>
      <c r="E863" s="28">
        <v>1.22</v>
      </c>
      <c r="F863" s="87">
        <v>218</v>
      </c>
      <c r="G863" s="110"/>
      <c r="H863" s="87">
        <v>1.6</v>
      </c>
      <c r="I863" s="110"/>
      <c r="J863" s="135">
        <v>45960</v>
      </c>
      <c r="K863" s="63">
        <f>+E863*F863*H863</f>
        <v>425.536</v>
      </c>
      <c r="L863" s="63"/>
      <c r="M863" s="17"/>
      <c r="N863" s="16"/>
      <c r="O863" s="16"/>
    </row>
    <row r="864" spans="1:15" ht="18" customHeight="1">
      <c r="A864" s="16"/>
      <c r="B864" s="87" t="s">
        <v>3453</v>
      </c>
      <c r="C864" s="110">
        <v>55</v>
      </c>
      <c r="D864" s="28" t="s">
        <v>451</v>
      </c>
      <c r="E864" s="28">
        <v>1.22</v>
      </c>
      <c r="F864" s="87">
        <v>328</v>
      </c>
      <c r="G864" s="110"/>
      <c r="H864" s="87">
        <v>1.6</v>
      </c>
      <c r="I864" s="110"/>
      <c r="J864" s="135">
        <v>45407</v>
      </c>
      <c r="K864" s="63">
        <f>+E864*F864*H864</f>
        <v>640.25599999999997</v>
      </c>
      <c r="L864" s="63"/>
      <c r="M864" s="17"/>
      <c r="N864" s="16"/>
      <c r="O864" s="16"/>
    </row>
    <row r="865" spans="1:15" ht="18" customHeight="1">
      <c r="A865" s="16" t="s">
        <v>1343</v>
      </c>
      <c r="B865" s="28" t="s">
        <v>1341</v>
      </c>
      <c r="C865" s="28" t="s">
        <v>38</v>
      </c>
      <c r="D865" s="28" t="s">
        <v>451</v>
      </c>
      <c r="E865" s="28">
        <v>1.22</v>
      </c>
      <c r="F865" s="28">
        <v>670</v>
      </c>
      <c r="G865" s="110"/>
      <c r="H865" s="28">
        <v>1.6</v>
      </c>
      <c r="I865" s="110"/>
      <c r="J865" s="135">
        <v>45154</v>
      </c>
      <c r="K865" s="56">
        <f t="shared" ref="K865:K896" si="57">E865*F865*H865</f>
        <v>1307.8400000000001</v>
      </c>
      <c r="L865" s="56"/>
      <c r="M865" s="17"/>
      <c r="N865" s="9">
        <f>G865*H865*I865*E865</f>
        <v>0</v>
      </c>
      <c r="O865" s="3">
        <f>K865*1.6667</f>
        <v>2179.7769280000002</v>
      </c>
    </row>
    <row r="866" spans="1:15" ht="18" customHeight="1">
      <c r="A866" s="16" t="s">
        <v>1342</v>
      </c>
      <c r="B866" s="28" t="s">
        <v>1341</v>
      </c>
      <c r="C866" s="28" t="s">
        <v>32</v>
      </c>
      <c r="D866" s="28" t="s">
        <v>451</v>
      </c>
      <c r="E866" s="28">
        <v>1.22</v>
      </c>
      <c r="F866" s="28">
        <v>320</v>
      </c>
      <c r="G866" s="110"/>
      <c r="H866" s="28">
        <v>1.6</v>
      </c>
      <c r="I866" s="110"/>
      <c r="J866" s="135">
        <v>45154</v>
      </c>
      <c r="K866" s="56">
        <f t="shared" si="57"/>
        <v>624.64</v>
      </c>
      <c r="L866" s="56"/>
      <c r="M866" s="17"/>
      <c r="N866" s="9">
        <f>G866*H866*I866*E866</f>
        <v>0</v>
      </c>
      <c r="O866" s="3">
        <f>K866*1.6667</f>
        <v>1041.0874880000001</v>
      </c>
    </row>
    <row r="867" spans="1:15" ht="18" customHeight="1">
      <c r="A867" s="21" t="s">
        <v>2326</v>
      </c>
      <c r="B867" s="28" t="s">
        <v>2632</v>
      </c>
      <c r="C867" s="28" t="s">
        <v>2633</v>
      </c>
      <c r="D867" s="28" t="s">
        <v>451</v>
      </c>
      <c r="E867" s="28">
        <v>1.22</v>
      </c>
      <c r="F867" s="28">
        <v>93</v>
      </c>
      <c r="G867" s="28"/>
      <c r="H867" s="28">
        <v>1.6</v>
      </c>
      <c r="I867" s="28"/>
      <c r="J867" s="133">
        <v>44755</v>
      </c>
      <c r="K867" s="10">
        <f t="shared" si="57"/>
        <v>181.536</v>
      </c>
      <c r="L867" s="10"/>
      <c r="M867" s="9"/>
      <c r="N867" s="9">
        <f>G867*H867*I867*E867</f>
        <v>0</v>
      </c>
      <c r="O867" s="3">
        <f>K867*1.6667</f>
        <v>302.5660512</v>
      </c>
    </row>
    <row r="868" spans="1:15" ht="18" customHeight="1">
      <c r="A868" s="16"/>
      <c r="B868" s="80" t="s">
        <v>3088</v>
      </c>
      <c r="C868" s="110" t="s">
        <v>3115</v>
      </c>
      <c r="D868" s="28" t="s">
        <v>451</v>
      </c>
      <c r="E868" s="87">
        <v>1.22</v>
      </c>
      <c r="F868" s="87">
        <v>150</v>
      </c>
      <c r="G868" s="110"/>
      <c r="H868" s="87">
        <v>1.7</v>
      </c>
      <c r="I868" s="110"/>
      <c r="J868" s="135">
        <v>45134</v>
      </c>
      <c r="K868" s="63">
        <f t="shared" si="57"/>
        <v>311.09999999999997</v>
      </c>
      <c r="L868" s="63"/>
      <c r="M868" s="17"/>
      <c r="N868" s="16"/>
      <c r="O868" s="16"/>
    </row>
    <row r="869" spans="1:15" ht="18" customHeight="1">
      <c r="A869" s="16"/>
      <c r="B869" s="90" t="s">
        <v>2783</v>
      </c>
      <c r="C869" s="110" t="s">
        <v>2784</v>
      </c>
      <c r="D869" s="28" t="s">
        <v>451</v>
      </c>
      <c r="E869" s="28">
        <v>1.22</v>
      </c>
      <c r="F869" s="90">
        <v>91</v>
      </c>
      <c r="G869" s="110"/>
      <c r="H869" s="28">
        <v>1.4</v>
      </c>
      <c r="I869" s="110"/>
      <c r="J869" s="135">
        <v>44881</v>
      </c>
      <c r="K869" s="57">
        <f t="shared" si="57"/>
        <v>155.428</v>
      </c>
      <c r="L869" s="57"/>
      <c r="M869" s="17"/>
      <c r="N869" s="16"/>
      <c r="O869" s="16"/>
    </row>
    <row r="870" spans="1:15" ht="18" customHeight="1">
      <c r="A870" s="21"/>
      <c r="B870" s="28" t="s">
        <v>2468</v>
      </c>
      <c r="C870" s="28" t="s">
        <v>298</v>
      </c>
      <c r="D870" s="28" t="s">
        <v>451</v>
      </c>
      <c r="E870" s="28">
        <v>1.22</v>
      </c>
      <c r="F870" s="28">
        <v>123</v>
      </c>
      <c r="G870" s="28"/>
      <c r="H870" s="28">
        <v>1.6</v>
      </c>
      <c r="I870" s="28"/>
      <c r="J870" s="140">
        <v>44642</v>
      </c>
      <c r="K870" s="10">
        <f t="shared" si="57"/>
        <v>240.096</v>
      </c>
      <c r="L870" s="10"/>
      <c r="M870" s="9"/>
      <c r="N870" s="9">
        <f>G870*H870*I870*E870</f>
        <v>0</v>
      </c>
      <c r="O870" s="3">
        <f>K870*1.6667</f>
        <v>400.16800320000004</v>
      </c>
    </row>
    <row r="871" spans="1:15" ht="18" customHeight="1">
      <c r="A871" s="16" t="s">
        <v>2664</v>
      </c>
      <c r="B871" s="87" t="s">
        <v>2665</v>
      </c>
      <c r="C871" s="110" t="s">
        <v>2666</v>
      </c>
      <c r="D871" s="28" t="s">
        <v>3297</v>
      </c>
      <c r="E871" s="87">
        <v>1.22</v>
      </c>
      <c r="F871" s="87">
        <v>662.94</v>
      </c>
      <c r="G871" s="110"/>
      <c r="H871" s="87">
        <v>1.6</v>
      </c>
      <c r="I871" s="110"/>
      <c r="J871" s="138">
        <v>44785</v>
      </c>
      <c r="K871" s="9">
        <f t="shared" si="57"/>
        <v>1294.0588800000003</v>
      </c>
      <c r="L871" s="9"/>
      <c r="M871" s="17"/>
      <c r="N871" s="16"/>
      <c r="O871" s="16"/>
    </row>
    <row r="872" spans="1:15" ht="18" hidden="1" customHeight="1">
      <c r="A872" s="21"/>
      <c r="B872" s="28" t="s">
        <v>674</v>
      </c>
      <c r="C872" s="28" t="s">
        <v>675</v>
      </c>
      <c r="D872" s="28" t="s">
        <v>3297</v>
      </c>
      <c r="E872" s="28">
        <v>1.22</v>
      </c>
      <c r="F872" s="28">
        <v>600</v>
      </c>
      <c r="G872" s="28"/>
      <c r="H872" s="28">
        <v>1.3</v>
      </c>
      <c r="I872" s="28"/>
      <c r="J872" s="133">
        <v>43154</v>
      </c>
      <c r="K872" s="9">
        <f t="shared" si="57"/>
        <v>951.6</v>
      </c>
      <c r="L872" s="9"/>
      <c r="M872" s="9"/>
      <c r="N872" s="9"/>
      <c r="O872" s="3"/>
    </row>
    <row r="873" spans="1:15" ht="18" hidden="1" customHeight="1">
      <c r="A873" s="21"/>
      <c r="B873" s="28" t="s">
        <v>676</v>
      </c>
      <c r="C873" s="28" t="s">
        <v>15</v>
      </c>
      <c r="D873" s="28"/>
      <c r="E873" s="28">
        <v>1.22</v>
      </c>
      <c r="F873" s="28">
        <v>385</v>
      </c>
      <c r="G873" s="28"/>
      <c r="H873" s="28">
        <v>1.6</v>
      </c>
      <c r="I873" s="28"/>
      <c r="J873" s="133">
        <v>43154</v>
      </c>
      <c r="K873" s="9">
        <f t="shared" si="57"/>
        <v>751.52</v>
      </c>
      <c r="L873" s="9"/>
      <c r="M873" s="9"/>
      <c r="N873" s="9"/>
      <c r="O873" s="3"/>
    </row>
    <row r="874" spans="1:15" ht="18" customHeight="1">
      <c r="A874" s="28" t="s">
        <v>1430</v>
      </c>
      <c r="B874" s="28" t="s">
        <v>1431</v>
      </c>
      <c r="C874" s="28" t="s">
        <v>1432</v>
      </c>
      <c r="D874" s="28" t="s">
        <v>3297</v>
      </c>
      <c r="E874" s="28">
        <v>1.22</v>
      </c>
      <c r="F874" s="28">
        <v>1636</v>
      </c>
      <c r="G874" s="81"/>
      <c r="H874" s="28">
        <v>1.6</v>
      </c>
      <c r="I874" s="81"/>
      <c r="J874" s="135">
        <v>45981</v>
      </c>
      <c r="K874" s="17">
        <f t="shared" si="57"/>
        <v>3193.4719999999998</v>
      </c>
      <c r="L874" s="17"/>
      <c r="M874" s="17"/>
      <c r="N874" s="9">
        <f>G874*H874*I874*E874</f>
        <v>0</v>
      </c>
      <c r="O874" s="16"/>
    </row>
    <row r="875" spans="1:15" ht="18" customHeight="1">
      <c r="A875" s="21" t="s">
        <v>724</v>
      </c>
      <c r="B875" s="28" t="s">
        <v>725</v>
      </c>
      <c r="C875" s="28" t="s">
        <v>726</v>
      </c>
      <c r="D875" s="28" t="s">
        <v>3297</v>
      </c>
      <c r="E875" s="28">
        <v>1.22</v>
      </c>
      <c r="F875" s="28">
        <v>2454</v>
      </c>
      <c r="G875" s="28"/>
      <c r="H875" s="28">
        <v>1.6</v>
      </c>
      <c r="I875" s="28"/>
      <c r="J875" s="135">
        <v>45981</v>
      </c>
      <c r="K875" s="9">
        <f t="shared" si="57"/>
        <v>4790.2080000000005</v>
      </c>
      <c r="L875" s="9"/>
      <c r="M875" s="9"/>
      <c r="N875" s="9"/>
      <c r="O875" s="3"/>
    </row>
    <row r="876" spans="1:15" ht="18" customHeight="1">
      <c r="A876" s="16" t="s">
        <v>4547</v>
      </c>
      <c r="B876" s="28" t="s">
        <v>725</v>
      </c>
      <c r="C876" s="110" t="s">
        <v>1060</v>
      </c>
      <c r="D876" s="28" t="s">
        <v>3297</v>
      </c>
      <c r="E876" s="28">
        <v>1.22</v>
      </c>
      <c r="F876" s="87">
        <v>1104</v>
      </c>
      <c r="G876" s="110"/>
      <c r="H876" s="87">
        <v>1.6</v>
      </c>
      <c r="I876" s="110"/>
      <c r="J876" s="135">
        <v>45981</v>
      </c>
      <c r="K876" s="9">
        <f t="shared" si="57"/>
        <v>2155.0079999999998</v>
      </c>
      <c r="L876" s="37"/>
      <c r="M876" s="17"/>
      <c r="N876" s="16"/>
      <c r="O876" s="16"/>
    </row>
    <row r="877" spans="1:15" ht="18" hidden="1" customHeight="1">
      <c r="A877" s="21"/>
      <c r="B877" s="28" t="s">
        <v>729</v>
      </c>
      <c r="C877" s="28" t="s">
        <v>728</v>
      </c>
      <c r="D877" s="28"/>
      <c r="E877" s="28">
        <v>1.22</v>
      </c>
      <c r="F877" s="28">
        <v>450</v>
      </c>
      <c r="G877" s="28"/>
      <c r="H877" s="28">
        <v>1.3</v>
      </c>
      <c r="I877" s="28"/>
      <c r="J877" s="133">
        <v>43154</v>
      </c>
      <c r="K877" s="9">
        <f t="shared" si="57"/>
        <v>713.7</v>
      </c>
      <c r="L877" s="9"/>
      <c r="M877" s="9"/>
      <c r="N877" s="9"/>
      <c r="O877" s="3"/>
    </row>
    <row r="878" spans="1:15" ht="18" customHeight="1">
      <c r="A878" s="21" t="s">
        <v>1667</v>
      </c>
      <c r="B878" s="28" t="s">
        <v>1668</v>
      </c>
      <c r="C878" s="28" t="s">
        <v>1669</v>
      </c>
      <c r="D878" s="28" t="s">
        <v>3297</v>
      </c>
      <c r="E878" s="28">
        <v>1.22</v>
      </c>
      <c r="F878" s="28">
        <v>1075.31</v>
      </c>
      <c r="G878" s="28"/>
      <c r="H878" s="28">
        <v>1.6</v>
      </c>
      <c r="I878" s="28"/>
      <c r="J878" s="133">
        <v>44295</v>
      </c>
      <c r="K878" s="10">
        <f t="shared" si="57"/>
        <v>2099.0051199999998</v>
      </c>
      <c r="L878" s="9"/>
      <c r="M878" s="9"/>
      <c r="N878" s="9"/>
      <c r="O878" s="3"/>
    </row>
    <row r="879" spans="1:15" ht="18" customHeight="1">
      <c r="A879" s="21" t="s">
        <v>798</v>
      </c>
      <c r="B879" s="28" t="s">
        <v>1130</v>
      </c>
      <c r="C879" s="28" t="s">
        <v>791</v>
      </c>
      <c r="D879" s="28" t="s">
        <v>3297</v>
      </c>
      <c r="E879" s="28">
        <v>1.22</v>
      </c>
      <c r="F879" s="28">
        <v>418.43</v>
      </c>
      <c r="G879" s="28"/>
      <c r="H879" s="28">
        <v>1.6</v>
      </c>
      <c r="I879" s="28"/>
      <c r="J879" s="133">
        <v>45251</v>
      </c>
      <c r="K879" s="10">
        <f t="shared" si="57"/>
        <v>816.77536000000009</v>
      </c>
      <c r="L879" s="9"/>
      <c r="M879" s="9"/>
      <c r="N879" s="9">
        <f t="shared" ref="N879:N884" si="58">G879*H879*I879*E879</f>
        <v>0</v>
      </c>
      <c r="O879" s="3">
        <f>K879*1.6667</f>
        <v>1361.3194925120001</v>
      </c>
    </row>
    <row r="880" spans="1:15" ht="18" customHeight="1">
      <c r="A880" s="21" t="s">
        <v>489</v>
      </c>
      <c r="B880" s="28" t="s">
        <v>490</v>
      </c>
      <c r="C880" s="28" t="s">
        <v>491</v>
      </c>
      <c r="D880" s="28" t="s">
        <v>3297</v>
      </c>
      <c r="E880" s="28">
        <v>1.22</v>
      </c>
      <c r="F880" s="28">
        <v>731.97</v>
      </c>
      <c r="G880" s="28"/>
      <c r="H880" s="28">
        <v>1.6</v>
      </c>
      <c r="I880" s="28">
        <v>0</v>
      </c>
      <c r="J880" s="133">
        <v>44613</v>
      </c>
      <c r="K880" s="9">
        <f t="shared" si="57"/>
        <v>1428.8054400000001</v>
      </c>
      <c r="L880" s="9"/>
      <c r="M880" s="9"/>
      <c r="N880" s="9">
        <f t="shared" si="58"/>
        <v>0</v>
      </c>
      <c r="O880" s="3">
        <f>K880*1.6667</f>
        <v>2381.3900268480002</v>
      </c>
    </row>
    <row r="881" spans="1:15" ht="18" customHeight="1">
      <c r="A881" s="21">
        <v>0</v>
      </c>
      <c r="B881" s="28" t="s">
        <v>4586</v>
      </c>
      <c r="C881" s="28" t="s">
        <v>4587</v>
      </c>
      <c r="D881" s="28" t="s">
        <v>3297</v>
      </c>
      <c r="E881" s="28">
        <v>1.22</v>
      </c>
      <c r="F881" s="28">
        <v>290</v>
      </c>
      <c r="G881" s="28"/>
      <c r="H881" s="78">
        <v>1.3</v>
      </c>
      <c r="I881" s="28"/>
      <c r="J881" s="133">
        <v>46029</v>
      </c>
      <c r="K881" s="9">
        <f t="shared" si="57"/>
        <v>459.94000000000005</v>
      </c>
      <c r="L881" s="9"/>
      <c r="M881" s="9"/>
      <c r="N881" s="9">
        <f t="shared" si="58"/>
        <v>0</v>
      </c>
      <c r="O881" s="3">
        <f>K881*1.6667</f>
        <v>766.58199800000011</v>
      </c>
    </row>
    <row r="882" spans="1:15" ht="18" customHeight="1">
      <c r="A882" s="22"/>
      <c r="B882" s="28" t="s">
        <v>731</v>
      </c>
      <c r="C882" s="81"/>
      <c r="D882" s="28" t="s">
        <v>4075</v>
      </c>
      <c r="E882" s="28">
        <v>1.22</v>
      </c>
      <c r="F882" s="28">
        <v>680</v>
      </c>
      <c r="G882" s="81"/>
      <c r="H882" s="28">
        <v>1.2</v>
      </c>
      <c r="I882" s="81"/>
      <c r="J882" s="133">
        <v>44895</v>
      </c>
      <c r="K882" s="17">
        <f t="shared" si="57"/>
        <v>995.52</v>
      </c>
      <c r="L882" s="17"/>
      <c r="M882" s="17"/>
      <c r="N882" s="9">
        <f t="shared" si="58"/>
        <v>0</v>
      </c>
      <c r="O882" s="16"/>
    </row>
    <row r="883" spans="1:15" ht="18" customHeight="1">
      <c r="A883" s="21"/>
      <c r="B883" s="28" t="s">
        <v>2792</v>
      </c>
      <c r="C883" s="28" t="s">
        <v>131</v>
      </c>
      <c r="D883" s="28"/>
      <c r="E883" s="28">
        <v>1.22</v>
      </c>
      <c r="F883" s="28">
        <v>1900</v>
      </c>
      <c r="G883" s="28"/>
      <c r="H883" s="28">
        <v>1.3</v>
      </c>
      <c r="I883" s="28"/>
      <c r="J883" s="133">
        <v>44895</v>
      </c>
      <c r="K883" s="9">
        <f t="shared" si="57"/>
        <v>3013.4</v>
      </c>
      <c r="L883" s="9"/>
      <c r="M883" s="9"/>
      <c r="N883" s="9">
        <f t="shared" si="58"/>
        <v>0</v>
      </c>
      <c r="O883" s="3">
        <f>K883*1.6667</f>
        <v>5022.4337800000003</v>
      </c>
    </row>
    <row r="884" spans="1:15" ht="18" customHeight="1">
      <c r="A884" s="21"/>
      <c r="B884" s="28" t="s">
        <v>2051</v>
      </c>
      <c r="C884" s="28" t="s">
        <v>15</v>
      </c>
      <c r="D884" s="28"/>
      <c r="E884" s="28">
        <v>1.22</v>
      </c>
      <c r="F884" s="28">
        <v>1300</v>
      </c>
      <c r="G884" s="28">
        <v>0</v>
      </c>
      <c r="H884" s="28">
        <v>1.3</v>
      </c>
      <c r="I884" s="28"/>
      <c r="J884" s="133">
        <v>44239</v>
      </c>
      <c r="K884" s="9">
        <f t="shared" si="57"/>
        <v>2061.8000000000002</v>
      </c>
      <c r="L884" s="9"/>
      <c r="M884" s="9"/>
      <c r="N884" s="9">
        <f t="shared" si="58"/>
        <v>0</v>
      </c>
      <c r="O884" s="3">
        <f>K884*1.6667</f>
        <v>3436.4020600000003</v>
      </c>
    </row>
    <row r="885" spans="1:15" ht="18" customHeight="1">
      <c r="A885" s="21" t="s">
        <v>1118</v>
      </c>
      <c r="B885" s="28" t="s">
        <v>562</v>
      </c>
      <c r="C885" s="28" t="s">
        <v>671</v>
      </c>
      <c r="D885" s="28" t="s">
        <v>3297</v>
      </c>
      <c r="E885" s="28">
        <v>1.22</v>
      </c>
      <c r="F885" s="28">
        <v>430</v>
      </c>
      <c r="G885" s="28"/>
      <c r="H885" s="28">
        <v>1.6</v>
      </c>
      <c r="I885" s="28"/>
      <c r="J885" s="133">
        <v>45740</v>
      </c>
      <c r="K885" s="9">
        <f t="shared" si="57"/>
        <v>839.36000000000013</v>
      </c>
      <c r="L885" s="9"/>
      <c r="M885" s="9"/>
      <c r="N885" s="9"/>
      <c r="O885" s="3"/>
    </row>
    <row r="886" spans="1:15" ht="18" customHeight="1">
      <c r="A886" s="21" t="s">
        <v>2007</v>
      </c>
      <c r="B886" s="28" t="s">
        <v>2008</v>
      </c>
      <c r="C886" s="28" t="s">
        <v>2011</v>
      </c>
      <c r="D886" s="28" t="s">
        <v>3297</v>
      </c>
      <c r="E886" s="28">
        <v>1.22</v>
      </c>
      <c r="F886" s="28">
        <v>1774.33</v>
      </c>
      <c r="G886" s="28"/>
      <c r="H886" s="28">
        <v>1.6</v>
      </c>
      <c r="I886" s="28"/>
      <c r="J886" s="133">
        <v>44188</v>
      </c>
      <c r="K886" s="9">
        <f t="shared" si="57"/>
        <v>3463.4921599999998</v>
      </c>
      <c r="L886" s="9"/>
      <c r="M886" s="9"/>
      <c r="N886" s="9">
        <f>G886*H886*I886*E886</f>
        <v>0</v>
      </c>
      <c r="O886" s="3">
        <f>K886*1.6667</f>
        <v>5772.6023830719996</v>
      </c>
    </row>
    <row r="887" spans="1:15" ht="18" customHeight="1">
      <c r="A887" s="21" t="s">
        <v>2007</v>
      </c>
      <c r="B887" s="28" t="s">
        <v>2008</v>
      </c>
      <c r="C887" s="28" t="s">
        <v>2009</v>
      </c>
      <c r="D887" s="28" t="s">
        <v>3297</v>
      </c>
      <c r="E887" s="28">
        <v>1.22</v>
      </c>
      <c r="F887" s="28">
        <v>1774.33</v>
      </c>
      <c r="G887" s="28">
        <v>0</v>
      </c>
      <c r="H887" s="28">
        <v>1.6</v>
      </c>
      <c r="I887" s="28">
        <v>0</v>
      </c>
      <c r="J887" s="133">
        <v>44188</v>
      </c>
      <c r="K887" s="9">
        <f t="shared" si="57"/>
        <v>3463.4921599999998</v>
      </c>
      <c r="L887" s="9"/>
      <c r="M887" s="9"/>
      <c r="N887" s="9">
        <f>G887*H887*I887*E887</f>
        <v>0</v>
      </c>
      <c r="O887" s="2" t="e">
        <f>#REF!*1.6667</f>
        <v>#REF!</v>
      </c>
    </row>
    <row r="888" spans="1:15" ht="18" customHeight="1">
      <c r="A888" s="21" t="s">
        <v>1990</v>
      </c>
      <c r="B888" s="28" t="s">
        <v>1991</v>
      </c>
      <c r="C888" s="28"/>
      <c r="D888" s="28" t="s">
        <v>3297</v>
      </c>
      <c r="E888" s="87">
        <v>1.22</v>
      </c>
      <c r="F888" s="28">
        <v>2788.35</v>
      </c>
      <c r="G888" s="136"/>
      <c r="H888" s="28">
        <v>1.5</v>
      </c>
      <c r="I888" s="136"/>
      <c r="J888" s="137">
        <v>44424</v>
      </c>
      <c r="K888" s="9">
        <f t="shared" si="57"/>
        <v>5102.6804999999995</v>
      </c>
      <c r="L888" s="9"/>
      <c r="M888" s="46"/>
      <c r="N888" s="45"/>
      <c r="O888" s="45"/>
    </row>
    <row r="889" spans="1:15" ht="18" customHeight="1">
      <c r="A889" s="21" t="s">
        <v>2301</v>
      </c>
      <c r="B889" s="28" t="s">
        <v>2302</v>
      </c>
      <c r="C889" s="28" t="s">
        <v>671</v>
      </c>
      <c r="D889" s="28" t="s">
        <v>3297</v>
      </c>
      <c r="E889" s="28">
        <v>1.22</v>
      </c>
      <c r="F889" s="28">
        <v>428.06</v>
      </c>
      <c r="G889" s="28"/>
      <c r="H889" s="28">
        <v>1.6</v>
      </c>
      <c r="I889" s="28"/>
      <c r="J889" s="133">
        <v>45740</v>
      </c>
      <c r="K889" s="9">
        <f t="shared" si="57"/>
        <v>835.57312000000002</v>
      </c>
      <c r="L889" s="9"/>
      <c r="M889" s="9"/>
      <c r="N889" s="9"/>
      <c r="O889" s="2"/>
    </row>
    <row r="890" spans="1:15" ht="18" customHeight="1">
      <c r="A890" s="21" t="s">
        <v>2299</v>
      </c>
      <c r="B890" s="28" t="s">
        <v>2300</v>
      </c>
      <c r="C890" s="28" t="s">
        <v>671</v>
      </c>
      <c r="D890" s="28" t="s">
        <v>3297</v>
      </c>
      <c r="E890" s="28">
        <v>1.22</v>
      </c>
      <c r="F890" s="28">
        <v>400</v>
      </c>
      <c r="G890" s="28"/>
      <c r="H890" s="28">
        <v>1.6</v>
      </c>
      <c r="I890" s="28"/>
      <c r="J890" s="133">
        <v>45740</v>
      </c>
      <c r="K890" s="9">
        <f t="shared" si="57"/>
        <v>780.80000000000007</v>
      </c>
      <c r="L890" s="9"/>
      <c r="M890" s="9"/>
      <c r="N890" s="9"/>
      <c r="O890" s="2"/>
    </row>
    <row r="891" spans="1:15" ht="18" customHeight="1">
      <c r="A891" s="21">
        <v>771</v>
      </c>
      <c r="B891" s="28" t="s">
        <v>1645</v>
      </c>
      <c r="C891" s="28" t="s">
        <v>1060</v>
      </c>
      <c r="D891" s="28" t="s">
        <v>3297</v>
      </c>
      <c r="E891" s="28">
        <v>1.22</v>
      </c>
      <c r="F891" s="28">
        <v>1245.97</v>
      </c>
      <c r="G891" s="136"/>
      <c r="H891" s="28">
        <v>1.4</v>
      </c>
      <c r="I891" s="136"/>
      <c r="J891" s="137">
        <v>43956</v>
      </c>
      <c r="K891" s="9">
        <f t="shared" si="57"/>
        <v>2128.1167599999999</v>
      </c>
      <c r="L891" s="9"/>
      <c r="M891" s="46"/>
      <c r="N891" s="45"/>
      <c r="O891" s="45"/>
    </row>
    <row r="892" spans="1:15" ht="18" hidden="1" customHeight="1">
      <c r="A892" s="21">
        <v>764</v>
      </c>
      <c r="B892" s="28" t="s">
        <v>672</v>
      </c>
      <c r="C892" s="28" t="s">
        <v>15</v>
      </c>
      <c r="D892" s="28" t="s">
        <v>3297</v>
      </c>
      <c r="E892" s="28">
        <v>1.22</v>
      </c>
      <c r="F892" s="28">
        <v>328.62</v>
      </c>
      <c r="G892" s="81"/>
      <c r="H892" s="28">
        <v>1.6</v>
      </c>
      <c r="I892" s="81"/>
      <c r="J892" s="133">
        <v>43154</v>
      </c>
      <c r="K892" s="9">
        <f t="shared" si="57"/>
        <v>641.46624000000008</v>
      </c>
      <c r="L892" s="9"/>
      <c r="M892" s="9"/>
      <c r="N892" s="9">
        <f>G892*H892*I892*E892</f>
        <v>0</v>
      </c>
      <c r="O892" s="16"/>
    </row>
    <row r="893" spans="1:15" ht="18" customHeight="1">
      <c r="A893" s="21" t="s">
        <v>1129</v>
      </c>
      <c r="B893" s="28" t="s">
        <v>673</v>
      </c>
      <c r="C893" s="28" t="s">
        <v>671</v>
      </c>
      <c r="D893" s="28" t="s">
        <v>3297</v>
      </c>
      <c r="E893" s="28">
        <v>1.22</v>
      </c>
      <c r="F893" s="28">
        <v>430</v>
      </c>
      <c r="G893" s="81"/>
      <c r="H893" s="28">
        <v>1.6</v>
      </c>
      <c r="I893" s="81"/>
      <c r="J893" s="133">
        <v>45740</v>
      </c>
      <c r="K893" s="9">
        <f t="shared" si="57"/>
        <v>839.36000000000013</v>
      </c>
      <c r="L893" s="9"/>
      <c r="M893" s="9"/>
      <c r="N893" s="9">
        <f>G893*H893*I893*E893</f>
        <v>0</v>
      </c>
      <c r="O893" s="16"/>
    </row>
    <row r="894" spans="1:15" ht="18" customHeight="1">
      <c r="A894" s="21" t="s">
        <v>1119</v>
      </c>
      <c r="B894" s="28" t="s">
        <v>1120</v>
      </c>
      <c r="C894" s="28" t="s">
        <v>1121</v>
      </c>
      <c r="D894" s="28" t="s">
        <v>3297</v>
      </c>
      <c r="E894" s="28">
        <v>1.22</v>
      </c>
      <c r="F894" s="28">
        <v>430</v>
      </c>
      <c r="G894" s="28"/>
      <c r="H894" s="28">
        <v>1.6</v>
      </c>
      <c r="I894" s="28"/>
      <c r="J894" s="133">
        <v>45740</v>
      </c>
      <c r="K894" s="9">
        <f t="shared" si="57"/>
        <v>839.36000000000013</v>
      </c>
      <c r="L894" s="9"/>
      <c r="M894" s="9"/>
      <c r="N894" s="9">
        <f>G894*H894*I894*E894</f>
        <v>0</v>
      </c>
      <c r="O894" s="3">
        <f>K894*1.6667</f>
        <v>1398.9613120000004</v>
      </c>
    </row>
    <row r="895" spans="1:15" ht="18" customHeight="1">
      <c r="A895" s="21"/>
      <c r="B895" s="28" t="s">
        <v>2791</v>
      </c>
      <c r="C895" s="28"/>
      <c r="D895" s="28"/>
      <c r="E895" s="28">
        <v>1.22</v>
      </c>
      <c r="F895" s="28">
        <v>1700</v>
      </c>
      <c r="G895" s="28"/>
      <c r="H895" s="28">
        <v>1.3</v>
      </c>
      <c r="I895" s="28"/>
      <c r="J895" s="133">
        <v>44895</v>
      </c>
      <c r="K895" s="9">
        <f t="shared" si="57"/>
        <v>2696.2000000000003</v>
      </c>
      <c r="L895" s="9"/>
      <c r="M895" s="9"/>
      <c r="N895" s="9">
        <f>G895*H895*I895*E895</f>
        <v>0</v>
      </c>
      <c r="O895" s="3">
        <f>K895*1.6667</f>
        <v>4493.7565400000003</v>
      </c>
    </row>
    <row r="896" spans="1:15" ht="18" hidden="1" customHeight="1">
      <c r="A896" s="22"/>
      <c r="B896" s="28" t="s">
        <v>677</v>
      </c>
      <c r="C896" s="28" t="s">
        <v>15</v>
      </c>
      <c r="D896" s="28"/>
      <c r="E896" s="28">
        <v>1.22</v>
      </c>
      <c r="F896" s="28">
        <v>1300</v>
      </c>
      <c r="G896" s="81"/>
      <c r="H896" s="28">
        <v>1.4</v>
      </c>
      <c r="I896" s="81"/>
      <c r="J896" s="133">
        <v>43154</v>
      </c>
      <c r="K896" s="17">
        <f t="shared" si="57"/>
        <v>2220.3999999999996</v>
      </c>
      <c r="L896" s="17"/>
      <c r="M896" s="17"/>
      <c r="N896" s="9">
        <f>G896*H896*I896*E896</f>
        <v>0</v>
      </c>
      <c r="O896" s="16"/>
    </row>
    <row r="897" spans="1:15" ht="18" customHeight="1">
      <c r="A897" s="21"/>
      <c r="B897" s="28" t="s">
        <v>2439</v>
      </c>
      <c r="C897" s="28" t="s">
        <v>1498</v>
      </c>
      <c r="D897" s="28"/>
      <c r="E897" s="28">
        <v>1.22</v>
      </c>
      <c r="F897" s="28">
        <v>205.7</v>
      </c>
      <c r="G897" s="28"/>
      <c r="H897" s="28">
        <v>1.3</v>
      </c>
      <c r="I897" s="28"/>
      <c r="J897" s="133">
        <v>44678</v>
      </c>
      <c r="K897" s="9">
        <f t="shared" ref="K897:K915" si="59">E897*F897*H897</f>
        <v>326.24019999999996</v>
      </c>
      <c r="L897" s="9"/>
      <c r="M897" s="9"/>
      <c r="N897" s="9"/>
      <c r="O897" s="3"/>
    </row>
    <row r="898" spans="1:15" ht="18" customHeight="1">
      <c r="A898" s="21">
        <v>1055</v>
      </c>
      <c r="B898" s="28" t="s">
        <v>3263</v>
      </c>
      <c r="C898" s="28" t="s">
        <v>3402</v>
      </c>
      <c r="D898" s="28" t="s">
        <v>17</v>
      </c>
      <c r="E898" s="28">
        <v>1.22</v>
      </c>
      <c r="F898" s="28">
        <v>178.42</v>
      </c>
      <c r="G898" s="28"/>
      <c r="H898" s="28">
        <v>1.45</v>
      </c>
      <c r="I898" s="28"/>
      <c r="J898" s="133">
        <v>45734</v>
      </c>
      <c r="K898" s="9">
        <f t="shared" si="59"/>
        <v>315.62497999999994</v>
      </c>
      <c r="L898" s="9"/>
      <c r="M898" s="9"/>
      <c r="N898" s="9">
        <f>G898*H898*I898*E898</f>
        <v>0</v>
      </c>
      <c r="O898" s="3">
        <f>K898*1.6667</f>
        <v>526.05215416599992</v>
      </c>
    </row>
    <row r="899" spans="1:15" ht="18" customHeight="1">
      <c r="A899" s="21">
        <v>132</v>
      </c>
      <c r="B899" s="28" t="s">
        <v>3934</v>
      </c>
      <c r="C899" s="28" t="s">
        <v>3935</v>
      </c>
      <c r="D899" s="28" t="s">
        <v>34</v>
      </c>
      <c r="E899" s="28">
        <v>1.22</v>
      </c>
      <c r="F899" s="28">
        <v>198</v>
      </c>
      <c r="G899" s="28"/>
      <c r="H899" s="28">
        <v>1.45</v>
      </c>
      <c r="I899" s="28"/>
      <c r="J899" s="133">
        <v>45636</v>
      </c>
      <c r="K899" s="9">
        <f t="shared" si="59"/>
        <v>350.262</v>
      </c>
      <c r="L899" s="9"/>
      <c r="M899" s="9"/>
      <c r="N899" s="9">
        <f>G899*H899*I899*E899</f>
        <v>0</v>
      </c>
      <c r="O899" s="3">
        <f>K899*1.6667</f>
        <v>583.78167540000004</v>
      </c>
    </row>
    <row r="900" spans="1:15" ht="18" customHeight="1">
      <c r="A900" s="21"/>
      <c r="B900" s="28" t="s">
        <v>1207</v>
      </c>
      <c r="C900" s="28" t="s">
        <v>99</v>
      </c>
      <c r="D900" s="28"/>
      <c r="E900" s="28">
        <v>1</v>
      </c>
      <c r="F900" s="28">
        <v>288</v>
      </c>
      <c r="G900" s="28"/>
      <c r="H900" s="28">
        <v>1.4</v>
      </c>
      <c r="I900" s="28"/>
      <c r="J900" s="133">
        <v>44257</v>
      </c>
      <c r="K900" s="9">
        <f t="shared" si="59"/>
        <v>403.2</v>
      </c>
      <c r="L900" s="9"/>
      <c r="M900" s="9"/>
      <c r="N900" s="9">
        <f>G900*H900*I900*E900</f>
        <v>0</v>
      </c>
      <c r="O900" s="3">
        <f>K900*1.6667</f>
        <v>672.01344000000006</v>
      </c>
    </row>
    <row r="901" spans="1:15" ht="18" customHeight="1">
      <c r="A901" s="22">
        <v>82</v>
      </c>
      <c r="B901" s="28" t="s">
        <v>3366</v>
      </c>
      <c r="C901" s="28" t="s">
        <v>15</v>
      </c>
      <c r="D901" s="28" t="s">
        <v>34</v>
      </c>
      <c r="E901" s="28">
        <v>1.22</v>
      </c>
      <c r="F901" s="28">
        <v>146.68</v>
      </c>
      <c r="G901" s="28"/>
      <c r="H901" s="28">
        <v>1.5</v>
      </c>
      <c r="I901" s="28"/>
      <c r="J901" s="133">
        <v>46028</v>
      </c>
      <c r="K901" s="9">
        <f t="shared" si="59"/>
        <v>268.42439999999999</v>
      </c>
      <c r="L901" s="9"/>
      <c r="M901" s="9"/>
      <c r="N901" s="9">
        <f>G901*H901*I901*E901</f>
        <v>0</v>
      </c>
      <c r="O901" s="3">
        <f>K901*1.6667</f>
        <v>447.38294747999998</v>
      </c>
    </row>
    <row r="902" spans="1:15" ht="18" customHeight="1">
      <c r="A902" s="21">
        <v>131</v>
      </c>
      <c r="B902" s="28" t="s">
        <v>2654</v>
      </c>
      <c r="C902" s="28" t="s">
        <v>2379</v>
      </c>
      <c r="D902" s="28" t="s">
        <v>34</v>
      </c>
      <c r="E902" s="28">
        <v>1.22</v>
      </c>
      <c r="F902" s="28">
        <v>139</v>
      </c>
      <c r="G902" s="28"/>
      <c r="H902" s="28">
        <v>1.4</v>
      </c>
      <c r="I902" s="28"/>
      <c r="J902" s="133">
        <v>45636</v>
      </c>
      <c r="K902" s="9">
        <f t="shared" si="59"/>
        <v>237.41199999999995</v>
      </c>
      <c r="L902" s="9"/>
      <c r="M902" s="9"/>
      <c r="N902" s="9"/>
      <c r="O902" s="3"/>
    </row>
    <row r="903" spans="1:15" ht="18" customHeight="1">
      <c r="A903" s="44">
        <v>3296</v>
      </c>
      <c r="B903" s="92" t="s">
        <v>1659</v>
      </c>
      <c r="C903" s="113"/>
      <c r="D903" s="28" t="s">
        <v>3297</v>
      </c>
      <c r="E903" s="28">
        <v>1.22</v>
      </c>
      <c r="F903" s="92">
        <v>528.04999999999995</v>
      </c>
      <c r="G903" s="113"/>
      <c r="H903" s="28">
        <v>1.4</v>
      </c>
      <c r="I903" s="113"/>
      <c r="J903" s="137">
        <v>43956</v>
      </c>
      <c r="K903" s="9">
        <f t="shared" si="59"/>
        <v>901.90939999999978</v>
      </c>
      <c r="L903" s="9"/>
      <c r="M903" s="17"/>
      <c r="N903" s="44"/>
      <c r="O903" s="44"/>
    </row>
    <row r="904" spans="1:15" ht="18" customHeight="1">
      <c r="A904" s="21">
        <v>402</v>
      </c>
      <c r="B904" s="28" t="s">
        <v>1375</v>
      </c>
      <c r="C904" s="28" t="s">
        <v>1219</v>
      </c>
      <c r="D904" s="28" t="s">
        <v>3326</v>
      </c>
      <c r="E904" s="28">
        <v>1.22</v>
      </c>
      <c r="F904" s="28">
        <v>119</v>
      </c>
      <c r="G904" s="28"/>
      <c r="H904" s="28">
        <v>1.45</v>
      </c>
      <c r="I904" s="28"/>
      <c r="J904" s="133">
        <v>45245</v>
      </c>
      <c r="K904" s="9">
        <f t="shared" si="59"/>
        <v>210.511</v>
      </c>
      <c r="L904" s="9"/>
      <c r="M904" s="9"/>
      <c r="N904" s="9">
        <f>G904*H904*I904*E904</f>
        <v>0</v>
      </c>
      <c r="O904" s="3">
        <f>K904*1.6667</f>
        <v>350.85868370000003</v>
      </c>
    </row>
    <row r="905" spans="1:15" ht="18" customHeight="1">
      <c r="A905" s="16"/>
      <c r="B905" s="87" t="s">
        <v>4363</v>
      </c>
      <c r="C905" s="110" t="s">
        <v>4364</v>
      </c>
      <c r="D905" s="28" t="s">
        <v>4158</v>
      </c>
      <c r="E905" s="28">
        <v>1.22</v>
      </c>
      <c r="F905" s="87">
        <v>128.52000000000001</v>
      </c>
      <c r="G905" s="110"/>
      <c r="H905" s="87">
        <v>1.5</v>
      </c>
      <c r="I905" s="110"/>
      <c r="J905" s="135">
        <v>45915</v>
      </c>
      <c r="K905" s="9">
        <f t="shared" si="59"/>
        <v>235.19159999999999</v>
      </c>
      <c r="L905" s="37"/>
      <c r="M905" s="17"/>
      <c r="N905" s="16"/>
      <c r="O905" s="16"/>
    </row>
    <row r="906" spans="1:15" ht="18" customHeight="1">
      <c r="A906" s="21"/>
      <c r="B906" s="28" t="s">
        <v>95</v>
      </c>
      <c r="C906" s="28" t="s">
        <v>96</v>
      </c>
      <c r="D906" s="28" t="s">
        <v>4158</v>
      </c>
      <c r="E906" s="28">
        <v>1.22</v>
      </c>
      <c r="F906" s="28">
        <v>117</v>
      </c>
      <c r="G906" s="28"/>
      <c r="H906" s="28">
        <v>1.45</v>
      </c>
      <c r="I906" s="28"/>
      <c r="J906" s="133">
        <v>45770</v>
      </c>
      <c r="K906" s="9">
        <f t="shared" si="59"/>
        <v>206.97300000000001</v>
      </c>
      <c r="L906" s="9"/>
      <c r="M906" s="9"/>
      <c r="N906" s="9">
        <f>G906*H906*I906*E906</f>
        <v>0</v>
      </c>
      <c r="O906" s="3">
        <f>K906*1.6667</f>
        <v>344.96189910000004</v>
      </c>
    </row>
    <row r="907" spans="1:15" ht="18" customHeight="1">
      <c r="A907" s="16"/>
      <c r="B907" s="90" t="s">
        <v>2475</v>
      </c>
      <c r="C907" s="110"/>
      <c r="D907" s="28" t="s">
        <v>451</v>
      </c>
      <c r="E907" s="28">
        <v>1.22</v>
      </c>
      <c r="F907" s="87">
        <v>1452</v>
      </c>
      <c r="G907" s="110"/>
      <c r="H907" s="28">
        <v>1.7</v>
      </c>
      <c r="I907" s="110"/>
      <c r="J907" s="135">
        <v>44648</v>
      </c>
      <c r="K907" s="9">
        <f t="shared" si="59"/>
        <v>3011.4479999999999</v>
      </c>
      <c r="L907" s="35"/>
      <c r="M907" s="17"/>
      <c r="N907" s="16"/>
      <c r="O907" s="16"/>
    </row>
    <row r="908" spans="1:15" ht="18" customHeight="1">
      <c r="A908" s="16"/>
      <c r="B908" s="90" t="s">
        <v>2473</v>
      </c>
      <c r="C908" s="110"/>
      <c r="D908" s="28" t="s">
        <v>451</v>
      </c>
      <c r="E908" s="28">
        <v>1.22</v>
      </c>
      <c r="F908" s="87">
        <v>1980</v>
      </c>
      <c r="G908" s="110"/>
      <c r="H908" s="28">
        <v>1.7</v>
      </c>
      <c r="I908" s="110"/>
      <c r="J908" s="135">
        <v>44648</v>
      </c>
      <c r="K908" s="9">
        <f t="shared" si="59"/>
        <v>4106.5199999999995</v>
      </c>
      <c r="L908" s="35"/>
      <c r="M908" s="17"/>
      <c r="N908" s="16"/>
      <c r="O908" s="16"/>
    </row>
    <row r="909" spans="1:15" ht="18" customHeight="1">
      <c r="A909" s="42"/>
      <c r="B909" s="248" t="s">
        <v>2474</v>
      </c>
      <c r="C909" s="123"/>
      <c r="D909" s="93" t="s">
        <v>451</v>
      </c>
      <c r="E909" s="93">
        <v>1.22</v>
      </c>
      <c r="F909" s="160">
        <v>1650</v>
      </c>
      <c r="G909" s="123"/>
      <c r="H909" s="93">
        <v>1.7</v>
      </c>
      <c r="I909" s="123"/>
      <c r="J909" s="150">
        <v>44648</v>
      </c>
      <c r="K909" s="33">
        <f t="shared" si="59"/>
        <v>3422.1</v>
      </c>
      <c r="L909" s="173"/>
      <c r="M909" s="51"/>
      <c r="N909" s="16"/>
      <c r="O909" s="16"/>
    </row>
    <row r="910" spans="1:15" ht="18" customHeight="1">
      <c r="A910" s="46" t="s">
        <v>2055</v>
      </c>
      <c r="B910" s="80" t="s">
        <v>2056</v>
      </c>
      <c r="C910" s="79" t="s">
        <v>2057</v>
      </c>
      <c r="D910" s="28" t="s">
        <v>1983</v>
      </c>
      <c r="E910" s="28">
        <v>1.22</v>
      </c>
      <c r="F910" s="80">
        <v>132.69999999999999</v>
      </c>
      <c r="G910" s="110"/>
      <c r="H910" s="28">
        <v>1.4</v>
      </c>
      <c r="I910" s="110"/>
      <c r="J910" s="134">
        <v>44676</v>
      </c>
      <c r="K910" s="9">
        <f t="shared" si="59"/>
        <v>226.65159999999995</v>
      </c>
      <c r="L910" s="9"/>
      <c r="M910" s="17"/>
      <c r="N910" s="157"/>
      <c r="O910" s="16"/>
    </row>
    <row r="911" spans="1:15" ht="18" customHeight="1">
      <c r="A911" s="247" t="s">
        <v>2058</v>
      </c>
      <c r="B911" s="158" t="s">
        <v>2056</v>
      </c>
      <c r="C911" s="165" t="s">
        <v>2059</v>
      </c>
      <c r="D911" s="85" t="s">
        <v>1983</v>
      </c>
      <c r="E911" s="85">
        <v>1.22</v>
      </c>
      <c r="F911" s="158">
        <v>141</v>
      </c>
      <c r="G911" s="120"/>
      <c r="H911" s="85">
        <v>1.4</v>
      </c>
      <c r="I911" s="120"/>
      <c r="J911" s="142">
        <v>44249</v>
      </c>
      <c r="K911" s="10">
        <f t="shared" si="59"/>
        <v>240.828</v>
      </c>
      <c r="L911" s="10"/>
      <c r="M911" s="56"/>
      <c r="N911" s="16"/>
      <c r="O911" s="16"/>
    </row>
    <row r="912" spans="1:15" ht="18" customHeight="1">
      <c r="A912" s="16" t="s">
        <v>2061</v>
      </c>
      <c r="B912" s="80" t="s">
        <v>2056</v>
      </c>
      <c r="C912" s="110" t="s">
        <v>2060</v>
      </c>
      <c r="D912" s="28" t="s">
        <v>1983</v>
      </c>
      <c r="E912" s="28">
        <v>1.22</v>
      </c>
      <c r="F912" s="80">
        <v>87</v>
      </c>
      <c r="G912" s="110"/>
      <c r="H912" s="28">
        <v>1.4</v>
      </c>
      <c r="I912" s="110"/>
      <c r="J912" s="135">
        <v>44498</v>
      </c>
      <c r="K912" s="9">
        <f t="shared" si="59"/>
        <v>148.596</v>
      </c>
      <c r="L912" s="9"/>
      <c r="M912" s="17"/>
      <c r="N912" s="16"/>
      <c r="O912" s="16"/>
    </row>
    <row r="913" spans="1:15" ht="18" customHeight="1">
      <c r="A913" s="21" t="s">
        <v>2055</v>
      </c>
      <c r="B913" s="28" t="s">
        <v>2462</v>
      </c>
      <c r="C913" s="28"/>
      <c r="D913" s="28" t="s">
        <v>1983</v>
      </c>
      <c r="E913" s="28">
        <v>1.22</v>
      </c>
      <c r="F913" s="28">
        <v>132.66999999999999</v>
      </c>
      <c r="G913" s="28"/>
      <c r="H913" s="28">
        <v>1.6</v>
      </c>
      <c r="I913" s="28"/>
      <c r="J913" s="133">
        <v>44635</v>
      </c>
      <c r="K913" s="9">
        <f t="shared" si="59"/>
        <v>258.97183999999999</v>
      </c>
      <c r="L913" s="9"/>
      <c r="M913" s="9"/>
      <c r="N913" s="9">
        <f>G913*H913*I913*E913</f>
        <v>0</v>
      </c>
      <c r="O913" s="3">
        <f>K913*1.6667</f>
        <v>431.62836572800001</v>
      </c>
    </row>
    <row r="914" spans="1:15" ht="18" customHeight="1">
      <c r="A914" s="21" t="s">
        <v>3797</v>
      </c>
      <c r="B914" s="28" t="s">
        <v>3798</v>
      </c>
      <c r="C914" s="28">
        <v>0</v>
      </c>
      <c r="D914" s="28" t="s">
        <v>1292</v>
      </c>
      <c r="E914" s="28">
        <v>1.22</v>
      </c>
      <c r="F914" s="28">
        <v>75</v>
      </c>
      <c r="G914" s="28">
        <v>1</v>
      </c>
      <c r="H914" s="28">
        <v>1.9</v>
      </c>
      <c r="I914" s="28"/>
      <c r="J914" s="133">
        <v>45572</v>
      </c>
      <c r="K914" s="9">
        <f t="shared" si="59"/>
        <v>173.85</v>
      </c>
      <c r="L914" s="9"/>
      <c r="M914" s="9"/>
      <c r="N914" s="9">
        <f>G914*H914*I914*E914</f>
        <v>0</v>
      </c>
      <c r="O914" s="3">
        <f>K914*1.6667</f>
        <v>289.75579499999998</v>
      </c>
    </row>
    <row r="915" spans="1:15" ht="18" customHeight="1">
      <c r="A915" s="21" t="s">
        <v>2219</v>
      </c>
      <c r="B915" s="28" t="s">
        <v>293</v>
      </c>
      <c r="C915" s="28" t="s">
        <v>1637</v>
      </c>
      <c r="D915" s="28" t="s">
        <v>1983</v>
      </c>
      <c r="E915" s="28">
        <v>1.22</v>
      </c>
      <c r="F915" s="28">
        <v>119</v>
      </c>
      <c r="G915" s="28">
        <v>0</v>
      </c>
      <c r="H915" s="28">
        <v>1.4</v>
      </c>
      <c r="I915" s="28">
        <v>0</v>
      </c>
      <c r="J915" s="133">
        <v>44755</v>
      </c>
      <c r="K915" s="9">
        <f t="shared" si="59"/>
        <v>203.25200000000001</v>
      </c>
      <c r="L915" s="9"/>
      <c r="M915" s="9"/>
      <c r="N915" s="9">
        <f>G915*H915*I915*E915</f>
        <v>0</v>
      </c>
      <c r="O915" s="3">
        <f>K915*1.6667</f>
        <v>338.76010840000004</v>
      </c>
    </row>
    <row r="916" spans="1:15" ht="18" customHeight="1">
      <c r="A916" s="21">
        <v>910118</v>
      </c>
      <c r="B916" s="28" t="s">
        <v>3261</v>
      </c>
      <c r="C916" s="28">
        <v>0</v>
      </c>
      <c r="D916" s="28" t="s">
        <v>1983</v>
      </c>
      <c r="E916" s="28">
        <v>1.22</v>
      </c>
      <c r="F916" s="28">
        <v>10.19</v>
      </c>
      <c r="G916" s="28"/>
      <c r="H916" s="28">
        <v>1.2</v>
      </c>
      <c r="I916" s="28">
        <v>42</v>
      </c>
      <c r="J916" s="133">
        <v>45227</v>
      </c>
      <c r="K916" s="9">
        <f>E916*F916*H916*I916</f>
        <v>626.5627199999999</v>
      </c>
      <c r="L916" s="9"/>
      <c r="M916" s="9"/>
      <c r="N916" s="9"/>
      <c r="O916" s="3"/>
    </row>
    <row r="917" spans="1:15" ht="18" customHeight="1">
      <c r="A917" s="68">
        <v>910118</v>
      </c>
      <c r="B917" s="87" t="s">
        <v>4467</v>
      </c>
      <c r="C917" s="110"/>
      <c r="D917" s="28" t="s">
        <v>23</v>
      </c>
      <c r="E917" s="28">
        <v>1.22</v>
      </c>
      <c r="F917" s="87">
        <v>10.19</v>
      </c>
      <c r="G917" s="110"/>
      <c r="H917" s="87">
        <v>1.2</v>
      </c>
      <c r="I917" s="110">
        <v>45</v>
      </c>
      <c r="J917" s="135">
        <v>45959</v>
      </c>
      <c r="K917" s="9">
        <f>E917*F917*H917*I917</f>
        <v>671.31719999999996</v>
      </c>
      <c r="L917" s="37"/>
      <c r="M917" s="17"/>
      <c r="N917" s="16"/>
      <c r="O917" s="16"/>
    </row>
    <row r="918" spans="1:15" ht="18" customHeight="1">
      <c r="A918" s="21">
        <v>267</v>
      </c>
      <c r="B918" s="28" t="s">
        <v>2106</v>
      </c>
      <c r="C918" s="28"/>
      <c r="D918" s="28" t="s">
        <v>1983</v>
      </c>
      <c r="E918" s="28">
        <v>1.22</v>
      </c>
      <c r="F918" s="28">
        <v>114</v>
      </c>
      <c r="G918" s="28"/>
      <c r="H918" s="28">
        <v>1.6</v>
      </c>
      <c r="I918" s="28"/>
      <c r="J918" s="133">
        <v>44270</v>
      </c>
      <c r="K918" s="9">
        <f t="shared" ref="K918:K946" si="60">E918*F918*H918</f>
        <v>222.52799999999999</v>
      </c>
      <c r="L918" s="9"/>
      <c r="M918" s="9"/>
      <c r="N918" s="9"/>
      <c r="O918" s="3"/>
    </row>
    <row r="919" spans="1:15" ht="18" customHeight="1">
      <c r="A919" s="21">
        <v>270</v>
      </c>
      <c r="B919" s="28" t="s">
        <v>2105</v>
      </c>
      <c r="C919" s="28"/>
      <c r="D919" s="28" t="s">
        <v>1983</v>
      </c>
      <c r="E919" s="28">
        <v>1.22</v>
      </c>
      <c r="F919" s="28">
        <v>227</v>
      </c>
      <c r="G919" s="28"/>
      <c r="H919" s="28">
        <v>1.6</v>
      </c>
      <c r="I919" s="28"/>
      <c r="J919" s="133">
        <v>44511</v>
      </c>
      <c r="K919" s="9">
        <f t="shared" si="60"/>
        <v>443.10400000000004</v>
      </c>
      <c r="L919" s="9"/>
      <c r="M919" s="9"/>
      <c r="N919" s="9"/>
      <c r="O919" s="3"/>
    </row>
    <row r="920" spans="1:15" ht="18" customHeight="1">
      <c r="A920" s="21" t="s">
        <v>2292</v>
      </c>
      <c r="B920" s="28" t="s">
        <v>4406</v>
      </c>
      <c r="C920" s="116" t="s">
        <v>54</v>
      </c>
      <c r="D920" s="28" t="s">
        <v>1983</v>
      </c>
      <c r="E920" s="28">
        <v>1.22</v>
      </c>
      <c r="F920" s="28">
        <v>129</v>
      </c>
      <c r="G920" s="28"/>
      <c r="H920" s="28">
        <v>1.4</v>
      </c>
      <c r="I920" s="28"/>
      <c r="J920" s="133">
        <v>45929</v>
      </c>
      <c r="K920" s="9">
        <f t="shared" si="60"/>
        <v>220.33199999999999</v>
      </c>
      <c r="L920" s="9"/>
      <c r="M920" s="9"/>
      <c r="N920" s="9"/>
      <c r="O920" s="3"/>
    </row>
    <row r="921" spans="1:15" ht="18" customHeight="1">
      <c r="A921" s="21" t="s">
        <v>2294</v>
      </c>
      <c r="B921" s="28" t="s">
        <v>4407</v>
      </c>
      <c r="C921" s="116" t="s">
        <v>2295</v>
      </c>
      <c r="D921" s="28" t="s">
        <v>1983</v>
      </c>
      <c r="E921" s="28">
        <v>1.22</v>
      </c>
      <c r="F921" s="28">
        <v>102</v>
      </c>
      <c r="G921" s="28"/>
      <c r="H921" s="28">
        <v>1.4</v>
      </c>
      <c r="I921" s="28"/>
      <c r="J921" s="133">
        <v>45929</v>
      </c>
      <c r="K921" s="9">
        <f t="shared" si="60"/>
        <v>174.21599999999998</v>
      </c>
      <c r="L921" s="9"/>
      <c r="M921" s="9"/>
      <c r="N921" s="9"/>
      <c r="O921" s="3"/>
    </row>
    <row r="922" spans="1:15" ht="18" customHeight="1">
      <c r="A922" s="21" t="s">
        <v>2296</v>
      </c>
      <c r="B922" s="28" t="s">
        <v>2293</v>
      </c>
      <c r="C922" s="181" t="s">
        <v>2287</v>
      </c>
      <c r="D922" s="28" t="s">
        <v>1983</v>
      </c>
      <c r="E922" s="28">
        <v>1.22</v>
      </c>
      <c r="F922" s="28">
        <v>88</v>
      </c>
      <c r="G922" s="145"/>
      <c r="H922" s="28">
        <v>1.5</v>
      </c>
      <c r="I922" s="28"/>
      <c r="J922" s="133">
        <v>45929</v>
      </c>
      <c r="K922" s="9">
        <f t="shared" si="60"/>
        <v>161.04</v>
      </c>
      <c r="L922" s="9"/>
      <c r="M922" s="9"/>
      <c r="N922" s="9"/>
      <c r="O922" s="3"/>
    </row>
    <row r="923" spans="1:15" ht="18" customHeight="1">
      <c r="A923" s="16"/>
      <c r="B923" s="28" t="s">
        <v>2874</v>
      </c>
      <c r="C923" s="110"/>
      <c r="D923" s="28" t="s">
        <v>1983</v>
      </c>
      <c r="E923" s="28">
        <v>1.22</v>
      </c>
      <c r="F923" s="28">
        <v>140</v>
      </c>
      <c r="G923" s="110"/>
      <c r="H923" s="28">
        <v>1.6</v>
      </c>
      <c r="I923" s="110"/>
      <c r="J923" s="135">
        <v>44939</v>
      </c>
      <c r="K923" s="37">
        <f t="shared" si="60"/>
        <v>273.27999999999997</v>
      </c>
      <c r="L923" s="37"/>
      <c r="M923" s="17"/>
      <c r="N923" s="16"/>
      <c r="O923" s="16"/>
    </row>
    <row r="924" spans="1:15" ht="18" customHeight="1">
      <c r="A924" s="45" t="s">
        <v>4184</v>
      </c>
      <c r="B924" s="88" t="s">
        <v>4185</v>
      </c>
      <c r="C924" s="136"/>
      <c r="D924" s="28" t="s">
        <v>1921</v>
      </c>
      <c r="E924" s="28">
        <v>1.22</v>
      </c>
      <c r="F924" s="88">
        <v>59</v>
      </c>
      <c r="G924" s="136"/>
      <c r="H924" s="88">
        <v>1.8</v>
      </c>
      <c r="I924" s="136"/>
      <c r="J924" s="137">
        <v>45762</v>
      </c>
      <c r="K924" s="9">
        <f t="shared" si="60"/>
        <v>129.56400000000002</v>
      </c>
      <c r="L924" s="37"/>
      <c r="M924" s="17"/>
      <c r="N924" s="16"/>
      <c r="O924" s="16"/>
    </row>
    <row r="925" spans="1:15" ht="18" customHeight="1">
      <c r="A925" s="21" t="s">
        <v>2495</v>
      </c>
      <c r="B925" s="28" t="s">
        <v>2496</v>
      </c>
      <c r="C925" s="28" t="s">
        <v>2497</v>
      </c>
      <c r="D925" s="28" t="s">
        <v>1983</v>
      </c>
      <c r="E925" s="28">
        <v>1.22</v>
      </c>
      <c r="F925" s="28">
        <v>81</v>
      </c>
      <c r="G925" s="28"/>
      <c r="H925" s="28">
        <v>1.6</v>
      </c>
      <c r="I925" s="28"/>
      <c r="J925" s="133">
        <v>44657</v>
      </c>
      <c r="K925" s="9">
        <f t="shared" si="60"/>
        <v>158.11199999999999</v>
      </c>
      <c r="L925" s="9"/>
      <c r="M925" s="9"/>
      <c r="N925" s="9">
        <f>G925*H925*I925*E925</f>
        <v>0</v>
      </c>
      <c r="O925" s="3">
        <f>K925*1.6667</f>
        <v>263.52527040000001</v>
      </c>
    </row>
    <row r="926" spans="1:15" ht="18" customHeight="1">
      <c r="A926" s="21" t="s">
        <v>2490</v>
      </c>
      <c r="B926" s="28" t="s">
        <v>2491</v>
      </c>
      <c r="C926" s="28" t="s">
        <v>2492</v>
      </c>
      <c r="D926" s="28" t="s">
        <v>1983</v>
      </c>
      <c r="E926" s="28">
        <v>1.22</v>
      </c>
      <c r="F926" s="28">
        <v>58</v>
      </c>
      <c r="G926" s="28"/>
      <c r="H926" s="28">
        <v>1.6</v>
      </c>
      <c r="I926" s="28"/>
      <c r="J926" s="133">
        <v>44657</v>
      </c>
      <c r="K926" s="9">
        <f t="shared" si="60"/>
        <v>113.21600000000001</v>
      </c>
      <c r="L926" s="9"/>
      <c r="M926" s="9"/>
      <c r="N926" s="9">
        <f>G926*H926*I926*E926</f>
        <v>0</v>
      </c>
      <c r="O926" s="3">
        <f>K926*1.6667</f>
        <v>188.69710720000003</v>
      </c>
    </row>
    <row r="927" spans="1:15" ht="18" hidden="1" customHeight="1">
      <c r="A927" s="21">
        <v>2217</v>
      </c>
      <c r="B927" s="28" t="s">
        <v>294</v>
      </c>
      <c r="C927" s="28" t="s">
        <v>15</v>
      </c>
      <c r="D927" s="28" t="s">
        <v>1983</v>
      </c>
      <c r="E927" s="28">
        <v>1.22</v>
      </c>
      <c r="F927" s="28">
        <v>43.55</v>
      </c>
      <c r="G927" s="28"/>
      <c r="H927" s="28">
        <v>1.6</v>
      </c>
      <c r="I927" s="28"/>
      <c r="J927" s="133">
        <v>43154</v>
      </c>
      <c r="K927" s="9">
        <f t="shared" si="60"/>
        <v>85.009599999999992</v>
      </c>
      <c r="L927" s="9"/>
      <c r="M927" s="9"/>
      <c r="N927" s="9">
        <f>G927*H927*I927*E927</f>
        <v>0</v>
      </c>
      <c r="O927" s="3">
        <f>K927*1.6667</f>
        <v>141.68550031999999</v>
      </c>
    </row>
    <row r="928" spans="1:15" ht="18" customHeight="1">
      <c r="A928" s="21" t="s">
        <v>2990</v>
      </c>
      <c r="B928" s="28" t="s">
        <v>2991</v>
      </c>
      <c r="C928" s="28" t="s">
        <v>1355</v>
      </c>
      <c r="D928" s="28" t="s">
        <v>1983</v>
      </c>
      <c r="E928" s="28">
        <v>1.22</v>
      </c>
      <c r="F928" s="28">
        <v>90</v>
      </c>
      <c r="G928" s="28"/>
      <c r="H928" s="28">
        <v>1.5</v>
      </c>
      <c r="I928" s="28"/>
      <c r="J928" s="133">
        <v>45026</v>
      </c>
      <c r="K928" s="9">
        <f t="shared" si="60"/>
        <v>164.7</v>
      </c>
      <c r="L928" s="9"/>
      <c r="M928" s="9"/>
      <c r="N928" s="9"/>
      <c r="O928" s="3"/>
    </row>
    <row r="929" spans="1:15" ht="18" customHeight="1">
      <c r="A929" s="16" t="s">
        <v>3810</v>
      </c>
      <c r="B929" s="87" t="s">
        <v>3811</v>
      </c>
      <c r="C929" s="110"/>
      <c r="D929" s="110" t="s">
        <v>3812</v>
      </c>
      <c r="E929" s="87">
        <v>1.22</v>
      </c>
      <c r="F929" s="87">
        <v>99.9</v>
      </c>
      <c r="G929" s="110"/>
      <c r="H929" s="87">
        <v>1.9</v>
      </c>
      <c r="I929" s="110"/>
      <c r="J929" s="133">
        <v>45572</v>
      </c>
      <c r="K929" s="9">
        <f t="shared" si="60"/>
        <v>231.56819999999999</v>
      </c>
      <c r="L929" s="37"/>
      <c r="M929" s="17"/>
      <c r="N929" s="16"/>
      <c r="O929" s="16"/>
    </row>
    <row r="930" spans="1:15" ht="18" customHeight="1">
      <c r="A930" s="68" t="s">
        <v>3975</v>
      </c>
      <c r="B930" s="87" t="s">
        <v>3976</v>
      </c>
      <c r="C930" s="110"/>
      <c r="D930" s="28" t="s">
        <v>1921</v>
      </c>
      <c r="E930" s="28">
        <v>1.22</v>
      </c>
      <c r="F930" s="87">
        <v>124</v>
      </c>
      <c r="G930" s="110"/>
      <c r="H930" s="87">
        <v>1.8</v>
      </c>
      <c r="I930" s="110"/>
      <c r="J930" s="135">
        <v>45636</v>
      </c>
      <c r="K930" s="37">
        <f t="shared" si="60"/>
        <v>272.30400000000003</v>
      </c>
      <c r="L930" s="37"/>
      <c r="M930" s="17"/>
      <c r="N930" s="16"/>
      <c r="O930" s="16"/>
    </row>
    <row r="931" spans="1:15" ht="18" customHeight="1">
      <c r="A931" s="68" t="s">
        <v>2488</v>
      </c>
      <c r="B931" s="87" t="s">
        <v>3974</v>
      </c>
      <c r="C931" s="110"/>
      <c r="D931" s="28" t="s">
        <v>1921</v>
      </c>
      <c r="E931" s="28">
        <v>1.22</v>
      </c>
      <c r="F931" s="87">
        <v>48</v>
      </c>
      <c r="G931" s="110"/>
      <c r="H931" s="87">
        <v>2</v>
      </c>
      <c r="I931" s="110"/>
      <c r="J931" s="135">
        <v>45636</v>
      </c>
      <c r="K931" s="35">
        <f t="shared" si="60"/>
        <v>117.12</v>
      </c>
      <c r="L931" s="37"/>
      <c r="M931" s="17"/>
      <c r="N931" s="16"/>
      <c r="O931" s="16"/>
    </row>
    <row r="932" spans="1:15" ht="18" customHeight="1">
      <c r="A932" s="16" t="s">
        <v>3145</v>
      </c>
      <c r="B932" s="87" t="s">
        <v>3146</v>
      </c>
      <c r="C932" s="110"/>
      <c r="D932" s="28" t="s">
        <v>1983</v>
      </c>
      <c r="E932" s="28">
        <v>1.22</v>
      </c>
      <c r="F932" s="87">
        <v>97</v>
      </c>
      <c r="G932" s="110"/>
      <c r="H932" s="87">
        <v>1.6</v>
      </c>
      <c r="I932" s="110"/>
      <c r="J932" s="135">
        <v>45175</v>
      </c>
      <c r="K932" s="35">
        <f t="shared" si="60"/>
        <v>189.34400000000002</v>
      </c>
      <c r="L932" s="37"/>
      <c r="M932" s="17"/>
      <c r="N932" s="16"/>
      <c r="O932" s="16"/>
    </row>
    <row r="933" spans="1:15" ht="18" customHeight="1">
      <c r="A933" s="16" t="s">
        <v>2062</v>
      </c>
      <c r="B933" s="80" t="s">
        <v>2063</v>
      </c>
      <c r="C933" s="110" t="s">
        <v>2064</v>
      </c>
      <c r="D933" s="28" t="s">
        <v>1983</v>
      </c>
      <c r="E933" s="28">
        <v>1.22</v>
      </c>
      <c r="F933" s="80">
        <v>50</v>
      </c>
      <c r="G933" s="174"/>
      <c r="H933" s="28">
        <v>1.4</v>
      </c>
      <c r="I933" s="110"/>
      <c r="J933" s="135">
        <v>44249</v>
      </c>
      <c r="K933" s="9">
        <f t="shared" si="60"/>
        <v>85.399999999999991</v>
      </c>
      <c r="L933" s="9"/>
      <c r="M933" s="17"/>
      <c r="N933" s="16"/>
      <c r="O933" s="16"/>
    </row>
    <row r="934" spans="1:15" ht="18" hidden="1" customHeight="1">
      <c r="A934" s="21">
        <v>2264</v>
      </c>
      <c r="B934" s="28" t="s">
        <v>295</v>
      </c>
      <c r="C934" s="28" t="s">
        <v>15</v>
      </c>
      <c r="D934" s="28" t="s">
        <v>1983</v>
      </c>
      <c r="E934" s="28">
        <v>1.22</v>
      </c>
      <c r="F934" s="28">
        <v>77.47</v>
      </c>
      <c r="G934" s="28"/>
      <c r="H934" s="28">
        <v>1.6</v>
      </c>
      <c r="I934" s="28"/>
      <c r="J934" s="133">
        <v>43154</v>
      </c>
      <c r="K934" s="9">
        <f t="shared" si="60"/>
        <v>151.22144</v>
      </c>
      <c r="L934" s="9"/>
      <c r="M934" s="9"/>
      <c r="N934" s="9">
        <f t="shared" ref="N934:N939" si="61">G934*H934*I934*E934</f>
        <v>0</v>
      </c>
      <c r="O934" s="3">
        <f t="shared" ref="O934:O939" si="62">K934*1.6667</f>
        <v>252.040774048</v>
      </c>
    </row>
    <row r="935" spans="1:15" ht="18" customHeight="1">
      <c r="A935" s="21" t="s">
        <v>2488</v>
      </c>
      <c r="B935" s="28" t="s">
        <v>2489</v>
      </c>
      <c r="C935" s="28" t="s">
        <v>546</v>
      </c>
      <c r="D935" s="28" t="s">
        <v>1983</v>
      </c>
      <c r="E935" s="28">
        <v>1.22</v>
      </c>
      <c r="F935" s="28">
        <v>46</v>
      </c>
      <c r="G935" s="28"/>
      <c r="H935" s="28">
        <v>1.6</v>
      </c>
      <c r="I935" s="28"/>
      <c r="J935" s="133">
        <v>44657</v>
      </c>
      <c r="K935" s="9">
        <f t="shared" si="60"/>
        <v>89.792000000000002</v>
      </c>
      <c r="L935" s="9"/>
      <c r="M935" s="9"/>
      <c r="N935" s="9">
        <f t="shared" si="61"/>
        <v>0</v>
      </c>
      <c r="O935" s="3">
        <f t="shared" si="62"/>
        <v>149.65632640000001</v>
      </c>
    </row>
    <row r="936" spans="1:15" ht="18" hidden="1" customHeight="1">
      <c r="A936" s="21">
        <v>380</v>
      </c>
      <c r="B936" s="28" t="s">
        <v>296</v>
      </c>
      <c r="C936" s="28" t="s">
        <v>15</v>
      </c>
      <c r="D936" s="28" t="s">
        <v>1983</v>
      </c>
      <c r="E936" s="28">
        <v>1.22</v>
      </c>
      <c r="F936" s="28">
        <v>25.4</v>
      </c>
      <c r="G936" s="28"/>
      <c r="H936" s="28">
        <v>1.6</v>
      </c>
      <c r="I936" s="28"/>
      <c r="J936" s="133">
        <v>43154</v>
      </c>
      <c r="K936" s="9">
        <f t="shared" si="60"/>
        <v>49.580799999999996</v>
      </c>
      <c r="L936" s="9"/>
      <c r="M936" s="9"/>
      <c r="N936" s="9">
        <f t="shared" si="61"/>
        <v>0</v>
      </c>
      <c r="O936" s="3">
        <f t="shared" si="62"/>
        <v>82.636319360000002</v>
      </c>
    </row>
    <row r="937" spans="1:15" ht="18" customHeight="1">
      <c r="A937" s="21" t="s">
        <v>2498</v>
      </c>
      <c r="B937" s="28" t="s">
        <v>2499</v>
      </c>
      <c r="C937" s="28" t="s">
        <v>2500</v>
      </c>
      <c r="D937" s="28" t="s">
        <v>1983</v>
      </c>
      <c r="E937" s="28">
        <v>1.22</v>
      </c>
      <c r="F937" s="28">
        <v>94</v>
      </c>
      <c r="G937" s="28">
        <v>0</v>
      </c>
      <c r="H937" s="28">
        <v>1.6</v>
      </c>
      <c r="I937" s="28"/>
      <c r="J937" s="133">
        <v>44657</v>
      </c>
      <c r="K937" s="9">
        <f t="shared" si="60"/>
        <v>183.488</v>
      </c>
      <c r="L937" s="9"/>
      <c r="M937" s="9"/>
      <c r="N937" s="9">
        <f t="shared" si="61"/>
        <v>0</v>
      </c>
      <c r="O937" s="3">
        <f t="shared" si="62"/>
        <v>305.81944959999998</v>
      </c>
    </row>
    <row r="938" spans="1:15" ht="18" customHeight="1">
      <c r="A938" s="21" t="s">
        <v>2493</v>
      </c>
      <c r="B938" s="28" t="s">
        <v>2494</v>
      </c>
      <c r="C938" s="28" t="s">
        <v>546</v>
      </c>
      <c r="D938" s="28" t="s">
        <v>1983</v>
      </c>
      <c r="E938" s="28">
        <v>1.22</v>
      </c>
      <c r="F938" s="28">
        <v>67</v>
      </c>
      <c r="G938" s="28"/>
      <c r="H938" s="28">
        <v>1.6</v>
      </c>
      <c r="I938" s="28"/>
      <c r="J938" s="133">
        <v>44657</v>
      </c>
      <c r="K938" s="9">
        <f t="shared" si="60"/>
        <v>130.78399999999999</v>
      </c>
      <c r="L938" s="9"/>
      <c r="M938" s="9"/>
      <c r="N938" s="9">
        <f t="shared" si="61"/>
        <v>0</v>
      </c>
      <c r="O938" s="3">
        <f t="shared" si="62"/>
        <v>217.9776928</v>
      </c>
    </row>
    <row r="939" spans="1:15" ht="18" hidden="1" customHeight="1">
      <c r="A939" s="21">
        <v>340</v>
      </c>
      <c r="B939" s="28" t="s">
        <v>1161</v>
      </c>
      <c r="C939" s="28" t="s">
        <v>1162</v>
      </c>
      <c r="D939" s="28" t="s">
        <v>1983</v>
      </c>
      <c r="E939" s="28">
        <v>1.22</v>
      </c>
      <c r="F939" s="28">
        <v>58.73</v>
      </c>
      <c r="G939" s="28"/>
      <c r="H939" s="28">
        <v>1.6</v>
      </c>
      <c r="I939" s="28"/>
      <c r="J939" s="133">
        <v>43454</v>
      </c>
      <c r="K939" s="9">
        <f t="shared" si="60"/>
        <v>114.64096000000001</v>
      </c>
      <c r="L939" s="9"/>
      <c r="M939" s="9"/>
      <c r="N939" s="9">
        <f t="shared" si="61"/>
        <v>0</v>
      </c>
      <c r="O939" s="3">
        <f t="shared" si="62"/>
        <v>191.07208803200001</v>
      </c>
    </row>
    <row r="940" spans="1:15" ht="18" customHeight="1">
      <c r="A940" s="44">
        <v>3200</v>
      </c>
      <c r="B940" s="92" t="s">
        <v>1651</v>
      </c>
      <c r="C940" s="113" t="s">
        <v>1652</v>
      </c>
      <c r="D940" s="28" t="s">
        <v>1983</v>
      </c>
      <c r="E940" s="28">
        <v>1.22</v>
      </c>
      <c r="F940" s="92">
        <v>69.09</v>
      </c>
      <c r="G940" s="113"/>
      <c r="H940" s="28">
        <v>1.4</v>
      </c>
      <c r="I940" s="113"/>
      <c r="J940" s="137">
        <v>43956</v>
      </c>
      <c r="K940" s="9">
        <f t="shared" si="60"/>
        <v>118.00572</v>
      </c>
      <c r="L940" s="9"/>
      <c r="M940" s="17"/>
      <c r="N940" s="44"/>
      <c r="O940" s="44"/>
    </row>
    <row r="941" spans="1:15" ht="18" customHeight="1">
      <c r="A941" s="16" t="s">
        <v>2065</v>
      </c>
      <c r="B941" s="87" t="s">
        <v>2066</v>
      </c>
      <c r="C941" s="110" t="s">
        <v>2067</v>
      </c>
      <c r="D941" s="28" t="s">
        <v>1983</v>
      </c>
      <c r="E941" s="28">
        <v>1.22</v>
      </c>
      <c r="F941" s="80">
        <v>99</v>
      </c>
      <c r="G941" s="110"/>
      <c r="H941" s="28">
        <v>1.4</v>
      </c>
      <c r="I941" s="110"/>
      <c r="J941" s="135">
        <v>44249</v>
      </c>
      <c r="K941" s="9">
        <f t="shared" si="60"/>
        <v>169.09199999999998</v>
      </c>
      <c r="L941" s="9"/>
      <c r="M941" s="17"/>
      <c r="N941" s="16"/>
      <c r="O941" s="16"/>
    </row>
    <row r="942" spans="1:15" ht="18" customHeight="1">
      <c r="A942" s="21" t="s">
        <v>3531</v>
      </c>
      <c r="B942" s="87" t="s">
        <v>3532</v>
      </c>
      <c r="C942" s="110" t="s">
        <v>541</v>
      </c>
      <c r="D942" s="28" t="s">
        <v>1983</v>
      </c>
      <c r="E942" s="28">
        <v>1.22</v>
      </c>
      <c r="F942" s="87">
        <v>48</v>
      </c>
      <c r="G942" s="110"/>
      <c r="H942" s="87">
        <v>2</v>
      </c>
      <c r="I942" s="110"/>
      <c r="J942" s="135">
        <v>45450</v>
      </c>
      <c r="K942" s="37">
        <f t="shared" si="60"/>
        <v>117.12</v>
      </c>
      <c r="L942" s="37"/>
      <c r="M942" s="17"/>
      <c r="N942" s="16"/>
      <c r="O942" s="16"/>
    </row>
    <row r="943" spans="1:15" ht="18" customHeight="1">
      <c r="A943" s="21">
        <v>6632</v>
      </c>
      <c r="B943" s="28" t="s">
        <v>4009</v>
      </c>
      <c r="C943" s="28" t="s">
        <v>2438</v>
      </c>
      <c r="D943" s="28" t="s">
        <v>3359</v>
      </c>
      <c r="E943" s="28">
        <v>1.22</v>
      </c>
      <c r="F943" s="28">
        <v>178.5</v>
      </c>
      <c r="G943" s="28"/>
      <c r="H943" s="28">
        <v>1.4</v>
      </c>
      <c r="I943" s="28"/>
      <c r="J943" s="133">
        <v>45656</v>
      </c>
      <c r="K943" s="9">
        <f t="shared" si="60"/>
        <v>304.87799999999993</v>
      </c>
      <c r="L943" s="9"/>
      <c r="M943" s="9"/>
      <c r="N943" s="9">
        <f>G943*H943*I943*E943</f>
        <v>0</v>
      </c>
      <c r="O943" s="3">
        <f>K943*1.6667</f>
        <v>508.14016259999988</v>
      </c>
    </row>
    <row r="944" spans="1:15" ht="18" hidden="1" customHeight="1">
      <c r="A944" s="21">
        <v>3812</v>
      </c>
      <c r="B944" s="28" t="s">
        <v>297</v>
      </c>
      <c r="C944" s="28" t="s">
        <v>298</v>
      </c>
      <c r="D944" s="28" t="s">
        <v>451</v>
      </c>
      <c r="E944" s="28">
        <v>1</v>
      </c>
      <c r="F944" s="28">
        <v>294</v>
      </c>
      <c r="G944" s="28"/>
      <c r="H944" s="28">
        <v>1.6</v>
      </c>
      <c r="I944" s="28"/>
      <c r="J944" s="133">
        <v>43154</v>
      </c>
      <c r="K944" s="9">
        <f t="shared" si="60"/>
        <v>470.40000000000003</v>
      </c>
      <c r="L944" s="9"/>
      <c r="M944" s="9"/>
      <c r="N944" s="9">
        <f>G944*H944*I944*E944</f>
        <v>0</v>
      </c>
      <c r="O944" s="3">
        <f>K944*1.6667</f>
        <v>784.01568000000009</v>
      </c>
    </row>
    <row r="945" spans="1:15" ht="18" customHeight="1">
      <c r="A945" s="21" t="s">
        <v>4404</v>
      </c>
      <c r="B945" s="80" t="s">
        <v>4405</v>
      </c>
      <c r="C945" s="80"/>
      <c r="D945" s="28" t="s">
        <v>1983</v>
      </c>
      <c r="E945" s="28">
        <v>1.22</v>
      </c>
      <c r="F945" s="80">
        <v>278</v>
      </c>
      <c r="G945" s="136"/>
      <c r="H945" s="28">
        <v>1.4</v>
      </c>
      <c r="I945" s="136"/>
      <c r="J945" s="134">
        <v>45929</v>
      </c>
      <c r="K945" s="9">
        <f t="shared" si="60"/>
        <v>474.8239999999999</v>
      </c>
      <c r="L945" s="9"/>
      <c r="M945" s="46"/>
      <c r="N945" s="45"/>
      <c r="O945" s="45"/>
    </row>
    <row r="946" spans="1:15" ht="18" hidden="1" customHeight="1">
      <c r="A946" s="21"/>
      <c r="B946" s="28" t="s">
        <v>486</v>
      </c>
      <c r="C946" s="28"/>
      <c r="D946" s="28"/>
      <c r="E946" s="28">
        <v>1</v>
      </c>
      <c r="F946" s="28">
        <v>265</v>
      </c>
      <c r="G946" s="28"/>
      <c r="H946" s="78">
        <v>1.6</v>
      </c>
      <c r="I946" s="28"/>
      <c r="J946" s="133">
        <v>43154</v>
      </c>
      <c r="K946" s="9">
        <f t="shared" si="60"/>
        <v>424</v>
      </c>
      <c r="L946" s="9"/>
      <c r="M946" s="9"/>
      <c r="N946" s="9">
        <f>G946*H946*I946*E946</f>
        <v>0</v>
      </c>
      <c r="O946" s="3">
        <f>K946*1.6667</f>
        <v>706.68079999999998</v>
      </c>
    </row>
    <row r="947" spans="1:15" ht="18" customHeight="1">
      <c r="A947" s="16"/>
      <c r="B947" s="80" t="s">
        <v>4478</v>
      </c>
      <c r="C947" s="80" t="s">
        <v>15</v>
      </c>
      <c r="D947" s="28" t="s">
        <v>451</v>
      </c>
      <c r="E947" s="80">
        <v>1.22</v>
      </c>
      <c r="F947" s="80">
        <v>140</v>
      </c>
      <c r="G947" s="110"/>
      <c r="H947" s="102">
        <v>1.8</v>
      </c>
      <c r="I947" s="28">
        <v>1</v>
      </c>
      <c r="J947" s="134">
        <v>45981</v>
      </c>
      <c r="K947" s="9">
        <f>E947*F947*H947*I947</f>
        <v>307.44</v>
      </c>
      <c r="L947" s="9"/>
      <c r="M947" s="17"/>
      <c r="N947" s="16"/>
      <c r="O947" s="16"/>
    </row>
    <row r="948" spans="1:15" ht="18" customHeight="1">
      <c r="A948" s="21" t="s">
        <v>1114</v>
      </c>
      <c r="B948" s="28" t="s">
        <v>1116</v>
      </c>
      <c r="C948" s="28" t="s">
        <v>1115</v>
      </c>
      <c r="D948" s="28" t="s">
        <v>3297</v>
      </c>
      <c r="E948" s="28">
        <v>1.22</v>
      </c>
      <c r="F948" s="28">
        <v>100</v>
      </c>
      <c r="G948" s="28"/>
      <c r="H948" s="78">
        <v>1.4</v>
      </c>
      <c r="I948" s="28"/>
      <c r="J948" s="133">
        <v>44239</v>
      </c>
      <c r="K948" s="9">
        <f t="shared" ref="K948:K963" si="63">E948*F948*H948</f>
        <v>170.79999999999998</v>
      </c>
      <c r="L948" s="9"/>
      <c r="M948" s="9"/>
      <c r="N948" s="9">
        <f>G948*H948*I948*E948</f>
        <v>0</v>
      </c>
      <c r="O948" s="3">
        <f>K948*1.6667</f>
        <v>284.67235999999997</v>
      </c>
    </row>
    <row r="949" spans="1:15" ht="18" customHeight="1">
      <c r="A949" s="28" t="s">
        <v>1114</v>
      </c>
      <c r="B949" s="28" t="s">
        <v>1116</v>
      </c>
      <c r="C949" s="28" t="s">
        <v>1117</v>
      </c>
      <c r="D949" s="28" t="s">
        <v>3297</v>
      </c>
      <c r="E949" s="28">
        <v>1.22</v>
      </c>
      <c r="F949" s="28">
        <v>17</v>
      </c>
      <c r="G949" s="28"/>
      <c r="H949" s="78">
        <v>1.8</v>
      </c>
      <c r="I949" s="28"/>
      <c r="J949" s="133">
        <v>44239</v>
      </c>
      <c r="K949" s="213">
        <f t="shared" si="63"/>
        <v>37.332000000000001</v>
      </c>
      <c r="L949" s="9"/>
      <c r="M949" s="9"/>
      <c r="N949" s="9">
        <f>G949*H949*I949*E949</f>
        <v>0</v>
      </c>
      <c r="O949" s="3">
        <f>K949*1.6667</f>
        <v>62.221244400000003</v>
      </c>
    </row>
    <row r="950" spans="1:15" ht="18" customHeight="1">
      <c r="A950" s="80" t="s">
        <v>1404</v>
      </c>
      <c r="B950" s="80" t="s">
        <v>1405</v>
      </c>
      <c r="C950" s="79" t="s">
        <v>1406</v>
      </c>
      <c r="D950" s="28" t="s">
        <v>3297</v>
      </c>
      <c r="E950" s="80">
        <v>1.22</v>
      </c>
      <c r="F950" s="80">
        <v>1046.81</v>
      </c>
      <c r="G950" s="79"/>
      <c r="H950" s="102">
        <v>1.6</v>
      </c>
      <c r="I950" s="79"/>
      <c r="J950" s="134">
        <v>44532</v>
      </c>
      <c r="K950" s="79">
        <f t="shared" si="63"/>
        <v>2043.37312</v>
      </c>
      <c r="L950" s="17"/>
      <c r="M950" s="17"/>
      <c r="N950" s="16"/>
      <c r="O950" s="16"/>
    </row>
    <row r="951" spans="1:15" ht="18" customHeight="1">
      <c r="A951" s="80" t="s">
        <v>1404</v>
      </c>
      <c r="B951" s="80" t="s">
        <v>1405</v>
      </c>
      <c r="C951" s="79" t="s">
        <v>2370</v>
      </c>
      <c r="D951" s="28" t="s">
        <v>3297</v>
      </c>
      <c r="E951" s="80">
        <v>1.22</v>
      </c>
      <c r="F951" s="80">
        <v>67.78</v>
      </c>
      <c r="G951" s="79"/>
      <c r="H951" s="102">
        <v>2</v>
      </c>
      <c r="I951" s="79"/>
      <c r="J951" s="134">
        <v>44532</v>
      </c>
      <c r="K951" s="79">
        <f t="shared" si="63"/>
        <v>165.38319999999999</v>
      </c>
      <c r="L951" s="17"/>
      <c r="M951" s="17"/>
      <c r="N951" s="16"/>
      <c r="O951" s="16"/>
    </row>
    <row r="952" spans="1:15" ht="18" customHeight="1">
      <c r="A952" s="21" t="s">
        <v>4049</v>
      </c>
      <c r="B952" s="28" t="s">
        <v>4050</v>
      </c>
      <c r="C952" s="28" t="s">
        <v>4007</v>
      </c>
      <c r="D952" s="28" t="s">
        <v>3297</v>
      </c>
      <c r="E952" s="28">
        <v>1.22</v>
      </c>
      <c r="F952" s="28">
        <v>10</v>
      </c>
      <c r="G952" s="28"/>
      <c r="H952" s="78">
        <v>3.3</v>
      </c>
      <c r="I952" s="28"/>
      <c r="J952" s="133">
        <v>45673</v>
      </c>
      <c r="K952" s="213">
        <f t="shared" si="63"/>
        <v>40.26</v>
      </c>
      <c r="L952" s="9"/>
      <c r="M952" s="9"/>
      <c r="N952" s="9"/>
      <c r="O952" s="3"/>
    </row>
    <row r="953" spans="1:15" ht="18" customHeight="1">
      <c r="A953" s="21" t="s">
        <v>4334</v>
      </c>
      <c r="B953" s="87" t="s">
        <v>4336</v>
      </c>
      <c r="C953" s="110"/>
      <c r="D953" s="28" t="s">
        <v>3297</v>
      </c>
      <c r="E953" s="80">
        <v>1.22</v>
      </c>
      <c r="F953" s="87">
        <v>492</v>
      </c>
      <c r="G953" s="110"/>
      <c r="H953" s="102">
        <v>1.6</v>
      </c>
      <c r="I953" s="79"/>
      <c r="J953" s="134">
        <v>45886</v>
      </c>
      <c r="K953" s="35">
        <f t="shared" si="63"/>
        <v>960.38400000000001</v>
      </c>
      <c r="L953" s="37"/>
      <c r="M953" s="17"/>
      <c r="N953" s="16"/>
      <c r="O953" s="16"/>
    </row>
    <row r="954" spans="1:15" ht="18" customHeight="1">
      <c r="A954" s="21" t="s">
        <v>1132</v>
      </c>
      <c r="B954" s="28" t="s">
        <v>1133</v>
      </c>
      <c r="C954" s="28" t="s">
        <v>1134</v>
      </c>
      <c r="D954" s="28" t="s">
        <v>3297</v>
      </c>
      <c r="E954" s="28">
        <v>1.22</v>
      </c>
      <c r="F954" s="28">
        <v>620.45000000000005</v>
      </c>
      <c r="G954" s="28"/>
      <c r="H954" s="78">
        <v>1.6</v>
      </c>
      <c r="I954" s="28"/>
      <c r="J954" s="133">
        <v>45341</v>
      </c>
      <c r="K954" s="9">
        <f t="shared" si="63"/>
        <v>1211.1184000000001</v>
      </c>
      <c r="L954" s="9"/>
      <c r="M954" s="9"/>
      <c r="N954" s="9">
        <f>G954*H954*I954*E954</f>
        <v>0</v>
      </c>
      <c r="O954" s="3">
        <f>K954*1.6667</f>
        <v>2018.5710372800002</v>
      </c>
    </row>
    <row r="955" spans="1:15" ht="18" customHeight="1">
      <c r="A955" s="25" t="s">
        <v>4335</v>
      </c>
      <c r="B955" s="87" t="s">
        <v>4337</v>
      </c>
      <c r="C955" s="110"/>
      <c r="D955" s="28" t="s">
        <v>3297</v>
      </c>
      <c r="E955" s="80">
        <v>1.22</v>
      </c>
      <c r="F955" s="87">
        <v>574</v>
      </c>
      <c r="G955" s="110"/>
      <c r="H955" s="102">
        <v>1.6</v>
      </c>
      <c r="I955" s="79"/>
      <c r="J955" s="134">
        <v>45886</v>
      </c>
      <c r="K955" s="35">
        <f t="shared" si="63"/>
        <v>1120.4480000000001</v>
      </c>
      <c r="L955" s="37"/>
      <c r="M955" s="17"/>
      <c r="N955" s="16"/>
      <c r="O955" s="16"/>
    </row>
    <row r="956" spans="1:15" ht="18" customHeight="1">
      <c r="A956" s="16" t="s">
        <v>4211</v>
      </c>
      <c r="B956" s="87" t="s">
        <v>4212</v>
      </c>
      <c r="C956" s="110" t="s">
        <v>4213</v>
      </c>
      <c r="D956" s="28" t="s">
        <v>3297</v>
      </c>
      <c r="E956" s="28">
        <v>1.22</v>
      </c>
      <c r="F956" s="87">
        <v>397</v>
      </c>
      <c r="G956" s="110"/>
      <c r="H956" s="103">
        <v>1.6</v>
      </c>
      <c r="I956" s="110"/>
      <c r="J956" s="135">
        <v>45777</v>
      </c>
      <c r="K956" s="9">
        <f t="shared" si="63"/>
        <v>774.94399999999996</v>
      </c>
      <c r="L956" s="37"/>
      <c r="M956" s="17"/>
      <c r="N956" s="16"/>
      <c r="O956" s="16"/>
    </row>
    <row r="957" spans="1:15" ht="18" customHeight="1">
      <c r="A957" s="21" t="s">
        <v>2546</v>
      </c>
      <c r="B957" s="28" t="s">
        <v>2547</v>
      </c>
      <c r="C957" s="28" t="s">
        <v>15</v>
      </c>
      <c r="D957" s="28" t="s">
        <v>3297</v>
      </c>
      <c r="E957" s="28">
        <v>1.22</v>
      </c>
      <c r="F957" s="28">
        <v>456</v>
      </c>
      <c r="G957" s="28"/>
      <c r="H957" s="78">
        <v>1.6</v>
      </c>
      <c r="I957" s="28"/>
      <c r="J957" s="133">
        <v>45777</v>
      </c>
      <c r="K957" s="9">
        <f t="shared" si="63"/>
        <v>890.11199999999997</v>
      </c>
      <c r="L957" s="9"/>
      <c r="M957" s="9"/>
      <c r="N957" s="9">
        <f>G957*H957*I957*E957</f>
        <v>0</v>
      </c>
      <c r="O957" s="3">
        <f>K957*1.6667</f>
        <v>1483.5496704</v>
      </c>
    </row>
    <row r="958" spans="1:15" ht="18" customHeight="1">
      <c r="A958" s="21">
        <v>0</v>
      </c>
      <c r="B958" s="28" t="s">
        <v>2616</v>
      </c>
      <c r="C958" s="28" t="s">
        <v>2614</v>
      </c>
      <c r="D958" s="28" t="s">
        <v>451</v>
      </c>
      <c r="E958" s="28">
        <v>1.22</v>
      </c>
      <c r="F958" s="28">
        <v>110</v>
      </c>
      <c r="G958" s="28"/>
      <c r="H958" s="78">
        <v>1.3</v>
      </c>
      <c r="I958" s="28"/>
      <c r="J958" s="133">
        <v>44749</v>
      </c>
      <c r="K958" s="9">
        <f t="shared" si="63"/>
        <v>174.45999999999998</v>
      </c>
      <c r="L958" s="9"/>
      <c r="M958" s="9"/>
      <c r="N958" s="9">
        <f>G958*H958*I958*E958</f>
        <v>0</v>
      </c>
      <c r="O958" s="3">
        <f>K958*1.6667</f>
        <v>290.77248199999997</v>
      </c>
    </row>
    <row r="959" spans="1:15" ht="18" hidden="1" customHeight="1">
      <c r="A959" s="21"/>
      <c r="B959" s="28" t="s">
        <v>299</v>
      </c>
      <c r="C959" s="28" t="s">
        <v>300</v>
      </c>
      <c r="D959" s="28"/>
      <c r="E959" s="28">
        <v>1</v>
      </c>
      <c r="F959" s="28">
        <v>42</v>
      </c>
      <c r="G959" s="28"/>
      <c r="H959" s="78">
        <v>1.3</v>
      </c>
      <c r="I959" s="28"/>
      <c r="J959" s="133">
        <v>43049</v>
      </c>
      <c r="K959" s="9">
        <f t="shared" si="63"/>
        <v>54.6</v>
      </c>
      <c r="L959" s="9"/>
      <c r="M959" s="9"/>
      <c r="N959" s="9">
        <f>G959*H959*I959*E959</f>
        <v>0</v>
      </c>
      <c r="O959" s="3">
        <f>K959*1.6667</f>
        <v>91.001820000000009</v>
      </c>
    </row>
    <row r="960" spans="1:15" ht="18" hidden="1" customHeight="1">
      <c r="A960" s="21"/>
      <c r="B960" s="28" t="s">
        <v>301</v>
      </c>
      <c r="C960" s="28" t="s">
        <v>300</v>
      </c>
      <c r="D960" s="28"/>
      <c r="E960" s="28">
        <v>1</v>
      </c>
      <c r="F960" s="28">
        <v>42</v>
      </c>
      <c r="G960" s="28"/>
      <c r="H960" s="78">
        <v>1.25</v>
      </c>
      <c r="I960" s="28"/>
      <c r="J960" s="133">
        <v>43049</v>
      </c>
      <c r="K960" s="9">
        <f t="shared" si="63"/>
        <v>52.5</v>
      </c>
      <c r="L960" s="9"/>
      <c r="M960" s="9"/>
      <c r="N960" s="9">
        <f>G960*H960*I960*E960</f>
        <v>0</v>
      </c>
      <c r="O960" s="3">
        <f>K960*1.6667</f>
        <v>87.501750000000001</v>
      </c>
    </row>
    <row r="961" spans="1:15" ht="18" hidden="1" customHeight="1">
      <c r="A961" s="21" t="s">
        <v>1427</v>
      </c>
      <c r="B961" s="28" t="s">
        <v>1428</v>
      </c>
      <c r="C961" s="28" t="s">
        <v>1429</v>
      </c>
      <c r="D961" s="28" t="s">
        <v>3297</v>
      </c>
      <c r="E961" s="28">
        <v>1.22</v>
      </c>
      <c r="F961" s="28">
        <v>170</v>
      </c>
      <c r="G961" s="28"/>
      <c r="H961" s="78">
        <v>1.6</v>
      </c>
      <c r="I961" s="28"/>
      <c r="J961" s="133">
        <v>43788</v>
      </c>
      <c r="K961" s="9">
        <f t="shared" si="63"/>
        <v>331.84000000000003</v>
      </c>
      <c r="L961" s="9"/>
      <c r="M961" s="9"/>
      <c r="N961" s="9">
        <f>G961*H961*I961*E961</f>
        <v>0</v>
      </c>
      <c r="O961" s="3">
        <f>K961*1.6667</f>
        <v>553.07772800000009</v>
      </c>
    </row>
    <row r="962" spans="1:15" ht="18" customHeight="1">
      <c r="A962" s="16"/>
      <c r="B962" s="87" t="s">
        <v>2147</v>
      </c>
      <c r="C962" s="110"/>
      <c r="D962" s="28" t="s">
        <v>451</v>
      </c>
      <c r="E962" s="28">
        <v>1.22</v>
      </c>
      <c r="F962" s="87">
        <v>95</v>
      </c>
      <c r="G962" s="110"/>
      <c r="H962" s="78">
        <v>1.6</v>
      </c>
      <c r="I962" s="110"/>
      <c r="J962" s="135">
        <v>45407</v>
      </c>
      <c r="K962" s="9">
        <f t="shared" si="63"/>
        <v>185.44</v>
      </c>
      <c r="L962" s="9"/>
      <c r="M962" s="17"/>
      <c r="N962" s="16"/>
      <c r="O962" s="16"/>
    </row>
    <row r="963" spans="1:15" ht="18" customHeight="1">
      <c r="A963" s="68" t="s">
        <v>3267</v>
      </c>
      <c r="B963" s="28" t="s">
        <v>50</v>
      </c>
      <c r="C963" s="79" t="s">
        <v>3268</v>
      </c>
      <c r="D963" s="28" t="s">
        <v>451</v>
      </c>
      <c r="E963" s="80">
        <v>1.22</v>
      </c>
      <c r="F963" s="83">
        <v>29.9</v>
      </c>
      <c r="G963" s="110"/>
      <c r="H963" s="102">
        <v>1.8</v>
      </c>
      <c r="I963" s="110"/>
      <c r="J963" s="134">
        <v>45258</v>
      </c>
      <c r="K963" s="9">
        <f t="shared" si="63"/>
        <v>65.660399999999996</v>
      </c>
      <c r="L963" s="9"/>
      <c r="M963" s="17"/>
      <c r="N963" s="16"/>
      <c r="O963" s="16"/>
    </row>
    <row r="964" spans="1:15" ht="18" customHeight="1">
      <c r="A964" s="21" t="s">
        <v>4314</v>
      </c>
      <c r="B964" s="28" t="s">
        <v>3208</v>
      </c>
      <c r="C964" s="28" t="s">
        <v>4315</v>
      </c>
      <c r="D964" s="28" t="s">
        <v>451</v>
      </c>
      <c r="E964" s="28">
        <v>1.22</v>
      </c>
      <c r="F964" s="28"/>
      <c r="G964" s="28">
        <v>37</v>
      </c>
      <c r="H964" s="78">
        <v>1.5</v>
      </c>
      <c r="I964" s="28">
        <v>45</v>
      </c>
      <c r="J964" s="133">
        <v>45849</v>
      </c>
      <c r="K964" s="9">
        <f>+G964*E964*H964*I964</f>
        <v>3046.9500000000003</v>
      </c>
      <c r="L964" s="9"/>
      <c r="M964" s="9"/>
      <c r="N964" s="9">
        <f>G964*H964*I964*E964</f>
        <v>3046.95</v>
      </c>
      <c r="O964" s="3">
        <f>K964*1.6667</f>
        <v>5078.3515650000008</v>
      </c>
    </row>
    <row r="965" spans="1:15" ht="18" customHeight="1">
      <c r="A965" s="16" t="s">
        <v>4023</v>
      </c>
      <c r="B965" s="87" t="s">
        <v>3208</v>
      </c>
      <c r="C965" s="110" t="s">
        <v>4024</v>
      </c>
      <c r="D965" s="28" t="s">
        <v>1292</v>
      </c>
      <c r="E965" s="90">
        <v>1.22</v>
      </c>
      <c r="F965" s="87">
        <v>39.799999999999997</v>
      </c>
      <c r="G965" s="110"/>
      <c r="H965" s="87">
        <v>2</v>
      </c>
      <c r="I965" s="110"/>
      <c r="J965" s="135">
        <v>45668</v>
      </c>
      <c r="K965" s="9">
        <f>E965*F965*H965</f>
        <v>97.111999999999995</v>
      </c>
      <c r="L965" s="37"/>
      <c r="M965" s="17"/>
      <c r="N965" s="16"/>
      <c r="O965" s="16"/>
    </row>
    <row r="966" spans="1:15" ht="18" customHeight="1">
      <c r="A966" s="16" t="s">
        <v>3207</v>
      </c>
      <c r="B966" s="91" t="s">
        <v>3208</v>
      </c>
      <c r="C966" s="117" t="s">
        <v>3209</v>
      </c>
      <c r="D966" s="28" t="s">
        <v>451</v>
      </c>
      <c r="E966" s="87"/>
      <c r="F966" s="87">
        <v>49.9</v>
      </c>
      <c r="G966" s="110"/>
      <c r="H966" s="87">
        <v>1.8</v>
      </c>
      <c r="I966" s="110"/>
      <c r="J966" s="135">
        <v>45219</v>
      </c>
      <c r="K966" s="9">
        <f>E1117*F966*H966</f>
        <v>109.5804</v>
      </c>
      <c r="L966" s="37"/>
      <c r="M966" s="17"/>
      <c r="N966" s="16"/>
      <c r="O966" s="16"/>
    </row>
    <row r="967" spans="1:15" ht="18" customHeight="1">
      <c r="A967" s="46" t="s">
        <v>3210</v>
      </c>
      <c r="B967" s="28" t="s">
        <v>3270</v>
      </c>
      <c r="C967" s="110"/>
      <c r="D967" s="28" t="s">
        <v>451</v>
      </c>
      <c r="E967" s="28">
        <v>1.22</v>
      </c>
      <c r="F967" s="28">
        <v>69.900000000000006</v>
      </c>
      <c r="G967" s="110"/>
      <c r="H967" s="28">
        <v>2</v>
      </c>
      <c r="I967" s="110"/>
      <c r="J967" s="135">
        <v>45258</v>
      </c>
      <c r="K967" s="17">
        <f>E967*F967*H967</f>
        <v>170.55600000000001</v>
      </c>
      <c r="L967" s="17"/>
      <c r="M967" s="17">
        <v>1.22</v>
      </c>
      <c r="N967" s="16"/>
      <c r="O967" s="16"/>
    </row>
    <row r="968" spans="1:15" ht="18" customHeight="1">
      <c r="A968" s="16" t="s">
        <v>4504</v>
      </c>
      <c r="B968" s="28" t="s">
        <v>4505</v>
      </c>
      <c r="C968" s="28" t="s">
        <v>15</v>
      </c>
      <c r="D968" s="28" t="s">
        <v>1292</v>
      </c>
      <c r="E968" s="28">
        <v>1.22</v>
      </c>
      <c r="F968" s="28">
        <v>29.9</v>
      </c>
      <c r="G968" s="110"/>
      <c r="H968" s="28">
        <v>1.8</v>
      </c>
      <c r="I968" s="110"/>
      <c r="J968" s="135">
        <v>45981</v>
      </c>
      <c r="K968" s="9" t="s">
        <v>480</v>
      </c>
      <c r="L968" s="9"/>
      <c r="M968" s="17"/>
      <c r="N968" s="16"/>
      <c r="O968" s="16"/>
    </row>
    <row r="969" spans="1:15" ht="18" customHeight="1">
      <c r="A969" s="21"/>
      <c r="B969" s="28" t="s">
        <v>2337</v>
      </c>
      <c r="C969" s="28">
        <v>18</v>
      </c>
      <c r="D969" s="28" t="s">
        <v>451</v>
      </c>
      <c r="E969" s="28">
        <v>1.22</v>
      </c>
      <c r="F969" s="28">
        <v>41</v>
      </c>
      <c r="G969" s="28"/>
      <c r="H969" s="28">
        <v>1.6</v>
      </c>
      <c r="I969" s="28"/>
      <c r="J969" s="133">
        <v>45220</v>
      </c>
      <c r="K969" s="9">
        <f t="shared" ref="K969:K1001" si="64">E969*F969*H969</f>
        <v>80.031999999999996</v>
      </c>
      <c r="L969" s="9"/>
      <c r="M969" s="9"/>
      <c r="N969" s="9"/>
      <c r="O969" s="3"/>
    </row>
    <row r="970" spans="1:15" ht="18" customHeight="1">
      <c r="A970" s="16"/>
      <c r="B970" s="87" t="s">
        <v>3953</v>
      </c>
      <c r="C970" s="110">
        <v>2</v>
      </c>
      <c r="D970" s="28" t="s">
        <v>1859</v>
      </c>
      <c r="E970" s="87">
        <v>1.22</v>
      </c>
      <c r="F970" s="87">
        <v>129</v>
      </c>
      <c r="G970" s="110"/>
      <c r="H970" s="87">
        <v>1.4</v>
      </c>
      <c r="I970" s="110"/>
      <c r="J970" s="87"/>
      <c r="K970" s="9">
        <f t="shared" si="64"/>
        <v>220.33199999999999</v>
      </c>
      <c r="L970" s="37"/>
      <c r="M970" s="17"/>
      <c r="N970" s="16"/>
      <c r="O970" s="16"/>
    </row>
    <row r="971" spans="1:15" ht="18" customHeight="1">
      <c r="A971" s="16"/>
      <c r="B971" s="87" t="s">
        <v>3953</v>
      </c>
      <c r="C971" s="110">
        <v>4</v>
      </c>
      <c r="D971" s="28" t="s">
        <v>1859</v>
      </c>
      <c r="E971" s="87">
        <v>1.22</v>
      </c>
      <c r="F971" s="87">
        <v>288</v>
      </c>
      <c r="G971" s="110"/>
      <c r="H971" s="87">
        <v>1.4</v>
      </c>
      <c r="I971" s="110"/>
      <c r="J971" s="87"/>
      <c r="K971" s="9">
        <f t="shared" si="64"/>
        <v>491.904</v>
      </c>
      <c r="L971" s="37"/>
      <c r="M971" s="17"/>
      <c r="N971" s="16"/>
      <c r="O971" s="16"/>
    </row>
    <row r="972" spans="1:15" ht="18" customHeight="1">
      <c r="A972" s="16"/>
      <c r="B972" s="87" t="s">
        <v>3953</v>
      </c>
      <c r="C972" s="110">
        <v>6</v>
      </c>
      <c r="D972" s="28" t="s">
        <v>1859</v>
      </c>
      <c r="E972" s="87">
        <v>1.22</v>
      </c>
      <c r="F972" s="87">
        <v>654</v>
      </c>
      <c r="G972" s="110"/>
      <c r="H972" s="87">
        <v>1.4</v>
      </c>
      <c r="I972" s="110"/>
      <c r="J972" s="87"/>
      <c r="K972" s="9">
        <f t="shared" si="64"/>
        <v>1117.0319999999999</v>
      </c>
      <c r="L972" s="37"/>
      <c r="M972" s="17"/>
      <c r="N972" s="16"/>
      <c r="O972" s="16"/>
    </row>
    <row r="973" spans="1:15" ht="18" customHeight="1">
      <c r="A973" s="16"/>
      <c r="B973" s="87" t="s">
        <v>3953</v>
      </c>
      <c r="C973" s="110">
        <v>7</v>
      </c>
      <c r="D973" s="28" t="s">
        <v>1859</v>
      </c>
      <c r="E973" s="87">
        <v>1.22</v>
      </c>
      <c r="F973" s="87">
        <v>1118</v>
      </c>
      <c r="G973" s="110"/>
      <c r="H973" s="87">
        <v>1.4</v>
      </c>
      <c r="I973" s="110"/>
      <c r="J973" s="87"/>
      <c r="K973" s="9">
        <f t="shared" si="64"/>
        <v>1909.5439999999999</v>
      </c>
      <c r="L973" s="37"/>
      <c r="M973" s="17"/>
      <c r="N973" s="16"/>
      <c r="O973" s="16"/>
    </row>
    <row r="974" spans="1:15" ht="18" customHeight="1">
      <c r="A974" s="46" t="s">
        <v>2639</v>
      </c>
      <c r="B974" s="83" t="s">
        <v>3898</v>
      </c>
      <c r="C974" s="79" t="s">
        <v>542</v>
      </c>
      <c r="D974" s="28" t="s">
        <v>451</v>
      </c>
      <c r="E974" s="28">
        <v>1.22</v>
      </c>
      <c r="F974" s="83">
        <v>25</v>
      </c>
      <c r="G974" s="110"/>
      <c r="H974" s="28">
        <v>1.6</v>
      </c>
      <c r="I974" s="110"/>
      <c r="J974" s="134">
        <v>45772</v>
      </c>
      <c r="K974" s="9">
        <f t="shared" si="64"/>
        <v>48.800000000000004</v>
      </c>
      <c r="L974" s="9"/>
      <c r="M974" s="17"/>
      <c r="N974" s="16"/>
      <c r="O974" s="16"/>
    </row>
    <row r="975" spans="1:15" ht="18" customHeight="1">
      <c r="A975" s="16" t="s">
        <v>2797</v>
      </c>
      <c r="B975" s="83" t="s">
        <v>3898</v>
      </c>
      <c r="C975" s="80" t="s">
        <v>3899</v>
      </c>
      <c r="D975" s="28" t="s">
        <v>451</v>
      </c>
      <c r="E975" s="28">
        <v>1.22</v>
      </c>
      <c r="F975" s="90">
        <v>40</v>
      </c>
      <c r="G975" s="110"/>
      <c r="H975" s="28">
        <v>1.6</v>
      </c>
      <c r="I975" s="110"/>
      <c r="J975" s="134">
        <v>45772</v>
      </c>
      <c r="K975" s="9">
        <f t="shared" si="64"/>
        <v>78.08</v>
      </c>
      <c r="L975" s="37"/>
      <c r="M975" s="17"/>
      <c r="N975" s="16"/>
      <c r="O975" s="16"/>
    </row>
    <row r="976" spans="1:15" ht="18" customHeight="1">
      <c r="A976" s="21"/>
      <c r="B976" s="28" t="s">
        <v>3898</v>
      </c>
      <c r="C976" s="28" t="s">
        <v>545</v>
      </c>
      <c r="D976" s="28" t="s">
        <v>451</v>
      </c>
      <c r="E976" s="28">
        <v>1.22</v>
      </c>
      <c r="F976" s="28">
        <v>43</v>
      </c>
      <c r="G976" s="28"/>
      <c r="H976" s="28">
        <v>1.6</v>
      </c>
      <c r="I976" s="28"/>
      <c r="J976" s="134">
        <v>45653</v>
      </c>
      <c r="K976" s="9">
        <f t="shared" si="64"/>
        <v>83.936000000000007</v>
      </c>
      <c r="L976" s="9"/>
      <c r="M976" s="9"/>
      <c r="N976" s="9">
        <f>G976*H976*I976*E976</f>
        <v>0</v>
      </c>
      <c r="O976" s="3">
        <f>K976*1.6667</f>
        <v>139.89613120000001</v>
      </c>
    </row>
    <row r="977" spans="1:15" ht="18" customHeight="1">
      <c r="A977" s="16"/>
      <c r="B977" s="28" t="s">
        <v>3898</v>
      </c>
      <c r="C977" s="148" t="s">
        <v>3900</v>
      </c>
      <c r="D977" s="28" t="s">
        <v>451</v>
      </c>
      <c r="E977" s="28">
        <v>1.22</v>
      </c>
      <c r="F977" s="28">
        <v>110</v>
      </c>
      <c r="G977" s="110"/>
      <c r="H977" s="28">
        <v>1.6</v>
      </c>
      <c r="I977" s="110"/>
      <c r="J977" s="134">
        <v>45653</v>
      </c>
      <c r="K977" s="9">
        <f t="shared" si="64"/>
        <v>214.72</v>
      </c>
      <c r="L977" s="37"/>
      <c r="M977" s="17"/>
      <c r="N977" s="16"/>
      <c r="O977" s="16"/>
    </row>
    <row r="978" spans="1:15" ht="18" customHeight="1">
      <c r="A978" s="46" t="s">
        <v>2563</v>
      </c>
      <c r="B978" s="83" t="s">
        <v>3898</v>
      </c>
      <c r="C978" s="110" t="s">
        <v>3200</v>
      </c>
      <c r="D978" s="28" t="s">
        <v>451</v>
      </c>
      <c r="E978" s="28">
        <v>1.22</v>
      </c>
      <c r="F978" s="80">
        <v>62</v>
      </c>
      <c r="G978" s="110"/>
      <c r="H978" s="28">
        <v>1.4</v>
      </c>
      <c r="I978" s="110"/>
      <c r="J978" s="134">
        <v>45653</v>
      </c>
      <c r="K978" s="9">
        <f t="shared" si="64"/>
        <v>105.896</v>
      </c>
      <c r="L978" s="35"/>
      <c r="M978" s="17"/>
      <c r="N978" s="16"/>
      <c r="O978" s="16"/>
    </row>
    <row r="979" spans="1:15" ht="18" customHeight="1">
      <c r="A979" s="21">
        <v>269</v>
      </c>
      <c r="B979" s="28" t="s">
        <v>3898</v>
      </c>
      <c r="C979" s="28" t="s">
        <v>538</v>
      </c>
      <c r="D979" s="28" t="s">
        <v>451</v>
      </c>
      <c r="E979" s="28">
        <v>1.22</v>
      </c>
      <c r="F979" s="28">
        <v>92</v>
      </c>
      <c r="G979" s="28"/>
      <c r="H979" s="28">
        <v>1.6</v>
      </c>
      <c r="I979" s="28"/>
      <c r="J979" s="134">
        <v>45653</v>
      </c>
      <c r="K979" s="9">
        <f t="shared" si="64"/>
        <v>179.584</v>
      </c>
      <c r="L979" s="9"/>
      <c r="M979" s="9"/>
      <c r="N979" s="9">
        <f>G979*H979*I979*E979</f>
        <v>0</v>
      </c>
      <c r="O979" s="3">
        <f>K979*1.6667</f>
        <v>299.31265280000002</v>
      </c>
    </row>
    <row r="980" spans="1:15" ht="18" customHeight="1">
      <c r="A980" s="16"/>
      <c r="B980" s="28" t="s">
        <v>3898</v>
      </c>
      <c r="C980" s="110" t="s">
        <v>2067</v>
      </c>
      <c r="D980" s="28" t="s">
        <v>451</v>
      </c>
      <c r="E980" s="28">
        <v>1.22</v>
      </c>
      <c r="F980" s="87">
        <v>173</v>
      </c>
      <c r="G980" s="110"/>
      <c r="H980" s="87">
        <v>1.6</v>
      </c>
      <c r="I980" s="110"/>
      <c r="J980" s="144">
        <v>45653</v>
      </c>
      <c r="K980" s="37">
        <f t="shared" si="64"/>
        <v>337.69600000000003</v>
      </c>
      <c r="L980" s="37"/>
      <c r="M980" s="17"/>
      <c r="N980" s="16"/>
      <c r="O980" s="16"/>
    </row>
    <row r="981" spans="1:15" ht="18" customHeight="1">
      <c r="A981" s="16"/>
      <c r="B981" s="87" t="s">
        <v>3459</v>
      </c>
      <c r="C981" s="110">
        <v>16</v>
      </c>
      <c r="D981" s="110" t="s">
        <v>451</v>
      </c>
      <c r="E981" s="87">
        <v>1.22</v>
      </c>
      <c r="F981" s="87">
        <v>55</v>
      </c>
      <c r="G981" s="110"/>
      <c r="H981" s="87">
        <v>1.6</v>
      </c>
      <c r="I981" s="110"/>
      <c r="J981" s="135">
        <v>45653</v>
      </c>
      <c r="K981" s="37">
        <f t="shared" si="64"/>
        <v>107.36</v>
      </c>
      <c r="L981" s="37"/>
      <c r="M981" s="17"/>
      <c r="N981" s="16"/>
      <c r="O981" s="16"/>
    </row>
    <row r="982" spans="1:15" ht="18" customHeight="1">
      <c r="A982" s="16" t="s">
        <v>3542</v>
      </c>
      <c r="B982" s="87" t="s">
        <v>1344</v>
      </c>
      <c r="C982" s="110" t="s">
        <v>3543</v>
      </c>
      <c r="D982" s="110" t="s">
        <v>1921</v>
      </c>
      <c r="E982" s="87">
        <v>1.22</v>
      </c>
      <c r="F982" s="87">
        <v>236</v>
      </c>
      <c r="G982" s="110"/>
      <c r="H982" s="87">
        <v>1.6</v>
      </c>
      <c r="I982" s="110"/>
      <c r="J982" s="135">
        <v>45449</v>
      </c>
      <c r="K982" s="37">
        <f t="shared" si="64"/>
        <v>460.67200000000003</v>
      </c>
      <c r="L982" s="37"/>
      <c r="M982" s="17"/>
      <c r="N982" s="16"/>
      <c r="O982" s="16"/>
    </row>
    <row r="983" spans="1:15" ht="18" customHeight="1">
      <c r="A983" s="16" t="s">
        <v>3541</v>
      </c>
      <c r="B983" s="87" t="s">
        <v>1344</v>
      </c>
      <c r="C983" s="110" t="s">
        <v>1940</v>
      </c>
      <c r="D983" s="110" t="s">
        <v>1921</v>
      </c>
      <c r="E983" s="87">
        <v>1.22</v>
      </c>
      <c r="F983" s="87">
        <v>147</v>
      </c>
      <c r="G983" s="110"/>
      <c r="H983" s="87">
        <v>1.6</v>
      </c>
      <c r="I983" s="110"/>
      <c r="J983" s="135">
        <v>45504</v>
      </c>
      <c r="K983" s="37">
        <f t="shared" si="64"/>
        <v>286.94400000000002</v>
      </c>
      <c r="L983" s="37"/>
      <c r="M983" s="17"/>
      <c r="N983" s="16"/>
      <c r="O983" s="16"/>
    </row>
    <row r="984" spans="1:15" ht="18" hidden="1" customHeight="1">
      <c r="A984" s="21"/>
      <c r="B984" s="28" t="s">
        <v>1344</v>
      </c>
      <c r="C984" s="28"/>
      <c r="D984" s="28" t="s">
        <v>451</v>
      </c>
      <c r="E984" s="28">
        <v>1.22</v>
      </c>
      <c r="F984" s="28">
        <v>220</v>
      </c>
      <c r="G984" s="28"/>
      <c r="H984" s="28">
        <v>1.6</v>
      </c>
      <c r="I984" s="28"/>
      <c r="J984" s="133">
        <v>43683</v>
      </c>
      <c r="K984" s="9">
        <f t="shared" si="64"/>
        <v>429.44</v>
      </c>
      <c r="L984" s="9"/>
      <c r="M984" s="9"/>
      <c r="N984" s="9">
        <f>G984*H984*I984*E984</f>
        <v>0</v>
      </c>
      <c r="O984" s="3">
        <f>K984*1.6667</f>
        <v>715.74764800000003</v>
      </c>
    </row>
    <row r="985" spans="1:15" ht="18" customHeight="1">
      <c r="A985" s="16" t="s">
        <v>1956</v>
      </c>
      <c r="B985" s="90" t="s">
        <v>1939</v>
      </c>
      <c r="C985" s="167" t="s">
        <v>1942</v>
      </c>
      <c r="D985" s="28" t="s">
        <v>451</v>
      </c>
      <c r="E985" s="28">
        <v>1.22</v>
      </c>
      <c r="F985" s="83">
        <v>436</v>
      </c>
      <c r="G985" s="110"/>
      <c r="H985" s="28">
        <v>1.4</v>
      </c>
      <c r="I985" s="110"/>
      <c r="J985" s="134">
        <v>44881</v>
      </c>
      <c r="K985" s="35">
        <f t="shared" si="64"/>
        <v>744.68799999999987</v>
      </c>
      <c r="L985" s="35"/>
      <c r="M985" s="17"/>
      <c r="N985" s="16"/>
      <c r="O985" s="16"/>
    </row>
    <row r="986" spans="1:15" ht="18" customHeight="1">
      <c r="A986" s="16" t="s">
        <v>1955</v>
      </c>
      <c r="B986" s="90" t="s">
        <v>1939</v>
      </c>
      <c r="C986" s="114" t="s">
        <v>1941</v>
      </c>
      <c r="D986" s="28" t="s">
        <v>451</v>
      </c>
      <c r="E986" s="28">
        <v>1.22</v>
      </c>
      <c r="F986" s="83">
        <v>274</v>
      </c>
      <c r="G986" s="110"/>
      <c r="H986" s="28">
        <v>1.4</v>
      </c>
      <c r="I986" s="110"/>
      <c r="J986" s="134">
        <v>44840</v>
      </c>
      <c r="K986" s="35">
        <f t="shared" si="64"/>
        <v>467.9919999999999</v>
      </c>
      <c r="L986" s="35"/>
      <c r="M986" s="17"/>
      <c r="N986" s="16"/>
      <c r="O986" s="16"/>
    </row>
    <row r="987" spans="1:15" ht="18" customHeight="1">
      <c r="A987" s="16" t="s">
        <v>1954</v>
      </c>
      <c r="B987" s="90" t="s">
        <v>1939</v>
      </c>
      <c r="C987" s="114" t="s">
        <v>1940</v>
      </c>
      <c r="D987" s="28" t="s">
        <v>451</v>
      </c>
      <c r="E987" s="28">
        <v>1.22</v>
      </c>
      <c r="F987" s="90">
        <v>164</v>
      </c>
      <c r="G987" s="110"/>
      <c r="H987" s="28">
        <v>1.4</v>
      </c>
      <c r="I987" s="110"/>
      <c r="J987" s="135">
        <v>44258</v>
      </c>
      <c r="K987" s="35">
        <f t="shared" si="64"/>
        <v>280.11199999999997</v>
      </c>
      <c r="L987" s="35"/>
      <c r="M987" s="17"/>
      <c r="N987" s="16"/>
      <c r="O987" s="16"/>
    </row>
    <row r="988" spans="1:15" ht="18" customHeight="1">
      <c r="A988" s="21"/>
      <c r="B988" s="28" t="s">
        <v>678</v>
      </c>
      <c r="C988" s="28" t="s">
        <v>679</v>
      </c>
      <c r="D988" s="28" t="s">
        <v>451</v>
      </c>
      <c r="E988" s="28">
        <v>1.22</v>
      </c>
      <c r="F988" s="28">
        <v>57</v>
      </c>
      <c r="G988" s="28"/>
      <c r="H988" s="28">
        <v>1.6</v>
      </c>
      <c r="I988" s="28"/>
      <c r="J988" s="133">
        <v>45407</v>
      </c>
      <c r="K988" s="9">
        <f t="shared" si="64"/>
        <v>111.264</v>
      </c>
      <c r="L988" s="9"/>
      <c r="M988" s="9"/>
      <c r="N988" s="9">
        <f t="shared" ref="N988:N1000" si="65">G988*H988*I988*E988</f>
        <v>0</v>
      </c>
      <c r="O988" s="3">
        <f t="shared" ref="O988:O1000" si="66">K988*1.6667</f>
        <v>185.4437088</v>
      </c>
    </row>
    <row r="989" spans="1:15" ht="18" customHeight="1">
      <c r="A989" s="21"/>
      <c r="B989" s="28" t="s">
        <v>678</v>
      </c>
      <c r="C989" s="28" t="s">
        <v>541</v>
      </c>
      <c r="D989" s="28" t="s">
        <v>451</v>
      </c>
      <c r="E989" s="28">
        <v>1.22</v>
      </c>
      <c r="F989" s="28">
        <v>63</v>
      </c>
      <c r="G989" s="28"/>
      <c r="H989" s="28">
        <v>1.6</v>
      </c>
      <c r="I989" s="28"/>
      <c r="J989" s="133">
        <v>44648</v>
      </c>
      <c r="K989" s="9">
        <f t="shared" si="64"/>
        <v>122.976</v>
      </c>
      <c r="L989" s="9"/>
      <c r="M989" s="9"/>
      <c r="N989" s="9">
        <f t="shared" si="65"/>
        <v>0</v>
      </c>
      <c r="O989" s="3">
        <f t="shared" si="66"/>
        <v>204.96409920000002</v>
      </c>
    </row>
    <row r="990" spans="1:15" ht="18" customHeight="1">
      <c r="A990" s="21"/>
      <c r="B990" s="28" t="s">
        <v>678</v>
      </c>
      <c r="C990" s="28" t="s">
        <v>542</v>
      </c>
      <c r="D990" s="28" t="s">
        <v>451</v>
      </c>
      <c r="E990" s="28">
        <v>1.22</v>
      </c>
      <c r="F990" s="28">
        <v>79</v>
      </c>
      <c r="G990" s="28"/>
      <c r="H990" s="28">
        <v>1.6</v>
      </c>
      <c r="I990" s="28"/>
      <c r="J990" s="133">
        <v>45653</v>
      </c>
      <c r="K990" s="9">
        <f t="shared" si="64"/>
        <v>154.208</v>
      </c>
      <c r="L990" s="9"/>
      <c r="M990" s="9"/>
      <c r="N990" s="9">
        <f t="shared" si="65"/>
        <v>0</v>
      </c>
      <c r="O990" s="3">
        <f t="shared" si="66"/>
        <v>257.01847359999999</v>
      </c>
    </row>
    <row r="991" spans="1:15" ht="18" customHeight="1">
      <c r="A991" s="21"/>
      <c r="B991" s="28" t="s">
        <v>678</v>
      </c>
      <c r="C991" s="28" t="s">
        <v>680</v>
      </c>
      <c r="D991" s="28" t="s">
        <v>451</v>
      </c>
      <c r="E991" s="28">
        <v>1.22</v>
      </c>
      <c r="F991" s="28">
        <v>99</v>
      </c>
      <c r="G991" s="28"/>
      <c r="H991" s="28">
        <v>1.6</v>
      </c>
      <c r="I991" s="28"/>
      <c r="J991" s="133">
        <v>45653</v>
      </c>
      <c r="K991" s="9">
        <f t="shared" si="64"/>
        <v>193.24800000000002</v>
      </c>
      <c r="L991" s="9"/>
      <c r="M991" s="9"/>
      <c r="N991" s="9">
        <f t="shared" si="65"/>
        <v>0</v>
      </c>
      <c r="O991" s="3">
        <f t="shared" si="66"/>
        <v>322.08644160000006</v>
      </c>
    </row>
    <row r="992" spans="1:15" ht="18" customHeight="1">
      <c r="A992" s="21"/>
      <c r="B992" s="28" t="s">
        <v>678</v>
      </c>
      <c r="C992" s="28" t="s">
        <v>52</v>
      </c>
      <c r="D992" s="28" t="s">
        <v>451</v>
      </c>
      <c r="E992" s="28">
        <v>1.22</v>
      </c>
      <c r="F992" s="28">
        <v>137</v>
      </c>
      <c r="G992" s="28"/>
      <c r="H992" s="28">
        <v>1.6</v>
      </c>
      <c r="I992" s="28"/>
      <c r="J992" s="133">
        <v>45653</v>
      </c>
      <c r="K992" s="9">
        <f t="shared" si="64"/>
        <v>267.42399999999998</v>
      </c>
      <c r="L992" s="9"/>
      <c r="M992" s="9"/>
      <c r="N992" s="9">
        <f t="shared" si="65"/>
        <v>0</v>
      </c>
      <c r="O992" s="3">
        <f t="shared" si="66"/>
        <v>445.7155808</v>
      </c>
    </row>
    <row r="993" spans="1:15" ht="18" customHeight="1">
      <c r="A993" s="21"/>
      <c r="B993" s="28" t="s">
        <v>678</v>
      </c>
      <c r="C993" s="28" t="s">
        <v>54</v>
      </c>
      <c r="D993" s="28" t="s">
        <v>451</v>
      </c>
      <c r="E993" s="28">
        <v>1.22</v>
      </c>
      <c r="F993" s="28">
        <v>168</v>
      </c>
      <c r="G993" s="28"/>
      <c r="H993" s="28">
        <v>1.6</v>
      </c>
      <c r="I993" s="28"/>
      <c r="J993" s="133">
        <v>44460</v>
      </c>
      <c r="K993" s="9">
        <f t="shared" si="64"/>
        <v>327.93600000000004</v>
      </c>
      <c r="L993" s="9"/>
      <c r="M993" s="9"/>
      <c r="N993" s="9">
        <f t="shared" si="65"/>
        <v>0</v>
      </c>
      <c r="O993" s="3">
        <f t="shared" si="66"/>
        <v>546.57093120000013</v>
      </c>
    </row>
    <row r="994" spans="1:15" ht="18" customHeight="1">
      <c r="A994" s="21"/>
      <c r="B994" s="28" t="s">
        <v>678</v>
      </c>
      <c r="C994" s="28" t="s">
        <v>55</v>
      </c>
      <c r="D994" s="28" t="s">
        <v>451</v>
      </c>
      <c r="E994" s="28">
        <v>1.22</v>
      </c>
      <c r="F994" s="28">
        <v>270</v>
      </c>
      <c r="G994" s="28"/>
      <c r="H994" s="28">
        <v>1.6</v>
      </c>
      <c r="I994" s="28"/>
      <c r="J994" s="133">
        <v>45407</v>
      </c>
      <c r="K994" s="9">
        <f t="shared" si="64"/>
        <v>527.04</v>
      </c>
      <c r="L994" s="9"/>
      <c r="M994" s="9"/>
      <c r="N994" s="9">
        <f t="shared" si="65"/>
        <v>0</v>
      </c>
      <c r="O994" s="3">
        <f t="shared" si="66"/>
        <v>878.41756799999996</v>
      </c>
    </row>
    <row r="995" spans="1:15" ht="18" hidden="1" customHeight="1">
      <c r="A995" s="21"/>
      <c r="B995" s="28" t="s">
        <v>678</v>
      </c>
      <c r="C995" s="28" t="s">
        <v>51</v>
      </c>
      <c r="D995" s="28" t="s">
        <v>451</v>
      </c>
      <c r="E995" s="28">
        <v>1.22</v>
      </c>
      <c r="F995" s="28">
        <v>251</v>
      </c>
      <c r="G995" s="28"/>
      <c r="H995" s="28">
        <v>1.6</v>
      </c>
      <c r="I995" s="28"/>
      <c r="J995" s="133">
        <v>43683</v>
      </c>
      <c r="K995" s="9">
        <f t="shared" si="64"/>
        <v>489.952</v>
      </c>
      <c r="L995" s="9"/>
      <c r="M995" s="9"/>
      <c r="N995" s="9">
        <f t="shared" si="65"/>
        <v>0</v>
      </c>
      <c r="O995" s="3">
        <f t="shared" si="66"/>
        <v>816.60299840000005</v>
      </c>
    </row>
    <row r="996" spans="1:15" ht="18" customHeight="1">
      <c r="A996" s="21"/>
      <c r="B996" s="28" t="s">
        <v>678</v>
      </c>
      <c r="C996" s="28" t="s">
        <v>681</v>
      </c>
      <c r="D996" s="28" t="s">
        <v>451</v>
      </c>
      <c r="E996" s="28">
        <v>1.22</v>
      </c>
      <c r="F996" s="28">
        <v>424</v>
      </c>
      <c r="G996" s="28"/>
      <c r="H996" s="28">
        <v>1.6</v>
      </c>
      <c r="I996" s="28"/>
      <c r="J996" s="133">
        <v>45407</v>
      </c>
      <c r="K996" s="9">
        <f t="shared" si="64"/>
        <v>827.64800000000002</v>
      </c>
      <c r="L996" s="9"/>
      <c r="M996" s="9"/>
      <c r="N996" s="9">
        <f t="shared" si="65"/>
        <v>0</v>
      </c>
      <c r="O996" s="3">
        <f t="shared" si="66"/>
        <v>1379.4409216000001</v>
      </c>
    </row>
    <row r="997" spans="1:15" ht="18" hidden="1" customHeight="1">
      <c r="A997" s="21"/>
      <c r="B997" s="28" t="s">
        <v>678</v>
      </c>
      <c r="C997" s="28" t="s">
        <v>682</v>
      </c>
      <c r="D997" s="28" t="s">
        <v>451</v>
      </c>
      <c r="E997" s="28">
        <v>1.22</v>
      </c>
      <c r="F997" s="28">
        <v>352</v>
      </c>
      <c r="G997" s="28"/>
      <c r="H997" s="28">
        <v>1.6</v>
      </c>
      <c r="I997" s="28"/>
      <c r="J997" s="133">
        <v>43683</v>
      </c>
      <c r="K997" s="9">
        <f t="shared" si="64"/>
        <v>687.10400000000004</v>
      </c>
      <c r="L997" s="9"/>
      <c r="M997" s="9"/>
      <c r="N997" s="9">
        <f t="shared" si="65"/>
        <v>0</v>
      </c>
      <c r="O997" s="3">
        <f t="shared" si="66"/>
        <v>1145.1962368000002</v>
      </c>
    </row>
    <row r="998" spans="1:15" ht="18" customHeight="1">
      <c r="A998" s="21"/>
      <c r="B998" s="28" t="s">
        <v>678</v>
      </c>
      <c r="C998" s="28" t="s">
        <v>2067</v>
      </c>
      <c r="D998" s="28" t="s">
        <v>451</v>
      </c>
      <c r="E998" s="28">
        <v>1.22</v>
      </c>
      <c r="F998" s="28">
        <v>576</v>
      </c>
      <c r="G998" s="28"/>
      <c r="H998" s="28">
        <v>1.6</v>
      </c>
      <c r="I998" s="28"/>
      <c r="J998" s="133">
        <v>45407</v>
      </c>
      <c r="K998" s="9">
        <f t="shared" si="64"/>
        <v>1124.3520000000001</v>
      </c>
      <c r="L998" s="9"/>
      <c r="M998" s="9"/>
      <c r="N998" s="9">
        <f t="shared" si="65"/>
        <v>0</v>
      </c>
      <c r="O998" s="3">
        <f t="shared" si="66"/>
        <v>1873.9574784000001</v>
      </c>
    </row>
    <row r="999" spans="1:15" ht="18" customHeight="1">
      <c r="A999" s="21"/>
      <c r="B999" s="28" t="s">
        <v>678</v>
      </c>
      <c r="C999" s="28" t="s">
        <v>684</v>
      </c>
      <c r="D999" s="28" t="s">
        <v>451</v>
      </c>
      <c r="E999" s="28">
        <v>1.22</v>
      </c>
      <c r="F999" s="28">
        <v>34</v>
      </c>
      <c r="G999" s="28"/>
      <c r="H999" s="28">
        <v>1.6</v>
      </c>
      <c r="I999" s="28"/>
      <c r="J999" s="133">
        <v>44939</v>
      </c>
      <c r="K999" s="9">
        <f t="shared" si="64"/>
        <v>66.367999999999995</v>
      </c>
      <c r="L999" s="9"/>
      <c r="M999" s="9"/>
      <c r="N999" s="9">
        <f t="shared" si="65"/>
        <v>0</v>
      </c>
      <c r="O999" s="3">
        <f t="shared" si="66"/>
        <v>110.61554559999999</v>
      </c>
    </row>
    <row r="1000" spans="1:15" ht="18" customHeight="1">
      <c r="A1000" s="21"/>
      <c r="B1000" s="28" t="s">
        <v>678</v>
      </c>
      <c r="C1000" s="28" t="s">
        <v>685</v>
      </c>
      <c r="D1000" s="28" t="s">
        <v>451</v>
      </c>
      <c r="E1000" s="28">
        <v>1.22</v>
      </c>
      <c r="F1000" s="28">
        <v>54</v>
      </c>
      <c r="G1000" s="28"/>
      <c r="H1000" s="28">
        <v>1.6</v>
      </c>
      <c r="I1000" s="28"/>
      <c r="J1000" s="133">
        <v>45407</v>
      </c>
      <c r="K1000" s="9">
        <f t="shared" si="64"/>
        <v>105.408</v>
      </c>
      <c r="L1000" s="9"/>
      <c r="M1000" s="9"/>
      <c r="N1000" s="9">
        <f t="shared" si="65"/>
        <v>0</v>
      </c>
      <c r="O1000" s="3">
        <f t="shared" si="66"/>
        <v>175.6835136</v>
      </c>
    </row>
    <row r="1001" spans="1:15" ht="18" customHeight="1">
      <c r="A1001" s="16"/>
      <c r="B1001" s="87" t="s">
        <v>3215</v>
      </c>
      <c r="C1001" s="110" t="s">
        <v>3216</v>
      </c>
      <c r="D1001" s="28" t="s">
        <v>451</v>
      </c>
      <c r="E1001" s="28">
        <v>1.22</v>
      </c>
      <c r="F1001" s="87">
        <v>114</v>
      </c>
      <c r="G1001" s="110"/>
      <c r="H1001" s="87">
        <v>1.7</v>
      </c>
      <c r="I1001" s="110"/>
      <c r="J1001" s="135">
        <v>45225</v>
      </c>
      <c r="K1001" s="37">
        <f t="shared" si="64"/>
        <v>236.43599999999998</v>
      </c>
      <c r="L1001" s="37"/>
      <c r="M1001" s="17"/>
      <c r="N1001" s="16"/>
      <c r="O1001" s="16"/>
    </row>
    <row r="1002" spans="1:15" ht="18" customHeight="1">
      <c r="A1002" s="16"/>
      <c r="B1002" s="87" t="s">
        <v>4277</v>
      </c>
      <c r="C1002" s="110">
        <v>23</v>
      </c>
      <c r="D1002" s="28" t="s">
        <v>451</v>
      </c>
      <c r="E1002" s="28">
        <v>1.22</v>
      </c>
      <c r="F1002" s="87">
        <v>253</v>
      </c>
      <c r="G1002" s="110"/>
      <c r="H1002" s="87">
        <v>1.5</v>
      </c>
      <c r="I1002" s="110"/>
      <c r="J1002" s="135">
        <v>45812</v>
      </c>
      <c r="K1002" s="37">
        <f>+H1002*F1002</f>
        <v>379.5</v>
      </c>
      <c r="L1002" s="37"/>
      <c r="M1002" s="17"/>
      <c r="N1002" s="16"/>
      <c r="O1002" s="16"/>
    </row>
    <row r="1003" spans="1:15" ht="18" customHeight="1">
      <c r="A1003" s="16"/>
      <c r="B1003" s="87" t="s">
        <v>4277</v>
      </c>
      <c r="C1003" s="110">
        <v>29</v>
      </c>
      <c r="D1003" s="28" t="s">
        <v>451</v>
      </c>
      <c r="E1003" s="28">
        <v>1.22</v>
      </c>
      <c r="F1003" s="87">
        <v>471</v>
      </c>
      <c r="G1003" s="136"/>
      <c r="H1003" s="87">
        <v>1.5</v>
      </c>
      <c r="I1003" s="110"/>
      <c r="J1003" s="135">
        <v>45960</v>
      </c>
      <c r="K1003" s="37">
        <f>+H1003*F1003</f>
        <v>706.5</v>
      </c>
      <c r="L1003" s="37"/>
      <c r="M1003" s="17"/>
      <c r="N1003" s="16"/>
      <c r="O1003" s="16"/>
    </row>
    <row r="1004" spans="1:15" ht="18" customHeight="1">
      <c r="A1004" s="16"/>
      <c r="B1004" s="87" t="s">
        <v>4277</v>
      </c>
      <c r="C1004" s="110">
        <v>36</v>
      </c>
      <c r="D1004" s="28" t="s">
        <v>451</v>
      </c>
      <c r="E1004" s="96">
        <v>1.22</v>
      </c>
      <c r="F1004" s="87">
        <v>790</v>
      </c>
      <c r="G1004" s="136"/>
      <c r="H1004" s="87">
        <v>1.5</v>
      </c>
      <c r="I1004" s="110"/>
      <c r="J1004" s="135">
        <v>45960</v>
      </c>
      <c r="K1004" s="37">
        <f>+H1004*F1004</f>
        <v>1185</v>
      </c>
      <c r="L1004" s="37"/>
      <c r="M1004" s="17"/>
      <c r="N1004" s="16"/>
      <c r="O1004" s="16"/>
    </row>
    <row r="1005" spans="1:15" ht="18" customHeight="1">
      <c r="A1005" s="16">
        <v>100171</v>
      </c>
      <c r="B1005" s="87" t="s">
        <v>4455</v>
      </c>
      <c r="C1005" s="110">
        <v>0</v>
      </c>
      <c r="D1005" s="28" t="s">
        <v>1859</v>
      </c>
      <c r="E1005" s="28">
        <v>1.22</v>
      </c>
      <c r="F1005" s="87"/>
      <c r="G1005" s="110">
        <v>11.45</v>
      </c>
      <c r="H1005" s="28">
        <v>1.5</v>
      </c>
      <c r="I1005" s="110">
        <v>41</v>
      </c>
      <c r="J1005" s="135">
        <v>45965</v>
      </c>
      <c r="K1005" s="37">
        <f>+E1005*G1005*H1005*I1005</f>
        <v>859.09349999999995</v>
      </c>
      <c r="L1005" s="37"/>
      <c r="M1005" s="17"/>
      <c r="N1005" s="16"/>
      <c r="O1005" s="16"/>
    </row>
    <row r="1006" spans="1:15" ht="18" customHeight="1">
      <c r="A1006" s="16"/>
      <c r="B1006" s="28" t="s">
        <v>2928</v>
      </c>
      <c r="C1006" s="110" t="s">
        <v>1358</v>
      </c>
      <c r="D1006" s="28" t="s">
        <v>451</v>
      </c>
      <c r="E1006" s="28">
        <v>1.22</v>
      </c>
      <c r="F1006" s="90">
        <v>556</v>
      </c>
      <c r="G1006" s="110"/>
      <c r="H1006" s="28">
        <v>1.4</v>
      </c>
      <c r="I1006" s="110"/>
      <c r="J1006" s="135">
        <v>45001</v>
      </c>
      <c r="K1006" s="9">
        <f>E1006*F1006*H1006</f>
        <v>949.6479999999998</v>
      </c>
      <c r="L1006" s="35"/>
      <c r="M1006" s="17"/>
      <c r="N1006" s="16"/>
      <c r="O1006" s="16"/>
    </row>
    <row r="1007" spans="1:15" ht="18" customHeight="1">
      <c r="A1007" s="16">
        <v>100172</v>
      </c>
      <c r="B1007" s="87" t="s">
        <v>4386</v>
      </c>
      <c r="C1007" s="110">
        <v>1</v>
      </c>
      <c r="D1007" s="28" t="s">
        <v>1859</v>
      </c>
      <c r="E1007" s="28">
        <v>1.22</v>
      </c>
      <c r="F1007" s="87"/>
      <c r="G1007" s="110">
        <v>36</v>
      </c>
      <c r="H1007" s="28">
        <v>1.5</v>
      </c>
      <c r="I1007" s="110">
        <v>41</v>
      </c>
      <c r="J1007" s="135">
        <v>45918</v>
      </c>
      <c r="K1007" s="37">
        <f>+E1007*G1007*H1007*I1007</f>
        <v>2701.08</v>
      </c>
      <c r="L1007" s="37"/>
      <c r="M1007" s="17"/>
      <c r="N1007" s="16"/>
      <c r="O1007" s="16"/>
    </row>
    <row r="1008" spans="1:15" ht="18" customHeight="1">
      <c r="A1008" s="21">
        <v>0</v>
      </c>
      <c r="B1008" s="28" t="s">
        <v>2621</v>
      </c>
      <c r="C1008" s="28" t="s">
        <v>2614</v>
      </c>
      <c r="D1008" s="28" t="s">
        <v>451</v>
      </c>
      <c r="E1008" s="28">
        <v>1.22</v>
      </c>
      <c r="F1008" s="28">
        <v>486</v>
      </c>
      <c r="G1008" s="28"/>
      <c r="H1008" s="28">
        <v>1.3</v>
      </c>
      <c r="I1008" s="28"/>
      <c r="J1008" s="133">
        <v>44749</v>
      </c>
      <c r="K1008" s="9">
        <f t="shared" ref="K1008:K1020" si="67">E1008*F1008*H1008</f>
        <v>770.79599999999994</v>
      </c>
      <c r="L1008" s="9"/>
      <c r="M1008" s="9"/>
      <c r="N1008" s="9">
        <f>G1008*H1008*I1008*E1008</f>
        <v>0</v>
      </c>
      <c r="O1008" s="3">
        <f>K1008*1.6667</f>
        <v>1284.6856932000001</v>
      </c>
    </row>
    <row r="1009" spans="1:15" ht="18" customHeight="1">
      <c r="A1009" s="21">
        <v>0</v>
      </c>
      <c r="B1009" s="28" t="s">
        <v>2621</v>
      </c>
      <c r="C1009" s="28" t="s">
        <v>2622</v>
      </c>
      <c r="D1009" s="28" t="s">
        <v>451</v>
      </c>
      <c r="E1009" s="28">
        <v>1.22</v>
      </c>
      <c r="F1009" s="28">
        <v>98</v>
      </c>
      <c r="G1009" s="28"/>
      <c r="H1009" s="28">
        <v>1.3</v>
      </c>
      <c r="I1009" s="28"/>
      <c r="J1009" s="133">
        <v>44749</v>
      </c>
      <c r="K1009" s="9">
        <f t="shared" si="67"/>
        <v>155.428</v>
      </c>
      <c r="L1009" s="9"/>
      <c r="M1009" s="9"/>
      <c r="N1009" s="9">
        <f>G1009*H1009*I1009*E1009</f>
        <v>0</v>
      </c>
      <c r="O1009" s="3">
        <f>K1009*1.6667</f>
        <v>259.05184760000003</v>
      </c>
    </row>
    <row r="1010" spans="1:15" ht="18" customHeight="1">
      <c r="A1010" s="21"/>
      <c r="B1010" s="28" t="s">
        <v>2621</v>
      </c>
      <c r="C1010" s="28" t="s">
        <v>2623</v>
      </c>
      <c r="D1010" s="28" t="s">
        <v>451</v>
      </c>
      <c r="E1010" s="28">
        <v>1.22</v>
      </c>
      <c r="F1010" s="28">
        <v>128</v>
      </c>
      <c r="G1010" s="28">
        <v>0</v>
      </c>
      <c r="H1010" s="28">
        <v>1.3</v>
      </c>
      <c r="I1010" s="28"/>
      <c r="J1010" s="133">
        <v>44749</v>
      </c>
      <c r="K1010" s="9">
        <f t="shared" si="67"/>
        <v>203.00800000000001</v>
      </c>
      <c r="L1010" s="9"/>
      <c r="M1010" s="9"/>
      <c r="N1010" s="9"/>
      <c r="O1010" s="3"/>
    </row>
    <row r="1011" spans="1:15" ht="18" customHeight="1">
      <c r="A1011" s="21"/>
      <c r="B1011" s="28" t="s">
        <v>2621</v>
      </c>
      <c r="C1011" s="28" t="s">
        <v>2615</v>
      </c>
      <c r="D1011" s="28" t="s">
        <v>451</v>
      </c>
      <c r="E1011" s="28">
        <v>1.22</v>
      </c>
      <c r="F1011" s="28">
        <v>190</v>
      </c>
      <c r="G1011" s="28">
        <v>0</v>
      </c>
      <c r="H1011" s="28">
        <v>1.3</v>
      </c>
      <c r="I1011" s="28"/>
      <c r="J1011" s="133">
        <v>44749</v>
      </c>
      <c r="K1011" s="9">
        <f t="shared" si="67"/>
        <v>301.33999999999997</v>
      </c>
      <c r="L1011" s="9"/>
      <c r="M1011" s="9"/>
      <c r="N1011" s="9"/>
      <c r="O1011" s="3"/>
    </row>
    <row r="1012" spans="1:15" ht="18" customHeight="1">
      <c r="A1012" s="21"/>
      <c r="B1012" s="28" t="s">
        <v>2621</v>
      </c>
      <c r="C1012" s="28" t="s">
        <v>3241</v>
      </c>
      <c r="D1012" s="28" t="s">
        <v>451</v>
      </c>
      <c r="E1012" s="28">
        <v>1.22</v>
      </c>
      <c r="F1012" s="28">
        <v>68</v>
      </c>
      <c r="G1012" s="28"/>
      <c r="H1012" s="28">
        <v>1.4</v>
      </c>
      <c r="I1012" s="28"/>
      <c r="J1012" s="133">
        <v>45244</v>
      </c>
      <c r="K1012" s="9">
        <f t="shared" si="67"/>
        <v>116.14399999999998</v>
      </c>
      <c r="L1012" s="9"/>
      <c r="M1012" s="9"/>
      <c r="N1012" s="9"/>
      <c r="O1012" s="3"/>
    </row>
    <row r="1013" spans="1:15" ht="18" customHeight="1">
      <c r="A1013" s="44"/>
      <c r="B1013" s="28" t="s">
        <v>2621</v>
      </c>
      <c r="C1013" s="80" t="s">
        <v>2624</v>
      </c>
      <c r="D1013" s="28" t="s">
        <v>451</v>
      </c>
      <c r="E1013" s="80">
        <v>1.22</v>
      </c>
      <c r="F1013" s="80">
        <v>224</v>
      </c>
      <c r="G1013" s="88"/>
      <c r="H1013" s="88">
        <v>1.3</v>
      </c>
      <c r="I1013" s="113"/>
      <c r="J1013" s="134">
        <v>44749</v>
      </c>
      <c r="K1013" s="9">
        <f t="shared" si="67"/>
        <v>355.26399999999995</v>
      </c>
      <c r="L1013" s="35"/>
      <c r="M1013" s="17"/>
      <c r="N1013" s="44"/>
      <c r="O1013" s="44"/>
    </row>
    <row r="1014" spans="1:15" ht="18" hidden="1" customHeight="1">
      <c r="A1014" s="21"/>
      <c r="B1014" s="28" t="s">
        <v>2264</v>
      </c>
      <c r="C1014" s="28" t="s">
        <v>683</v>
      </c>
      <c r="D1014" s="28" t="s">
        <v>451</v>
      </c>
      <c r="E1014" s="28">
        <v>1.22</v>
      </c>
      <c r="F1014" s="28">
        <v>31</v>
      </c>
      <c r="G1014" s="28"/>
      <c r="H1014" s="28">
        <v>1.6</v>
      </c>
      <c r="I1014" s="28"/>
      <c r="J1014" s="133">
        <v>43193</v>
      </c>
      <c r="K1014" s="9">
        <f t="shared" si="67"/>
        <v>60.512</v>
      </c>
      <c r="L1014" s="9"/>
      <c r="M1014" s="9"/>
      <c r="N1014" s="9">
        <f>G1014*H1014*I1014*E1014</f>
        <v>0</v>
      </c>
      <c r="O1014" s="3">
        <f>K1014*1.6667</f>
        <v>100.85535040000001</v>
      </c>
    </row>
    <row r="1015" spans="1:15" ht="18" customHeight="1">
      <c r="A1015" s="21"/>
      <c r="B1015" s="28" t="s">
        <v>2264</v>
      </c>
      <c r="C1015" s="28">
        <v>12</v>
      </c>
      <c r="D1015" s="28" t="s">
        <v>451</v>
      </c>
      <c r="E1015" s="28">
        <v>1.22</v>
      </c>
      <c r="F1015" s="28">
        <v>63</v>
      </c>
      <c r="G1015" s="28"/>
      <c r="H1015" s="28">
        <v>1.6</v>
      </c>
      <c r="I1015" s="28"/>
      <c r="J1015" s="133">
        <v>44460</v>
      </c>
      <c r="K1015" s="9">
        <f t="shared" si="67"/>
        <v>122.976</v>
      </c>
      <c r="L1015" s="9"/>
      <c r="M1015" s="9"/>
      <c r="N1015" s="9">
        <f>G1015*H1015*I1015*E1015</f>
        <v>0</v>
      </c>
      <c r="O1015" s="3">
        <f>K1015*1.6667</f>
        <v>204.96409920000002</v>
      </c>
    </row>
    <row r="1016" spans="1:15" ht="18" customHeight="1">
      <c r="A1016" s="21"/>
      <c r="B1016" s="28" t="s">
        <v>2264</v>
      </c>
      <c r="C1016" s="28">
        <v>16</v>
      </c>
      <c r="D1016" s="28" t="s">
        <v>451</v>
      </c>
      <c r="E1016" s="28">
        <v>1.22</v>
      </c>
      <c r="F1016" s="28">
        <v>99</v>
      </c>
      <c r="G1016" s="28"/>
      <c r="H1016" s="28">
        <v>1.6</v>
      </c>
      <c r="I1016" s="28"/>
      <c r="J1016" s="133">
        <v>44460</v>
      </c>
      <c r="K1016" s="9">
        <f t="shared" si="67"/>
        <v>193.24800000000002</v>
      </c>
      <c r="L1016" s="9"/>
      <c r="M1016" s="9"/>
      <c r="N1016" s="9">
        <f>G1016*H1016*I1016*E1016</f>
        <v>0</v>
      </c>
      <c r="O1016" s="3">
        <f>K1016*1.6667</f>
        <v>322.08644160000006</v>
      </c>
    </row>
    <row r="1017" spans="1:15" ht="18" customHeight="1">
      <c r="A1017" s="21"/>
      <c r="B1017" s="28" t="s">
        <v>2264</v>
      </c>
      <c r="C1017" s="28"/>
      <c r="D1017" s="28" t="s">
        <v>451</v>
      </c>
      <c r="E1017" s="28">
        <v>1.22</v>
      </c>
      <c r="F1017" s="28"/>
      <c r="G1017" s="28"/>
      <c r="H1017" s="28"/>
      <c r="I1017" s="28"/>
      <c r="J1017" s="133"/>
      <c r="K1017" s="9">
        <f t="shared" si="67"/>
        <v>0</v>
      </c>
      <c r="L1017" s="9"/>
      <c r="M1017" s="9"/>
      <c r="N1017" s="9"/>
      <c r="O1017" s="3"/>
    </row>
    <row r="1018" spans="1:15" ht="18" customHeight="1">
      <c r="A1018" s="16"/>
      <c r="B1018" s="87" t="s">
        <v>4542</v>
      </c>
      <c r="C1018" s="110">
        <v>40</v>
      </c>
      <c r="D1018" s="28" t="s">
        <v>451</v>
      </c>
      <c r="E1018" s="28">
        <v>1.22</v>
      </c>
      <c r="F1018" s="87">
        <v>1185</v>
      </c>
      <c r="G1018" s="110"/>
      <c r="H1018" s="87">
        <v>1.6</v>
      </c>
      <c r="I1018" s="110"/>
      <c r="J1018" s="135">
        <v>45981</v>
      </c>
      <c r="K1018" s="9">
        <f t="shared" si="67"/>
        <v>2313.1200000000003</v>
      </c>
      <c r="L1018" s="37"/>
      <c r="M1018" s="17"/>
      <c r="N1018" s="16"/>
      <c r="O1018" s="16"/>
    </row>
    <row r="1019" spans="1:15" ht="18" customHeight="1">
      <c r="A1019" s="16"/>
      <c r="B1019" s="160" t="s">
        <v>4542</v>
      </c>
      <c r="C1019" s="123">
        <v>48</v>
      </c>
      <c r="D1019" s="28" t="s">
        <v>451</v>
      </c>
      <c r="E1019" s="28">
        <v>1.22</v>
      </c>
      <c r="F1019" s="87">
        <v>1809</v>
      </c>
      <c r="G1019" s="110"/>
      <c r="H1019" s="87">
        <v>1.6</v>
      </c>
      <c r="I1019" s="110"/>
      <c r="J1019" s="135">
        <v>45981</v>
      </c>
      <c r="K1019" s="33">
        <f t="shared" si="67"/>
        <v>3531.1680000000001</v>
      </c>
      <c r="L1019" s="161"/>
      <c r="M1019" s="17"/>
      <c r="N1019" s="16"/>
      <c r="O1019" s="16"/>
    </row>
    <row r="1020" spans="1:15" ht="18" customHeight="1">
      <c r="A1020" s="221"/>
      <c r="B1020" s="87" t="s">
        <v>4542</v>
      </c>
      <c r="C1020" s="110">
        <v>52</v>
      </c>
      <c r="D1020" s="28" t="s">
        <v>451</v>
      </c>
      <c r="E1020" s="28">
        <v>1.22</v>
      </c>
      <c r="F1020" s="87">
        <v>2835</v>
      </c>
      <c r="G1020" s="110"/>
      <c r="H1020" s="87">
        <v>1.6</v>
      </c>
      <c r="I1020" s="110"/>
      <c r="J1020" s="135">
        <v>45981</v>
      </c>
      <c r="K1020" s="9">
        <f t="shared" si="67"/>
        <v>5533.92</v>
      </c>
      <c r="L1020" s="231"/>
      <c r="M1020" s="204"/>
      <c r="N1020" s="16"/>
      <c r="O1020" s="16"/>
    </row>
    <row r="1021" spans="1:15" ht="18" customHeight="1">
      <c r="A1021" s="16"/>
      <c r="B1021" s="87" t="s">
        <v>4276</v>
      </c>
      <c r="C1021" s="110">
        <v>22</v>
      </c>
      <c r="D1021" s="28" t="s">
        <v>451</v>
      </c>
      <c r="E1021" s="28">
        <v>1.22</v>
      </c>
      <c r="F1021" s="87">
        <v>256</v>
      </c>
      <c r="G1021" s="110"/>
      <c r="H1021" s="87">
        <v>1.5</v>
      </c>
      <c r="I1021" s="110"/>
      <c r="J1021" s="135">
        <v>45812</v>
      </c>
      <c r="K1021" s="9">
        <f>+H1021*F1021</f>
        <v>384</v>
      </c>
      <c r="L1021" s="37"/>
      <c r="M1021" s="17"/>
      <c r="N1021" s="16"/>
      <c r="O1021" s="16"/>
    </row>
    <row r="1022" spans="1:15" ht="18" customHeight="1">
      <c r="A1022" s="21"/>
      <c r="B1022" s="28" t="s">
        <v>2213</v>
      </c>
      <c r="C1022" s="28" t="s">
        <v>1356</v>
      </c>
      <c r="D1022" s="28" t="s">
        <v>451</v>
      </c>
      <c r="E1022" s="28">
        <v>1.22</v>
      </c>
      <c r="F1022" s="28">
        <v>256</v>
      </c>
      <c r="G1022" s="28"/>
      <c r="H1022" s="28">
        <v>1.6</v>
      </c>
      <c r="I1022" s="28"/>
      <c r="J1022" s="133">
        <v>44392</v>
      </c>
      <c r="K1022" s="9">
        <f>E1022*F1022*H1022</f>
        <v>499.71199999999999</v>
      </c>
      <c r="L1022" s="9"/>
      <c r="M1022" s="9"/>
      <c r="N1022" s="9"/>
      <c r="O1022" s="3"/>
    </row>
    <row r="1023" spans="1:15" ht="18" customHeight="1">
      <c r="A1023" s="21"/>
      <c r="B1023" s="28" t="s">
        <v>2472</v>
      </c>
      <c r="C1023" s="28"/>
      <c r="D1023" s="28" t="s">
        <v>451</v>
      </c>
      <c r="E1023" s="28">
        <v>1.22</v>
      </c>
      <c r="F1023" s="28">
        <v>295</v>
      </c>
      <c r="G1023" s="28"/>
      <c r="H1023" s="28">
        <v>1.6</v>
      </c>
      <c r="I1023" s="28"/>
      <c r="J1023" s="133">
        <v>45909</v>
      </c>
      <c r="K1023" s="9">
        <f>E1023*F1023*H1023</f>
        <v>575.84</v>
      </c>
      <c r="L1023" s="9"/>
      <c r="M1023" s="9"/>
      <c r="N1023" s="9"/>
      <c r="O1023" s="3"/>
    </row>
    <row r="1024" spans="1:15" ht="18" customHeight="1">
      <c r="A1024" s="16"/>
      <c r="B1024" s="87" t="s">
        <v>4275</v>
      </c>
      <c r="C1024" s="110">
        <v>20</v>
      </c>
      <c r="D1024" s="28" t="s">
        <v>451</v>
      </c>
      <c r="E1024" s="28">
        <v>1.22</v>
      </c>
      <c r="F1024" s="87">
        <v>150</v>
      </c>
      <c r="G1024" s="110"/>
      <c r="H1024" s="87">
        <v>1.5</v>
      </c>
      <c r="I1024" s="110"/>
      <c r="J1024" s="135">
        <v>45812</v>
      </c>
      <c r="K1024" s="9">
        <f>+H1024*F1024</f>
        <v>225</v>
      </c>
      <c r="L1024" s="37"/>
      <c r="M1024" s="17"/>
      <c r="N1024" s="16"/>
      <c r="O1024" s="16"/>
    </row>
    <row r="1025" spans="1:15" ht="18" customHeight="1">
      <c r="A1025" s="16"/>
      <c r="B1025" s="87" t="s">
        <v>4275</v>
      </c>
      <c r="C1025" s="110">
        <v>40</v>
      </c>
      <c r="D1025" s="28" t="s">
        <v>451</v>
      </c>
      <c r="E1025" s="28">
        <v>1.22</v>
      </c>
      <c r="F1025" s="87">
        <v>1015</v>
      </c>
      <c r="G1025" s="110"/>
      <c r="H1025" s="87">
        <v>1.5</v>
      </c>
      <c r="I1025" s="110"/>
      <c r="J1025" s="135">
        <v>45812</v>
      </c>
      <c r="K1025" s="13">
        <f>+H1025*F1025</f>
        <v>1522.5</v>
      </c>
      <c r="L1025" s="64"/>
      <c r="M1025" s="41"/>
      <c r="N1025" s="39"/>
      <c r="O1025" s="39"/>
    </row>
    <row r="1026" spans="1:15" ht="18" customHeight="1">
      <c r="A1026" s="16"/>
      <c r="B1026" s="160" t="s">
        <v>4275</v>
      </c>
      <c r="C1026" s="123">
        <v>50</v>
      </c>
      <c r="D1026" s="28" t="s">
        <v>451</v>
      </c>
      <c r="E1026" s="28">
        <v>1.22</v>
      </c>
      <c r="F1026" s="87">
        <v>2300</v>
      </c>
      <c r="G1026" s="110"/>
      <c r="H1026" s="87">
        <v>1.6</v>
      </c>
      <c r="I1026" s="110"/>
      <c r="J1026" s="135">
        <v>45981</v>
      </c>
      <c r="K1026" s="9">
        <f>E1026*F1026*H1026</f>
        <v>4489.6000000000004</v>
      </c>
      <c r="L1026" s="64"/>
      <c r="M1026" s="41"/>
      <c r="N1026" s="39"/>
      <c r="O1026" s="39"/>
    </row>
    <row r="1027" spans="1:15" ht="18" customHeight="1">
      <c r="A1027" s="61"/>
      <c r="B1027" s="28" t="s">
        <v>2619</v>
      </c>
      <c r="C1027" s="28" t="s">
        <v>2618</v>
      </c>
      <c r="D1027" s="28" t="s">
        <v>451</v>
      </c>
      <c r="E1027" s="28">
        <v>1.22</v>
      </c>
      <c r="F1027" s="28">
        <v>537</v>
      </c>
      <c r="G1027" s="28"/>
      <c r="H1027" s="28">
        <v>1.3</v>
      </c>
      <c r="I1027" s="28"/>
      <c r="J1027" s="189">
        <v>44749</v>
      </c>
      <c r="K1027" s="9">
        <f>E1027*F1027*H1027</f>
        <v>851.68200000000002</v>
      </c>
      <c r="L1027" s="13"/>
      <c r="M1027" s="13"/>
      <c r="N1027" s="12">
        <f>G1027*H1027*I1027*E1027</f>
        <v>0</v>
      </c>
      <c r="O1027" s="11">
        <f>K1027*1.6667</f>
        <v>1419.4983894000002</v>
      </c>
    </row>
    <row r="1028" spans="1:15" ht="18" customHeight="1">
      <c r="A1028" s="21"/>
      <c r="B1028" s="85" t="s">
        <v>2619</v>
      </c>
      <c r="C1028" s="85" t="s">
        <v>2620</v>
      </c>
      <c r="D1028" s="28" t="s">
        <v>451</v>
      </c>
      <c r="E1028" s="28">
        <v>1.22</v>
      </c>
      <c r="F1028" s="28">
        <v>897</v>
      </c>
      <c r="G1028" s="28"/>
      <c r="H1028" s="28">
        <v>1.3</v>
      </c>
      <c r="I1028" s="28"/>
      <c r="J1028" s="133">
        <v>44749</v>
      </c>
      <c r="K1028" s="13">
        <f>E1028*F1028*H1028</f>
        <v>1422.6420000000001</v>
      </c>
      <c r="L1028" s="13"/>
      <c r="M1028" s="13"/>
      <c r="N1028" s="12">
        <f>G1028*H1028*I1028*E1028</f>
        <v>0</v>
      </c>
      <c r="O1028" s="11">
        <f>K1028*1.6667</f>
        <v>2371.1174214000002</v>
      </c>
    </row>
    <row r="1029" spans="1:15" ht="18" customHeight="1">
      <c r="A1029" s="16">
        <v>100219</v>
      </c>
      <c r="B1029" s="87" t="s">
        <v>4385</v>
      </c>
      <c r="C1029" s="110">
        <v>0</v>
      </c>
      <c r="D1029" s="28" t="s">
        <v>1859</v>
      </c>
      <c r="E1029" s="28">
        <v>1.22</v>
      </c>
      <c r="F1029" s="87"/>
      <c r="G1029" s="110">
        <v>15.6</v>
      </c>
      <c r="H1029" s="28">
        <v>1.5</v>
      </c>
      <c r="I1029" s="110">
        <v>41</v>
      </c>
      <c r="J1029" s="135">
        <v>45918</v>
      </c>
      <c r="K1029" s="37">
        <f>+E1029*G1029*H1029*I1029</f>
        <v>1170.4680000000001</v>
      </c>
      <c r="L1029" s="37"/>
      <c r="M1029" s="17"/>
      <c r="N1029" s="16"/>
      <c r="O1029" s="16"/>
    </row>
    <row r="1030" spans="1:15" ht="18" customHeight="1">
      <c r="A1030" s="16"/>
      <c r="B1030" s="28" t="s">
        <v>2925</v>
      </c>
      <c r="C1030" s="110"/>
      <c r="D1030" s="28" t="s">
        <v>451</v>
      </c>
      <c r="E1030" s="28">
        <v>1.22</v>
      </c>
      <c r="F1030" s="28">
        <v>110</v>
      </c>
      <c r="G1030" s="110"/>
      <c r="H1030" s="28">
        <v>1.4</v>
      </c>
      <c r="I1030" s="110"/>
      <c r="J1030" s="135">
        <v>45001</v>
      </c>
      <c r="K1030" s="37">
        <f>E1030*F1030*H1030</f>
        <v>187.87999999999997</v>
      </c>
      <c r="L1030" s="37"/>
      <c r="M1030" s="17"/>
      <c r="N1030" s="16"/>
      <c r="O1030" s="16"/>
    </row>
    <row r="1031" spans="1:15" ht="18" customHeight="1">
      <c r="A1031" s="16"/>
      <c r="B1031" s="93" t="s">
        <v>3212</v>
      </c>
      <c r="C1031" s="251" t="s">
        <v>3099</v>
      </c>
      <c r="D1031" s="28" t="s">
        <v>3409</v>
      </c>
      <c r="E1031" s="28">
        <v>1</v>
      </c>
      <c r="F1031" s="28">
        <v>13.56</v>
      </c>
      <c r="G1031" s="110"/>
      <c r="H1031" s="28">
        <v>1.2</v>
      </c>
      <c r="I1031" s="110"/>
      <c r="J1031" s="134">
        <v>45219</v>
      </c>
      <c r="K1031" s="33">
        <f>E1031*F1031*H1031</f>
        <v>16.271999999999998</v>
      </c>
      <c r="L1031" s="33"/>
      <c r="M1031" s="17"/>
      <c r="N1031" s="16"/>
      <c r="O1031" s="16"/>
    </row>
    <row r="1032" spans="1:15" ht="18" customHeight="1">
      <c r="A1032" s="221"/>
      <c r="B1032" s="93" t="s">
        <v>3212</v>
      </c>
      <c r="C1032" s="93" t="s">
        <v>302</v>
      </c>
      <c r="D1032" s="28" t="s">
        <v>3409</v>
      </c>
      <c r="E1032" s="28">
        <v>1</v>
      </c>
      <c r="F1032" s="28">
        <v>3.32</v>
      </c>
      <c r="G1032" s="121"/>
      <c r="H1032" s="28">
        <v>1.4</v>
      </c>
      <c r="I1032" s="110"/>
      <c r="J1032" s="304">
        <v>45219</v>
      </c>
      <c r="K1032" s="33">
        <v>8</v>
      </c>
      <c r="L1032" s="242"/>
      <c r="M1032" s="204"/>
      <c r="N1032" s="9"/>
      <c r="O1032" s="3"/>
    </row>
    <row r="1033" spans="1:15" ht="18" customHeight="1">
      <c r="A1033" s="16"/>
      <c r="B1033" s="28" t="s">
        <v>3098</v>
      </c>
      <c r="C1033" s="79" t="s">
        <v>3099</v>
      </c>
      <c r="D1033" s="28" t="s">
        <v>3409</v>
      </c>
      <c r="E1033" s="28">
        <v>1</v>
      </c>
      <c r="F1033" s="28">
        <v>814</v>
      </c>
      <c r="G1033" s="110"/>
      <c r="H1033" s="28">
        <v>2</v>
      </c>
      <c r="I1033" s="110"/>
      <c r="J1033" s="134">
        <v>45219</v>
      </c>
      <c r="K1033" s="9">
        <f>E1033*F1033*H1033</f>
        <v>1628</v>
      </c>
      <c r="L1033" s="9"/>
      <c r="M1033" s="17">
        <v>1.22</v>
      </c>
      <c r="N1033" s="16"/>
      <c r="O1033" s="16"/>
    </row>
    <row r="1034" spans="1:15" ht="18" customHeight="1">
      <c r="A1034" s="16"/>
      <c r="B1034" s="85" t="s">
        <v>3100</v>
      </c>
      <c r="C1034" s="85" t="s">
        <v>302</v>
      </c>
      <c r="D1034" s="28" t="s">
        <v>3409</v>
      </c>
      <c r="E1034" s="28">
        <v>1</v>
      </c>
      <c r="F1034" s="28">
        <v>624</v>
      </c>
      <c r="G1034" s="121">
        <v>0</v>
      </c>
      <c r="H1034" s="28">
        <v>1.6</v>
      </c>
      <c r="I1034" s="110">
        <v>0</v>
      </c>
      <c r="J1034" s="134">
        <v>45219</v>
      </c>
      <c r="K1034" s="10">
        <f>E1034*F1034*H1034</f>
        <v>998.40000000000009</v>
      </c>
      <c r="L1034" s="10"/>
      <c r="M1034" s="17"/>
      <c r="N1034" s="9">
        <f>G1034*H1034*I1034*E1034</f>
        <v>0</v>
      </c>
      <c r="O1034" s="3">
        <f>K1034*1.6667</f>
        <v>1664.0332800000003</v>
      </c>
    </row>
    <row r="1035" spans="1:15" ht="18" customHeight="1">
      <c r="A1035" s="21">
        <v>41</v>
      </c>
      <c r="B1035" s="28" t="s">
        <v>3096</v>
      </c>
      <c r="C1035" s="28" t="s">
        <v>3214</v>
      </c>
      <c r="D1035" s="28" t="s">
        <v>3409</v>
      </c>
      <c r="E1035" s="28">
        <v>1</v>
      </c>
      <c r="F1035" s="28">
        <v>1.73</v>
      </c>
      <c r="G1035" s="28"/>
      <c r="H1035" s="28">
        <v>2</v>
      </c>
      <c r="I1035" s="28"/>
      <c r="J1035" s="133">
        <v>44011</v>
      </c>
      <c r="K1035" s="10">
        <v>5</v>
      </c>
      <c r="L1035" s="9"/>
      <c r="M1035" s="9"/>
      <c r="N1035" s="9">
        <f>G1035*H1035*I1035*E1035</f>
        <v>0</v>
      </c>
      <c r="O1035" s="3">
        <f>K1035*1.6667</f>
        <v>8.3335000000000008</v>
      </c>
    </row>
    <row r="1036" spans="1:15" ht="18" customHeight="1">
      <c r="A1036" s="16"/>
      <c r="B1036" s="28" t="s">
        <v>3097</v>
      </c>
      <c r="C1036" s="79" t="s">
        <v>3094</v>
      </c>
      <c r="D1036" s="28" t="s">
        <v>3409</v>
      </c>
      <c r="E1036" s="28">
        <v>1</v>
      </c>
      <c r="F1036" s="28">
        <v>1</v>
      </c>
      <c r="G1036" s="110"/>
      <c r="H1036" s="28">
        <v>2</v>
      </c>
      <c r="I1036" s="110"/>
      <c r="J1036" s="134">
        <v>45219</v>
      </c>
      <c r="K1036" s="9">
        <v>6</v>
      </c>
      <c r="L1036" s="9"/>
      <c r="M1036" s="17">
        <v>1.22</v>
      </c>
      <c r="N1036" s="16"/>
      <c r="O1036" s="16"/>
    </row>
    <row r="1037" spans="1:15" ht="18" customHeight="1">
      <c r="A1037" s="21">
        <v>40</v>
      </c>
      <c r="B1037" s="28" t="s">
        <v>3213</v>
      </c>
      <c r="C1037" s="28" t="s">
        <v>3093</v>
      </c>
      <c r="D1037" s="28" t="s">
        <v>3409</v>
      </c>
      <c r="E1037" s="28">
        <v>1</v>
      </c>
      <c r="F1037" s="28">
        <v>506</v>
      </c>
      <c r="G1037" s="28"/>
      <c r="H1037" s="28">
        <v>2</v>
      </c>
      <c r="I1037" s="28"/>
      <c r="J1037" s="133">
        <v>45219</v>
      </c>
      <c r="K1037" s="9">
        <f t="shared" ref="K1037:K1050" si="68">E1037*F1037*H1037</f>
        <v>1012</v>
      </c>
      <c r="L1037" s="9"/>
      <c r="M1037" s="9"/>
      <c r="N1037" s="9">
        <f>G1037*H1037*I1037*E1037</f>
        <v>0</v>
      </c>
      <c r="O1037" s="3">
        <f>K1037*1.6667</f>
        <v>1686.7004000000002</v>
      </c>
    </row>
    <row r="1038" spans="1:15" ht="18" customHeight="1">
      <c r="A1038" s="21"/>
      <c r="B1038" s="28" t="s">
        <v>3095</v>
      </c>
      <c r="C1038" s="28" t="s">
        <v>3092</v>
      </c>
      <c r="D1038" s="28" t="s">
        <v>3409</v>
      </c>
      <c r="E1038" s="28">
        <v>1</v>
      </c>
      <c r="F1038" s="28">
        <v>519</v>
      </c>
      <c r="G1038" s="28"/>
      <c r="H1038" s="28">
        <v>2</v>
      </c>
      <c r="I1038" s="28"/>
      <c r="J1038" s="133">
        <v>45127</v>
      </c>
      <c r="K1038" s="9">
        <f t="shared" si="68"/>
        <v>1038</v>
      </c>
      <c r="L1038" s="9"/>
      <c r="M1038" s="9"/>
      <c r="N1038" s="9"/>
      <c r="O1038" s="3"/>
    </row>
    <row r="1039" spans="1:15" ht="18" customHeight="1">
      <c r="A1039" s="16">
        <v>22914</v>
      </c>
      <c r="B1039" s="87" t="s">
        <v>4415</v>
      </c>
      <c r="C1039" s="110"/>
      <c r="D1039" s="110" t="s">
        <v>3300</v>
      </c>
      <c r="E1039" s="87">
        <v>1.22</v>
      </c>
      <c r="F1039" s="87">
        <v>64.599999999999994</v>
      </c>
      <c r="G1039" s="110"/>
      <c r="H1039" s="87">
        <v>1.45</v>
      </c>
      <c r="I1039" s="110"/>
      <c r="J1039" s="133">
        <v>45929</v>
      </c>
      <c r="K1039" s="9">
        <f t="shared" si="68"/>
        <v>114.2774</v>
      </c>
      <c r="L1039" s="37"/>
      <c r="M1039" s="17"/>
      <c r="N1039" s="16"/>
      <c r="O1039" s="16"/>
    </row>
    <row r="1040" spans="1:15" ht="18" customHeight="1">
      <c r="A1040" s="16">
        <v>22912</v>
      </c>
      <c r="B1040" s="28" t="s">
        <v>2954</v>
      </c>
      <c r="C1040" s="110"/>
      <c r="D1040" s="28" t="s">
        <v>451</v>
      </c>
      <c r="E1040" s="28">
        <v>1.22</v>
      </c>
      <c r="F1040" s="28">
        <v>79</v>
      </c>
      <c r="G1040" s="110"/>
      <c r="H1040" s="28">
        <v>1.8</v>
      </c>
      <c r="I1040" s="110"/>
      <c r="J1040" s="135">
        <v>45005</v>
      </c>
      <c r="K1040" s="63">
        <f t="shared" si="68"/>
        <v>173.48400000000001</v>
      </c>
      <c r="L1040" s="63"/>
      <c r="M1040" s="17"/>
      <c r="N1040" s="16"/>
      <c r="O1040" s="16"/>
    </row>
    <row r="1041" spans="1:15" ht="18" customHeight="1">
      <c r="A1041" s="16">
        <v>22912</v>
      </c>
      <c r="B1041" s="87" t="s">
        <v>4416</v>
      </c>
      <c r="C1041" s="110"/>
      <c r="D1041" s="110" t="s">
        <v>3300</v>
      </c>
      <c r="E1041" s="87">
        <v>1.22</v>
      </c>
      <c r="F1041" s="87">
        <v>67.150000000000006</v>
      </c>
      <c r="G1041" s="110"/>
      <c r="H1041" s="87">
        <v>1.45</v>
      </c>
      <c r="I1041" s="110"/>
      <c r="J1041" s="133">
        <v>45929</v>
      </c>
      <c r="K1041" s="9">
        <f t="shared" si="68"/>
        <v>118.78834999999999</v>
      </c>
      <c r="L1041" s="37"/>
      <c r="M1041" s="17"/>
      <c r="N1041" s="16"/>
      <c r="O1041" s="16"/>
    </row>
    <row r="1042" spans="1:15" ht="18" customHeight="1">
      <c r="A1042" s="16">
        <v>22917</v>
      </c>
      <c r="B1042" s="87" t="s">
        <v>4413</v>
      </c>
      <c r="C1042" s="110"/>
      <c r="D1042" s="110" t="s">
        <v>3300</v>
      </c>
      <c r="E1042" s="87">
        <v>1.22</v>
      </c>
      <c r="F1042" s="87">
        <v>89.26</v>
      </c>
      <c r="G1042" s="110"/>
      <c r="H1042" s="87">
        <v>1.45</v>
      </c>
      <c r="I1042" s="110"/>
      <c r="J1042" s="133">
        <v>45929</v>
      </c>
      <c r="K1042" s="9">
        <f t="shared" si="68"/>
        <v>157.90093999999999</v>
      </c>
      <c r="L1042" s="37"/>
      <c r="M1042" s="17"/>
      <c r="N1042" s="16"/>
      <c r="O1042" s="16"/>
    </row>
    <row r="1043" spans="1:15" ht="18" customHeight="1">
      <c r="A1043" s="16">
        <v>22914</v>
      </c>
      <c r="B1043" s="28" t="s">
        <v>2955</v>
      </c>
      <c r="C1043" s="110"/>
      <c r="D1043" s="28" t="s">
        <v>451</v>
      </c>
      <c r="E1043" s="28">
        <v>1.22</v>
      </c>
      <c r="F1043" s="28">
        <v>76</v>
      </c>
      <c r="G1043" s="110"/>
      <c r="H1043" s="28">
        <v>1.8</v>
      </c>
      <c r="I1043" s="110"/>
      <c r="J1043" s="135">
        <v>45005</v>
      </c>
      <c r="K1043" s="37">
        <f t="shared" si="68"/>
        <v>166.89600000000002</v>
      </c>
      <c r="L1043" s="37"/>
      <c r="M1043" s="17"/>
      <c r="N1043" s="16"/>
      <c r="O1043" s="16"/>
    </row>
    <row r="1044" spans="1:15" ht="18" customHeight="1">
      <c r="A1044" s="21"/>
      <c r="B1044" s="28" t="s">
        <v>2467</v>
      </c>
      <c r="C1044" s="28"/>
      <c r="D1044" s="28" t="s">
        <v>451</v>
      </c>
      <c r="E1044" s="28">
        <v>1.22</v>
      </c>
      <c r="F1044" s="28">
        <v>52</v>
      </c>
      <c r="G1044" s="28"/>
      <c r="H1044" s="28">
        <v>1.6</v>
      </c>
      <c r="I1044" s="28"/>
      <c r="J1044" s="133">
        <v>44642</v>
      </c>
      <c r="K1044" s="9">
        <f t="shared" si="68"/>
        <v>101.504</v>
      </c>
      <c r="L1044" s="9"/>
      <c r="M1044" s="9"/>
      <c r="N1044" s="9">
        <f>G1044*H1044*I1044*E1044</f>
        <v>0</v>
      </c>
      <c r="O1044" s="3">
        <f>K1044*1.6667</f>
        <v>169.17671680000001</v>
      </c>
    </row>
    <row r="1045" spans="1:15" ht="18" customHeight="1">
      <c r="A1045" s="21"/>
      <c r="B1045" s="28" t="s">
        <v>686</v>
      </c>
      <c r="C1045" s="28" t="s">
        <v>54</v>
      </c>
      <c r="D1045" s="28" t="s">
        <v>451</v>
      </c>
      <c r="E1045" s="28">
        <v>1.22</v>
      </c>
      <c r="F1045" s="28">
        <v>75</v>
      </c>
      <c r="G1045" s="28"/>
      <c r="H1045" s="28">
        <v>1.7</v>
      </c>
      <c r="I1045" s="28"/>
      <c r="J1045" s="133">
        <v>45960</v>
      </c>
      <c r="K1045" s="9">
        <f t="shared" si="68"/>
        <v>155.54999999999998</v>
      </c>
      <c r="L1045" s="9"/>
      <c r="M1045" s="9"/>
      <c r="N1045" s="9">
        <f>G1045*H1045*I1045*E1045</f>
        <v>0</v>
      </c>
      <c r="O1045" s="3">
        <f>K1045*1.6667</f>
        <v>259.25518499999998</v>
      </c>
    </row>
    <row r="1046" spans="1:15" ht="18" customHeight="1">
      <c r="A1046" s="21"/>
      <c r="B1046" s="28" t="s">
        <v>686</v>
      </c>
      <c r="C1046" s="28" t="s">
        <v>33</v>
      </c>
      <c r="D1046" s="28" t="s">
        <v>451</v>
      </c>
      <c r="E1046" s="28">
        <v>1.22</v>
      </c>
      <c r="F1046" s="28">
        <v>130</v>
      </c>
      <c r="G1046" s="28"/>
      <c r="H1046" s="28">
        <v>1.7</v>
      </c>
      <c r="I1046" s="28"/>
      <c r="J1046" s="133">
        <v>45960</v>
      </c>
      <c r="K1046" s="9">
        <f t="shared" si="68"/>
        <v>269.62</v>
      </c>
      <c r="L1046" s="9"/>
      <c r="M1046" s="9"/>
      <c r="N1046" s="9">
        <f>G1046*H1046*I1046*E1046</f>
        <v>0</v>
      </c>
      <c r="O1046" s="3">
        <f>K1046*1.6667</f>
        <v>449.37565400000005</v>
      </c>
    </row>
    <row r="1047" spans="1:15" ht="18" customHeight="1">
      <c r="A1047" s="21"/>
      <c r="B1047" s="28" t="s">
        <v>687</v>
      </c>
      <c r="C1047" s="28" t="s">
        <v>688</v>
      </c>
      <c r="D1047" s="28" t="s">
        <v>451</v>
      </c>
      <c r="E1047" s="28">
        <v>1.22</v>
      </c>
      <c r="F1047" s="28">
        <v>65</v>
      </c>
      <c r="G1047" s="28"/>
      <c r="H1047" s="28">
        <v>1.7</v>
      </c>
      <c r="I1047" s="28"/>
      <c r="J1047" s="133">
        <v>45960</v>
      </c>
      <c r="K1047" s="9">
        <f t="shared" si="68"/>
        <v>134.81</v>
      </c>
      <c r="L1047" s="9"/>
      <c r="M1047" s="9"/>
      <c r="N1047" s="9">
        <f>G1047*H1047*I1047*E1047</f>
        <v>0</v>
      </c>
      <c r="O1047" s="3">
        <f>K1047*1.6667</f>
        <v>224.68782700000003</v>
      </c>
    </row>
    <row r="1048" spans="1:15" ht="18" customHeight="1">
      <c r="A1048" s="21"/>
      <c r="B1048" s="28" t="s">
        <v>687</v>
      </c>
      <c r="C1048" s="28" t="s">
        <v>538</v>
      </c>
      <c r="D1048" s="28" t="s">
        <v>451</v>
      </c>
      <c r="E1048" s="28">
        <v>1.22</v>
      </c>
      <c r="F1048" s="28">
        <v>130</v>
      </c>
      <c r="G1048" s="28"/>
      <c r="H1048" s="28">
        <v>1.7</v>
      </c>
      <c r="I1048" s="28"/>
      <c r="J1048" s="133">
        <v>45960</v>
      </c>
      <c r="K1048" s="9">
        <f t="shared" si="68"/>
        <v>269.62</v>
      </c>
      <c r="L1048" s="9"/>
      <c r="M1048" s="9"/>
      <c r="N1048" s="9">
        <f>G1048*H1048*I1048*E1048</f>
        <v>0</v>
      </c>
      <c r="O1048" s="3">
        <f>K1048*1.6667</f>
        <v>449.37565400000005</v>
      </c>
    </row>
    <row r="1049" spans="1:15" ht="18" customHeight="1">
      <c r="A1049" s="22"/>
      <c r="B1049" s="28" t="s">
        <v>2569</v>
      </c>
      <c r="C1049" s="28" t="s">
        <v>15</v>
      </c>
      <c r="D1049" s="28" t="s">
        <v>451</v>
      </c>
      <c r="E1049" s="28">
        <v>1.22</v>
      </c>
      <c r="F1049" s="28">
        <v>23</v>
      </c>
      <c r="G1049" s="28"/>
      <c r="H1049" s="28">
        <v>1.6</v>
      </c>
      <c r="I1049" s="81"/>
      <c r="J1049" s="133">
        <v>45960</v>
      </c>
      <c r="K1049" s="9">
        <f t="shared" si="68"/>
        <v>44.896000000000001</v>
      </c>
      <c r="L1049" s="9"/>
      <c r="M1049" s="9"/>
      <c r="N1049" s="16"/>
      <c r="O1049" s="16"/>
    </row>
    <row r="1050" spans="1:15" ht="18" hidden="1" customHeight="1">
      <c r="A1050" s="21"/>
      <c r="B1050" s="28" t="s">
        <v>833</v>
      </c>
      <c r="C1050" s="28"/>
      <c r="D1050" s="28" t="s">
        <v>451</v>
      </c>
      <c r="E1050" s="28">
        <v>1.22</v>
      </c>
      <c r="F1050" s="28">
        <v>280</v>
      </c>
      <c r="G1050" s="28"/>
      <c r="H1050" s="28">
        <v>1.6</v>
      </c>
      <c r="I1050" s="28"/>
      <c r="J1050" s="133">
        <v>43213</v>
      </c>
      <c r="K1050" s="9">
        <f t="shared" si="68"/>
        <v>546.55999999999995</v>
      </c>
      <c r="L1050" s="9"/>
      <c r="M1050" s="9"/>
      <c r="N1050" s="9">
        <f>G1050*H1050*I1050*E1050</f>
        <v>0</v>
      </c>
      <c r="O1050" s="3">
        <f>K1050*1.6667</f>
        <v>910.95155199999999</v>
      </c>
    </row>
    <row r="1051" spans="1:15" ht="18" customHeight="1">
      <c r="A1051" s="21"/>
      <c r="B1051" s="28" t="s">
        <v>2470</v>
      </c>
      <c r="C1051" s="28">
        <v>48</v>
      </c>
      <c r="D1051" s="28" t="s">
        <v>451</v>
      </c>
      <c r="E1051" s="28">
        <v>1.22</v>
      </c>
      <c r="F1051" s="28">
        <v>487</v>
      </c>
      <c r="G1051" s="28"/>
      <c r="H1051" s="28">
        <v>1.45</v>
      </c>
      <c r="I1051" s="28"/>
      <c r="J1051" s="133">
        <v>44648</v>
      </c>
      <c r="K1051" s="9">
        <f>+E1051*F1051*H1051</f>
        <v>861.50299999999993</v>
      </c>
      <c r="L1051" s="9"/>
      <c r="M1051" s="9"/>
      <c r="N1051" s="9"/>
      <c r="O1051" s="3"/>
    </row>
    <row r="1052" spans="1:15" ht="18" customHeight="1">
      <c r="A1052" s="16"/>
      <c r="B1052" s="28" t="s">
        <v>3035</v>
      </c>
      <c r="C1052" s="110">
        <v>23</v>
      </c>
      <c r="D1052" s="28" t="s">
        <v>451</v>
      </c>
      <c r="E1052" s="28">
        <v>1.22</v>
      </c>
      <c r="F1052" s="28">
        <v>87</v>
      </c>
      <c r="G1052" s="110"/>
      <c r="H1052" s="87">
        <v>1.6</v>
      </c>
      <c r="I1052" s="110"/>
      <c r="J1052" s="135">
        <v>45960</v>
      </c>
      <c r="K1052" s="9">
        <f>+E1052*F1052*H1052</f>
        <v>169.82400000000001</v>
      </c>
      <c r="L1052" s="37"/>
      <c r="M1052" s="17"/>
      <c r="N1052" s="16"/>
      <c r="O1052" s="16"/>
    </row>
    <row r="1053" spans="1:15" ht="18" customHeight="1">
      <c r="A1053" s="16"/>
      <c r="B1053" s="28" t="s">
        <v>3035</v>
      </c>
      <c r="C1053" s="110">
        <v>27</v>
      </c>
      <c r="D1053" s="28" t="s">
        <v>451</v>
      </c>
      <c r="E1053" s="28">
        <v>1.22</v>
      </c>
      <c r="F1053" s="28">
        <v>114</v>
      </c>
      <c r="G1053" s="110"/>
      <c r="H1053" s="87">
        <v>1.6</v>
      </c>
      <c r="I1053" s="110"/>
      <c r="J1053" s="135">
        <v>45960</v>
      </c>
      <c r="K1053" s="9">
        <f>+E1053*F1053*H1053</f>
        <v>222.52799999999999</v>
      </c>
      <c r="L1053" s="37"/>
      <c r="M1053" s="17"/>
      <c r="N1053" s="16"/>
      <c r="O1053" s="16"/>
    </row>
    <row r="1054" spans="1:15" ht="18" customHeight="1">
      <c r="A1054" s="16"/>
      <c r="B1054" s="28" t="s">
        <v>3035</v>
      </c>
      <c r="C1054" s="110">
        <v>32</v>
      </c>
      <c r="D1054" s="28" t="s">
        <v>451</v>
      </c>
      <c r="E1054" s="28">
        <v>1.22</v>
      </c>
      <c r="F1054" s="28">
        <v>163</v>
      </c>
      <c r="G1054" s="110"/>
      <c r="H1054" s="87">
        <v>1.6</v>
      </c>
      <c r="I1054" s="110"/>
      <c r="J1054" s="135">
        <v>45960</v>
      </c>
      <c r="K1054" s="9">
        <f>+E1054*F1054*H1054</f>
        <v>318.17599999999999</v>
      </c>
      <c r="L1054" s="37"/>
      <c r="M1054" s="17"/>
      <c r="N1054" s="16"/>
      <c r="O1054" s="16"/>
    </row>
    <row r="1055" spans="1:15" ht="18" customHeight="1">
      <c r="A1055" s="16"/>
      <c r="B1055" s="28" t="s">
        <v>3035</v>
      </c>
      <c r="C1055" s="110">
        <v>38</v>
      </c>
      <c r="D1055" s="28" t="s">
        <v>451</v>
      </c>
      <c r="E1055" s="28">
        <v>1.22</v>
      </c>
      <c r="F1055" s="28">
        <v>245</v>
      </c>
      <c r="G1055" s="110"/>
      <c r="H1055" s="87">
        <v>1.6</v>
      </c>
      <c r="I1055" s="110"/>
      <c r="J1055" s="135">
        <v>45960</v>
      </c>
      <c r="K1055" s="9">
        <f t="shared" ref="K1055:K1062" si="69">E1055*F1055*H1055</f>
        <v>478.24</v>
      </c>
      <c r="L1055" s="37"/>
      <c r="M1055" s="17"/>
      <c r="N1055" s="16"/>
      <c r="O1055" s="16"/>
    </row>
    <row r="1056" spans="1:15" ht="18" customHeight="1">
      <c r="A1056" s="16"/>
      <c r="B1056" s="28" t="s">
        <v>3035</v>
      </c>
      <c r="C1056" s="122">
        <v>43</v>
      </c>
      <c r="D1056" s="28" t="s">
        <v>451</v>
      </c>
      <c r="E1056" s="28">
        <v>1.22</v>
      </c>
      <c r="F1056" s="28">
        <v>356</v>
      </c>
      <c r="G1056" s="110"/>
      <c r="H1056" s="87">
        <v>1.6</v>
      </c>
      <c r="I1056" s="110"/>
      <c r="J1056" s="135">
        <v>45366</v>
      </c>
      <c r="K1056" s="9">
        <f t="shared" si="69"/>
        <v>694.91200000000003</v>
      </c>
      <c r="L1056" s="37"/>
      <c r="M1056" s="17"/>
      <c r="N1056" s="16"/>
      <c r="O1056" s="16"/>
    </row>
    <row r="1057" spans="1:15" ht="18" customHeight="1">
      <c r="A1057" s="16"/>
      <c r="B1057" s="28" t="s">
        <v>3035</v>
      </c>
      <c r="C1057" s="120">
        <v>48</v>
      </c>
      <c r="D1057" s="28" t="s">
        <v>451</v>
      </c>
      <c r="E1057" s="28">
        <v>1.22</v>
      </c>
      <c r="F1057" s="28">
        <v>487</v>
      </c>
      <c r="G1057" s="110"/>
      <c r="H1057" s="87">
        <v>1.6</v>
      </c>
      <c r="I1057" s="110"/>
      <c r="J1057" s="135">
        <v>45366</v>
      </c>
      <c r="K1057" s="9">
        <f t="shared" si="69"/>
        <v>950.62400000000002</v>
      </c>
      <c r="L1057" s="37"/>
      <c r="M1057" s="17"/>
      <c r="N1057" s="16"/>
      <c r="O1057" s="16"/>
    </row>
    <row r="1058" spans="1:15" ht="18" customHeight="1">
      <c r="A1058" s="16"/>
      <c r="B1058" s="28" t="s">
        <v>3035</v>
      </c>
      <c r="C1058" s="110">
        <v>54</v>
      </c>
      <c r="D1058" s="28" t="s">
        <v>451</v>
      </c>
      <c r="E1058" s="28">
        <v>1.22</v>
      </c>
      <c r="F1058" s="28">
        <v>612</v>
      </c>
      <c r="G1058" s="110"/>
      <c r="H1058" s="87">
        <v>1.6</v>
      </c>
      <c r="I1058" s="110"/>
      <c r="J1058" s="135">
        <v>45366</v>
      </c>
      <c r="K1058" s="9">
        <f t="shared" si="69"/>
        <v>1194.624</v>
      </c>
      <c r="L1058" s="37"/>
      <c r="M1058" s="17"/>
      <c r="N1058" s="16"/>
      <c r="O1058" s="16"/>
    </row>
    <row r="1059" spans="1:15" ht="18" customHeight="1">
      <c r="A1059" s="21"/>
      <c r="B1059" s="28" t="s">
        <v>2471</v>
      </c>
      <c r="C1059" s="28">
        <v>48</v>
      </c>
      <c r="D1059" s="28" t="s">
        <v>451</v>
      </c>
      <c r="E1059" s="28">
        <v>1.22</v>
      </c>
      <c r="F1059" s="28">
        <v>375</v>
      </c>
      <c r="G1059" s="28"/>
      <c r="H1059" s="87">
        <v>1.6</v>
      </c>
      <c r="I1059" s="28"/>
      <c r="J1059" s="133">
        <v>44648</v>
      </c>
      <c r="K1059" s="9">
        <f t="shared" si="69"/>
        <v>732</v>
      </c>
      <c r="L1059" s="9"/>
      <c r="M1059" s="9"/>
      <c r="N1059" s="9"/>
      <c r="O1059" s="3"/>
    </row>
    <row r="1060" spans="1:15" ht="18" customHeight="1">
      <c r="A1060" s="22">
        <v>12848</v>
      </c>
      <c r="B1060" s="28" t="s">
        <v>3889</v>
      </c>
      <c r="C1060" s="28" t="s">
        <v>3890</v>
      </c>
      <c r="D1060" s="28" t="s">
        <v>3300</v>
      </c>
      <c r="E1060" s="28">
        <v>1.22</v>
      </c>
      <c r="F1060" s="28">
        <v>22.09</v>
      </c>
      <c r="G1060" s="28"/>
      <c r="H1060" s="28">
        <v>1.6</v>
      </c>
      <c r="I1060" s="28"/>
      <c r="J1060" s="133">
        <v>45929</v>
      </c>
      <c r="K1060" s="9">
        <f t="shared" si="69"/>
        <v>43.119680000000002</v>
      </c>
      <c r="L1060" s="9"/>
      <c r="M1060" s="9"/>
      <c r="N1060" s="9">
        <f>G1060*H1060*I1060*E1060</f>
        <v>0</v>
      </c>
      <c r="O1060" s="3">
        <f>K1060*1.6667</f>
        <v>71.867570656000012</v>
      </c>
    </row>
    <row r="1061" spans="1:15" ht="18" customHeight="1">
      <c r="A1061" s="21">
        <v>16664</v>
      </c>
      <c r="B1061" s="28" t="s">
        <v>2595</v>
      </c>
      <c r="C1061" s="28"/>
      <c r="D1061" s="28" t="s">
        <v>451</v>
      </c>
      <c r="E1061" s="28">
        <v>1</v>
      </c>
      <c r="F1061" s="28">
        <v>824</v>
      </c>
      <c r="G1061" s="28">
        <v>0</v>
      </c>
      <c r="H1061" s="28">
        <v>1.6</v>
      </c>
      <c r="I1061" s="28">
        <v>0</v>
      </c>
      <c r="J1061" s="133">
        <v>44728</v>
      </c>
      <c r="K1061" s="9">
        <f t="shared" si="69"/>
        <v>1318.4</v>
      </c>
      <c r="L1061" s="9"/>
      <c r="M1061" s="9"/>
      <c r="N1061" s="9">
        <f>G1061*H1061*I1061*E1061</f>
        <v>0</v>
      </c>
      <c r="O1061" s="3">
        <f>K1061*1.6667</f>
        <v>2197.3772800000002</v>
      </c>
    </row>
    <row r="1062" spans="1:15" ht="18" customHeight="1">
      <c r="A1062" s="21"/>
      <c r="B1062" s="28" t="s">
        <v>2595</v>
      </c>
      <c r="C1062" s="28"/>
      <c r="D1062" s="28" t="s">
        <v>451</v>
      </c>
      <c r="E1062" s="28">
        <v>1</v>
      </c>
      <c r="F1062" s="28">
        <v>597</v>
      </c>
      <c r="G1062" s="28"/>
      <c r="H1062" s="28">
        <v>1.6</v>
      </c>
      <c r="I1062" s="28"/>
      <c r="J1062" s="133">
        <v>44728</v>
      </c>
      <c r="K1062" s="9">
        <f t="shared" si="69"/>
        <v>955.2</v>
      </c>
      <c r="L1062" s="9"/>
      <c r="M1062" s="9"/>
      <c r="N1062" s="9">
        <f>G1062*H1062*I1062*E1062</f>
        <v>0</v>
      </c>
      <c r="O1062" s="3">
        <f>K1062*1.6667</f>
        <v>1592.0318400000001</v>
      </c>
    </row>
    <row r="1063" spans="1:15" ht="18" customHeight="1">
      <c r="A1063" s="21"/>
      <c r="B1063" s="28" t="s">
        <v>2591</v>
      </c>
      <c r="C1063" s="28" t="s">
        <v>15</v>
      </c>
      <c r="D1063" s="28" t="s">
        <v>451</v>
      </c>
      <c r="E1063" s="28">
        <v>1</v>
      </c>
      <c r="F1063" s="28">
        <v>546</v>
      </c>
      <c r="G1063" s="28"/>
      <c r="H1063" s="28">
        <v>1.6</v>
      </c>
      <c r="I1063" s="28"/>
      <c r="J1063" s="133">
        <v>44820</v>
      </c>
      <c r="K1063" s="9">
        <f>+H1063*F1063</f>
        <v>873.6</v>
      </c>
      <c r="L1063" s="9"/>
      <c r="M1063" s="9"/>
      <c r="N1063" s="9"/>
      <c r="O1063" s="3">
        <f>K1063*1.6667</f>
        <v>1456.0291200000001</v>
      </c>
    </row>
    <row r="1064" spans="1:15" ht="18" customHeight="1">
      <c r="A1064" s="46"/>
      <c r="B1064" s="28" t="s">
        <v>2591</v>
      </c>
      <c r="C1064" s="28" t="s">
        <v>15</v>
      </c>
      <c r="D1064" s="28" t="s">
        <v>451</v>
      </c>
      <c r="E1064" s="28">
        <v>1</v>
      </c>
      <c r="F1064" s="28">
        <v>378</v>
      </c>
      <c r="G1064" s="80"/>
      <c r="H1064" s="28">
        <v>1.6</v>
      </c>
      <c r="I1064" s="80"/>
      <c r="J1064" s="134">
        <v>44728</v>
      </c>
      <c r="K1064" s="35">
        <f>+H1064*F1064</f>
        <v>604.80000000000007</v>
      </c>
      <c r="L1064" s="35"/>
      <c r="M1064" s="46"/>
      <c r="N1064" s="16"/>
      <c r="O1064" s="16"/>
    </row>
    <row r="1065" spans="1:15" ht="18" customHeight="1">
      <c r="A1065" s="16"/>
      <c r="B1065" s="80" t="s">
        <v>2592</v>
      </c>
      <c r="C1065" s="79" t="s">
        <v>15</v>
      </c>
      <c r="D1065" s="28" t="s">
        <v>451</v>
      </c>
      <c r="E1065" s="80">
        <v>1</v>
      </c>
      <c r="F1065" s="80">
        <v>726</v>
      </c>
      <c r="G1065" s="110"/>
      <c r="H1065" s="80">
        <v>1.4</v>
      </c>
      <c r="I1065" s="110"/>
      <c r="J1065" s="135">
        <v>44728</v>
      </c>
      <c r="K1065" s="9">
        <f t="shared" ref="K1065:K1086" si="70">E1065*F1065*H1065</f>
        <v>1016.4</v>
      </c>
      <c r="L1065" s="9"/>
      <c r="M1065" s="17"/>
      <c r="N1065" s="16"/>
      <c r="O1065" s="16"/>
    </row>
    <row r="1066" spans="1:15" ht="18" customHeight="1">
      <c r="A1066" s="21"/>
      <c r="B1066" s="28" t="s">
        <v>637</v>
      </c>
      <c r="C1066" s="28" t="s">
        <v>541</v>
      </c>
      <c r="D1066" s="28" t="s">
        <v>451</v>
      </c>
      <c r="E1066" s="28">
        <v>1.22</v>
      </c>
      <c r="F1066" s="28">
        <v>86</v>
      </c>
      <c r="G1066" s="28"/>
      <c r="H1066" s="28">
        <v>1.5</v>
      </c>
      <c r="I1066" s="28"/>
      <c r="J1066" s="133">
        <v>45812</v>
      </c>
      <c r="K1066" s="9">
        <f t="shared" si="70"/>
        <v>157.38</v>
      </c>
      <c r="L1066" s="9"/>
      <c r="M1066" s="9"/>
      <c r="N1066" s="9">
        <f>G1066*H1066*I1066*E1066</f>
        <v>0</v>
      </c>
      <c r="O1066" s="3">
        <f>K1066*1.6667</f>
        <v>262.30524600000001</v>
      </c>
    </row>
    <row r="1067" spans="1:15" ht="18" customHeight="1">
      <c r="A1067" s="21"/>
      <c r="B1067" s="28" t="s">
        <v>637</v>
      </c>
      <c r="C1067" s="28" t="s">
        <v>542</v>
      </c>
      <c r="D1067" s="28" t="s">
        <v>451</v>
      </c>
      <c r="E1067" s="28">
        <v>1.22</v>
      </c>
      <c r="F1067" s="28">
        <v>198</v>
      </c>
      <c r="G1067" s="28"/>
      <c r="H1067" s="28">
        <v>1.5</v>
      </c>
      <c r="I1067" s="28"/>
      <c r="J1067" s="133">
        <v>45812</v>
      </c>
      <c r="K1067" s="9">
        <f t="shared" si="70"/>
        <v>362.34000000000003</v>
      </c>
      <c r="L1067" s="9"/>
      <c r="M1067" s="9"/>
      <c r="N1067" s="9">
        <f>G1067*H1067*I1067*E1067</f>
        <v>0</v>
      </c>
      <c r="O1067" s="3">
        <f>K1067*1.6667</f>
        <v>603.91207800000007</v>
      </c>
    </row>
    <row r="1068" spans="1:15" ht="18" customHeight="1">
      <c r="A1068" s="21"/>
      <c r="B1068" s="28" t="s">
        <v>637</v>
      </c>
      <c r="C1068" s="28" t="s">
        <v>544</v>
      </c>
      <c r="D1068" s="28" t="s">
        <v>451</v>
      </c>
      <c r="E1068" s="28">
        <v>1.22</v>
      </c>
      <c r="F1068" s="28">
        <v>358</v>
      </c>
      <c r="G1068" s="28"/>
      <c r="H1068" s="28">
        <v>1.5</v>
      </c>
      <c r="I1068" s="28"/>
      <c r="J1068" s="133">
        <v>45812</v>
      </c>
      <c r="K1068" s="9">
        <f t="shared" si="70"/>
        <v>655.14</v>
      </c>
      <c r="L1068" s="9"/>
      <c r="M1068" s="9"/>
      <c r="N1068" s="9">
        <f>G1068*H1068*I1068*E1068</f>
        <v>0</v>
      </c>
      <c r="O1068" s="3">
        <f>K1068*1.6667</f>
        <v>1091.921838</v>
      </c>
    </row>
    <row r="1069" spans="1:15" ht="18" customHeight="1">
      <c r="A1069" s="21"/>
      <c r="B1069" s="28" t="s">
        <v>637</v>
      </c>
      <c r="C1069" s="28" t="s">
        <v>55</v>
      </c>
      <c r="D1069" s="28" t="s">
        <v>451</v>
      </c>
      <c r="E1069" s="28">
        <v>1.22</v>
      </c>
      <c r="F1069" s="28">
        <v>555</v>
      </c>
      <c r="G1069" s="28"/>
      <c r="H1069" s="28">
        <v>1.5</v>
      </c>
      <c r="I1069" s="28"/>
      <c r="J1069" s="133">
        <v>45812</v>
      </c>
      <c r="K1069" s="9">
        <f t="shared" si="70"/>
        <v>1015.6500000000001</v>
      </c>
      <c r="L1069" s="9"/>
      <c r="M1069" s="9"/>
      <c r="N1069" s="9">
        <f>G1069*H1069*I1069*E1069</f>
        <v>0</v>
      </c>
      <c r="O1069" s="3">
        <f>K1069*1.6667</f>
        <v>1692.7838550000001</v>
      </c>
    </row>
    <row r="1070" spans="1:15" ht="18" customHeight="1">
      <c r="A1070" s="21"/>
      <c r="B1070" s="28" t="s">
        <v>845</v>
      </c>
      <c r="C1070" s="28" t="s">
        <v>472</v>
      </c>
      <c r="D1070" s="28" t="s">
        <v>451</v>
      </c>
      <c r="E1070" s="28">
        <v>1.22</v>
      </c>
      <c r="F1070" s="28">
        <v>75</v>
      </c>
      <c r="G1070" s="28"/>
      <c r="H1070" s="28">
        <v>1.6</v>
      </c>
      <c r="I1070" s="28"/>
      <c r="J1070" s="133">
        <v>45610</v>
      </c>
      <c r="K1070" s="9">
        <f t="shared" si="70"/>
        <v>146.4</v>
      </c>
      <c r="L1070" s="9"/>
      <c r="M1070" s="9"/>
      <c r="N1070" s="9">
        <f>G1070*H1070*I1070*E1070</f>
        <v>0</v>
      </c>
      <c r="O1070" s="3">
        <f>K1070*1.6667</f>
        <v>244.00488000000001</v>
      </c>
    </row>
    <row r="1071" spans="1:15" ht="18" customHeight="1">
      <c r="A1071" s="21"/>
      <c r="B1071" s="28" t="s">
        <v>845</v>
      </c>
      <c r="C1071" s="28" t="s">
        <v>474</v>
      </c>
      <c r="D1071" s="28" t="s">
        <v>451</v>
      </c>
      <c r="E1071" s="28">
        <v>1.22</v>
      </c>
      <c r="F1071" s="28">
        <v>145</v>
      </c>
      <c r="G1071" s="28"/>
      <c r="H1071" s="28">
        <v>1.7</v>
      </c>
      <c r="I1071" s="28"/>
      <c r="J1071" s="133">
        <v>45318</v>
      </c>
      <c r="K1071" s="9">
        <f t="shared" si="70"/>
        <v>300.73</v>
      </c>
      <c r="L1071" s="9"/>
      <c r="M1071" s="9"/>
      <c r="N1071" s="9"/>
      <c r="O1071" s="3"/>
    </row>
    <row r="1072" spans="1:15" ht="18" customHeight="1">
      <c r="A1072" s="21"/>
      <c r="B1072" s="28" t="s">
        <v>844</v>
      </c>
      <c r="C1072" s="28" t="s">
        <v>473</v>
      </c>
      <c r="D1072" s="28" t="s">
        <v>451</v>
      </c>
      <c r="E1072" s="28">
        <v>1.22</v>
      </c>
      <c r="F1072" s="28">
        <v>120</v>
      </c>
      <c r="G1072" s="28"/>
      <c r="H1072" s="28">
        <v>1.7</v>
      </c>
      <c r="I1072" s="28"/>
      <c r="J1072" s="133">
        <v>45610</v>
      </c>
      <c r="K1072" s="9">
        <f t="shared" si="70"/>
        <v>248.88</v>
      </c>
      <c r="L1072" s="9"/>
      <c r="M1072" s="9"/>
      <c r="N1072" s="9">
        <f>G1072*H1072*I1072*E1072</f>
        <v>0</v>
      </c>
      <c r="O1072" s="3">
        <f>K1072*1.6667</f>
        <v>414.80829599999998</v>
      </c>
    </row>
    <row r="1073" spans="1:15" ht="18" customHeight="1">
      <c r="A1073" s="21"/>
      <c r="B1073" s="28" t="s">
        <v>1426</v>
      </c>
      <c r="C1073" s="28" t="s">
        <v>474</v>
      </c>
      <c r="D1073" s="28" t="s">
        <v>3322</v>
      </c>
      <c r="E1073" s="28">
        <v>1.22</v>
      </c>
      <c r="F1073" s="28">
        <v>140</v>
      </c>
      <c r="G1073" s="28"/>
      <c r="H1073" s="28">
        <v>1.6</v>
      </c>
      <c r="I1073" s="28"/>
      <c r="J1073" s="133">
        <v>45545</v>
      </c>
      <c r="K1073" s="9">
        <f t="shared" si="70"/>
        <v>273.27999999999997</v>
      </c>
      <c r="L1073" s="9"/>
      <c r="M1073" s="9"/>
      <c r="N1073" s="9">
        <f>G1073*H1073*I1073*E1073</f>
        <v>0</v>
      </c>
      <c r="O1073" s="3">
        <f>K1073*1.6667</f>
        <v>455.475776</v>
      </c>
    </row>
    <row r="1074" spans="1:15" ht="18" customHeight="1">
      <c r="A1074" s="21"/>
      <c r="B1074" s="28" t="s">
        <v>2148</v>
      </c>
      <c r="C1074" s="28" t="s">
        <v>465</v>
      </c>
      <c r="D1074" s="28" t="s">
        <v>451</v>
      </c>
      <c r="E1074" s="28">
        <v>1.22</v>
      </c>
      <c r="F1074" s="28">
        <v>90</v>
      </c>
      <c r="G1074" s="28"/>
      <c r="H1074" s="28">
        <v>1.6</v>
      </c>
      <c r="I1074" s="28"/>
      <c r="J1074" s="133">
        <v>45772</v>
      </c>
      <c r="K1074" s="9">
        <f t="shared" si="70"/>
        <v>175.68</v>
      </c>
      <c r="L1074" s="9"/>
      <c r="M1074" s="9"/>
      <c r="N1074" s="9"/>
      <c r="O1074" s="3">
        <f>K1074*1.6667</f>
        <v>292.80585600000001</v>
      </c>
    </row>
    <row r="1075" spans="1:15" ht="18" customHeight="1">
      <c r="A1075" s="21"/>
      <c r="B1075" s="28" t="s">
        <v>2148</v>
      </c>
      <c r="C1075" s="28" t="s">
        <v>472</v>
      </c>
      <c r="D1075" s="28" t="s">
        <v>451</v>
      </c>
      <c r="E1075" s="28">
        <v>1.22</v>
      </c>
      <c r="F1075" s="28">
        <v>102</v>
      </c>
      <c r="G1075" s="28"/>
      <c r="H1075" s="28">
        <v>1.6</v>
      </c>
      <c r="I1075" s="28"/>
      <c r="J1075" s="133">
        <v>45772</v>
      </c>
      <c r="K1075" s="9">
        <f t="shared" si="70"/>
        <v>199.10400000000001</v>
      </c>
      <c r="L1075" s="9"/>
      <c r="M1075" s="9"/>
      <c r="N1075" s="9"/>
      <c r="O1075" s="3"/>
    </row>
    <row r="1076" spans="1:15" ht="18" customHeight="1">
      <c r="A1076" s="21"/>
      <c r="B1076" s="28" t="s">
        <v>2148</v>
      </c>
      <c r="C1076" s="28" t="s">
        <v>473</v>
      </c>
      <c r="D1076" s="28" t="s">
        <v>451</v>
      </c>
      <c r="E1076" s="28">
        <v>1.22</v>
      </c>
      <c r="F1076" s="28">
        <v>170</v>
      </c>
      <c r="G1076" s="28"/>
      <c r="H1076" s="28">
        <v>1.6</v>
      </c>
      <c r="I1076" s="28"/>
      <c r="J1076" s="133">
        <v>45772</v>
      </c>
      <c r="K1076" s="9">
        <f t="shared" si="70"/>
        <v>331.84000000000003</v>
      </c>
      <c r="L1076" s="9"/>
      <c r="M1076" s="9"/>
      <c r="N1076" s="9"/>
      <c r="O1076" s="3"/>
    </row>
    <row r="1077" spans="1:15" ht="18" customHeight="1">
      <c r="A1077" s="21"/>
      <c r="B1077" s="28" t="s">
        <v>2148</v>
      </c>
      <c r="C1077" s="28" t="s">
        <v>474</v>
      </c>
      <c r="D1077" s="28" t="s">
        <v>451</v>
      </c>
      <c r="E1077" s="28">
        <v>1.22</v>
      </c>
      <c r="F1077" s="28">
        <v>234</v>
      </c>
      <c r="G1077" s="28"/>
      <c r="H1077" s="28">
        <v>1.6</v>
      </c>
      <c r="I1077" s="28"/>
      <c r="J1077" s="133">
        <v>45772</v>
      </c>
      <c r="K1077" s="9">
        <f t="shared" si="70"/>
        <v>456.76800000000003</v>
      </c>
      <c r="L1077" s="9"/>
      <c r="M1077" s="9"/>
      <c r="N1077" s="9"/>
      <c r="O1077" s="3"/>
    </row>
    <row r="1078" spans="1:15" ht="18" customHeight="1">
      <c r="A1078" s="21"/>
      <c r="B1078" s="28" t="s">
        <v>1858</v>
      </c>
      <c r="C1078" s="28">
        <v>35</v>
      </c>
      <c r="D1078" s="28" t="s">
        <v>451</v>
      </c>
      <c r="E1078" s="28">
        <v>1.22</v>
      </c>
      <c r="F1078" s="28">
        <v>149</v>
      </c>
      <c r="G1078" s="28"/>
      <c r="H1078" s="28">
        <v>1.6</v>
      </c>
      <c r="I1078" s="28"/>
      <c r="J1078" s="133">
        <v>45812</v>
      </c>
      <c r="K1078" s="9">
        <f t="shared" si="70"/>
        <v>290.84800000000001</v>
      </c>
      <c r="L1078" s="9"/>
      <c r="M1078" s="9"/>
      <c r="N1078" s="9">
        <f>G1078*H1078*I1078*E1078</f>
        <v>0</v>
      </c>
      <c r="O1078" s="3">
        <f>K1078*1.6667</f>
        <v>484.75636160000005</v>
      </c>
    </row>
    <row r="1079" spans="1:15" ht="18" customHeight="1">
      <c r="A1079" s="21"/>
      <c r="B1079" s="28" t="s">
        <v>1858</v>
      </c>
      <c r="C1079" s="28">
        <v>40</v>
      </c>
      <c r="D1079" s="28" t="s">
        <v>451</v>
      </c>
      <c r="E1079" s="28">
        <v>1.22</v>
      </c>
      <c r="F1079" s="28">
        <v>195</v>
      </c>
      <c r="G1079" s="28"/>
      <c r="H1079" s="28">
        <v>1.5</v>
      </c>
      <c r="I1079" s="28"/>
      <c r="J1079" s="133">
        <v>45812</v>
      </c>
      <c r="K1079" s="9">
        <f t="shared" si="70"/>
        <v>356.85</v>
      </c>
      <c r="L1079" s="9"/>
      <c r="M1079" s="9"/>
      <c r="N1079" s="9"/>
      <c r="O1079" s="3"/>
    </row>
    <row r="1080" spans="1:15" ht="18" customHeight="1">
      <c r="A1080" s="21"/>
      <c r="B1080" s="28" t="s">
        <v>1858</v>
      </c>
      <c r="C1080" s="28">
        <v>48</v>
      </c>
      <c r="D1080" s="28" t="s">
        <v>451</v>
      </c>
      <c r="E1080" s="28">
        <v>1.22</v>
      </c>
      <c r="F1080" s="28">
        <v>270</v>
      </c>
      <c r="G1080" s="28"/>
      <c r="H1080" s="28">
        <v>1.5</v>
      </c>
      <c r="I1080" s="28"/>
      <c r="J1080" s="133">
        <v>45812</v>
      </c>
      <c r="K1080" s="9">
        <f t="shared" si="70"/>
        <v>494.09999999999997</v>
      </c>
      <c r="L1080" s="9"/>
      <c r="M1080" s="9"/>
      <c r="N1080" s="9"/>
      <c r="O1080" s="3"/>
    </row>
    <row r="1081" spans="1:15" ht="18" customHeight="1">
      <c r="A1081" s="46">
        <v>35002</v>
      </c>
      <c r="B1081" s="80" t="s">
        <v>4088</v>
      </c>
      <c r="C1081" s="79" t="s">
        <v>4423</v>
      </c>
      <c r="D1081" s="28" t="s">
        <v>1859</v>
      </c>
      <c r="E1081" s="80">
        <v>1.22</v>
      </c>
      <c r="F1081" s="80">
        <v>62</v>
      </c>
      <c r="G1081" s="113"/>
      <c r="H1081" s="80">
        <v>1.8</v>
      </c>
      <c r="I1081" s="113"/>
      <c r="J1081" s="134">
        <v>45945</v>
      </c>
      <c r="K1081" s="9">
        <f t="shared" si="70"/>
        <v>136.15200000000002</v>
      </c>
      <c r="L1081" s="17"/>
      <c r="M1081" s="17"/>
      <c r="N1081" s="44"/>
      <c r="O1081" s="44"/>
    </row>
    <row r="1082" spans="1:15" ht="18" customHeight="1">
      <c r="A1082" s="16">
        <v>210002</v>
      </c>
      <c r="B1082" s="80" t="s">
        <v>4088</v>
      </c>
      <c r="C1082" s="83" t="s">
        <v>4089</v>
      </c>
      <c r="D1082" s="28" t="s">
        <v>1859</v>
      </c>
      <c r="E1082" s="28">
        <v>1.22</v>
      </c>
      <c r="F1082" s="80">
        <v>24.23</v>
      </c>
      <c r="G1082" s="110"/>
      <c r="H1082" s="28">
        <v>1.7</v>
      </c>
      <c r="I1082" s="79"/>
      <c r="J1082" s="134">
        <v>45945</v>
      </c>
      <c r="K1082" s="9">
        <f t="shared" si="70"/>
        <v>50.253019999999999</v>
      </c>
      <c r="L1082" s="9"/>
      <c r="M1082" s="17"/>
      <c r="N1082" s="9">
        <f>G1082*H1082*I1082*E1082</f>
        <v>0</v>
      </c>
      <c r="O1082" s="16"/>
    </row>
    <row r="1083" spans="1:15" ht="18" customHeight="1">
      <c r="A1083" s="21">
        <v>35001</v>
      </c>
      <c r="B1083" s="28" t="s">
        <v>4088</v>
      </c>
      <c r="C1083" s="28" t="s">
        <v>4090</v>
      </c>
      <c r="D1083" s="28" t="s">
        <v>1859</v>
      </c>
      <c r="E1083" s="28">
        <v>1.22</v>
      </c>
      <c r="F1083" s="28">
        <v>45</v>
      </c>
      <c r="G1083" s="28"/>
      <c r="H1083" s="28">
        <v>1.7</v>
      </c>
      <c r="I1083" s="28"/>
      <c r="J1083" s="133">
        <v>45945</v>
      </c>
      <c r="K1083" s="9">
        <f t="shared" si="70"/>
        <v>93.33</v>
      </c>
      <c r="L1083" s="9"/>
      <c r="M1083" s="9"/>
      <c r="N1083" s="9">
        <f>G1083*H1083*I1083*E1083</f>
        <v>0</v>
      </c>
      <c r="O1083" s="3">
        <f>K1083*1.6667</f>
        <v>155.553111</v>
      </c>
    </row>
    <row r="1084" spans="1:15" ht="18" customHeight="1">
      <c r="A1084" s="21"/>
      <c r="B1084" s="28" t="s">
        <v>4274</v>
      </c>
      <c r="C1084" s="28">
        <v>12</v>
      </c>
      <c r="D1084" s="28" t="s">
        <v>451</v>
      </c>
      <c r="E1084" s="28">
        <v>1.22</v>
      </c>
      <c r="F1084" s="28">
        <v>63</v>
      </c>
      <c r="G1084" s="28"/>
      <c r="H1084" s="28">
        <v>1.6</v>
      </c>
      <c r="I1084" s="28"/>
      <c r="J1084" s="133">
        <v>45909</v>
      </c>
      <c r="K1084" s="9">
        <f t="shared" si="70"/>
        <v>122.976</v>
      </c>
      <c r="L1084" s="9"/>
      <c r="M1084" s="9"/>
      <c r="N1084" s="9"/>
      <c r="O1084" s="3"/>
    </row>
    <row r="1085" spans="1:15" ht="18" customHeight="1">
      <c r="A1085" s="21"/>
      <c r="B1085" s="28" t="s">
        <v>4274</v>
      </c>
      <c r="C1085" s="28">
        <v>14</v>
      </c>
      <c r="D1085" s="28" t="s">
        <v>451</v>
      </c>
      <c r="E1085" s="28">
        <v>1.22</v>
      </c>
      <c r="F1085" s="28">
        <v>75</v>
      </c>
      <c r="G1085" s="28"/>
      <c r="H1085" s="28">
        <v>1.6</v>
      </c>
      <c r="I1085" s="28"/>
      <c r="J1085" s="133">
        <v>45909</v>
      </c>
      <c r="K1085" s="9">
        <f t="shared" si="70"/>
        <v>146.4</v>
      </c>
      <c r="L1085" s="9"/>
      <c r="M1085" s="9"/>
      <c r="N1085" s="9"/>
      <c r="O1085" s="3"/>
    </row>
    <row r="1086" spans="1:15" ht="18" customHeight="1">
      <c r="A1086" s="21">
        <v>0</v>
      </c>
      <c r="B1086" s="28" t="s">
        <v>4274</v>
      </c>
      <c r="C1086" s="28">
        <v>16</v>
      </c>
      <c r="D1086" s="28" t="s">
        <v>451</v>
      </c>
      <c r="E1086" s="28">
        <v>1.22</v>
      </c>
      <c r="F1086" s="28">
        <v>99</v>
      </c>
      <c r="G1086" s="28"/>
      <c r="H1086" s="28">
        <v>1.7</v>
      </c>
      <c r="I1086" s="28"/>
      <c r="J1086" s="133">
        <v>45909</v>
      </c>
      <c r="K1086" s="9">
        <f t="shared" si="70"/>
        <v>205.32599999999999</v>
      </c>
      <c r="L1086" s="9"/>
      <c r="M1086" s="9"/>
      <c r="N1086" s="9">
        <f>G1086*H1086*I1086*E1086</f>
        <v>0</v>
      </c>
      <c r="O1086" s="3">
        <f>K1086*1.6667</f>
        <v>342.21684420000003</v>
      </c>
    </row>
    <row r="1087" spans="1:15" ht="18" customHeight="1">
      <c r="A1087" s="16"/>
      <c r="B1087" s="28" t="s">
        <v>4274</v>
      </c>
      <c r="C1087" s="110">
        <v>18</v>
      </c>
      <c r="D1087" s="28" t="s">
        <v>451</v>
      </c>
      <c r="E1087" s="28">
        <v>1.22</v>
      </c>
      <c r="F1087" s="87">
        <v>137</v>
      </c>
      <c r="G1087" s="110"/>
      <c r="H1087" s="87">
        <v>1.5</v>
      </c>
      <c r="I1087" s="110"/>
      <c r="J1087" s="133">
        <v>45909</v>
      </c>
      <c r="K1087" s="9">
        <f t="shared" ref="K1087:K1094" si="71">+H1087*F1087</f>
        <v>205.5</v>
      </c>
      <c r="L1087" s="37"/>
      <c r="M1087" s="17"/>
      <c r="N1087" s="16"/>
      <c r="O1087" s="16"/>
    </row>
    <row r="1088" spans="1:15" ht="18" customHeight="1">
      <c r="A1088" s="16"/>
      <c r="B1088" s="28" t="s">
        <v>4274</v>
      </c>
      <c r="C1088" s="110">
        <v>20</v>
      </c>
      <c r="D1088" s="28" t="s">
        <v>451</v>
      </c>
      <c r="E1088" s="28">
        <v>1.22</v>
      </c>
      <c r="F1088" s="87">
        <v>168</v>
      </c>
      <c r="G1088" s="110"/>
      <c r="H1088" s="87">
        <v>1.5</v>
      </c>
      <c r="I1088" s="110"/>
      <c r="J1088" s="133">
        <v>45960</v>
      </c>
      <c r="K1088" s="9">
        <f t="shared" si="71"/>
        <v>252</v>
      </c>
      <c r="L1088" s="37"/>
      <c r="M1088" s="17"/>
      <c r="N1088" s="16"/>
      <c r="O1088" s="16"/>
    </row>
    <row r="1089" spans="1:15" ht="18" customHeight="1">
      <c r="A1089" s="16"/>
      <c r="B1089" s="28" t="s">
        <v>4274</v>
      </c>
      <c r="C1089" s="110">
        <v>22</v>
      </c>
      <c r="D1089" s="28" t="s">
        <v>451</v>
      </c>
      <c r="E1089" s="28">
        <v>1.22</v>
      </c>
      <c r="F1089" s="87">
        <v>270</v>
      </c>
      <c r="G1089" s="110"/>
      <c r="H1089" s="87">
        <v>1.5</v>
      </c>
      <c r="I1089" s="110"/>
      <c r="J1089" s="133">
        <v>45909</v>
      </c>
      <c r="K1089" s="9">
        <f t="shared" si="71"/>
        <v>405</v>
      </c>
      <c r="L1089" s="37"/>
      <c r="M1089" s="17"/>
      <c r="N1089" s="16"/>
      <c r="O1089" s="16"/>
    </row>
    <row r="1090" spans="1:15" ht="18" customHeight="1">
      <c r="A1090" s="16"/>
      <c r="B1090" s="28" t="s">
        <v>4274</v>
      </c>
      <c r="C1090" s="110">
        <v>24</v>
      </c>
      <c r="D1090" s="28" t="s">
        <v>451</v>
      </c>
      <c r="E1090" s="28">
        <v>1.22</v>
      </c>
      <c r="F1090" s="87">
        <v>342</v>
      </c>
      <c r="G1090" s="110"/>
      <c r="H1090" s="87">
        <v>1.5</v>
      </c>
      <c r="I1090" s="110"/>
      <c r="J1090" s="133">
        <v>45909</v>
      </c>
      <c r="K1090" s="9">
        <f t="shared" si="71"/>
        <v>513</v>
      </c>
      <c r="L1090" s="37"/>
      <c r="M1090" s="17"/>
      <c r="N1090" s="16"/>
      <c r="O1090" s="16"/>
    </row>
    <row r="1091" spans="1:15" ht="18" customHeight="1">
      <c r="A1091" s="16"/>
      <c r="B1091" s="28" t="s">
        <v>4274</v>
      </c>
      <c r="C1091" s="110">
        <v>26</v>
      </c>
      <c r="D1091" s="28" t="s">
        <v>451</v>
      </c>
      <c r="E1091" s="28">
        <v>1.22</v>
      </c>
      <c r="F1091" s="87">
        <v>424</v>
      </c>
      <c r="G1091" s="110"/>
      <c r="H1091" s="87">
        <v>1.5</v>
      </c>
      <c r="I1091" s="110"/>
      <c r="J1091" s="133">
        <v>45909</v>
      </c>
      <c r="K1091" s="9">
        <f t="shared" si="71"/>
        <v>636</v>
      </c>
      <c r="L1091" s="37"/>
      <c r="M1091" s="17"/>
      <c r="N1091" s="16"/>
      <c r="O1091" s="16"/>
    </row>
    <row r="1092" spans="1:15" ht="18" customHeight="1">
      <c r="A1092" s="16"/>
      <c r="B1092" s="28" t="s">
        <v>4274</v>
      </c>
      <c r="C1092" s="110">
        <v>30</v>
      </c>
      <c r="D1092" s="28" t="s">
        <v>451</v>
      </c>
      <c r="E1092" s="28">
        <v>1.22</v>
      </c>
      <c r="F1092" s="87">
        <v>576</v>
      </c>
      <c r="G1092" s="110"/>
      <c r="H1092" s="87">
        <v>1.5</v>
      </c>
      <c r="I1092" s="110"/>
      <c r="J1092" s="133">
        <v>45960</v>
      </c>
      <c r="K1092" s="9">
        <f t="shared" si="71"/>
        <v>864</v>
      </c>
      <c r="L1092" s="37"/>
      <c r="M1092" s="17"/>
      <c r="N1092" s="16"/>
      <c r="O1092" s="16"/>
    </row>
    <row r="1093" spans="1:15" ht="18" customHeight="1">
      <c r="A1093" s="16"/>
      <c r="B1093" s="28" t="s">
        <v>4274</v>
      </c>
      <c r="C1093" s="110">
        <v>35</v>
      </c>
      <c r="D1093" s="28" t="s">
        <v>451</v>
      </c>
      <c r="E1093" s="28">
        <v>1.22</v>
      </c>
      <c r="F1093" s="87">
        <v>755</v>
      </c>
      <c r="G1093" s="110"/>
      <c r="H1093" s="87">
        <v>1.5</v>
      </c>
      <c r="I1093" s="110"/>
      <c r="J1093" s="133">
        <v>45909</v>
      </c>
      <c r="K1093" s="9">
        <f t="shared" si="71"/>
        <v>1132.5</v>
      </c>
      <c r="L1093" s="37"/>
      <c r="M1093" s="17"/>
      <c r="N1093" s="16"/>
      <c r="O1093" s="16"/>
    </row>
    <row r="1094" spans="1:15" ht="18" customHeight="1">
      <c r="A1094" s="16"/>
      <c r="B1094" s="28" t="s">
        <v>4274</v>
      </c>
      <c r="C1094" s="110">
        <v>40</v>
      </c>
      <c r="D1094" s="28" t="s">
        <v>451</v>
      </c>
      <c r="E1094" s="28">
        <v>1.22</v>
      </c>
      <c r="F1094" s="87">
        <v>1185</v>
      </c>
      <c r="G1094" s="110"/>
      <c r="H1094" s="87">
        <v>1.5</v>
      </c>
      <c r="I1094" s="110"/>
      <c r="J1094" s="133">
        <v>45909</v>
      </c>
      <c r="K1094" s="9">
        <f t="shared" si="71"/>
        <v>1777.5</v>
      </c>
      <c r="L1094" s="37"/>
      <c r="M1094" s="17"/>
      <c r="N1094" s="16"/>
      <c r="O1094" s="16"/>
    </row>
    <row r="1095" spans="1:15" ht="18" customHeight="1">
      <c r="A1095" s="21"/>
      <c r="B1095" s="28" t="s">
        <v>2440</v>
      </c>
      <c r="C1095" s="28">
        <v>17</v>
      </c>
      <c r="D1095" s="28" t="s">
        <v>451</v>
      </c>
      <c r="E1095" s="28">
        <v>1.22</v>
      </c>
      <c r="F1095" s="28">
        <v>59</v>
      </c>
      <c r="G1095" s="28"/>
      <c r="H1095" s="28">
        <v>1.7</v>
      </c>
      <c r="I1095" s="28"/>
      <c r="J1095" s="133">
        <v>44628</v>
      </c>
      <c r="K1095" s="9">
        <f>+F1095*H1095</f>
        <v>100.3</v>
      </c>
      <c r="L1095" s="9"/>
      <c r="M1095" s="9"/>
      <c r="N1095" s="9"/>
      <c r="O1095" s="3"/>
    </row>
    <row r="1096" spans="1:15" ht="18" customHeight="1">
      <c r="A1096" s="17"/>
      <c r="B1096" s="28" t="s">
        <v>2440</v>
      </c>
      <c r="C1096" s="118">
        <v>24</v>
      </c>
      <c r="D1096" s="28" t="s">
        <v>451</v>
      </c>
      <c r="E1096" s="28">
        <v>1.22</v>
      </c>
      <c r="F1096" s="28">
        <v>117</v>
      </c>
      <c r="G1096" s="118"/>
      <c r="H1096" s="95">
        <v>1.7</v>
      </c>
      <c r="I1096" s="28">
        <v>0</v>
      </c>
      <c r="J1096" s="143">
        <v>44628</v>
      </c>
      <c r="K1096" s="9">
        <f>E1096*F1096*H1096</f>
        <v>242.65800000000002</v>
      </c>
      <c r="L1096" s="9"/>
      <c r="M1096" s="9"/>
      <c r="N1096" s="16"/>
      <c r="O1096" s="16"/>
    </row>
    <row r="1097" spans="1:15" ht="18" customHeight="1">
      <c r="A1097" s="21"/>
      <c r="B1097" s="28" t="s">
        <v>2440</v>
      </c>
      <c r="C1097" s="28">
        <v>35</v>
      </c>
      <c r="D1097" s="28" t="s">
        <v>451</v>
      </c>
      <c r="E1097" s="28">
        <v>1.22</v>
      </c>
      <c r="F1097" s="28">
        <v>376</v>
      </c>
      <c r="G1097" s="28"/>
      <c r="H1097" s="28">
        <v>1.7</v>
      </c>
      <c r="I1097" s="28"/>
      <c r="J1097" s="133">
        <v>44628</v>
      </c>
      <c r="K1097" s="9">
        <f>+H1097*F1097</f>
        <v>639.19999999999993</v>
      </c>
      <c r="L1097" s="9"/>
      <c r="M1097" s="9"/>
      <c r="N1097" s="9"/>
      <c r="O1097" s="3"/>
    </row>
    <row r="1098" spans="1:15" ht="24" customHeight="1">
      <c r="A1098" s="21">
        <v>210000</v>
      </c>
      <c r="B1098" s="28" t="s">
        <v>4084</v>
      </c>
      <c r="C1098" s="28" t="s">
        <v>4085</v>
      </c>
      <c r="D1098" s="28" t="s">
        <v>1859</v>
      </c>
      <c r="E1098" s="28">
        <v>1.22</v>
      </c>
      <c r="F1098" s="28">
        <v>10.57</v>
      </c>
      <c r="G1098" s="28"/>
      <c r="H1098" s="28">
        <v>1.7</v>
      </c>
      <c r="I1098" s="28"/>
      <c r="J1098" s="133">
        <v>45945</v>
      </c>
      <c r="K1098" s="9">
        <f t="shared" ref="K1098:K1128" si="72">E1098*F1098*H1098</f>
        <v>21.922180000000001</v>
      </c>
      <c r="L1098" s="9"/>
      <c r="M1098" s="9"/>
      <c r="N1098" s="9"/>
      <c r="O1098" s="3">
        <f>K1098*1.6667</f>
        <v>36.537697405999999</v>
      </c>
    </row>
    <row r="1099" spans="1:15" ht="18" customHeight="1">
      <c r="A1099" s="21">
        <v>210001</v>
      </c>
      <c r="B1099" s="28" t="s">
        <v>4084</v>
      </c>
      <c r="C1099" s="28" t="s">
        <v>4087</v>
      </c>
      <c r="D1099" s="28" t="s">
        <v>1859</v>
      </c>
      <c r="E1099" s="28">
        <v>1.22</v>
      </c>
      <c r="F1099" s="28">
        <v>19.82</v>
      </c>
      <c r="G1099" s="28"/>
      <c r="H1099" s="28">
        <v>1.7</v>
      </c>
      <c r="I1099" s="28"/>
      <c r="J1099" s="133">
        <v>45945</v>
      </c>
      <c r="K1099" s="9">
        <f t="shared" si="72"/>
        <v>41.106679999999997</v>
      </c>
      <c r="L1099" s="9"/>
      <c r="M1099" s="9"/>
      <c r="N1099" s="9"/>
      <c r="O1099" s="3">
        <f>K1099*1.6667</f>
        <v>68.512503555999999</v>
      </c>
    </row>
    <row r="1100" spans="1:15" ht="18" customHeight="1">
      <c r="A1100" s="21">
        <v>27896</v>
      </c>
      <c r="B1100" s="28" t="s">
        <v>2866</v>
      </c>
      <c r="C1100" s="28"/>
      <c r="D1100" s="28" t="s">
        <v>451</v>
      </c>
      <c r="E1100" s="28">
        <v>1.22</v>
      </c>
      <c r="F1100" s="28">
        <v>549.9</v>
      </c>
      <c r="G1100" s="28"/>
      <c r="H1100" s="28">
        <v>1.9</v>
      </c>
      <c r="I1100" s="28"/>
      <c r="J1100" s="134">
        <v>44944</v>
      </c>
      <c r="K1100" s="9">
        <f t="shared" si="72"/>
        <v>1274.6681999999998</v>
      </c>
      <c r="L1100" s="9"/>
      <c r="M1100" s="9"/>
      <c r="N1100" s="9">
        <f>G1100*H1100*I1100*E1100</f>
        <v>0</v>
      </c>
      <c r="O1100" s="3">
        <f>K1100*1.6667</f>
        <v>2124.4894889399998</v>
      </c>
    </row>
    <row r="1101" spans="1:15" ht="18" customHeight="1">
      <c r="A1101" s="46">
        <v>31033</v>
      </c>
      <c r="B1101" s="28" t="s">
        <v>3400</v>
      </c>
      <c r="C1101" s="28" t="s">
        <v>3401</v>
      </c>
      <c r="D1101" s="28" t="s">
        <v>37</v>
      </c>
      <c r="E1101" s="28">
        <v>1.22</v>
      </c>
      <c r="F1101" s="28">
        <v>59.9</v>
      </c>
      <c r="G1101" s="110"/>
      <c r="H1101" s="28">
        <v>1.6</v>
      </c>
      <c r="I1101" s="110"/>
      <c r="J1101" s="134">
        <v>45364</v>
      </c>
      <c r="K1101" s="9">
        <f t="shared" si="72"/>
        <v>116.9248</v>
      </c>
      <c r="L1101" s="17"/>
      <c r="M1101" s="17"/>
      <c r="N1101" s="16"/>
      <c r="O1101" s="16"/>
    </row>
    <row r="1102" spans="1:15" ht="18" customHeight="1">
      <c r="A1102" s="16"/>
      <c r="B1102" s="87" t="s">
        <v>3360</v>
      </c>
      <c r="C1102" s="87" t="s">
        <v>3361</v>
      </c>
      <c r="D1102" s="28" t="s">
        <v>1859</v>
      </c>
      <c r="E1102" s="28">
        <v>1.22</v>
      </c>
      <c r="F1102" s="87">
        <v>19</v>
      </c>
      <c r="G1102" s="110"/>
      <c r="H1102" s="28">
        <v>1.8</v>
      </c>
      <c r="I1102" s="110"/>
      <c r="J1102" s="135">
        <v>45329</v>
      </c>
      <c r="K1102" s="9">
        <f t="shared" si="72"/>
        <v>41.724000000000004</v>
      </c>
      <c r="L1102" s="37"/>
      <c r="M1102" s="17"/>
      <c r="N1102" s="16"/>
      <c r="O1102" s="16"/>
    </row>
    <row r="1103" spans="1:15" ht="18" customHeight="1">
      <c r="A1103" s="16"/>
      <c r="B1103" s="87" t="s">
        <v>3360</v>
      </c>
      <c r="C1103" s="87" t="s">
        <v>3362</v>
      </c>
      <c r="D1103" s="28" t="s">
        <v>1859</v>
      </c>
      <c r="E1103" s="28">
        <v>1.22</v>
      </c>
      <c r="F1103" s="87">
        <v>24</v>
      </c>
      <c r="G1103" s="110"/>
      <c r="H1103" s="28">
        <v>1.8</v>
      </c>
      <c r="I1103" s="110"/>
      <c r="J1103" s="135">
        <v>45329</v>
      </c>
      <c r="K1103" s="9">
        <f t="shared" si="72"/>
        <v>52.704000000000001</v>
      </c>
      <c r="L1103" s="37"/>
      <c r="M1103" s="17"/>
      <c r="N1103" s="16"/>
      <c r="O1103" s="16"/>
    </row>
    <row r="1104" spans="1:15" ht="18" customHeight="1">
      <c r="A1104" s="16"/>
      <c r="B1104" s="87" t="s">
        <v>3360</v>
      </c>
      <c r="C1104" s="87" t="s">
        <v>3363</v>
      </c>
      <c r="D1104" s="28" t="s">
        <v>1859</v>
      </c>
      <c r="E1104" s="28">
        <v>1.22</v>
      </c>
      <c r="F1104" s="87">
        <v>30</v>
      </c>
      <c r="G1104" s="110"/>
      <c r="H1104" s="28">
        <v>1.8</v>
      </c>
      <c r="I1104" s="110"/>
      <c r="J1104" s="135">
        <v>45714</v>
      </c>
      <c r="K1104" s="9">
        <f t="shared" si="72"/>
        <v>65.88000000000001</v>
      </c>
      <c r="L1104" s="37"/>
      <c r="M1104" s="17"/>
      <c r="N1104" s="16"/>
      <c r="O1104" s="16"/>
    </row>
    <row r="1105" spans="1:17" ht="18" customHeight="1">
      <c r="A1105" s="16" t="s">
        <v>4167</v>
      </c>
      <c r="B1105" s="87" t="s">
        <v>3360</v>
      </c>
      <c r="C1105" s="110" t="s">
        <v>4168</v>
      </c>
      <c r="D1105" s="110" t="s">
        <v>1921</v>
      </c>
      <c r="E1105" s="87">
        <v>1.22</v>
      </c>
      <c r="F1105" s="87">
        <v>137</v>
      </c>
      <c r="G1105" s="110"/>
      <c r="H1105" s="87">
        <v>1.5</v>
      </c>
      <c r="I1105" s="110"/>
      <c r="J1105" s="135">
        <v>45762</v>
      </c>
      <c r="K1105" s="37">
        <f t="shared" si="72"/>
        <v>250.70999999999998</v>
      </c>
      <c r="L1105" s="37">
        <v>128</v>
      </c>
      <c r="M1105" s="17"/>
      <c r="N1105" s="16"/>
      <c r="O1105" s="16"/>
    </row>
    <row r="1106" spans="1:17" ht="18" customHeight="1">
      <c r="A1106" s="45" t="s">
        <v>4162</v>
      </c>
      <c r="B1106" s="88" t="s">
        <v>3360</v>
      </c>
      <c r="C1106" s="136" t="s">
        <v>4163</v>
      </c>
      <c r="D1106" s="136" t="s">
        <v>1921</v>
      </c>
      <c r="E1106" s="88">
        <v>1.22</v>
      </c>
      <c r="F1106" s="88">
        <v>83</v>
      </c>
      <c r="G1106" s="136"/>
      <c r="H1106" s="88">
        <v>1.5</v>
      </c>
      <c r="I1106" s="136"/>
      <c r="J1106" s="137">
        <v>45762</v>
      </c>
      <c r="K1106" s="35">
        <f t="shared" si="72"/>
        <v>151.88999999999999</v>
      </c>
      <c r="L1106" s="37"/>
      <c r="M1106" s="17"/>
      <c r="N1106" s="16"/>
      <c r="O1106" s="16"/>
    </row>
    <row r="1107" spans="1:17" ht="18" customHeight="1">
      <c r="A1107" s="22" t="s">
        <v>4450</v>
      </c>
      <c r="B1107" s="28" t="s">
        <v>4451</v>
      </c>
      <c r="C1107" s="28" t="s">
        <v>4452</v>
      </c>
      <c r="D1107" s="28" t="s">
        <v>1921</v>
      </c>
      <c r="E1107" s="28">
        <v>1.22</v>
      </c>
      <c r="F1107" s="28">
        <v>169</v>
      </c>
      <c r="G1107" s="81"/>
      <c r="H1107" s="28">
        <v>1.8</v>
      </c>
      <c r="I1107" s="81"/>
      <c r="J1107" s="133">
        <v>45960</v>
      </c>
      <c r="K1107" s="9">
        <f t="shared" si="72"/>
        <v>371.12400000000002</v>
      </c>
      <c r="L1107" s="9"/>
      <c r="M1107" s="9"/>
      <c r="N1107" s="16"/>
      <c r="O1107" s="16"/>
    </row>
    <row r="1108" spans="1:17" ht="18" customHeight="1">
      <c r="A1108" s="45" t="s">
        <v>4295</v>
      </c>
      <c r="B1108" s="88" t="s">
        <v>4296</v>
      </c>
      <c r="C1108" s="136"/>
      <c r="D1108" s="136" t="s">
        <v>1921</v>
      </c>
      <c r="E1108" s="88">
        <v>1.22</v>
      </c>
      <c r="F1108" s="88">
        <v>174</v>
      </c>
      <c r="G1108" s="136"/>
      <c r="H1108" s="88">
        <v>1.8</v>
      </c>
      <c r="I1108" s="136"/>
      <c r="J1108" s="137">
        <v>45819</v>
      </c>
      <c r="K1108" s="9">
        <f t="shared" si="72"/>
        <v>382.10399999999998</v>
      </c>
      <c r="L1108" s="37"/>
      <c r="M1108" s="17"/>
      <c r="N1108" s="16"/>
      <c r="O1108" s="16"/>
    </row>
    <row r="1109" spans="1:17" ht="18" customHeight="1">
      <c r="A1109" s="16" t="s">
        <v>4372</v>
      </c>
      <c r="B1109" s="87" t="s">
        <v>4373</v>
      </c>
      <c r="C1109" s="110" t="s">
        <v>4374</v>
      </c>
      <c r="D1109" s="28" t="s">
        <v>1921</v>
      </c>
      <c r="E1109" s="28">
        <v>1.22</v>
      </c>
      <c r="F1109" s="87">
        <v>129</v>
      </c>
      <c r="G1109" s="110"/>
      <c r="H1109" s="87">
        <v>1.5</v>
      </c>
      <c r="I1109" s="110"/>
      <c r="J1109" s="137">
        <v>46009</v>
      </c>
      <c r="K1109" s="35">
        <f t="shared" si="72"/>
        <v>236.07</v>
      </c>
      <c r="L1109" s="37"/>
      <c r="M1109" s="17"/>
      <c r="N1109" s="16"/>
      <c r="O1109" s="16"/>
    </row>
    <row r="1110" spans="1:17" ht="18" customHeight="1">
      <c r="A1110" s="46" t="s">
        <v>3011</v>
      </c>
      <c r="B1110" s="28" t="s">
        <v>3009</v>
      </c>
      <c r="C1110" s="28" t="s">
        <v>3012</v>
      </c>
      <c r="D1110" s="28" t="s">
        <v>1921</v>
      </c>
      <c r="E1110" s="28">
        <v>1.22</v>
      </c>
      <c r="F1110" s="28">
        <v>94</v>
      </c>
      <c r="G1110" s="110"/>
      <c r="H1110" s="28">
        <v>1.5</v>
      </c>
      <c r="I1110" s="110"/>
      <c r="J1110" s="134">
        <v>45819</v>
      </c>
      <c r="K1110" s="9">
        <f t="shared" si="72"/>
        <v>172.01999999999998</v>
      </c>
      <c r="L1110" s="17"/>
      <c r="M1110" s="17"/>
      <c r="N1110" s="9"/>
      <c r="O1110" s="3"/>
    </row>
    <row r="1111" spans="1:17" ht="18" customHeight="1">
      <c r="A1111" s="16" t="s">
        <v>2095</v>
      </c>
      <c r="B1111" s="28" t="s">
        <v>3009</v>
      </c>
      <c r="C1111" s="28" t="s">
        <v>3013</v>
      </c>
      <c r="D1111" s="28" t="s">
        <v>451</v>
      </c>
      <c r="E1111" s="28">
        <v>1.22</v>
      </c>
      <c r="F1111" s="28">
        <v>128</v>
      </c>
      <c r="G1111" s="110"/>
      <c r="H1111" s="28">
        <v>1.5</v>
      </c>
      <c r="I1111" s="110"/>
      <c r="J1111" s="135">
        <v>45029</v>
      </c>
      <c r="K1111" s="9">
        <f t="shared" si="72"/>
        <v>234.24</v>
      </c>
      <c r="L1111" s="17"/>
      <c r="M1111" s="17"/>
      <c r="N1111" s="9"/>
      <c r="O1111" s="3"/>
    </row>
    <row r="1112" spans="1:17" ht="18" customHeight="1">
      <c r="A1112" s="25" t="s">
        <v>3008</v>
      </c>
      <c r="B1112" s="90" t="s">
        <v>3009</v>
      </c>
      <c r="C1112" s="114" t="s">
        <v>3010</v>
      </c>
      <c r="D1112" s="28" t="s">
        <v>451</v>
      </c>
      <c r="E1112" s="28">
        <v>1.22</v>
      </c>
      <c r="F1112" s="90">
        <v>142</v>
      </c>
      <c r="G1112" s="110"/>
      <c r="H1112" s="28">
        <v>1.5</v>
      </c>
      <c r="I1112" s="110"/>
      <c r="J1112" s="135">
        <v>45029</v>
      </c>
      <c r="K1112" s="35">
        <f t="shared" si="72"/>
        <v>259.86</v>
      </c>
      <c r="L1112" s="37"/>
      <c r="M1112" s="17"/>
      <c r="N1112" s="16"/>
      <c r="O1112" s="16"/>
    </row>
    <row r="1113" spans="1:17" ht="18" customHeight="1">
      <c r="A1113" s="45" t="s">
        <v>4166</v>
      </c>
      <c r="B1113" s="88" t="s">
        <v>4165</v>
      </c>
      <c r="C1113" s="136"/>
      <c r="D1113" s="136" t="s">
        <v>1921</v>
      </c>
      <c r="E1113" s="88">
        <v>1.22</v>
      </c>
      <c r="F1113" s="88">
        <v>269</v>
      </c>
      <c r="G1113" s="136"/>
      <c r="H1113" s="88">
        <v>1.5</v>
      </c>
      <c r="I1113" s="136"/>
      <c r="J1113" s="137">
        <v>45762</v>
      </c>
      <c r="K1113" s="35">
        <f t="shared" si="72"/>
        <v>492.27</v>
      </c>
      <c r="L1113" s="37"/>
      <c r="M1113" s="17"/>
      <c r="N1113" s="16"/>
      <c r="O1113" s="16"/>
    </row>
    <row r="1114" spans="1:17" ht="18" customHeight="1">
      <c r="A1114" s="45" t="s">
        <v>4164</v>
      </c>
      <c r="B1114" s="88" t="s">
        <v>4165</v>
      </c>
      <c r="C1114" s="136"/>
      <c r="D1114" s="136" t="s">
        <v>1921</v>
      </c>
      <c r="E1114" s="88">
        <v>1.22</v>
      </c>
      <c r="F1114" s="88">
        <v>173</v>
      </c>
      <c r="G1114" s="136"/>
      <c r="H1114" s="88">
        <v>1.5</v>
      </c>
      <c r="I1114" s="136"/>
      <c r="J1114" s="137">
        <v>45762</v>
      </c>
      <c r="K1114" s="35">
        <f t="shared" si="72"/>
        <v>316.59000000000003</v>
      </c>
      <c r="L1114" s="37"/>
      <c r="M1114" s="17"/>
      <c r="N1114" s="16"/>
      <c r="O1114" s="16"/>
    </row>
    <row r="1115" spans="1:17" ht="18" hidden="1" customHeight="1">
      <c r="A1115" s="21"/>
      <c r="B1115" s="28" t="s">
        <v>1416</v>
      </c>
      <c r="C1115" s="28" t="s">
        <v>679</v>
      </c>
      <c r="D1115" s="28" t="s">
        <v>451</v>
      </c>
      <c r="E1115" s="28">
        <v>1.22</v>
      </c>
      <c r="F1115" s="28">
        <v>14</v>
      </c>
      <c r="G1115" s="28"/>
      <c r="H1115" s="28">
        <v>2</v>
      </c>
      <c r="I1115" s="28"/>
      <c r="J1115" s="133">
        <v>43755</v>
      </c>
      <c r="K1115" s="9">
        <f t="shared" si="72"/>
        <v>34.159999999999997</v>
      </c>
      <c r="L1115" s="9"/>
      <c r="M1115" s="9"/>
      <c r="N1115" s="9">
        <f>G1115*H1115*I1115*E1115</f>
        <v>0</v>
      </c>
      <c r="O1115" s="3">
        <f>K1115*1.6667</f>
        <v>56.934472</v>
      </c>
    </row>
    <row r="1116" spans="1:17" ht="18" customHeight="1">
      <c r="A1116" s="16" t="s">
        <v>3930</v>
      </c>
      <c r="B1116" s="87" t="s">
        <v>3931</v>
      </c>
      <c r="C1116" s="110"/>
      <c r="D1116" s="28" t="s">
        <v>1292</v>
      </c>
      <c r="E1116" s="28">
        <v>1.22</v>
      </c>
      <c r="F1116" s="87">
        <v>199.8</v>
      </c>
      <c r="G1116" s="110"/>
      <c r="H1116" s="87">
        <v>1.8</v>
      </c>
      <c r="I1116" s="110"/>
      <c r="J1116" s="135">
        <v>45631</v>
      </c>
      <c r="K1116" s="75">
        <f t="shared" si="72"/>
        <v>438.76080000000002</v>
      </c>
      <c r="L1116" s="37"/>
      <c r="M1116" s="17"/>
      <c r="N1116" s="16"/>
      <c r="O1116" s="16"/>
    </row>
    <row r="1117" spans="1:17" ht="18" hidden="1" customHeight="1">
      <c r="A1117" s="21"/>
      <c r="B1117" s="28" t="s">
        <v>1345</v>
      </c>
      <c r="C1117" s="28"/>
      <c r="D1117" s="28" t="s">
        <v>451</v>
      </c>
      <c r="E1117" s="28">
        <v>1.22</v>
      </c>
      <c r="F1117" s="28">
        <v>495</v>
      </c>
      <c r="G1117" s="28"/>
      <c r="H1117" s="28">
        <v>1.5</v>
      </c>
      <c r="I1117" s="28"/>
      <c r="J1117" s="133">
        <v>43683</v>
      </c>
      <c r="K1117" s="9">
        <f t="shared" si="72"/>
        <v>905.84999999999991</v>
      </c>
      <c r="L1117" s="9"/>
      <c r="M1117" s="9"/>
      <c r="N1117" s="9"/>
      <c r="O1117" s="3"/>
      <c r="P1117" s="149"/>
      <c r="Q1117" s="149"/>
    </row>
    <row r="1118" spans="1:17" ht="18" hidden="1" customHeight="1">
      <c r="A1118" s="21"/>
      <c r="B1118" s="28" t="s">
        <v>1461</v>
      </c>
      <c r="C1118" s="28"/>
      <c r="D1118" s="28" t="s">
        <v>451</v>
      </c>
      <c r="E1118" s="28">
        <v>1.22</v>
      </c>
      <c r="F1118" s="28">
        <v>94</v>
      </c>
      <c r="G1118" s="28"/>
      <c r="H1118" s="28">
        <v>1.6</v>
      </c>
      <c r="I1118" s="28"/>
      <c r="J1118" s="133">
        <v>43826</v>
      </c>
      <c r="K1118" s="9">
        <f t="shared" si="72"/>
        <v>183.488</v>
      </c>
      <c r="L1118" s="9"/>
      <c r="M1118" s="9"/>
      <c r="N1118" s="9">
        <f>G1118*H1118*I1118*E1118</f>
        <v>0</v>
      </c>
      <c r="O1118" s="3">
        <f>K1118*1.6667</f>
        <v>305.81944959999998</v>
      </c>
      <c r="P1118" s="149"/>
      <c r="Q1118" s="149"/>
    </row>
    <row r="1119" spans="1:17" ht="18" hidden="1" customHeight="1">
      <c r="A1119" s="21"/>
      <c r="B1119" s="28" t="s">
        <v>1461</v>
      </c>
      <c r="C1119" s="28"/>
      <c r="D1119" s="28" t="s">
        <v>451</v>
      </c>
      <c r="E1119" s="28">
        <v>1.22</v>
      </c>
      <c r="F1119" s="28">
        <v>143</v>
      </c>
      <c r="G1119" s="28"/>
      <c r="H1119" s="28">
        <v>1.6</v>
      </c>
      <c r="I1119" s="28"/>
      <c r="J1119" s="133">
        <v>43826</v>
      </c>
      <c r="K1119" s="9">
        <f t="shared" si="72"/>
        <v>279.13600000000002</v>
      </c>
      <c r="L1119" s="9"/>
      <c r="M1119" s="9"/>
      <c r="N1119" s="9">
        <f>G1119*H1119*I1119*E1119</f>
        <v>0</v>
      </c>
      <c r="O1119" s="3">
        <f>K1119*1.6667</f>
        <v>465.23597120000005</v>
      </c>
      <c r="P1119" s="149"/>
      <c r="Q1119" s="149"/>
    </row>
    <row r="1120" spans="1:17" ht="18" customHeight="1">
      <c r="A1120" s="46" t="s">
        <v>3222</v>
      </c>
      <c r="B1120" s="83" t="s">
        <v>3223</v>
      </c>
      <c r="C1120" s="109" t="s">
        <v>3224</v>
      </c>
      <c r="D1120" s="28" t="s">
        <v>451</v>
      </c>
      <c r="E1120" s="28">
        <v>1.22</v>
      </c>
      <c r="F1120" s="83">
        <v>257</v>
      </c>
      <c r="G1120" s="110"/>
      <c r="H1120" s="28">
        <v>1.5</v>
      </c>
      <c r="I1120" s="110"/>
      <c r="J1120" s="134">
        <v>45231</v>
      </c>
      <c r="K1120" s="35">
        <f t="shared" si="72"/>
        <v>470.31000000000006</v>
      </c>
      <c r="L1120" s="35"/>
      <c r="M1120" s="17"/>
      <c r="N1120" s="16"/>
      <c r="O1120" s="16"/>
      <c r="P1120" s="149"/>
      <c r="Q1120" s="149"/>
    </row>
    <row r="1121" spans="1:17" ht="18" customHeight="1">
      <c r="A1121" s="16">
        <v>22078</v>
      </c>
      <c r="B1121" s="83" t="s">
        <v>3223</v>
      </c>
      <c r="C1121" s="110" t="s">
        <v>477</v>
      </c>
      <c r="D1121" s="110" t="s">
        <v>4272</v>
      </c>
      <c r="E1121" s="28">
        <v>1.22</v>
      </c>
      <c r="F1121" s="87">
        <v>207</v>
      </c>
      <c r="G1121" s="110"/>
      <c r="H1121" s="28">
        <v>1.6</v>
      </c>
      <c r="I1121" s="110"/>
      <c r="J1121" s="135">
        <v>45805</v>
      </c>
      <c r="K1121" s="35">
        <f t="shared" si="72"/>
        <v>404.06400000000002</v>
      </c>
      <c r="L1121" s="37"/>
      <c r="M1121" s="17"/>
      <c r="N1121" s="16"/>
      <c r="O1121" s="16"/>
      <c r="P1121" s="149"/>
      <c r="Q1121" s="149"/>
    </row>
    <row r="1122" spans="1:17" ht="18" customHeight="1">
      <c r="A1122" s="16">
        <v>22077</v>
      </c>
      <c r="B1122" s="83" t="s">
        <v>3223</v>
      </c>
      <c r="C1122" s="110" t="s">
        <v>4189</v>
      </c>
      <c r="D1122" s="110" t="s">
        <v>4272</v>
      </c>
      <c r="E1122" s="28">
        <v>1.22</v>
      </c>
      <c r="F1122" s="87">
        <v>153</v>
      </c>
      <c r="G1122" s="110"/>
      <c r="H1122" s="28">
        <v>1.6</v>
      </c>
      <c r="I1122" s="110"/>
      <c r="J1122" s="135">
        <v>45805</v>
      </c>
      <c r="K1122" s="35">
        <f t="shared" si="72"/>
        <v>298.65600000000001</v>
      </c>
      <c r="L1122" s="37"/>
      <c r="M1122" s="17"/>
      <c r="N1122" s="16"/>
      <c r="O1122" s="16"/>
      <c r="P1122" s="149"/>
      <c r="Q1122" s="149"/>
    </row>
    <row r="1123" spans="1:17" ht="18" customHeight="1">
      <c r="A1123" s="21" t="s">
        <v>3967</v>
      </c>
      <c r="B1123" s="28" t="s">
        <v>3223</v>
      </c>
      <c r="C1123" s="28" t="s">
        <v>3623</v>
      </c>
      <c r="D1123" s="28" t="s">
        <v>1921</v>
      </c>
      <c r="E1123" s="28">
        <v>1.22</v>
      </c>
      <c r="F1123" s="28">
        <v>74</v>
      </c>
      <c r="G1123" s="28"/>
      <c r="H1123" s="28">
        <v>1.8</v>
      </c>
      <c r="I1123" s="28"/>
      <c r="J1123" s="133">
        <v>45960</v>
      </c>
      <c r="K1123" s="9">
        <f t="shared" si="72"/>
        <v>162.50400000000002</v>
      </c>
      <c r="L1123" s="9"/>
      <c r="M1123" s="9"/>
      <c r="N1123" s="9">
        <f>G1123*H1123*I1123*E1123</f>
        <v>0</v>
      </c>
      <c r="O1123" s="3">
        <f>K1123*1.6667</f>
        <v>270.84541680000007</v>
      </c>
    </row>
    <row r="1124" spans="1:17" ht="18" customHeight="1">
      <c r="A1124" s="46">
        <v>2403</v>
      </c>
      <c r="B1124" s="83" t="s">
        <v>2164</v>
      </c>
      <c r="C1124" s="110"/>
      <c r="D1124" s="28" t="s">
        <v>451</v>
      </c>
      <c r="E1124" s="28">
        <v>1.22</v>
      </c>
      <c r="F1124" s="87">
        <v>130</v>
      </c>
      <c r="G1124" s="110"/>
      <c r="H1124" s="28">
        <v>1.7</v>
      </c>
      <c r="I1124" s="110"/>
      <c r="J1124" s="135">
        <v>44323</v>
      </c>
      <c r="K1124" s="9">
        <f t="shared" si="72"/>
        <v>269.62</v>
      </c>
      <c r="L1124" s="35"/>
      <c r="M1124" s="17"/>
      <c r="N1124" s="16"/>
      <c r="O1124" s="16"/>
    </row>
    <row r="1125" spans="1:17" ht="18" customHeight="1">
      <c r="A1125" s="46">
        <v>2404</v>
      </c>
      <c r="B1125" s="83" t="s">
        <v>2164</v>
      </c>
      <c r="C1125" s="110"/>
      <c r="D1125" s="28" t="s">
        <v>451</v>
      </c>
      <c r="E1125" s="28">
        <v>1.22</v>
      </c>
      <c r="F1125" s="87">
        <v>158</v>
      </c>
      <c r="G1125" s="110"/>
      <c r="H1125" s="28">
        <v>1.7</v>
      </c>
      <c r="I1125" s="110"/>
      <c r="J1125" s="135">
        <v>44323</v>
      </c>
      <c r="K1125" s="9">
        <f t="shared" si="72"/>
        <v>327.69199999999995</v>
      </c>
      <c r="L1125" s="35"/>
      <c r="M1125" s="17"/>
      <c r="N1125" s="16"/>
      <c r="O1125" s="16"/>
    </row>
    <row r="1126" spans="1:17" ht="18" customHeight="1">
      <c r="A1126" s="58">
        <v>2405</v>
      </c>
      <c r="B1126" s="227" t="s">
        <v>2164</v>
      </c>
      <c r="C1126" s="110"/>
      <c r="D1126" s="28" t="s">
        <v>451</v>
      </c>
      <c r="E1126" s="28">
        <v>1.22</v>
      </c>
      <c r="F1126" s="87">
        <v>202</v>
      </c>
      <c r="G1126" s="110"/>
      <c r="H1126" s="28">
        <v>1.7</v>
      </c>
      <c r="I1126" s="110"/>
      <c r="J1126" s="135">
        <v>44323</v>
      </c>
      <c r="K1126" s="9">
        <f t="shared" si="72"/>
        <v>418.94799999999998</v>
      </c>
      <c r="L1126" s="35"/>
      <c r="M1126" s="17"/>
      <c r="N1126" s="16"/>
      <c r="O1126" s="16"/>
    </row>
    <row r="1127" spans="1:17" ht="18" customHeight="1">
      <c r="A1127" s="58">
        <v>2406</v>
      </c>
      <c r="B1127" s="227" t="s">
        <v>2164</v>
      </c>
      <c r="C1127" s="110"/>
      <c r="D1127" s="28" t="s">
        <v>451</v>
      </c>
      <c r="E1127" s="28">
        <v>1.22</v>
      </c>
      <c r="F1127" s="87">
        <v>252</v>
      </c>
      <c r="G1127" s="110"/>
      <c r="H1127" s="28">
        <v>1.7</v>
      </c>
      <c r="I1127" s="110"/>
      <c r="J1127" s="135">
        <v>44323</v>
      </c>
      <c r="K1127" s="9">
        <f t="shared" si="72"/>
        <v>522.64800000000002</v>
      </c>
      <c r="L1127" s="35"/>
      <c r="M1127" s="17"/>
      <c r="N1127" s="16"/>
      <c r="O1127" s="16"/>
    </row>
    <row r="1128" spans="1:17" ht="18" customHeight="1">
      <c r="A1128" s="38">
        <v>2407</v>
      </c>
      <c r="B1128" s="107" t="s">
        <v>2164</v>
      </c>
      <c r="C1128" s="121"/>
      <c r="D1128" s="28" t="s">
        <v>451</v>
      </c>
      <c r="E1128" s="78">
        <v>1.22</v>
      </c>
      <c r="F1128" s="103">
        <v>278</v>
      </c>
      <c r="G1128" s="121"/>
      <c r="H1128" s="78">
        <v>1.7</v>
      </c>
      <c r="I1128" s="121"/>
      <c r="J1128" s="138">
        <v>44323</v>
      </c>
      <c r="K1128" s="13">
        <f t="shared" si="72"/>
        <v>576.57199999999989</v>
      </c>
      <c r="L1128" s="50"/>
      <c r="M1128" s="41"/>
      <c r="N1128" s="38"/>
      <c r="O1128" s="38"/>
    </row>
    <row r="1129" spans="1:17" ht="18" customHeight="1">
      <c r="A1129" s="38"/>
      <c r="B1129" s="103" t="s">
        <v>3282</v>
      </c>
      <c r="C1129" s="121"/>
      <c r="D1129" s="28" t="s">
        <v>451</v>
      </c>
      <c r="E1129" s="103"/>
      <c r="F1129" s="103"/>
      <c r="G1129" s="121"/>
      <c r="H1129" s="103"/>
      <c r="I1129" s="121"/>
      <c r="J1129" s="103"/>
      <c r="K1129" s="64"/>
      <c r="L1129" s="64"/>
      <c r="M1129" s="41"/>
      <c r="N1129" s="38"/>
      <c r="O1129" s="38"/>
    </row>
    <row r="1130" spans="1:17" ht="18" customHeight="1">
      <c r="A1130" s="46" t="s">
        <v>3391</v>
      </c>
      <c r="B1130" s="80" t="s">
        <v>3392</v>
      </c>
      <c r="C1130" s="110"/>
      <c r="D1130" s="79" t="s">
        <v>1921</v>
      </c>
      <c r="E1130" s="80">
        <v>1.22</v>
      </c>
      <c r="F1130" s="80">
        <v>103</v>
      </c>
      <c r="G1130" s="110"/>
      <c r="H1130" s="80">
        <v>1.6</v>
      </c>
      <c r="I1130" s="110"/>
      <c r="J1130" s="134">
        <v>45358</v>
      </c>
      <c r="K1130" s="9">
        <f t="shared" ref="K1130:K1138" si="73">E1130*F1130*H1130</f>
        <v>201.05600000000001</v>
      </c>
      <c r="L1130" s="37"/>
      <c r="M1130" s="17"/>
      <c r="N1130" s="16"/>
      <c r="O1130" s="16"/>
    </row>
    <row r="1131" spans="1:17" ht="18" customHeight="1">
      <c r="A1131" s="46" t="s">
        <v>3393</v>
      </c>
      <c r="B1131" s="80" t="s">
        <v>3392</v>
      </c>
      <c r="C1131" s="79" t="s">
        <v>3394</v>
      </c>
      <c r="D1131" s="79" t="s">
        <v>1921</v>
      </c>
      <c r="E1131" s="80">
        <v>1.22</v>
      </c>
      <c r="F1131" s="80">
        <v>84</v>
      </c>
      <c r="G1131" s="110"/>
      <c r="H1131" s="80">
        <v>1.6</v>
      </c>
      <c r="I1131" s="110"/>
      <c r="J1131" s="134">
        <v>45358</v>
      </c>
      <c r="K1131" s="9">
        <f t="shared" si="73"/>
        <v>163.96800000000002</v>
      </c>
      <c r="L1131" s="37"/>
      <c r="M1131" s="17"/>
      <c r="N1131" s="16"/>
      <c r="O1131" s="16"/>
    </row>
    <row r="1132" spans="1:17" ht="18" customHeight="1">
      <c r="A1132" s="16">
        <v>25123</v>
      </c>
      <c r="B1132" s="87" t="s">
        <v>4359</v>
      </c>
      <c r="C1132" s="110"/>
      <c r="D1132" s="28" t="s">
        <v>451</v>
      </c>
      <c r="E1132" s="28">
        <v>1.22</v>
      </c>
      <c r="F1132" s="87">
        <v>49</v>
      </c>
      <c r="G1132" s="110"/>
      <c r="H1132" s="87">
        <v>2</v>
      </c>
      <c r="I1132" s="110"/>
      <c r="J1132" s="135">
        <v>45909</v>
      </c>
      <c r="K1132" s="37">
        <f t="shared" si="73"/>
        <v>119.56</v>
      </c>
      <c r="L1132" s="37"/>
      <c r="M1132" s="17"/>
      <c r="N1132" s="16"/>
      <c r="O1132" s="16"/>
    </row>
    <row r="1133" spans="1:17" ht="18" customHeight="1">
      <c r="A1133" s="21"/>
      <c r="B1133" s="28" t="s">
        <v>4281</v>
      </c>
      <c r="C1133" s="28"/>
      <c r="D1133" s="28" t="s">
        <v>451</v>
      </c>
      <c r="E1133" s="28">
        <v>1.22</v>
      </c>
      <c r="F1133" s="28">
        <v>104</v>
      </c>
      <c r="G1133" s="28"/>
      <c r="H1133" s="28">
        <v>1.7</v>
      </c>
      <c r="I1133" s="28"/>
      <c r="J1133" s="133">
        <v>45812</v>
      </c>
      <c r="K1133" s="9">
        <f t="shared" si="73"/>
        <v>215.696</v>
      </c>
      <c r="L1133" s="9"/>
      <c r="M1133" s="9"/>
      <c r="N1133" s="9"/>
      <c r="O1133" s="3"/>
    </row>
    <row r="1134" spans="1:17" ht="18" customHeight="1">
      <c r="A1134" s="21"/>
      <c r="B1134" s="28" t="s">
        <v>4280</v>
      </c>
      <c r="C1134" s="28"/>
      <c r="D1134" s="28" t="s">
        <v>451</v>
      </c>
      <c r="E1134" s="28">
        <v>1.22</v>
      </c>
      <c r="F1134" s="28">
        <v>199</v>
      </c>
      <c r="G1134" s="28"/>
      <c r="H1134" s="28">
        <v>1.7</v>
      </c>
      <c r="I1134" s="28"/>
      <c r="J1134" s="133">
        <v>45812</v>
      </c>
      <c r="K1134" s="9">
        <f t="shared" si="73"/>
        <v>412.726</v>
      </c>
      <c r="L1134" s="9"/>
      <c r="M1134" s="9"/>
      <c r="N1134" s="9"/>
      <c r="O1134" s="3"/>
    </row>
    <row r="1135" spans="1:17" ht="18" customHeight="1">
      <c r="A1135" s="21"/>
      <c r="B1135" s="28" t="s">
        <v>655</v>
      </c>
      <c r="C1135" s="28"/>
      <c r="D1135" s="28" t="s">
        <v>451</v>
      </c>
      <c r="E1135" s="28">
        <v>1.22</v>
      </c>
      <c r="F1135" s="28">
        <v>265</v>
      </c>
      <c r="G1135" s="28"/>
      <c r="H1135" s="28">
        <v>1.6</v>
      </c>
      <c r="I1135" s="28"/>
      <c r="J1135" s="133">
        <v>45812</v>
      </c>
      <c r="K1135" s="9">
        <f t="shared" si="73"/>
        <v>517.28000000000009</v>
      </c>
      <c r="L1135" s="9"/>
      <c r="M1135" s="9"/>
      <c r="N1135" s="9">
        <f>G1135*H1135*I1135*E1135</f>
        <v>0</v>
      </c>
      <c r="O1135" s="3">
        <f>K1135*1.6667</f>
        <v>862.15057600000023</v>
      </c>
    </row>
    <row r="1136" spans="1:17" ht="18" customHeight="1">
      <c r="A1136" s="21" t="s">
        <v>453</v>
      </c>
      <c r="B1136" s="28" t="s">
        <v>452</v>
      </c>
      <c r="C1136" s="28">
        <v>21</v>
      </c>
      <c r="D1136" s="28" t="s">
        <v>451</v>
      </c>
      <c r="E1136" s="28">
        <v>1.22</v>
      </c>
      <c r="F1136" s="28"/>
      <c r="G1136" s="28"/>
      <c r="H1136" s="28">
        <v>1.7</v>
      </c>
      <c r="I1136" s="28"/>
      <c r="J1136" s="133">
        <v>45812</v>
      </c>
      <c r="K1136" s="9">
        <f t="shared" si="73"/>
        <v>0</v>
      </c>
      <c r="L1136" s="9"/>
      <c r="M1136" s="9"/>
      <c r="N1136" s="9">
        <f>G1136*H1136*I1136*E1136</f>
        <v>0</v>
      </c>
      <c r="O1136" s="3">
        <f>K1136*1.6667</f>
        <v>0</v>
      </c>
    </row>
    <row r="1137" spans="1:15" ht="18" customHeight="1">
      <c r="A1137" s="21"/>
      <c r="B1137" s="28" t="s">
        <v>4205</v>
      </c>
      <c r="C1137" s="28">
        <v>1.5</v>
      </c>
      <c r="D1137" s="28" t="s">
        <v>1859</v>
      </c>
      <c r="E1137" s="28">
        <v>1.22</v>
      </c>
      <c r="F1137" s="28">
        <v>84</v>
      </c>
      <c r="G1137" s="28"/>
      <c r="H1137" s="28">
        <v>1.6</v>
      </c>
      <c r="I1137" s="28"/>
      <c r="J1137" s="134">
        <v>45945</v>
      </c>
      <c r="K1137" s="35">
        <f t="shared" si="73"/>
        <v>163.96800000000002</v>
      </c>
      <c r="L1137" s="9"/>
      <c r="M1137" s="9"/>
      <c r="N1137" s="9"/>
      <c r="O1137" s="3"/>
    </row>
    <row r="1138" spans="1:15" ht="18" customHeight="1">
      <c r="A1138" s="32"/>
      <c r="B1138" s="93" t="s">
        <v>4205</v>
      </c>
      <c r="C1138" s="93">
        <v>2</v>
      </c>
      <c r="D1138" s="28" t="s">
        <v>1859</v>
      </c>
      <c r="E1138" s="93">
        <v>1.22</v>
      </c>
      <c r="F1138" s="93">
        <v>86</v>
      </c>
      <c r="G1138" s="93"/>
      <c r="H1138" s="93">
        <v>1.6</v>
      </c>
      <c r="I1138" s="93"/>
      <c r="J1138" s="183">
        <v>45945</v>
      </c>
      <c r="K1138" s="173">
        <f t="shared" si="73"/>
        <v>167.87200000000001</v>
      </c>
      <c r="L1138" s="33"/>
      <c r="M1138" s="33"/>
      <c r="N1138" s="33"/>
      <c r="O1138" s="34"/>
    </row>
    <row r="1139" spans="1:15" ht="18" customHeight="1">
      <c r="A1139" s="21"/>
      <c r="B1139" s="28" t="s">
        <v>3196</v>
      </c>
      <c r="C1139" s="28" t="s">
        <v>543</v>
      </c>
      <c r="D1139" s="28" t="s">
        <v>451</v>
      </c>
      <c r="E1139" s="28">
        <v>1.22</v>
      </c>
      <c r="F1139" s="28"/>
      <c r="G1139" s="28">
        <v>1.95</v>
      </c>
      <c r="H1139" s="28">
        <v>1.7</v>
      </c>
      <c r="I1139" s="28">
        <v>41</v>
      </c>
      <c r="J1139" s="133">
        <v>45219</v>
      </c>
      <c r="K1139" s="9">
        <f>+E1139*G1139*H1139*I1139</f>
        <v>165.81629999999998</v>
      </c>
      <c r="L1139" s="9"/>
      <c r="M1139" s="9"/>
      <c r="N1139" s="9"/>
      <c r="O1139" s="3"/>
    </row>
    <row r="1140" spans="1:15" ht="18" customHeight="1">
      <c r="A1140" s="21"/>
      <c r="B1140" s="28" t="s">
        <v>3197</v>
      </c>
      <c r="C1140" s="28" t="s">
        <v>3200</v>
      </c>
      <c r="D1140" s="28" t="s">
        <v>451</v>
      </c>
      <c r="E1140" s="28">
        <v>1.22</v>
      </c>
      <c r="F1140" s="28"/>
      <c r="G1140" s="28">
        <v>2</v>
      </c>
      <c r="H1140" s="28">
        <v>1.7</v>
      </c>
      <c r="I1140" s="28">
        <v>41</v>
      </c>
      <c r="J1140" s="133">
        <v>45219</v>
      </c>
      <c r="K1140" s="9">
        <f>+E1140*G1140*H1140*I1140</f>
        <v>170.06799999999998</v>
      </c>
      <c r="L1140" s="9"/>
      <c r="M1140" s="9"/>
      <c r="N1140" s="9"/>
      <c r="O1140" s="3"/>
    </row>
    <row r="1141" spans="1:15" ht="18" customHeight="1">
      <c r="A1141" s="21"/>
      <c r="B1141" s="28" t="s">
        <v>3198</v>
      </c>
      <c r="C1141" s="28" t="s">
        <v>141</v>
      </c>
      <c r="D1141" s="28" t="s">
        <v>451</v>
      </c>
      <c r="E1141" s="28">
        <v>1.22</v>
      </c>
      <c r="F1141" s="28"/>
      <c r="G1141" s="28">
        <v>3.1</v>
      </c>
      <c r="H1141" s="28">
        <v>1.7</v>
      </c>
      <c r="I1141" s="28">
        <v>41</v>
      </c>
      <c r="J1141" s="133">
        <v>45219</v>
      </c>
      <c r="K1141" s="9">
        <f>+E1141*G1141*H1141*I1141</f>
        <v>263.60540000000003</v>
      </c>
      <c r="L1141" s="9"/>
      <c r="M1141" s="9"/>
      <c r="N1141" s="9"/>
      <c r="O1141" s="3"/>
    </row>
    <row r="1142" spans="1:15" ht="18" customHeight="1">
      <c r="A1142" s="21"/>
      <c r="B1142" s="28" t="s">
        <v>3199</v>
      </c>
      <c r="C1142" s="28" t="s">
        <v>3201</v>
      </c>
      <c r="D1142" s="28" t="s">
        <v>451</v>
      </c>
      <c r="E1142" s="28">
        <v>1.22</v>
      </c>
      <c r="F1142" s="28"/>
      <c r="G1142" s="28">
        <v>4.6500000000000004</v>
      </c>
      <c r="H1142" s="28">
        <v>1.7</v>
      </c>
      <c r="I1142" s="28">
        <v>41</v>
      </c>
      <c r="J1142" s="133">
        <v>45219</v>
      </c>
      <c r="K1142" s="9">
        <f>+E1142*G1142*H1142*I1142</f>
        <v>395.40809999999999</v>
      </c>
      <c r="L1142" s="9"/>
      <c r="M1142" s="9"/>
      <c r="N1142" s="9"/>
      <c r="O1142" s="3"/>
    </row>
    <row r="1143" spans="1:15" ht="18" customHeight="1">
      <c r="A1143" s="21">
        <v>100173</v>
      </c>
      <c r="B1143" s="28" t="s">
        <v>2926</v>
      </c>
      <c r="C1143" s="28" t="s">
        <v>546</v>
      </c>
      <c r="D1143" s="28" t="s">
        <v>451</v>
      </c>
      <c r="E1143" s="28">
        <v>1.22</v>
      </c>
      <c r="F1143" s="28">
        <v>45.94</v>
      </c>
      <c r="G1143" s="28"/>
      <c r="H1143" s="28">
        <v>1.4</v>
      </c>
      <c r="I1143" s="28"/>
      <c r="J1143" s="133">
        <v>44813</v>
      </c>
      <c r="K1143" s="9">
        <f>E1143*F1143*H1143</f>
        <v>78.465519999999998</v>
      </c>
      <c r="L1143" s="9"/>
      <c r="M1143" s="9"/>
      <c r="N1143" s="9">
        <f>G1143*H1143*I1143*E1143</f>
        <v>0</v>
      </c>
      <c r="O1143" s="3">
        <f>K1143*1.6667</f>
        <v>130.77848218400001</v>
      </c>
    </row>
    <row r="1144" spans="1:15" ht="18" customHeight="1">
      <c r="A1144" s="16"/>
      <c r="B1144" s="28" t="s">
        <v>2926</v>
      </c>
      <c r="C1144" s="87" t="s">
        <v>2177</v>
      </c>
      <c r="D1144" s="28" t="s">
        <v>451</v>
      </c>
      <c r="E1144" s="28">
        <v>1.22</v>
      </c>
      <c r="F1144" s="90">
        <v>230</v>
      </c>
      <c r="G1144" s="110"/>
      <c r="H1144" s="28">
        <v>1.4</v>
      </c>
      <c r="I1144" s="110"/>
      <c r="J1144" s="135">
        <v>45001</v>
      </c>
      <c r="K1144" s="9">
        <f>E1144*F1144*H1144</f>
        <v>392.83999999999992</v>
      </c>
      <c r="L1144" s="35"/>
      <c r="M1144" s="17"/>
      <c r="N1144" s="16"/>
      <c r="O1144" s="16"/>
    </row>
    <row r="1145" spans="1:15" ht="18" customHeight="1">
      <c r="A1145" s="16"/>
      <c r="B1145" s="28" t="s">
        <v>2926</v>
      </c>
      <c r="C1145" s="110" t="s">
        <v>1358</v>
      </c>
      <c r="D1145" s="28" t="s">
        <v>451</v>
      </c>
      <c r="E1145" s="28">
        <v>1.22</v>
      </c>
      <c r="F1145" s="90">
        <v>588</v>
      </c>
      <c r="G1145" s="110"/>
      <c r="H1145" s="28">
        <v>1.4</v>
      </c>
      <c r="I1145" s="110"/>
      <c r="J1145" s="135">
        <v>45001</v>
      </c>
      <c r="K1145" s="9">
        <f>E1145*F1145*H1145</f>
        <v>1004.304</v>
      </c>
      <c r="L1145" s="35"/>
      <c r="M1145" s="17"/>
      <c r="N1145" s="16"/>
      <c r="O1145" s="16"/>
    </row>
    <row r="1146" spans="1:15" ht="18" customHeight="1">
      <c r="A1146" s="21"/>
      <c r="B1146" s="28" t="s">
        <v>2628</v>
      </c>
      <c r="C1146" s="28" t="s">
        <v>15</v>
      </c>
      <c r="D1146" s="28" t="s">
        <v>451</v>
      </c>
      <c r="E1146" s="28">
        <v>1.22</v>
      </c>
      <c r="F1146" s="28">
        <v>291</v>
      </c>
      <c r="G1146" s="28"/>
      <c r="H1146" s="28">
        <v>1.3</v>
      </c>
      <c r="I1146" s="28"/>
      <c r="J1146" s="133">
        <v>44749</v>
      </c>
      <c r="K1146" s="9">
        <f>E1146*F1146*H1146</f>
        <v>461.52600000000001</v>
      </c>
      <c r="L1146" s="9"/>
      <c r="M1146" s="9"/>
      <c r="N1146" s="9">
        <f>G1146*H1146*I1146*E1146</f>
        <v>0</v>
      </c>
      <c r="O1146" s="3">
        <f>K1146*1.6667</f>
        <v>769.22538420000001</v>
      </c>
    </row>
    <row r="1147" spans="1:15" ht="18" customHeight="1">
      <c r="A1147" s="16">
        <v>100174</v>
      </c>
      <c r="B1147" s="87" t="s">
        <v>4384</v>
      </c>
      <c r="C1147" s="110">
        <v>1</v>
      </c>
      <c r="D1147" s="28" t="s">
        <v>1859</v>
      </c>
      <c r="E1147" s="28">
        <v>1.22</v>
      </c>
      <c r="F1147" s="87"/>
      <c r="G1147" s="110">
        <v>15.4</v>
      </c>
      <c r="H1147" s="28">
        <v>1.5</v>
      </c>
      <c r="I1147" s="110">
        <v>41</v>
      </c>
      <c r="J1147" s="135">
        <v>45918</v>
      </c>
      <c r="K1147" s="37">
        <f>+E1147*G1147*H1147*I1147</f>
        <v>1155.462</v>
      </c>
      <c r="L1147" s="37"/>
      <c r="M1147" s="17"/>
      <c r="N1147" s="16"/>
      <c r="O1147" s="16"/>
    </row>
    <row r="1148" spans="1:15" ht="18" customHeight="1">
      <c r="A1148" s="16"/>
      <c r="B1148" s="80" t="s">
        <v>1894</v>
      </c>
      <c r="C1148" s="80">
        <v>2</v>
      </c>
      <c r="D1148" s="28" t="s">
        <v>451</v>
      </c>
      <c r="E1148" s="87">
        <v>1.22</v>
      </c>
      <c r="F1148" s="87">
        <v>24.8</v>
      </c>
      <c r="G1148" s="110"/>
      <c r="H1148" s="87">
        <v>1.4</v>
      </c>
      <c r="I1148" s="28">
        <v>45</v>
      </c>
      <c r="J1148" s="135">
        <v>44329</v>
      </c>
      <c r="K1148" s="9">
        <f>E1148*F1148*H1148*I1148</f>
        <v>1906.1279999999999</v>
      </c>
      <c r="L1148" s="9"/>
      <c r="M1148" s="17"/>
      <c r="N1148" s="16"/>
      <c r="O1148" s="16"/>
    </row>
    <row r="1149" spans="1:15" ht="18" customHeight="1">
      <c r="A1149" s="16"/>
      <c r="B1149" s="80" t="s">
        <v>1894</v>
      </c>
      <c r="C1149" s="80">
        <v>4</v>
      </c>
      <c r="D1149" s="28" t="s">
        <v>451</v>
      </c>
      <c r="E1149" s="87">
        <v>1.22</v>
      </c>
      <c r="F1149" s="87">
        <v>10.88</v>
      </c>
      <c r="G1149" s="110"/>
      <c r="H1149" s="87">
        <v>1.4</v>
      </c>
      <c r="I1149" s="28">
        <v>45</v>
      </c>
      <c r="J1149" s="135">
        <v>44475</v>
      </c>
      <c r="K1149" s="9">
        <f>E1149*F1149*H1149*I1149</f>
        <v>836.23680000000002</v>
      </c>
      <c r="L1149" s="9"/>
      <c r="M1149" s="17"/>
      <c r="N1149" s="16"/>
      <c r="O1149" s="16"/>
    </row>
    <row r="1150" spans="1:15" ht="18" hidden="1" customHeight="1">
      <c r="A1150" s="21"/>
      <c r="B1150" s="28" t="s">
        <v>829</v>
      </c>
      <c r="C1150" s="28" t="s">
        <v>830</v>
      </c>
      <c r="D1150" s="28" t="s">
        <v>451</v>
      </c>
      <c r="E1150" s="28">
        <v>1.22</v>
      </c>
      <c r="F1150" s="28">
        <v>280</v>
      </c>
      <c r="G1150" s="28"/>
      <c r="H1150" s="28">
        <v>1.6</v>
      </c>
      <c r="I1150" s="28"/>
      <c r="J1150" s="133">
        <v>43213</v>
      </c>
      <c r="K1150" s="9">
        <f t="shared" ref="K1150:K1184" si="74">E1150*F1150*H1150</f>
        <v>546.55999999999995</v>
      </c>
      <c r="L1150" s="9"/>
      <c r="M1150" s="9"/>
      <c r="N1150" s="9">
        <f>G1150*H1150*I1150*E1150</f>
        <v>0</v>
      </c>
      <c r="O1150" s="3">
        <f>K1150*1.6667</f>
        <v>910.95155199999999</v>
      </c>
    </row>
    <row r="1151" spans="1:15" ht="18" customHeight="1">
      <c r="A1151" s="43" t="s">
        <v>2630</v>
      </c>
      <c r="B1151" s="28" t="s">
        <v>2631</v>
      </c>
      <c r="C1151" s="28" t="s">
        <v>15</v>
      </c>
      <c r="D1151" s="28" t="s">
        <v>451</v>
      </c>
      <c r="E1151" s="28">
        <v>1.22</v>
      </c>
      <c r="F1151" s="28">
        <v>172</v>
      </c>
      <c r="G1151" s="28"/>
      <c r="H1151" s="28">
        <v>1.6</v>
      </c>
      <c r="I1151" s="28"/>
      <c r="J1151" s="133">
        <v>45231</v>
      </c>
      <c r="K1151" s="9">
        <f t="shared" si="74"/>
        <v>335.74400000000003</v>
      </c>
      <c r="L1151" s="9"/>
      <c r="M1151" s="9"/>
      <c r="N1151" s="9">
        <f>G1151*H1151*I1151*E1151</f>
        <v>0</v>
      </c>
      <c r="O1151" s="3">
        <f>K1151*1.6667</f>
        <v>559.58452480000005</v>
      </c>
    </row>
    <row r="1152" spans="1:15" ht="18" customHeight="1">
      <c r="A1152" s="46" t="s">
        <v>1959</v>
      </c>
      <c r="B1152" s="83" t="s">
        <v>1947</v>
      </c>
      <c r="C1152" s="110"/>
      <c r="D1152" s="28" t="s">
        <v>451</v>
      </c>
      <c r="E1152" s="28">
        <v>1.22</v>
      </c>
      <c r="F1152" s="83">
        <v>153</v>
      </c>
      <c r="G1152" s="110"/>
      <c r="H1152" s="28">
        <v>1.4</v>
      </c>
      <c r="I1152" s="110"/>
      <c r="J1152" s="134">
        <v>44881</v>
      </c>
      <c r="K1152" s="35">
        <f t="shared" si="74"/>
        <v>261.32399999999996</v>
      </c>
      <c r="L1152" s="35"/>
      <c r="M1152" s="17"/>
      <c r="N1152" s="16"/>
      <c r="O1152" s="16"/>
    </row>
    <row r="1153" spans="1:15" ht="18" customHeight="1">
      <c r="A1153" s="21" t="s">
        <v>2317</v>
      </c>
      <c r="B1153" s="28" t="s">
        <v>2318</v>
      </c>
      <c r="C1153" s="28"/>
      <c r="D1153" s="28" t="s">
        <v>3390</v>
      </c>
      <c r="E1153" s="28">
        <v>1.22</v>
      </c>
      <c r="F1153" s="28">
        <v>121</v>
      </c>
      <c r="G1153" s="28"/>
      <c r="H1153" s="28">
        <v>1.6</v>
      </c>
      <c r="I1153" s="28"/>
      <c r="J1153" s="133">
        <v>45358</v>
      </c>
      <c r="K1153" s="9">
        <f t="shared" si="74"/>
        <v>236.19200000000001</v>
      </c>
      <c r="L1153" s="9"/>
      <c r="M1153" s="9"/>
      <c r="N1153" s="9"/>
      <c r="O1153" s="3"/>
    </row>
    <row r="1154" spans="1:15" ht="18" customHeight="1">
      <c r="A1154" s="46" t="s">
        <v>1959</v>
      </c>
      <c r="B1154" s="83" t="s">
        <v>1944</v>
      </c>
      <c r="C1154" s="110"/>
      <c r="D1154" s="79" t="s">
        <v>1921</v>
      </c>
      <c r="E1154" s="80">
        <v>1.22</v>
      </c>
      <c r="F1154" s="80">
        <v>154</v>
      </c>
      <c r="G1154" s="110"/>
      <c r="H1154" s="80">
        <v>1.6</v>
      </c>
      <c r="I1154" s="110"/>
      <c r="J1154" s="134">
        <v>45960</v>
      </c>
      <c r="K1154" s="63">
        <f t="shared" si="74"/>
        <v>300.608</v>
      </c>
      <c r="L1154" s="37"/>
      <c r="M1154" s="17"/>
      <c r="N1154" s="16"/>
      <c r="O1154" s="16"/>
    </row>
    <row r="1155" spans="1:15" ht="18" customHeight="1">
      <c r="A1155" s="46" t="s">
        <v>2095</v>
      </c>
      <c r="B1155" s="83" t="s">
        <v>1944</v>
      </c>
      <c r="C1155" s="110"/>
      <c r="D1155" s="28" t="s">
        <v>1921</v>
      </c>
      <c r="E1155" s="28">
        <v>1.22</v>
      </c>
      <c r="F1155" s="83">
        <v>119</v>
      </c>
      <c r="G1155" s="110"/>
      <c r="H1155" s="28">
        <v>1.6</v>
      </c>
      <c r="I1155" s="110"/>
      <c r="J1155" s="134">
        <v>45636</v>
      </c>
      <c r="K1155" s="57">
        <f t="shared" si="74"/>
        <v>232.28800000000001</v>
      </c>
      <c r="L1155" s="35"/>
      <c r="M1155" s="17"/>
      <c r="N1155" s="16"/>
      <c r="O1155" s="16"/>
    </row>
    <row r="1156" spans="1:15" ht="18" customHeight="1">
      <c r="A1156" s="16" t="s">
        <v>2317</v>
      </c>
      <c r="B1156" s="83" t="s">
        <v>1944</v>
      </c>
      <c r="C1156" s="110" t="s">
        <v>3540</v>
      </c>
      <c r="D1156" s="28" t="s">
        <v>1921</v>
      </c>
      <c r="E1156" s="87">
        <v>1.22</v>
      </c>
      <c r="F1156" s="87">
        <v>126</v>
      </c>
      <c r="G1156" s="110"/>
      <c r="H1156" s="87">
        <v>1.6</v>
      </c>
      <c r="I1156" s="110"/>
      <c r="J1156" s="135">
        <v>46009</v>
      </c>
      <c r="K1156" s="63">
        <f t="shared" si="74"/>
        <v>245.952</v>
      </c>
      <c r="L1156" s="37"/>
      <c r="M1156" s="17"/>
      <c r="N1156" s="16"/>
      <c r="O1156" s="16"/>
    </row>
    <row r="1157" spans="1:15" ht="18" customHeight="1">
      <c r="A1157" s="16" t="s">
        <v>1957</v>
      </c>
      <c r="B1157" s="90" t="s">
        <v>1944</v>
      </c>
      <c r="C1157" s="110"/>
      <c r="D1157" s="28" t="s">
        <v>451</v>
      </c>
      <c r="E1157" s="28">
        <v>1.22</v>
      </c>
      <c r="F1157" s="90">
        <v>102</v>
      </c>
      <c r="G1157" s="110"/>
      <c r="H1157" s="28">
        <v>1.4</v>
      </c>
      <c r="I1157" s="110"/>
      <c r="J1157" s="135">
        <v>44881</v>
      </c>
      <c r="K1157" s="57">
        <f t="shared" si="74"/>
        <v>174.21599999999998</v>
      </c>
      <c r="L1157" s="35"/>
      <c r="M1157" s="17"/>
      <c r="N1157" s="16"/>
      <c r="O1157" s="16"/>
    </row>
    <row r="1158" spans="1:15" ht="18" customHeight="1">
      <c r="A1158" s="16" t="s">
        <v>2031</v>
      </c>
      <c r="B1158" s="90" t="s">
        <v>1944</v>
      </c>
      <c r="C1158" s="110"/>
      <c r="D1158" s="28" t="s">
        <v>451</v>
      </c>
      <c r="E1158" s="28">
        <v>1.22</v>
      </c>
      <c r="F1158" s="90">
        <v>216</v>
      </c>
      <c r="G1158" s="110"/>
      <c r="H1158" s="28">
        <v>1.4</v>
      </c>
      <c r="I1158" s="110"/>
      <c r="J1158" s="135">
        <v>44258</v>
      </c>
      <c r="K1158" s="57">
        <f t="shared" si="74"/>
        <v>368.92799999999994</v>
      </c>
      <c r="L1158" s="35"/>
      <c r="M1158" s="17"/>
      <c r="N1158" s="16"/>
      <c r="O1158" s="16"/>
    </row>
    <row r="1159" spans="1:15" ht="18" customHeight="1">
      <c r="A1159" s="22"/>
      <c r="B1159" s="28" t="s">
        <v>2571</v>
      </c>
      <c r="C1159" s="28" t="s">
        <v>2572</v>
      </c>
      <c r="D1159" s="28" t="s">
        <v>451</v>
      </c>
      <c r="E1159" s="28">
        <v>1.22</v>
      </c>
      <c r="F1159" s="28">
        <v>23</v>
      </c>
      <c r="G1159" s="28"/>
      <c r="H1159" s="28">
        <v>1.6</v>
      </c>
      <c r="I1159" s="81"/>
      <c r="J1159" s="133">
        <v>44714</v>
      </c>
      <c r="K1159" s="10">
        <f t="shared" si="74"/>
        <v>44.896000000000001</v>
      </c>
      <c r="L1159" s="9"/>
      <c r="M1159" s="9"/>
      <c r="N1159" s="16"/>
      <c r="O1159" s="16"/>
    </row>
    <row r="1160" spans="1:15" ht="18" customHeight="1">
      <c r="A1160" s="16" t="s">
        <v>1958</v>
      </c>
      <c r="B1160" s="90" t="s">
        <v>1945</v>
      </c>
      <c r="C1160" s="110" t="s">
        <v>1946</v>
      </c>
      <c r="D1160" s="28" t="s">
        <v>451</v>
      </c>
      <c r="E1160" s="28">
        <v>1.22</v>
      </c>
      <c r="F1160" s="90">
        <v>97</v>
      </c>
      <c r="G1160" s="110"/>
      <c r="H1160" s="28">
        <v>1.6</v>
      </c>
      <c r="I1160" s="110"/>
      <c r="J1160" s="135">
        <v>45231</v>
      </c>
      <c r="K1160" s="57">
        <f t="shared" si="74"/>
        <v>189.34400000000002</v>
      </c>
      <c r="L1160" s="35"/>
      <c r="M1160" s="17"/>
      <c r="N1160" s="16"/>
      <c r="O1160" s="16"/>
    </row>
    <row r="1161" spans="1:15" ht="18" customHeight="1">
      <c r="A1161" s="16" t="s">
        <v>3669</v>
      </c>
      <c r="B1161" s="87" t="s">
        <v>3670</v>
      </c>
      <c r="C1161" s="110"/>
      <c r="D1161" s="28" t="s">
        <v>1292</v>
      </c>
      <c r="E1161" s="87">
        <v>1.22</v>
      </c>
      <c r="F1161" s="87">
        <v>79</v>
      </c>
      <c r="G1161" s="110"/>
      <c r="H1161" s="87">
        <v>1.8</v>
      </c>
      <c r="I1161" s="110"/>
      <c r="J1161" s="169">
        <v>45532</v>
      </c>
      <c r="K1161" s="75">
        <f t="shared" si="74"/>
        <v>173.48400000000001</v>
      </c>
      <c r="L1161" s="37"/>
      <c r="M1161" s="17"/>
      <c r="N1161" s="16"/>
      <c r="O1161" s="16"/>
    </row>
    <row r="1162" spans="1:15" ht="18" customHeight="1">
      <c r="A1162" s="21">
        <v>468</v>
      </c>
      <c r="B1162" s="28" t="s">
        <v>3901</v>
      </c>
      <c r="C1162" s="28" t="s">
        <v>541</v>
      </c>
      <c r="D1162" s="28" t="s">
        <v>451</v>
      </c>
      <c r="E1162" s="96">
        <v>1.22</v>
      </c>
      <c r="F1162" s="28">
        <v>4.8</v>
      </c>
      <c r="G1162" s="28"/>
      <c r="H1162" s="28">
        <v>1.6</v>
      </c>
      <c r="I1162" s="28"/>
      <c r="J1162" s="133">
        <v>45610</v>
      </c>
      <c r="K1162" s="9">
        <f t="shared" si="74"/>
        <v>9.3696000000000002</v>
      </c>
      <c r="L1162" s="9"/>
      <c r="M1162" s="9"/>
      <c r="N1162" s="9">
        <f>G1162*H1162*I1162*E1162</f>
        <v>0</v>
      </c>
      <c r="O1162" s="3">
        <f>K1162*1.6667</f>
        <v>15.61631232</v>
      </c>
    </row>
    <row r="1163" spans="1:15" ht="18" customHeight="1">
      <c r="A1163" s="16"/>
      <c r="B1163" s="97" t="s">
        <v>1059</v>
      </c>
      <c r="C1163" s="119" t="s">
        <v>2305</v>
      </c>
      <c r="D1163" s="28" t="s">
        <v>451</v>
      </c>
      <c r="E1163" s="28">
        <v>1.22</v>
      </c>
      <c r="F1163" s="83">
        <v>155</v>
      </c>
      <c r="G1163" s="110"/>
      <c r="H1163" s="28">
        <v>1</v>
      </c>
      <c r="I1163" s="110"/>
      <c r="J1163" s="134">
        <v>44540</v>
      </c>
      <c r="K1163" s="35">
        <f t="shared" si="74"/>
        <v>189.1</v>
      </c>
      <c r="L1163" s="35"/>
      <c r="M1163" s="17"/>
      <c r="N1163" s="16"/>
      <c r="O1163" s="16"/>
    </row>
    <row r="1164" spans="1:15" ht="18" customHeight="1">
      <c r="A1164" s="21"/>
      <c r="B1164" s="28" t="s">
        <v>1059</v>
      </c>
      <c r="C1164" s="28" t="s">
        <v>1782</v>
      </c>
      <c r="D1164" s="28" t="s">
        <v>451</v>
      </c>
      <c r="E1164" s="28">
        <v>1.22</v>
      </c>
      <c r="F1164" s="28">
        <v>95</v>
      </c>
      <c r="G1164" s="28"/>
      <c r="H1164" s="28">
        <v>1.3</v>
      </c>
      <c r="I1164" s="28"/>
      <c r="J1164" s="134">
        <v>44541</v>
      </c>
      <c r="K1164" s="9">
        <f t="shared" si="74"/>
        <v>150.66999999999999</v>
      </c>
      <c r="L1164" s="9"/>
      <c r="M1164" s="9"/>
      <c r="N1164" s="9">
        <f t="shared" ref="N1164:N1170" si="75">G1164*H1164*I1164*E1164</f>
        <v>0</v>
      </c>
      <c r="O1164" s="3">
        <f>K1164*1.6667</f>
        <v>251.121689</v>
      </c>
    </row>
    <row r="1165" spans="1:15" ht="18" customHeight="1">
      <c r="A1165" s="21"/>
      <c r="B1165" s="28" t="s">
        <v>1059</v>
      </c>
      <c r="C1165" s="28" t="s">
        <v>2308</v>
      </c>
      <c r="D1165" s="28" t="s">
        <v>451</v>
      </c>
      <c r="E1165" s="28">
        <v>1.22</v>
      </c>
      <c r="F1165" s="28">
        <v>37</v>
      </c>
      <c r="G1165" s="28"/>
      <c r="H1165" s="28">
        <v>1.3</v>
      </c>
      <c r="I1165" s="28"/>
      <c r="J1165" s="134">
        <v>44543</v>
      </c>
      <c r="K1165" s="9">
        <f t="shared" si="74"/>
        <v>58.682000000000002</v>
      </c>
      <c r="L1165" s="9"/>
      <c r="M1165" s="9"/>
      <c r="N1165" s="9">
        <f t="shared" si="75"/>
        <v>0</v>
      </c>
      <c r="O1165" s="3">
        <f>K1165*1.6667</f>
        <v>97.805289400000007</v>
      </c>
    </row>
    <row r="1166" spans="1:15" ht="18" customHeight="1">
      <c r="A1166" s="21"/>
      <c r="B1166" s="28" t="s">
        <v>1059</v>
      </c>
      <c r="C1166" s="28" t="s">
        <v>2309</v>
      </c>
      <c r="D1166" s="28" t="s">
        <v>451</v>
      </c>
      <c r="E1166" s="28">
        <v>1.22</v>
      </c>
      <c r="F1166" s="28">
        <v>27</v>
      </c>
      <c r="G1166" s="28"/>
      <c r="H1166" s="28">
        <v>1.3</v>
      </c>
      <c r="I1166" s="28"/>
      <c r="J1166" s="134">
        <v>44544</v>
      </c>
      <c r="K1166" s="9">
        <f t="shared" si="74"/>
        <v>42.821999999999996</v>
      </c>
      <c r="L1166" s="9"/>
      <c r="M1166" s="9"/>
      <c r="N1166" s="9">
        <f t="shared" si="75"/>
        <v>0</v>
      </c>
      <c r="O1166" s="3">
        <f>K1166*1.6667</f>
        <v>71.371427400000002</v>
      </c>
    </row>
    <row r="1167" spans="1:15" ht="18" customHeight="1">
      <c r="A1167" s="21"/>
      <c r="B1167" s="28" t="s">
        <v>1059</v>
      </c>
      <c r="C1167" s="28" t="s">
        <v>2310</v>
      </c>
      <c r="D1167" s="28" t="s">
        <v>451</v>
      </c>
      <c r="E1167" s="28">
        <v>1.22</v>
      </c>
      <c r="F1167" s="28">
        <v>27</v>
      </c>
      <c r="G1167" s="28"/>
      <c r="H1167" s="28">
        <v>1.3</v>
      </c>
      <c r="I1167" s="28"/>
      <c r="J1167" s="134">
        <v>44545</v>
      </c>
      <c r="K1167" s="9">
        <f t="shared" si="74"/>
        <v>42.821999999999996</v>
      </c>
      <c r="L1167" s="9"/>
      <c r="M1167" s="9"/>
      <c r="N1167" s="9">
        <f t="shared" si="75"/>
        <v>0</v>
      </c>
      <c r="O1167" s="3">
        <f>K1167*1.6667</f>
        <v>71.371427400000002</v>
      </c>
    </row>
    <row r="1168" spans="1:15" ht="18" customHeight="1">
      <c r="A1168" s="16"/>
      <c r="B1168" s="28" t="s">
        <v>2266</v>
      </c>
      <c r="C1168" s="79" t="s">
        <v>1355</v>
      </c>
      <c r="D1168" s="28" t="s">
        <v>23</v>
      </c>
      <c r="E1168" s="28">
        <v>1.22</v>
      </c>
      <c r="F1168" s="80">
        <v>4.8</v>
      </c>
      <c r="G1168" s="79">
        <v>0.16</v>
      </c>
      <c r="H1168" s="80">
        <v>1.5</v>
      </c>
      <c r="I1168" s="79">
        <v>42</v>
      </c>
      <c r="J1168" s="134">
        <v>45545</v>
      </c>
      <c r="K1168" s="37">
        <f t="shared" si="74"/>
        <v>8.7839999999999989</v>
      </c>
      <c r="L1168" s="37"/>
      <c r="M1168" s="17"/>
      <c r="N1168" s="9">
        <f t="shared" si="75"/>
        <v>12.297599999999999</v>
      </c>
      <c r="O1168" s="16"/>
    </row>
    <row r="1169" spans="1:15" ht="18" customHeight="1">
      <c r="A1169" s="21">
        <v>126</v>
      </c>
      <c r="B1169" s="28" t="s">
        <v>3872</v>
      </c>
      <c r="C1169" s="28" t="s">
        <v>541</v>
      </c>
      <c r="D1169" s="28" t="s">
        <v>451</v>
      </c>
      <c r="E1169" s="28">
        <v>1</v>
      </c>
      <c r="F1169" s="28">
        <v>4.8</v>
      </c>
      <c r="G1169" s="28"/>
      <c r="H1169" s="28">
        <v>1.6</v>
      </c>
      <c r="I1169" s="28"/>
      <c r="J1169" s="133">
        <v>45593</v>
      </c>
      <c r="K1169" s="9">
        <f t="shared" si="74"/>
        <v>7.68</v>
      </c>
      <c r="L1169" s="9"/>
      <c r="M1169" s="9"/>
      <c r="N1169" s="9">
        <f t="shared" si="75"/>
        <v>0</v>
      </c>
      <c r="O1169" s="3">
        <f>K1169*1.6667</f>
        <v>12.800255999999999</v>
      </c>
    </row>
    <row r="1170" spans="1:15" ht="18" customHeight="1">
      <c r="A1170" s="21">
        <v>122</v>
      </c>
      <c r="B1170" s="28" t="s">
        <v>3871</v>
      </c>
      <c r="C1170" s="28" t="s">
        <v>302</v>
      </c>
      <c r="D1170" s="28" t="s">
        <v>451</v>
      </c>
      <c r="E1170" s="28">
        <v>1</v>
      </c>
      <c r="F1170" s="28">
        <v>2.8</v>
      </c>
      <c r="G1170" s="28"/>
      <c r="H1170" s="28">
        <v>1.6</v>
      </c>
      <c r="I1170" s="28"/>
      <c r="J1170" s="133">
        <v>45593</v>
      </c>
      <c r="K1170" s="9">
        <f t="shared" si="74"/>
        <v>4.4799999999999995</v>
      </c>
      <c r="L1170" s="9"/>
      <c r="M1170" s="9"/>
      <c r="N1170" s="9">
        <f t="shared" si="75"/>
        <v>0</v>
      </c>
      <c r="O1170" s="3">
        <f>K1170*1.6667</f>
        <v>7.4668159999999997</v>
      </c>
    </row>
    <row r="1171" spans="1:15" ht="18" customHeight="1">
      <c r="A1171" s="16"/>
      <c r="B1171" s="97" t="s">
        <v>2306</v>
      </c>
      <c r="C1171" s="119" t="s">
        <v>2307</v>
      </c>
      <c r="D1171" s="28" t="s">
        <v>451</v>
      </c>
      <c r="E1171" s="28">
        <v>1.22</v>
      </c>
      <c r="F1171" s="83">
        <v>137</v>
      </c>
      <c r="G1171" s="110"/>
      <c r="H1171" s="28">
        <v>1.3</v>
      </c>
      <c r="I1171" s="110"/>
      <c r="J1171" s="134">
        <v>44547</v>
      </c>
      <c r="K1171" s="35">
        <f t="shared" si="74"/>
        <v>217.28199999999998</v>
      </c>
      <c r="L1171" s="35"/>
      <c r="M1171" s="17"/>
      <c r="N1171" s="16"/>
      <c r="O1171" s="16"/>
    </row>
    <row r="1172" spans="1:15" ht="18" customHeight="1">
      <c r="A1172" s="21"/>
      <c r="B1172" s="96" t="s">
        <v>4320</v>
      </c>
      <c r="C1172" s="28">
        <v>15</v>
      </c>
      <c r="D1172" s="28" t="s">
        <v>451</v>
      </c>
      <c r="E1172" s="28">
        <v>1</v>
      </c>
      <c r="F1172" s="28">
        <v>60</v>
      </c>
      <c r="G1172" s="28"/>
      <c r="H1172" s="28">
        <v>1.6</v>
      </c>
      <c r="I1172" s="28"/>
      <c r="J1172" s="133">
        <v>45852</v>
      </c>
      <c r="K1172" s="9">
        <f t="shared" si="74"/>
        <v>96</v>
      </c>
      <c r="L1172" s="9"/>
      <c r="M1172" s="9"/>
      <c r="N1172" s="9">
        <f>G1172*H1172*I1172*E1172</f>
        <v>0</v>
      </c>
      <c r="O1172" s="3">
        <f>K1172*1.6667</f>
        <v>160.00319999999999</v>
      </c>
    </row>
    <row r="1173" spans="1:15" ht="18" customHeight="1">
      <c r="A1173" s="21"/>
      <c r="B1173" s="28" t="s">
        <v>4320</v>
      </c>
      <c r="C1173" s="28">
        <v>19</v>
      </c>
      <c r="D1173" s="28" t="s">
        <v>451</v>
      </c>
      <c r="E1173" s="28">
        <v>1</v>
      </c>
      <c r="F1173" s="28">
        <v>95</v>
      </c>
      <c r="G1173" s="28">
        <v>0</v>
      </c>
      <c r="H1173" s="28">
        <v>1.6</v>
      </c>
      <c r="I1173" s="28">
        <v>0</v>
      </c>
      <c r="J1173" s="133">
        <v>45852</v>
      </c>
      <c r="K1173" s="9">
        <f t="shared" si="74"/>
        <v>152</v>
      </c>
      <c r="L1173" s="9"/>
      <c r="M1173" s="9"/>
      <c r="N1173" s="9">
        <f>G1173*H1173*I1173*E1173</f>
        <v>0</v>
      </c>
      <c r="O1173" s="3">
        <f>K1173*1.6667</f>
        <v>253.33840000000001</v>
      </c>
    </row>
    <row r="1174" spans="1:15" ht="18" customHeight="1">
      <c r="A1174" s="32"/>
      <c r="B1174" s="28" t="s">
        <v>2150</v>
      </c>
      <c r="C1174" s="93"/>
      <c r="D1174" s="28" t="s">
        <v>451</v>
      </c>
      <c r="E1174" s="93">
        <v>1.22</v>
      </c>
      <c r="F1174" s="93">
        <v>184</v>
      </c>
      <c r="G1174" s="93"/>
      <c r="H1174" s="93">
        <v>1.6</v>
      </c>
      <c r="I1174" s="93"/>
      <c r="J1174" s="133">
        <v>44648</v>
      </c>
      <c r="K1174" s="9">
        <f t="shared" si="74"/>
        <v>359.16800000000001</v>
      </c>
      <c r="L1174" s="33"/>
      <c r="M1174" s="33"/>
      <c r="N1174" s="9">
        <f>G1174*H1174*I1174*E1174</f>
        <v>0</v>
      </c>
      <c r="O1174" s="3">
        <f>K1174*1.6667</f>
        <v>598.62530560000005</v>
      </c>
    </row>
    <row r="1175" spans="1:15" ht="18" customHeight="1">
      <c r="A1175" s="42"/>
      <c r="B1175" s="28" t="s">
        <v>2150</v>
      </c>
      <c r="C1175" s="152">
        <v>15</v>
      </c>
      <c r="D1175" s="28" t="s">
        <v>451</v>
      </c>
      <c r="E1175" s="93">
        <v>1.22</v>
      </c>
      <c r="F1175" s="152">
        <v>60</v>
      </c>
      <c r="G1175" s="251"/>
      <c r="H1175" s="152">
        <v>1.7</v>
      </c>
      <c r="I1175" s="251"/>
      <c r="J1175" s="133">
        <v>45813</v>
      </c>
      <c r="K1175" s="33">
        <f t="shared" si="74"/>
        <v>124.44</v>
      </c>
      <c r="L1175" s="308"/>
      <c r="M1175" s="309"/>
      <c r="N1175" s="70"/>
      <c r="O1175" s="70"/>
    </row>
    <row r="1176" spans="1:15" ht="18" customHeight="1">
      <c r="A1176" s="42"/>
      <c r="B1176" s="28" t="s">
        <v>2150</v>
      </c>
      <c r="C1176" s="152">
        <v>19</v>
      </c>
      <c r="D1176" s="28" t="s">
        <v>451</v>
      </c>
      <c r="E1176" s="93">
        <v>1.22</v>
      </c>
      <c r="F1176" s="152">
        <v>95</v>
      </c>
      <c r="G1176" s="251"/>
      <c r="H1176" s="152">
        <v>1.7</v>
      </c>
      <c r="I1176" s="251"/>
      <c r="J1176" s="133">
        <v>45813</v>
      </c>
      <c r="K1176" s="33">
        <f t="shared" si="74"/>
        <v>197.02999999999997</v>
      </c>
      <c r="L1176" s="308"/>
      <c r="M1176" s="309"/>
      <c r="N1176" s="70"/>
      <c r="O1176" s="70"/>
    </row>
    <row r="1177" spans="1:15" ht="18" customHeight="1">
      <c r="A1177" s="42"/>
      <c r="B1177" s="87" t="s">
        <v>3461</v>
      </c>
      <c r="C1177" s="110">
        <v>17</v>
      </c>
      <c r="D1177" s="28" t="s">
        <v>451</v>
      </c>
      <c r="E1177" s="93">
        <v>1.22</v>
      </c>
      <c r="F1177" s="160">
        <v>131</v>
      </c>
      <c r="G1177" s="123"/>
      <c r="H1177" s="160">
        <v>1.6</v>
      </c>
      <c r="I1177" s="123"/>
      <c r="J1177" s="135">
        <v>45407</v>
      </c>
      <c r="K1177" s="33">
        <f t="shared" si="74"/>
        <v>255.71199999999999</v>
      </c>
      <c r="L1177" s="161"/>
      <c r="M1177" s="51"/>
      <c r="N1177" s="233"/>
      <c r="O1177" s="39"/>
    </row>
    <row r="1178" spans="1:15" ht="18" customHeight="1">
      <c r="A1178" s="16"/>
      <c r="B1178" s="87" t="s">
        <v>3461</v>
      </c>
      <c r="C1178" s="110">
        <v>21</v>
      </c>
      <c r="D1178" s="28" t="s">
        <v>451</v>
      </c>
      <c r="E1178" s="28">
        <v>1.22</v>
      </c>
      <c r="F1178" s="87">
        <v>211</v>
      </c>
      <c r="G1178" s="110"/>
      <c r="H1178" s="87">
        <v>1.6</v>
      </c>
      <c r="I1178" s="110"/>
      <c r="J1178" s="135">
        <v>45407</v>
      </c>
      <c r="K1178" s="9">
        <f t="shared" si="74"/>
        <v>411.87200000000007</v>
      </c>
      <c r="L1178" s="37"/>
      <c r="M1178" s="17"/>
      <c r="N1178" s="233"/>
      <c r="O1178" s="39"/>
    </row>
    <row r="1179" spans="1:15" ht="18" customHeight="1">
      <c r="A1179" s="16"/>
      <c r="B1179" s="87" t="s">
        <v>3461</v>
      </c>
      <c r="C1179" s="110">
        <v>25</v>
      </c>
      <c r="D1179" s="28" t="s">
        <v>451</v>
      </c>
      <c r="E1179" s="28">
        <v>1.22</v>
      </c>
      <c r="F1179" s="87">
        <v>436</v>
      </c>
      <c r="G1179" s="110"/>
      <c r="H1179" s="87">
        <v>1.6</v>
      </c>
      <c r="I1179" s="110"/>
      <c r="J1179" s="135">
        <v>45407</v>
      </c>
      <c r="K1179" s="9">
        <f t="shared" si="74"/>
        <v>851.072</v>
      </c>
      <c r="L1179" s="37"/>
      <c r="M1179" s="17"/>
      <c r="N1179" s="233"/>
      <c r="O1179" s="39"/>
    </row>
    <row r="1180" spans="1:15" ht="18" customHeight="1">
      <c r="A1180" s="22"/>
      <c r="B1180" s="28" t="s">
        <v>2567</v>
      </c>
      <c r="C1180" s="28" t="s">
        <v>2568</v>
      </c>
      <c r="D1180" s="28" t="s">
        <v>451</v>
      </c>
      <c r="E1180" s="28">
        <v>1.22</v>
      </c>
      <c r="F1180" s="28">
        <v>160</v>
      </c>
      <c r="G1180" s="28"/>
      <c r="H1180" s="28">
        <v>1.4</v>
      </c>
      <c r="I1180" s="81"/>
      <c r="J1180" s="133">
        <v>44806</v>
      </c>
      <c r="K1180" s="9">
        <f t="shared" si="74"/>
        <v>273.27999999999997</v>
      </c>
      <c r="L1180" s="9"/>
      <c r="M1180" s="9"/>
      <c r="N1180" s="233"/>
      <c r="O1180" s="39"/>
    </row>
    <row r="1181" spans="1:15" s="48" customFormat="1" ht="18" hidden="1" customHeight="1">
      <c r="A1181" s="21"/>
      <c r="B1181" s="28" t="s">
        <v>578</v>
      </c>
      <c r="C1181" s="28" t="s">
        <v>466</v>
      </c>
      <c r="D1181" s="28" t="s">
        <v>451</v>
      </c>
      <c r="E1181" s="28">
        <v>1.22</v>
      </c>
      <c r="F1181" s="28">
        <v>48</v>
      </c>
      <c r="G1181" s="28"/>
      <c r="H1181" s="28">
        <v>1.6</v>
      </c>
      <c r="I1181" s="28"/>
      <c r="J1181" s="133">
        <v>43319</v>
      </c>
      <c r="K1181" s="9">
        <f t="shared" si="74"/>
        <v>93.696000000000012</v>
      </c>
      <c r="L1181" s="9"/>
      <c r="M1181" s="9"/>
      <c r="N1181" s="178">
        <f t="shared" ref="N1181:N1187" si="76">G1181*H1181*I1181*E1181</f>
        <v>0</v>
      </c>
      <c r="O1181" s="11">
        <f t="shared" ref="O1181:O1187" si="77">K1181*1.6667</f>
        <v>156.16312320000003</v>
      </c>
    </row>
    <row r="1182" spans="1:15" s="48" customFormat="1" ht="18" hidden="1" customHeight="1">
      <c r="A1182" s="21"/>
      <c r="B1182" s="28" t="s">
        <v>578</v>
      </c>
      <c r="C1182" s="28" t="s">
        <v>579</v>
      </c>
      <c r="D1182" s="28" t="s">
        <v>451</v>
      </c>
      <c r="E1182" s="28">
        <v>1.22</v>
      </c>
      <c r="F1182" s="28">
        <v>74</v>
      </c>
      <c r="G1182" s="28"/>
      <c r="H1182" s="28">
        <v>1.6</v>
      </c>
      <c r="I1182" s="28"/>
      <c r="J1182" s="133">
        <v>43244</v>
      </c>
      <c r="K1182" s="9">
        <f t="shared" si="74"/>
        <v>144.44800000000001</v>
      </c>
      <c r="L1182" s="9"/>
      <c r="M1182" s="9"/>
      <c r="N1182" s="178">
        <f t="shared" si="76"/>
        <v>0</v>
      </c>
      <c r="O1182" s="11">
        <f t="shared" si="77"/>
        <v>240.75148160000003</v>
      </c>
    </row>
    <row r="1183" spans="1:15" s="48" customFormat="1" ht="18" hidden="1" customHeight="1">
      <c r="A1183" s="21"/>
      <c r="B1183" s="28" t="s">
        <v>578</v>
      </c>
      <c r="C1183" s="28" t="s">
        <v>469</v>
      </c>
      <c r="D1183" s="28" t="s">
        <v>451</v>
      </c>
      <c r="E1183" s="28">
        <v>1.22</v>
      </c>
      <c r="F1183" s="28">
        <v>96</v>
      </c>
      <c r="G1183" s="28"/>
      <c r="H1183" s="28">
        <v>1.6</v>
      </c>
      <c r="I1183" s="28"/>
      <c r="J1183" s="133">
        <v>43244</v>
      </c>
      <c r="K1183" s="9">
        <f t="shared" si="74"/>
        <v>187.39200000000002</v>
      </c>
      <c r="L1183" s="9"/>
      <c r="M1183" s="9"/>
      <c r="N1183" s="178">
        <f t="shared" si="76"/>
        <v>0</v>
      </c>
      <c r="O1183" s="11">
        <f t="shared" si="77"/>
        <v>312.32624640000006</v>
      </c>
    </row>
    <row r="1184" spans="1:15" s="48" customFormat="1" ht="18" hidden="1" customHeight="1">
      <c r="A1184" s="21"/>
      <c r="B1184" s="28" t="s">
        <v>578</v>
      </c>
      <c r="C1184" s="28" t="s">
        <v>474</v>
      </c>
      <c r="D1184" s="28" t="s">
        <v>451</v>
      </c>
      <c r="E1184" s="28">
        <v>1.22</v>
      </c>
      <c r="F1184" s="28">
        <v>155</v>
      </c>
      <c r="G1184" s="28"/>
      <c r="H1184" s="28">
        <v>1.6</v>
      </c>
      <c r="I1184" s="28"/>
      <c r="J1184" s="133">
        <v>43244</v>
      </c>
      <c r="K1184" s="33">
        <f t="shared" si="74"/>
        <v>302.56</v>
      </c>
      <c r="L1184" s="9"/>
      <c r="M1184" s="9"/>
      <c r="N1184" s="178">
        <f t="shared" si="76"/>
        <v>0</v>
      </c>
      <c r="O1184" s="11">
        <f t="shared" si="77"/>
        <v>504.27675200000004</v>
      </c>
    </row>
    <row r="1185" spans="1:41" ht="18" hidden="1" customHeight="1">
      <c r="A1185" s="21"/>
      <c r="B1185" s="28" t="s">
        <v>578</v>
      </c>
      <c r="C1185" s="28" t="s">
        <v>475</v>
      </c>
      <c r="D1185" s="28" t="s">
        <v>451</v>
      </c>
      <c r="E1185" s="28">
        <v>1.22</v>
      </c>
      <c r="F1185" s="28">
        <v>194</v>
      </c>
      <c r="G1185" s="28"/>
      <c r="H1185" s="28">
        <v>1.6</v>
      </c>
      <c r="I1185" s="28"/>
      <c r="J1185" s="133">
        <v>43244</v>
      </c>
      <c r="K1185" s="33"/>
      <c r="L1185" s="9"/>
      <c r="M1185" s="9"/>
      <c r="N1185" s="13">
        <f t="shared" si="76"/>
        <v>0</v>
      </c>
      <c r="O1185" s="15">
        <f t="shared" si="77"/>
        <v>0</v>
      </c>
    </row>
    <row r="1186" spans="1:41" s="44" customFormat="1" ht="18" hidden="1" customHeight="1">
      <c r="A1186" s="21"/>
      <c r="B1186" s="28" t="s">
        <v>578</v>
      </c>
      <c r="C1186" s="28" t="s">
        <v>577</v>
      </c>
      <c r="D1186" s="28" t="s">
        <v>451</v>
      </c>
      <c r="E1186" s="28">
        <v>1.22</v>
      </c>
      <c r="F1186" s="28">
        <v>266</v>
      </c>
      <c r="G1186" s="28"/>
      <c r="H1186" s="28">
        <v>1.6</v>
      </c>
      <c r="I1186" s="28"/>
      <c r="J1186" s="133">
        <v>43244</v>
      </c>
      <c r="K1186" s="9"/>
      <c r="L1186" s="9"/>
      <c r="M1186" s="9"/>
      <c r="N1186" s="59">
        <f t="shared" si="76"/>
        <v>0</v>
      </c>
      <c r="O1186" s="3">
        <f t="shared" si="77"/>
        <v>0</v>
      </c>
    </row>
    <row r="1187" spans="1:41" ht="18" hidden="1" customHeight="1">
      <c r="A1187" s="21"/>
      <c r="B1187" s="28" t="s">
        <v>578</v>
      </c>
      <c r="C1187" s="28" t="s">
        <v>580</v>
      </c>
      <c r="D1187" s="28" t="s">
        <v>451</v>
      </c>
      <c r="E1187" s="28">
        <v>1.22</v>
      </c>
      <c r="F1187" s="28">
        <v>396</v>
      </c>
      <c r="G1187" s="28"/>
      <c r="H1187" s="28">
        <v>1.6</v>
      </c>
      <c r="I1187" s="28"/>
      <c r="J1187" s="133">
        <v>43244</v>
      </c>
      <c r="K1187" s="9">
        <f t="shared" ref="K1187:K1205" si="78">E1187*F1187*H1187</f>
        <v>772.99200000000008</v>
      </c>
      <c r="L1187" s="9"/>
      <c r="M1187" s="9"/>
      <c r="N1187" s="13">
        <f t="shared" si="76"/>
        <v>0</v>
      </c>
      <c r="O1187" s="15">
        <f t="shared" si="77"/>
        <v>1288.3457664000002</v>
      </c>
    </row>
    <row r="1188" spans="1:41" ht="18" customHeight="1">
      <c r="A1188" s="21"/>
      <c r="B1188" s="28" t="s">
        <v>843</v>
      </c>
      <c r="C1188" s="28">
        <v>12</v>
      </c>
      <c r="D1188" s="28" t="s">
        <v>451</v>
      </c>
      <c r="E1188" s="28">
        <v>1.22</v>
      </c>
      <c r="F1188" s="28">
        <v>36</v>
      </c>
      <c r="G1188" s="28"/>
      <c r="H1188" s="28">
        <v>1.6</v>
      </c>
      <c r="I1188" s="28"/>
      <c r="J1188" s="133">
        <v>45960</v>
      </c>
      <c r="K1188" s="9">
        <f t="shared" si="78"/>
        <v>70.272000000000006</v>
      </c>
      <c r="L1188" s="9"/>
      <c r="M1188" s="9"/>
      <c r="N1188" s="13"/>
      <c r="O1188" s="15"/>
    </row>
    <row r="1189" spans="1:41" ht="18" customHeight="1">
      <c r="A1189" s="21"/>
      <c r="B1189" s="28" t="s">
        <v>843</v>
      </c>
      <c r="C1189" s="28">
        <v>14</v>
      </c>
      <c r="D1189" s="28" t="s">
        <v>451</v>
      </c>
      <c r="E1189" s="28">
        <v>1.22</v>
      </c>
      <c r="F1189" s="28">
        <v>38</v>
      </c>
      <c r="G1189" s="28"/>
      <c r="H1189" s="28">
        <v>1.6</v>
      </c>
      <c r="I1189" s="28"/>
      <c r="J1189" s="133">
        <v>45960</v>
      </c>
      <c r="K1189" s="9">
        <f t="shared" si="78"/>
        <v>74.176000000000002</v>
      </c>
      <c r="L1189" s="9"/>
      <c r="M1189" s="9"/>
      <c r="N1189" s="13"/>
      <c r="O1189" s="15"/>
    </row>
    <row r="1190" spans="1:41" ht="18" customHeight="1">
      <c r="A1190" s="21"/>
      <c r="B1190" s="28" t="s">
        <v>843</v>
      </c>
      <c r="C1190" s="28">
        <v>16</v>
      </c>
      <c r="D1190" s="28" t="s">
        <v>451</v>
      </c>
      <c r="E1190" s="28">
        <v>1.22</v>
      </c>
      <c r="F1190" s="28">
        <v>42</v>
      </c>
      <c r="G1190" s="28"/>
      <c r="H1190" s="28">
        <v>1.6</v>
      </c>
      <c r="I1190" s="28"/>
      <c r="J1190" s="133">
        <v>45960</v>
      </c>
      <c r="K1190" s="9">
        <f t="shared" si="78"/>
        <v>81.984000000000009</v>
      </c>
      <c r="L1190" s="9"/>
      <c r="M1190" s="9"/>
      <c r="N1190" s="13"/>
      <c r="O1190" s="15"/>
    </row>
    <row r="1191" spans="1:41" s="44" customFormat="1" ht="18" customHeight="1">
      <c r="A1191" s="21"/>
      <c r="B1191" s="28" t="s">
        <v>843</v>
      </c>
      <c r="C1191" s="28" t="s">
        <v>464</v>
      </c>
      <c r="D1191" s="28" t="s">
        <v>451</v>
      </c>
      <c r="E1191" s="28">
        <v>1.22</v>
      </c>
      <c r="F1191" s="28">
        <v>47</v>
      </c>
      <c r="G1191" s="28"/>
      <c r="H1191" s="28">
        <v>1.6</v>
      </c>
      <c r="I1191" s="28"/>
      <c r="J1191" s="133">
        <v>45960</v>
      </c>
      <c r="K1191" s="9">
        <f t="shared" si="78"/>
        <v>91.744</v>
      </c>
      <c r="L1191" s="9"/>
      <c r="M1191" s="9"/>
      <c r="N1191" s="59">
        <f>G1191*H1191*I1191*E1191</f>
        <v>0</v>
      </c>
      <c r="O1191" s="3">
        <f>K1191*1.6667</f>
        <v>152.90972479999999</v>
      </c>
    </row>
    <row r="1192" spans="1:41" ht="18" customHeight="1">
      <c r="A1192" s="21"/>
      <c r="B1192" s="28" t="s">
        <v>843</v>
      </c>
      <c r="C1192" s="28" t="s">
        <v>466</v>
      </c>
      <c r="D1192" s="28" t="s">
        <v>451</v>
      </c>
      <c r="E1192" s="28">
        <v>1.22</v>
      </c>
      <c r="F1192" s="28">
        <v>59</v>
      </c>
      <c r="G1192" s="28"/>
      <c r="H1192" s="28">
        <v>1.6</v>
      </c>
      <c r="I1192" s="28"/>
      <c r="J1192" s="133">
        <v>45960</v>
      </c>
      <c r="K1192" s="9">
        <f t="shared" si="78"/>
        <v>115.16800000000001</v>
      </c>
      <c r="L1192" s="9"/>
      <c r="M1192" s="9"/>
      <c r="N1192" s="13">
        <f>G1192*H1192*I1192*E1192</f>
        <v>0</v>
      </c>
      <c r="O1192" s="15">
        <f>K1192*1.6667</f>
        <v>191.95050560000001</v>
      </c>
    </row>
    <row r="1193" spans="1:41" ht="18" customHeight="1">
      <c r="A1193" s="21"/>
      <c r="B1193" s="28" t="s">
        <v>843</v>
      </c>
      <c r="C1193" s="28" t="s">
        <v>467</v>
      </c>
      <c r="D1193" s="28" t="s">
        <v>451</v>
      </c>
      <c r="E1193" s="28">
        <v>1.22</v>
      </c>
      <c r="F1193" s="28">
        <v>78</v>
      </c>
      <c r="G1193" s="28"/>
      <c r="H1193" s="28">
        <v>1.6</v>
      </c>
      <c r="I1193" s="28"/>
      <c r="J1193" s="133">
        <v>45960</v>
      </c>
      <c r="K1193" s="9">
        <f t="shared" si="78"/>
        <v>152.256</v>
      </c>
      <c r="L1193" s="9"/>
      <c r="M1193" s="9"/>
      <c r="N1193" s="13">
        <f>G1193*H1193*I1193*E1193</f>
        <v>0</v>
      </c>
      <c r="O1193" s="15">
        <f>K1193*1.6667</f>
        <v>253.76507520000001</v>
      </c>
    </row>
    <row r="1194" spans="1:41" ht="18" customHeight="1">
      <c r="A1194" s="21"/>
      <c r="B1194" s="28" t="s">
        <v>843</v>
      </c>
      <c r="C1194" s="28" t="s">
        <v>468</v>
      </c>
      <c r="D1194" s="28" t="s">
        <v>451</v>
      </c>
      <c r="E1194" s="28">
        <v>1.22</v>
      </c>
      <c r="F1194" s="28">
        <v>113</v>
      </c>
      <c r="G1194" s="28"/>
      <c r="H1194" s="28">
        <v>1.6</v>
      </c>
      <c r="I1194" s="28"/>
      <c r="J1194" s="133">
        <v>45960</v>
      </c>
      <c r="K1194" s="9">
        <f t="shared" si="78"/>
        <v>220.57599999999999</v>
      </c>
      <c r="L1194" s="13"/>
      <c r="M1194" s="13"/>
      <c r="N1194" s="13">
        <f>G1194*H1194*I1194*E1194</f>
        <v>0</v>
      </c>
      <c r="O1194" s="15">
        <f>K1194*1.6667</f>
        <v>367.63401920000001</v>
      </c>
      <c r="AO1194" t="s">
        <v>3924</v>
      </c>
    </row>
    <row r="1195" spans="1:41" ht="18" customHeight="1">
      <c r="A1195" s="21"/>
      <c r="B1195" s="28" t="s">
        <v>843</v>
      </c>
      <c r="C1195" s="28" t="s">
        <v>469</v>
      </c>
      <c r="D1195" s="28" t="s">
        <v>451</v>
      </c>
      <c r="E1195" s="28">
        <v>1.22</v>
      </c>
      <c r="F1195" s="28">
        <v>133</v>
      </c>
      <c r="G1195" s="28"/>
      <c r="H1195" s="28">
        <v>1.6</v>
      </c>
      <c r="I1195" s="28"/>
      <c r="J1195" s="133">
        <v>45960</v>
      </c>
      <c r="K1195" s="9">
        <f t="shared" si="78"/>
        <v>259.61599999999999</v>
      </c>
      <c r="L1195" s="33"/>
      <c r="M1195" s="13"/>
      <c r="N1195" s="13">
        <f>G1195*H1195*I1195*E1195</f>
        <v>0</v>
      </c>
      <c r="O1195" s="15">
        <f>K1195*1.6667</f>
        <v>432.70198720000002</v>
      </c>
    </row>
    <row r="1196" spans="1:41" ht="18" customHeight="1">
      <c r="A1196" s="21"/>
      <c r="B1196" s="28" t="s">
        <v>1638</v>
      </c>
      <c r="C1196" s="28" t="s">
        <v>1356</v>
      </c>
      <c r="D1196" s="28" t="s">
        <v>451</v>
      </c>
      <c r="E1196" s="28">
        <v>1.22</v>
      </c>
      <c r="F1196" s="28">
        <v>105</v>
      </c>
      <c r="G1196" s="28"/>
      <c r="H1196" s="28">
        <v>1.6</v>
      </c>
      <c r="I1196" s="28"/>
      <c r="J1196" s="133">
        <v>43914</v>
      </c>
      <c r="K1196" s="9">
        <f t="shared" si="78"/>
        <v>204.96</v>
      </c>
      <c r="L1196" s="9"/>
      <c r="M1196" s="9"/>
      <c r="N1196" s="9"/>
      <c r="O1196" s="3"/>
    </row>
    <row r="1197" spans="1:41" ht="18" customHeight="1">
      <c r="A1197" s="21"/>
      <c r="B1197" s="28" t="s">
        <v>1638</v>
      </c>
      <c r="C1197" s="28" t="s">
        <v>538</v>
      </c>
      <c r="D1197" s="28" t="s">
        <v>451</v>
      </c>
      <c r="E1197" s="28">
        <v>1.22</v>
      </c>
      <c r="F1197" s="28">
        <v>131</v>
      </c>
      <c r="G1197" s="28"/>
      <c r="H1197" s="28">
        <v>1.6</v>
      </c>
      <c r="I1197" s="28"/>
      <c r="J1197" s="133">
        <v>43914</v>
      </c>
      <c r="K1197" s="9">
        <f t="shared" si="78"/>
        <v>255.71199999999999</v>
      </c>
      <c r="L1197" s="9"/>
      <c r="M1197" s="9"/>
      <c r="N1197" s="9"/>
      <c r="O1197" s="3"/>
    </row>
    <row r="1198" spans="1:41" ht="18" customHeight="1">
      <c r="A1198" s="21"/>
      <c r="B1198" s="28" t="s">
        <v>1638</v>
      </c>
      <c r="C1198" s="28" t="s">
        <v>141</v>
      </c>
      <c r="D1198" s="28" t="s">
        <v>451</v>
      </c>
      <c r="E1198" s="28">
        <v>1.22</v>
      </c>
      <c r="F1198" s="28">
        <v>182</v>
      </c>
      <c r="G1198" s="28"/>
      <c r="H1198" s="28">
        <v>1.6</v>
      </c>
      <c r="I1198" s="28"/>
      <c r="J1198" s="133">
        <v>43914</v>
      </c>
      <c r="K1198" s="9">
        <f t="shared" si="78"/>
        <v>355.26400000000001</v>
      </c>
      <c r="L1198" s="9"/>
      <c r="M1198" s="9"/>
      <c r="N1198" s="9"/>
      <c r="O1198" s="3"/>
    </row>
    <row r="1199" spans="1:41" ht="18" customHeight="1">
      <c r="A1199" s="21"/>
      <c r="B1199" s="28" t="s">
        <v>1638</v>
      </c>
      <c r="C1199" s="28" t="s">
        <v>1357</v>
      </c>
      <c r="D1199" s="28" t="s">
        <v>451</v>
      </c>
      <c r="E1199" s="28">
        <v>1.22</v>
      </c>
      <c r="F1199" s="28">
        <v>249</v>
      </c>
      <c r="G1199" s="28"/>
      <c r="H1199" s="28">
        <v>1.6</v>
      </c>
      <c r="I1199" s="28"/>
      <c r="J1199" s="133">
        <v>43914</v>
      </c>
      <c r="K1199" s="9">
        <f t="shared" si="78"/>
        <v>486.048</v>
      </c>
      <c r="L1199" s="9"/>
      <c r="M1199" s="9"/>
      <c r="N1199" s="9"/>
      <c r="O1199" s="3"/>
    </row>
    <row r="1200" spans="1:41" ht="18" customHeight="1">
      <c r="A1200" s="21"/>
      <c r="B1200" s="28" t="s">
        <v>1638</v>
      </c>
      <c r="C1200" s="28" t="s">
        <v>1358</v>
      </c>
      <c r="D1200" s="28" t="s">
        <v>451</v>
      </c>
      <c r="E1200" s="28">
        <v>1.22</v>
      </c>
      <c r="F1200" s="28">
        <v>254</v>
      </c>
      <c r="G1200" s="28"/>
      <c r="H1200" s="28">
        <v>1.6</v>
      </c>
      <c r="I1200" s="28"/>
      <c r="J1200" s="133">
        <v>43914</v>
      </c>
      <c r="K1200" s="9">
        <f t="shared" si="78"/>
        <v>495.80799999999999</v>
      </c>
      <c r="L1200" s="9"/>
      <c r="M1200" s="9"/>
      <c r="N1200" s="9"/>
      <c r="O1200" s="3"/>
    </row>
    <row r="1201" spans="1:15" ht="18" customHeight="1">
      <c r="A1201" s="21"/>
      <c r="B1201" s="28" t="s">
        <v>1638</v>
      </c>
      <c r="C1201" s="28" t="s">
        <v>1359</v>
      </c>
      <c r="D1201" s="28" t="s">
        <v>451</v>
      </c>
      <c r="E1201" s="28">
        <v>1.22</v>
      </c>
      <c r="F1201" s="28">
        <v>432</v>
      </c>
      <c r="G1201" s="28"/>
      <c r="H1201" s="28">
        <v>1.6</v>
      </c>
      <c r="I1201" s="28"/>
      <c r="J1201" s="133">
        <v>43914</v>
      </c>
      <c r="K1201" s="9">
        <f t="shared" si="78"/>
        <v>843.26400000000001</v>
      </c>
      <c r="L1201" s="9"/>
      <c r="M1201" s="9"/>
      <c r="N1201" s="9"/>
      <c r="O1201" s="3"/>
    </row>
    <row r="1202" spans="1:15" ht="18" customHeight="1">
      <c r="A1202" s="16"/>
      <c r="B1202" s="87" t="s">
        <v>4290</v>
      </c>
      <c r="C1202" s="110">
        <v>20</v>
      </c>
      <c r="D1202" s="28" t="s">
        <v>451</v>
      </c>
      <c r="E1202" s="28">
        <v>1.22</v>
      </c>
      <c r="F1202" s="87">
        <v>110</v>
      </c>
      <c r="G1202" s="110"/>
      <c r="H1202" s="28">
        <v>1.6</v>
      </c>
      <c r="I1202" s="110"/>
      <c r="J1202" s="133">
        <v>45909</v>
      </c>
      <c r="K1202" s="9">
        <f t="shared" si="78"/>
        <v>214.72</v>
      </c>
      <c r="L1202" s="37"/>
      <c r="M1202" s="17"/>
      <c r="N1202" s="16"/>
      <c r="O1202" s="16"/>
    </row>
    <row r="1203" spans="1:15" ht="18" customHeight="1">
      <c r="A1203" s="21" t="s">
        <v>2424</v>
      </c>
      <c r="B1203" s="28" t="s">
        <v>2425</v>
      </c>
      <c r="C1203" s="28" t="s">
        <v>2426</v>
      </c>
      <c r="D1203" s="28" t="s">
        <v>451</v>
      </c>
      <c r="E1203" s="28">
        <v>1.22</v>
      </c>
      <c r="F1203" s="28">
        <v>177</v>
      </c>
      <c r="G1203" s="28"/>
      <c r="H1203" s="28">
        <v>1.6</v>
      </c>
      <c r="I1203" s="28"/>
      <c r="J1203" s="133">
        <v>44608</v>
      </c>
      <c r="K1203" s="9">
        <f t="shared" si="78"/>
        <v>345.50400000000002</v>
      </c>
      <c r="L1203" s="9"/>
      <c r="M1203" s="9"/>
      <c r="N1203" s="9">
        <f>G1203*H1203*I1203*E1203</f>
        <v>0</v>
      </c>
      <c r="O1203" s="3">
        <f>K1203*1.6667</f>
        <v>575.85151680000001</v>
      </c>
    </row>
    <row r="1204" spans="1:15" ht="18" customHeight="1">
      <c r="A1204" s="46">
        <v>100194</v>
      </c>
      <c r="B1204" s="28" t="s">
        <v>4086</v>
      </c>
      <c r="C1204" s="28" t="s">
        <v>4083</v>
      </c>
      <c r="D1204" s="28" t="s">
        <v>1859</v>
      </c>
      <c r="E1204" s="28">
        <v>1.22</v>
      </c>
      <c r="F1204" s="28">
        <v>17.22</v>
      </c>
      <c r="G1204" s="110"/>
      <c r="H1204" s="28">
        <v>1.7</v>
      </c>
      <c r="I1204" s="110"/>
      <c r="J1204" s="134">
        <v>45714</v>
      </c>
      <c r="K1204" s="9">
        <f t="shared" si="78"/>
        <v>35.714279999999995</v>
      </c>
      <c r="L1204" s="35"/>
      <c r="M1204" s="17"/>
      <c r="N1204" s="16"/>
      <c r="O1204" s="16"/>
    </row>
    <row r="1205" spans="1:15" ht="18" customHeight="1">
      <c r="A1205" s="16"/>
      <c r="B1205" s="89" t="s">
        <v>2948</v>
      </c>
      <c r="C1205" s="28" t="s">
        <v>556</v>
      </c>
      <c r="D1205" s="28" t="s">
        <v>451</v>
      </c>
      <c r="E1205" s="28">
        <v>1.22</v>
      </c>
      <c r="F1205" s="28">
        <v>160</v>
      </c>
      <c r="G1205" s="110"/>
      <c r="H1205" s="28">
        <v>1.8</v>
      </c>
      <c r="I1205" s="110"/>
      <c r="J1205" s="135">
        <v>45005</v>
      </c>
      <c r="K1205" s="37">
        <f t="shared" si="78"/>
        <v>351.36</v>
      </c>
      <c r="L1205" s="37"/>
      <c r="M1205" s="17"/>
      <c r="N1205" s="16"/>
      <c r="O1205" s="16"/>
    </row>
    <row r="1206" spans="1:15" ht="18" customHeight="1">
      <c r="A1206" s="21">
        <v>100120</v>
      </c>
      <c r="B1206" s="28" t="s">
        <v>4097</v>
      </c>
      <c r="C1206" s="28" t="s">
        <v>4098</v>
      </c>
      <c r="D1206" s="28" t="s">
        <v>1859</v>
      </c>
      <c r="E1206" s="28">
        <v>1.22</v>
      </c>
      <c r="F1206" s="28">
        <v>10.57</v>
      </c>
      <c r="G1206" s="28">
        <v>1.05</v>
      </c>
      <c r="H1206" s="28">
        <v>1.7</v>
      </c>
      <c r="I1206" s="28"/>
      <c r="J1206" s="133">
        <v>45714</v>
      </c>
      <c r="K1206" s="9">
        <f>E1206*F1206*H1206*G1206</f>
        <v>23.018289000000003</v>
      </c>
      <c r="L1206" s="9"/>
      <c r="M1206" s="9"/>
      <c r="N1206" s="9">
        <f>G1206*H1206*I1206*E1206</f>
        <v>0</v>
      </c>
      <c r="O1206" s="3">
        <f>K1206*1.6667</f>
        <v>38.364582276300006</v>
      </c>
    </row>
    <row r="1207" spans="1:15" ht="18" customHeight="1">
      <c r="A1207" s="16" t="s">
        <v>3002</v>
      </c>
      <c r="B1207" s="90" t="s">
        <v>3003</v>
      </c>
      <c r="C1207" s="110" t="s">
        <v>3004</v>
      </c>
      <c r="D1207" s="28" t="s">
        <v>451</v>
      </c>
      <c r="E1207" s="28">
        <v>1.22</v>
      </c>
      <c r="F1207" s="90">
        <v>194</v>
      </c>
      <c r="G1207" s="110"/>
      <c r="H1207" s="28">
        <v>1.5</v>
      </c>
      <c r="I1207" s="110"/>
      <c r="J1207" s="135">
        <v>45030</v>
      </c>
      <c r="K1207" s="35">
        <f t="shared" ref="K1207:K1238" si="79">E1207*F1207*H1207</f>
        <v>355.02</v>
      </c>
      <c r="L1207" s="35"/>
      <c r="M1207" s="17"/>
      <c r="N1207" s="16"/>
      <c r="O1207" s="16"/>
    </row>
    <row r="1208" spans="1:15" ht="18" customHeight="1">
      <c r="A1208" s="25" t="s">
        <v>3873</v>
      </c>
      <c r="B1208" s="87" t="s">
        <v>3874</v>
      </c>
      <c r="C1208" s="110" t="s">
        <v>3875</v>
      </c>
      <c r="D1208" s="110" t="s">
        <v>1921</v>
      </c>
      <c r="E1208" s="87">
        <v>1.22</v>
      </c>
      <c r="F1208" s="87">
        <v>226</v>
      </c>
      <c r="G1208" s="110"/>
      <c r="H1208" s="87">
        <v>1.6</v>
      </c>
      <c r="I1208" s="110"/>
      <c r="J1208" s="135">
        <v>45589</v>
      </c>
      <c r="K1208" s="37">
        <f t="shared" si="79"/>
        <v>441.15199999999999</v>
      </c>
      <c r="L1208" s="37"/>
      <c r="M1208" s="17"/>
      <c r="N1208" s="16"/>
      <c r="O1208" s="16"/>
    </row>
    <row r="1209" spans="1:15" ht="18" customHeight="1">
      <c r="A1209" s="21" t="s">
        <v>3226</v>
      </c>
      <c r="B1209" s="86" t="s">
        <v>3443</v>
      </c>
      <c r="C1209" s="28" t="s">
        <v>2784</v>
      </c>
      <c r="D1209" s="28" t="s">
        <v>1921</v>
      </c>
      <c r="E1209" s="28">
        <v>1.22</v>
      </c>
      <c r="F1209" s="28">
        <v>79</v>
      </c>
      <c r="G1209" s="28"/>
      <c r="H1209" s="28">
        <v>1.8</v>
      </c>
      <c r="I1209" s="28"/>
      <c r="J1209" s="133">
        <v>45819</v>
      </c>
      <c r="K1209" s="9">
        <f t="shared" si="79"/>
        <v>173.48400000000001</v>
      </c>
      <c r="L1209" s="9"/>
      <c r="M1209" s="9"/>
      <c r="N1209" s="9">
        <f>G1209*H1209*I1209*E1209</f>
        <v>0</v>
      </c>
      <c r="O1209" s="3">
        <f>K1209*1.6667</f>
        <v>289.14578280000001</v>
      </c>
    </row>
    <row r="1210" spans="1:15" ht="18" customHeight="1">
      <c r="A1210" s="21" t="s">
        <v>3226</v>
      </c>
      <c r="B1210" s="28" t="s">
        <v>3227</v>
      </c>
      <c r="C1210" s="28" t="s">
        <v>2784</v>
      </c>
      <c r="D1210" s="28" t="s">
        <v>451</v>
      </c>
      <c r="E1210" s="28">
        <v>1.22</v>
      </c>
      <c r="F1210" s="28">
        <v>91</v>
      </c>
      <c r="G1210" s="28"/>
      <c r="H1210" s="28">
        <v>1.6</v>
      </c>
      <c r="I1210" s="28"/>
      <c r="J1210" s="133">
        <v>45231</v>
      </c>
      <c r="K1210" s="9">
        <f t="shared" si="79"/>
        <v>177.63200000000001</v>
      </c>
      <c r="L1210" s="9"/>
      <c r="M1210" s="9"/>
      <c r="N1210" s="9">
        <f>G1210*H1210*I1210*E1210</f>
        <v>0</v>
      </c>
      <c r="O1210" s="3">
        <f>K1210*1.6667</f>
        <v>296.05925440000004</v>
      </c>
    </row>
    <row r="1211" spans="1:15" ht="18" customHeight="1">
      <c r="A1211" s="16" t="s">
        <v>1950</v>
      </c>
      <c r="B1211" s="90" t="s">
        <v>1933</v>
      </c>
      <c r="C1211" s="114" t="s">
        <v>1934</v>
      </c>
      <c r="D1211" s="28" t="s">
        <v>451</v>
      </c>
      <c r="E1211" s="28">
        <v>1.22</v>
      </c>
      <c r="F1211" s="90">
        <v>73</v>
      </c>
      <c r="G1211" s="110"/>
      <c r="H1211" s="28">
        <v>1.4</v>
      </c>
      <c r="I1211" s="110"/>
      <c r="J1211" s="135">
        <v>44258</v>
      </c>
      <c r="K1211" s="35">
        <f t="shared" si="79"/>
        <v>124.684</v>
      </c>
      <c r="L1211" s="35"/>
      <c r="M1211" s="17"/>
      <c r="N1211" s="16"/>
      <c r="O1211" s="16"/>
    </row>
    <row r="1212" spans="1:15" ht="18" customHeight="1">
      <c r="A1212" s="46" t="s">
        <v>1951</v>
      </c>
      <c r="B1212" s="83" t="s">
        <v>1933</v>
      </c>
      <c r="C1212" s="109" t="s">
        <v>1935</v>
      </c>
      <c r="D1212" s="28" t="s">
        <v>1921</v>
      </c>
      <c r="E1212" s="28">
        <v>1.22</v>
      </c>
      <c r="F1212" s="83">
        <v>194</v>
      </c>
      <c r="G1212" s="110"/>
      <c r="H1212" s="28">
        <v>1.4</v>
      </c>
      <c r="I1212" s="110"/>
      <c r="J1212" s="134">
        <v>46009</v>
      </c>
      <c r="K1212" s="35">
        <f t="shared" si="79"/>
        <v>331.35199999999998</v>
      </c>
      <c r="L1212" s="35"/>
      <c r="M1212" s="17"/>
      <c r="N1212" s="16"/>
      <c r="O1212" s="16"/>
    </row>
    <row r="1213" spans="1:15" ht="18" customHeight="1">
      <c r="A1213" s="46" t="s">
        <v>2781</v>
      </c>
      <c r="B1213" s="83" t="s">
        <v>1943</v>
      </c>
      <c r="C1213" s="79" t="s">
        <v>2782</v>
      </c>
      <c r="D1213" s="28" t="s">
        <v>1921</v>
      </c>
      <c r="E1213" s="28">
        <v>1.22</v>
      </c>
      <c r="F1213" s="83">
        <v>249</v>
      </c>
      <c r="G1213" s="110"/>
      <c r="H1213" s="28">
        <v>1.5</v>
      </c>
      <c r="I1213" s="110"/>
      <c r="J1213" s="134">
        <v>45636</v>
      </c>
      <c r="K1213" s="35">
        <f t="shared" si="79"/>
        <v>455.66999999999996</v>
      </c>
      <c r="L1213" s="35"/>
      <c r="M1213" s="17"/>
      <c r="N1213" s="16"/>
      <c r="O1213" s="16"/>
    </row>
    <row r="1214" spans="1:15" ht="18" customHeight="1">
      <c r="A1214" s="68" t="s">
        <v>3965</v>
      </c>
      <c r="B1214" s="83" t="s">
        <v>1943</v>
      </c>
      <c r="C1214" s="110" t="s">
        <v>3966</v>
      </c>
      <c r="D1214" s="28" t="s">
        <v>1921</v>
      </c>
      <c r="E1214" s="28">
        <v>1.22</v>
      </c>
      <c r="F1214" s="87">
        <v>142</v>
      </c>
      <c r="G1214" s="110"/>
      <c r="H1214" s="87">
        <v>1.5</v>
      </c>
      <c r="I1214" s="110"/>
      <c r="J1214" s="134">
        <v>45636</v>
      </c>
      <c r="K1214" s="37">
        <f t="shared" si="79"/>
        <v>259.86</v>
      </c>
      <c r="L1214" s="37"/>
      <c r="M1214" s="17"/>
      <c r="N1214" s="16"/>
      <c r="O1214" s="16"/>
    </row>
    <row r="1215" spans="1:15" ht="18" customHeight="1">
      <c r="A1215" s="16"/>
      <c r="B1215" s="87" t="s">
        <v>3449</v>
      </c>
      <c r="C1215" s="110">
        <v>22</v>
      </c>
      <c r="D1215" s="28" t="s">
        <v>451</v>
      </c>
      <c r="E1215" s="28">
        <v>1.22</v>
      </c>
      <c r="F1215" s="87">
        <v>256</v>
      </c>
      <c r="G1215" s="110"/>
      <c r="H1215" s="87">
        <v>1.6</v>
      </c>
      <c r="I1215" s="110"/>
      <c r="J1215" s="135">
        <v>45407</v>
      </c>
      <c r="K1215" s="37">
        <f t="shared" si="79"/>
        <v>499.71199999999999</v>
      </c>
      <c r="L1215" s="37"/>
      <c r="M1215" s="17"/>
      <c r="N1215" s="16"/>
      <c r="O1215" s="16"/>
    </row>
    <row r="1216" spans="1:15" ht="18" customHeight="1">
      <c r="A1216" s="16" t="s">
        <v>2044</v>
      </c>
      <c r="B1216" s="87" t="s">
        <v>2042</v>
      </c>
      <c r="C1216" s="110"/>
      <c r="D1216" s="28" t="s">
        <v>451</v>
      </c>
      <c r="E1216" s="28">
        <v>1.22</v>
      </c>
      <c r="F1216" s="87">
        <v>102</v>
      </c>
      <c r="G1216" s="110"/>
      <c r="H1216" s="87">
        <v>1.5</v>
      </c>
      <c r="I1216" s="110"/>
      <c r="J1216" s="135">
        <v>44210</v>
      </c>
      <c r="K1216" s="37">
        <f t="shared" si="79"/>
        <v>186.66</v>
      </c>
      <c r="L1216" s="37"/>
      <c r="M1216" s="17"/>
      <c r="N1216" s="16"/>
      <c r="O1216" s="16"/>
    </row>
    <row r="1217" spans="1:15" ht="18" customHeight="1">
      <c r="A1217" s="16" t="s">
        <v>2043</v>
      </c>
      <c r="B1217" s="87" t="s">
        <v>2042</v>
      </c>
      <c r="C1217" s="110"/>
      <c r="D1217" s="28" t="s">
        <v>451</v>
      </c>
      <c r="E1217" s="28">
        <v>1.22</v>
      </c>
      <c r="F1217" s="87">
        <v>84</v>
      </c>
      <c r="G1217" s="110"/>
      <c r="H1217" s="87">
        <v>1.5</v>
      </c>
      <c r="I1217" s="110"/>
      <c r="J1217" s="135">
        <v>44399</v>
      </c>
      <c r="K1217" s="37">
        <f t="shared" si="79"/>
        <v>153.72</v>
      </c>
      <c r="L1217" s="37"/>
      <c r="M1217" s="17"/>
      <c r="N1217" s="16"/>
      <c r="O1217" s="16"/>
    </row>
    <row r="1218" spans="1:15" ht="18" customHeight="1">
      <c r="A1218" s="46" t="s">
        <v>2741</v>
      </c>
      <c r="B1218" s="166" t="s">
        <v>2742</v>
      </c>
      <c r="C1218" s="109" t="s">
        <v>2743</v>
      </c>
      <c r="D1218" s="28" t="s">
        <v>451</v>
      </c>
      <c r="E1218" s="28">
        <v>1.22</v>
      </c>
      <c r="F1218" s="80">
        <v>44</v>
      </c>
      <c r="G1218" s="110"/>
      <c r="H1218" s="28">
        <v>1.4</v>
      </c>
      <c r="I1218" s="110"/>
      <c r="J1218" s="134">
        <v>44881</v>
      </c>
      <c r="K1218" s="35">
        <f t="shared" si="79"/>
        <v>75.152000000000001</v>
      </c>
      <c r="L1218" s="35"/>
      <c r="M1218" s="17"/>
      <c r="N1218" s="16"/>
      <c r="O1218" s="16"/>
    </row>
    <row r="1219" spans="1:15" ht="18" customHeight="1">
      <c r="A1219" s="46" t="s">
        <v>2258</v>
      </c>
      <c r="B1219" s="80" t="s">
        <v>2742</v>
      </c>
      <c r="C1219" s="79" t="s">
        <v>2257</v>
      </c>
      <c r="D1219" s="28" t="s">
        <v>451</v>
      </c>
      <c r="E1219" s="28">
        <v>1.22</v>
      </c>
      <c r="F1219" s="80">
        <v>54</v>
      </c>
      <c r="G1219" s="110"/>
      <c r="H1219" s="28">
        <v>1.5</v>
      </c>
      <c r="I1219" s="110"/>
      <c r="J1219" s="134">
        <v>45175</v>
      </c>
      <c r="K1219" s="35">
        <f t="shared" si="79"/>
        <v>98.82</v>
      </c>
      <c r="L1219" s="35"/>
      <c r="M1219" s="17"/>
      <c r="N1219" s="16"/>
      <c r="O1219" s="16"/>
    </row>
    <row r="1220" spans="1:15" ht="18" customHeight="1">
      <c r="A1220" s="46" t="s">
        <v>1960</v>
      </c>
      <c r="B1220" s="83" t="s">
        <v>2748</v>
      </c>
      <c r="C1220" s="79" t="s">
        <v>2749</v>
      </c>
      <c r="D1220" s="28" t="s">
        <v>1921</v>
      </c>
      <c r="E1220" s="28">
        <v>1.22</v>
      </c>
      <c r="F1220" s="83">
        <v>279</v>
      </c>
      <c r="G1220" s="110"/>
      <c r="H1220" s="28">
        <v>1.5</v>
      </c>
      <c r="I1220" s="110"/>
      <c r="J1220" s="134">
        <v>46009</v>
      </c>
      <c r="K1220" s="35">
        <f t="shared" si="79"/>
        <v>510.57</v>
      </c>
      <c r="L1220" s="35"/>
      <c r="M1220" s="17"/>
      <c r="N1220" s="16"/>
      <c r="O1220" s="16"/>
    </row>
    <row r="1221" spans="1:15" ht="18" customHeight="1">
      <c r="A1221" s="182" t="s">
        <v>2258</v>
      </c>
      <c r="B1221" s="152" t="s">
        <v>2742</v>
      </c>
      <c r="C1221" s="251" t="s">
        <v>3444</v>
      </c>
      <c r="D1221" s="93" t="s">
        <v>1921</v>
      </c>
      <c r="E1221" s="93">
        <v>1.22</v>
      </c>
      <c r="F1221" s="152">
        <v>51</v>
      </c>
      <c r="G1221" s="123"/>
      <c r="H1221" s="93">
        <v>1.8</v>
      </c>
      <c r="I1221" s="123"/>
      <c r="J1221" s="183">
        <v>45960</v>
      </c>
      <c r="K1221" s="33">
        <f t="shared" si="79"/>
        <v>111.996</v>
      </c>
      <c r="L1221" s="33"/>
      <c r="M1221" s="51"/>
      <c r="N1221" s="42"/>
      <c r="O1221" s="42"/>
    </row>
    <row r="1222" spans="1:15" ht="18" customHeight="1">
      <c r="A1222" s="46" t="s">
        <v>1962</v>
      </c>
      <c r="B1222" s="83" t="s">
        <v>2747</v>
      </c>
      <c r="C1222" s="79" t="s">
        <v>1875</v>
      </c>
      <c r="D1222" s="28" t="s">
        <v>451</v>
      </c>
      <c r="E1222" s="28">
        <v>1.22</v>
      </c>
      <c r="F1222" s="83">
        <v>142</v>
      </c>
      <c r="G1222" s="110"/>
      <c r="H1222" s="28">
        <v>1.5</v>
      </c>
      <c r="I1222" s="110"/>
      <c r="J1222" s="134">
        <v>45231</v>
      </c>
      <c r="K1222" s="35">
        <f t="shared" si="79"/>
        <v>259.86</v>
      </c>
      <c r="L1222" s="35"/>
      <c r="M1222" s="17"/>
      <c r="N1222" s="16"/>
      <c r="O1222" s="16"/>
    </row>
    <row r="1223" spans="1:15" ht="18" customHeight="1">
      <c r="A1223" s="46" t="s">
        <v>2039</v>
      </c>
      <c r="B1223" s="80" t="s">
        <v>3225</v>
      </c>
      <c r="C1223" s="79" t="s">
        <v>1874</v>
      </c>
      <c r="D1223" s="28" t="s">
        <v>1921</v>
      </c>
      <c r="E1223" s="28">
        <v>1.22</v>
      </c>
      <c r="F1223" s="80">
        <v>68</v>
      </c>
      <c r="G1223" s="110"/>
      <c r="H1223" s="28">
        <v>1.6</v>
      </c>
      <c r="I1223" s="110"/>
      <c r="J1223" s="135">
        <v>46009</v>
      </c>
      <c r="K1223" s="35">
        <f t="shared" si="79"/>
        <v>132.73599999999999</v>
      </c>
      <c r="L1223" s="35"/>
      <c r="M1223" s="17"/>
      <c r="N1223" s="16"/>
      <c r="O1223" s="16"/>
    </row>
    <row r="1224" spans="1:15" ht="18" customHeight="1">
      <c r="A1224" s="16"/>
      <c r="B1224" s="87" t="s">
        <v>4291</v>
      </c>
      <c r="C1224" s="110">
        <v>16</v>
      </c>
      <c r="D1224" s="28" t="s">
        <v>451</v>
      </c>
      <c r="E1224" s="28">
        <v>1.22</v>
      </c>
      <c r="F1224" s="87">
        <v>90</v>
      </c>
      <c r="G1224" s="110"/>
      <c r="H1224" s="87">
        <v>1.7</v>
      </c>
      <c r="I1224" s="110"/>
      <c r="J1224" s="135">
        <v>45960</v>
      </c>
      <c r="K1224" s="37">
        <f t="shared" si="79"/>
        <v>186.66</v>
      </c>
      <c r="L1224" s="63"/>
      <c r="M1224" s="56"/>
      <c r="N1224" s="156"/>
      <c r="O1224" s="156"/>
    </row>
    <row r="1225" spans="1:15" ht="18" customHeight="1">
      <c r="A1225" s="16"/>
      <c r="B1225" s="87" t="s">
        <v>4291</v>
      </c>
      <c r="C1225" s="110">
        <v>20</v>
      </c>
      <c r="D1225" s="28" t="s">
        <v>451</v>
      </c>
      <c r="E1225" s="28">
        <v>1.22</v>
      </c>
      <c r="F1225" s="87">
        <v>130</v>
      </c>
      <c r="G1225" s="110"/>
      <c r="H1225" s="87">
        <v>1.7</v>
      </c>
      <c r="I1225" s="110"/>
      <c r="J1225" s="135">
        <v>45960</v>
      </c>
      <c r="K1225" s="37">
        <f t="shared" si="79"/>
        <v>269.62</v>
      </c>
      <c r="L1225" s="37"/>
      <c r="M1225" s="17"/>
      <c r="N1225" s="16"/>
      <c r="O1225" s="16"/>
    </row>
    <row r="1226" spans="1:15" ht="18" customHeight="1">
      <c r="A1226" s="22"/>
      <c r="B1226" s="28" t="s">
        <v>2570</v>
      </c>
      <c r="C1226" s="28" t="s">
        <v>15</v>
      </c>
      <c r="D1226" s="28" t="s">
        <v>451</v>
      </c>
      <c r="E1226" s="28">
        <v>1.22</v>
      </c>
      <c r="F1226" s="28">
        <v>58</v>
      </c>
      <c r="G1226" s="28"/>
      <c r="H1226" s="28">
        <v>1.6</v>
      </c>
      <c r="I1226" s="81"/>
      <c r="J1226" s="133">
        <v>45225</v>
      </c>
      <c r="K1226" s="9">
        <f t="shared" si="79"/>
        <v>113.21600000000001</v>
      </c>
      <c r="L1226" s="9"/>
      <c r="M1226" s="9"/>
      <c r="N1226" s="16"/>
      <c r="O1226" s="16"/>
    </row>
    <row r="1227" spans="1:15" ht="18" customHeight="1">
      <c r="A1227" s="21"/>
      <c r="B1227" s="28" t="s">
        <v>1915</v>
      </c>
      <c r="C1227" s="28" t="s">
        <v>1147</v>
      </c>
      <c r="D1227" s="28" t="s">
        <v>451</v>
      </c>
      <c r="E1227" s="28">
        <v>1.22</v>
      </c>
      <c r="F1227" s="28">
        <v>38</v>
      </c>
      <c r="G1227" s="28"/>
      <c r="H1227" s="28">
        <v>1.6</v>
      </c>
      <c r="I1227" s="28"/>
      <c r="J1227" s="133">
        <v>44460</v>
      </c>
      <c r="K1227" s="9">
        <f t="shared" si="79"/>
        <v>74.176000000000002</v>
      </c>
      <c r="L1227" s="9"/>
      <c r="M1227" s="9"/>
      <c r="N1227" s="9">
        <f t="shared" ref="N1227:N1236" si="80">G1227*H1227*I1227*E1227</f>
        <v>0</v>
      </c>
      <c r="O1227" s="3">
        <f t="shared" ref="O1227:O1236" si="81">K1227*1.6667</f>
        <v>123.62913920000001</v>
      </c>
    </row>
    <row r="1228" spans="1:15" ht="18" customHeight="1">
      <c r="A1228" s="21"/>
      <c r="B1228" s="28" t="s">
        <v>1916</v>
      </c>
      <c r="C1228" s="28" t="s">
        <v>545</v>
      </c>
      <c r="D1228" s="28" t="s">
        <v>451</v>
      </c>
      <c r="E1228" s="28">
        <v>1.22</v>
      </c>
      <c r="F1228" s="28">
        <v>64</v>
      </c>
      <c r="G1228" s="28"/>
      <c r="H1228" s="28">
        <v>1.6</v>
      </c>
      <c r="I1228" s="28"/>
      <c r="J1228" s="133">
        <v>44648</v>
      </c>
      <c r="K1228" s="9">
        <f t="shared" si="79"/>
        <v>124.928</v>
      </c>
      <c r="L1228" s="9"/>
      <c r="M1228" s="9"/>
      <c r="N1228" s="9">
        <f t="shared" si="80"/>
        <v>0</v>
      </c>
      <c r="O1228" s="3">
        <f t="shared" si="81"/>
        <v>208.2174976</v>
      </c>
    </row>
    <row r="1229" spans="1:15" ht="18" customHeight="1">
      <c r="A1229" s="21"/>
      <c r="B1229" s="28" t="s">
        <v>2214</v>
      </c>
      <c r="C1229" s="28" t="s">
        <v>2141</v>
      </c>
      <c r="D1229" s="28" t="s">
        <v>451</v>
      </c>
      <c r="E1229" s="28">
        <v>1.22</v>
      </c>
      <c r="F1229" s="28">
        <v>64</v>
      </c>
      <c r="G1229" s="28"/>
      <c r="H1229" s="28">
        <v>1.6</v>
      </c>
      <c r="I1229" s="28"/>
      <c r="J1229" s="133">
        <v>44490</v>
      </c>
      <c r="K1229" s="9">
        <f t="shared" si="79"/>
        <v>124.928</v>
      </c>
      <c r="L1229" s="9"/>
      <c r="M1229" s="9"/>
      <c r="N1229" s="9">
        <f t="shared" si="80"/>
        <v>0</v>
      </c>
      <c r="O1229" s="3">
        <f t="shared" si="81"/>
        <v>208.2174976</v>
      </c>
    </row>
    <row r="1230" spans="1:15" ht="18" customHeight="1">
      <c r="A1230" s="21"/>
      <c r="B1230" s="28" t="s">
        <v>3742</v>
      </c>
      <c r="C1230" s="28" t="s">
        <v>541</v>
      </c>
      <c r="D1230" s="28" t="s">
        <v>451</v>
      </c>
      <c r="E1230" s="28">
        <v>1.22</v>
      </c>
      <c r="F1230" s="28">
        <v>31</v>
      </c>
      <c r="G1230" s="28"/>
      <c r="H1230" s="28">
        <v>1.6</v>
      </c>
      <c r="I1230" s="28"/>
      <c r="J1230" s="133">
        <v>45366</v>
      </c>
      <c r="K1230" s="9">
        <f t="shared" si="79"/>
        <v>60.512</v>
      </c>
      <c r="L1230" s="9"/>
      <c r="M1230" s="9"/>
      <c r="N1230" s="9">
        <f t="shared" si="80"/>
        <v>0</v>
      </c>
      <c r="O1230" s="3">
        <f t="shared" si="81"/>
        <v>100.85535040000001</v>
      </c>
    </row>
    <row r="1231" spans="1:15" ht="18" customHeight="1">
      <c r="A1231" s="21"/>
      <c r="B1231" s="28" t="s">
        <v>540</v>
      </c>
      <c r="C1231" s="28" t="s">
        <v>546</v>
      </c>
      <c r="D1231" s="28" t="s">
        <v>451</v>
      </c>
      <c r="E1231" s="28">
        <v>1.22</v>
      </c>
      <c r="F1231" s="28">
        <v>11</v>
      </c>
      <c r="G1231" s="28"/>
      <c r="H1231" s="28">
        <v>1.6</v>
      </c>
      <c r="I1231" s="28"/>
      <c r="J1231" s="133">
        <v>45366</v>
      </c>
      <c r="K1231" s="9">
        <f t="shared" si="79"/>
        <v>21.472000000000001</v>
      </c>
      <c r="L1231" s="9"/>
      <c r="M1231" s="9"/>
      <c r="N1231" s="9">
        <f t="shared" si="80"/>
        <v>0</v>
      </c>
      <c r="O1231" s="3">
        <f t="shared" si="81"/>
        <v>35.787382400000006</v>
      </c>
    </row>
    <row r="1232" spans="1:15" ht="18" customHeight="1">
      <c r="A1232" s="21"/>
      <c r="B1232" s="28" t="s">
        <v>540</v>
      </c>
      <c r="C1232" s="28" t="s">
        <v>679</v>
      </c>
      <c r="D1232" s="28" t="s">
        <v>451</v>
      </c>
      <c r="E1232" s="28">
        <v>1.22</v>
      </c>
      <c r="F1232" s="28">
        <v>17</v>
      </c>
      <c r="G1232" s="28"/>
      <c r="H1232" s="28">
        <v>1.6</v>
      </c>
      <c r="I1232" s="28"/>
      <c r="J1232" s="133">
        <v>45366</v>
      </c>
      <c r="K1232" s="9">
        <f t="shared" si="79"/>
        <v>33.183999999999997</v>
      </c>
      <c r="L1232" s="9"/>
      <c r="M1232" s="9"/>
      <c r="N1232" s="9">
        <f t="shared" si="80"/>
        <v>0</v>
      </c>
      <c r="O1232" s="3">
        <f t="shared" si="81"/>
        <v>55.307772799999995</v>
      </c>
    </row>
    <row r="1233" spans="1:15" ht="18" customHeight="1">
      <c r="A1233" s="21"/>
      <c r="B1233" s="28" t="s">
        <v>540</v>
      </c>
      <c r="C1233" s="28" t="s">
        <v>542</v>
      </c>
      <c r="D1233" s="28" t="s">
        <v>451</v>
      </c>
      <c r="E1233" s="28">
        <v>1.22</v>
      </c>
      <c r="F1233" s="28">
        <v>35</v>
      </c>
      <c r="G1233" s="28"/>
      <c r="H1233" s="28">
        <v>1.6</v>
      </c>
      <c r="I1233" s="28"/>
      <c r="J1233" s="133">
        <v>45545</v>
      </c>
      <c r="K1233" s="9">
        <f t="shared" si="79"/>
        <v>68.319999999999993</v>
      </c>
      <c r="L1233" s="9"/>
      <c r="M1233" s="9"/>
      <c r="N1233" s="9">
        <f t="shared" si="80"/>
        <v>0</v>
      </c>
      <c r="O1233" s="3">
        <f t="shared" si="81"/>
        <v>113.868944</v>
      </c>
    </row>
    <row r="1234" spans="1:15" ht="18" customHeight="1">
      <c r="A1234" s="21"/>
      <c r="B1234" s="28" t="s">
        <v>540</v>
      </c>
      <c r="C1234" s="28" t="s">
        <v>543</v>
      </c>
      <c r="D1234" s="28" t="s">
        <v>451</v>
      </c>
      <c r="E1234" s="28">
        <v>1.22</v>
      </c>
      <c r="F1234" s="28">
        <v>39</v>
      </c>
      <c r="G1234" s="28"/>
      <c r="H1234" s="28">
        <v>1.6</v>
      </c>
      <c r="I1234" s="28"/>
      <c r="J1234" s="133">
        <v>45366</v>
      </c>
      <c r="K1234" s="9">
        <f t="shared" si="79"/>
        <v>76.128</v>
      </c>
      <c r="L1234" s="9"/>
      <c r="M1234" s="9"/>
      <c r="N1234" s="9">
        <f t="shared" si="80"/>
        <v>0</v>
      </c>
      <c r="O1234" s="3">
        <f t="shared" si="81"/>
        <v>126.88253760000001</v>
      </c>
    </row>
    <row r="1235" spans="1:15" ht="18" customHeight="1">
      <c r="A1235" s="21"/>
      <c r="B1235" s="28" t="s">
        <v>540</v>
      </c>
      <c r="C1235" s="28" t="s">
        <v>544</v>
      </c>
      <c r="D1235" s="28" t="s">
        <v>451</v>
      </c>
      <c r="E1235" s="28">
        <v>1.22</v>
      </c>
      <c r="F1235" s="28">
        <v>41</v>
      </c>
      <c r="G1235" s="28"/>
      <c r="H1235" s="28">
        <v>1.6</v>
      </c>
      <c r="I1235" s="28"/>
      <c r="J1235" s="133">
        <v>45366</v>
      </c>
      <c r="K1235" s="9">
        <f t="shared" si="79"/>
        <v>80.031999999999996</v>
      </c>
      <c r="L1235" s="9"/>
      <c r="M1235" s="9"/>
      <c r="N1235" s="9">
        <f t="shared" si="80"/>
        <v>0</v>
      </c>
      <c r="O1235" s="3">
        <f t="shared" si="81"/>
        <v>133.3893344</v>
      </c>
    </row>
    <row r="1236" spans="1:15" ht="18" customHeight="1">
      <c r="A1236" s="21"/>
      <c r="B1236" s="28" t="s">
        <v>540</v>
      </c>
      <c r="C1236" s="28" t="s">
        <v>545</v>
      </c>
      <c r="D1236" s="28" t="s">
        <v>451</v>
      </c>
      <c r="E1236" s="28">
        <v>1.22</v>
      </c>
      <c r="F1236" s="28">
        <v>49</v>
      </c>
      <c r="G1236" s="28"/>
      <c r="H1236" s="28">
        <v>1.6</v>
      </c>
      <c r="I1236" s="28"/>
      <c r="J1236" s="133">
        <v>45366</v>
      </c>
      <c r="K1236" s="9">
        <f t="shared" si="79"/>
        <v>95.64800000000001</v>
      </c>
      <c r="L1236" s="9"/>
      <c r="M1236" s="9"/>
      <c r="N1236" s="9">
        <f t="shared" si="80"/>
        <v>0</v>
      </c>
      <c r="O1236" s="3">
        <f t="shared" si="81"/>
        <v>159.41652160000001</v>
      </c>
    </row>
    <row r="1237" spans="1:15" ht="18" customHeight="1">
      <c r="A1237" s="16"/>
      <c r="B1237" s="87" t="s">
        <v>3407</v>
      </c>
      <c r="C1237" s="87">
        <v>35</v>
      </c>
      <c r="D1237" s="28" t="s">
        <v>451</v>
      </c>
      <c r="E1237" s="28">
        <v>1.22</v>
      </c>
      <c r="F1237" s="87">
        <v>145</v>
      </c>
      <c r="G1237" s="110"/>
      <c r="H1237" s="87">
        <v>1.6</v>
      </c>
      <c r="I1237" s="110"/>
      <c r="J1237" s="135">
        <v>45366</v>
      </c>
      <c r="K1237" s="35">
        <f t="shared" si="79"/>
        <v>283.04000000000002</v>
      </c>
      <c r="L1237" s="37"/>
      <c r="M1237" s="17"/>
      <c r="N1237" s="16"/>
      <c r="O1237" s="16"/>
    </row>
    <row r="1238" spans="1:15" ht="18" customHeight="1">
      <c r="A1238" s="16"/>
      <c r="B1238" s="28" t="s">
        <v>4550</v>
      </c>
      <c r="C1238" s="87">
        <v>14</v>
      </c>
      <c r="D1238" s="28" t="s">
        <v>451</v>
      </c>
      <c r="E1238" s="28">
        <v>1.22</v>
      </c>
      <c r="F1238" s="87">
        <v>19</v>
      </c>
      <c r="G1238" s="110"/>
      <c r="H1238" s="87">
        <v>1.7</v>
      </c>
      <c r="I1238" s="110"/>
      <c r="J1238" s="135">
        <v>45981</v>
      </c>
      <c r="K1238" s="35">
        <f t="shared" si="79"/>
        <v>39.405999999999999</v>
      </c>
      <c r="L1238" s="37"/>
      <c r="M1238" s="17"/>
      <c r="N1238" s="16"/>
      <c r="O1238" s="16"/>
    </row>
    <row r="1239" spans="1:15" ht="15" customHeight="1">
      <c r="A1239" s="16"/>
      <c r="B1239" s="78" t="s">
        <v>4550</v>
      </c>
      <c r="C1239" s="103">
        <v>16</v>
      </c>
      <c r="D1239" s="78" t="s">
        <v>451</v>
      </c>
      <c r="E1239" s="78">
        <v>1.22</v>
      </c>
      <c r="F1239" s="103">
        <v>21</v>
      </c>
      <c r="G1239" s="121"/>
      <c r="H1239" s="103">
        <v>1.7</v>
      </c>
      <c r="I1239" s="110"/>
      <c r="J1239" s="138">
        <v>45981</v>
      </c>
      <c r="K1239" s="50">
        <f t="shared" ref="K1239:K1270" si="82">E1239*F1239*H1239</f>
        <v>43.554000000000002</v>
      </c>
      <c r="L1239" s="37"/>
      <c r="M1239" s="17"/>
      <c r="N1239" s="16"/>
      <c r="O1239" s="16"/>
    </row>
    <row r="1240" spans="1:15" ht="18" customHeight="1">
      <c r="A1240" s="16"/>
      <c r="B1240" s="28" t="s">
        <v>4550</v>
      </c>
      <c r="C1240" s="87">
        <v>18</v>
      </c>
      <c r="D1240" s="28" t="s">
        <v>451</v>
      </c>
      <c r="E1240" s="28">
        <v>1.22</v>
      </c>
      <c r="F1240" s="87">
        <v>25</v>
      </c>
      <c r="G1240" s="110"/>
      <c r="H1240" s="87">
        <v>1.7</v>
      </c>
      <c r="I1240" s="110"/>
      <c r="J1240" s="138">
        <v>45981</v>
      </c>
      <c r="K1240" s="35">
        <f t="shared" si="82"/>
        <v>51.85</v>
      </c>
      <c r="L1240" s="37"/>
      <c r="M1240" s="17"/>
      <c r="N1240" s="16"/>
      <c r="O1240" s="16"/>
    </row>
    <row r="1241" spans="1:15" ht="18" customHeight="1">
      <c r="A1241" s="24"/>
      <c r="B1241" s="28" t="s">
        <v>3743</v>
      </c>
      <c r="C1241" s="28" t="s">
        <v>1355</v>
      </c>
      <c r="D1241" s="28" t="s">
        <v>451</v>
      </c>
      <c r="E1241" s="28">
        <v>1.22</v>
      </c>
      <c r="F1241" s="28">
        <v>15</v>
      </c>
      <c r="G1241" s="28"/>
      <c r="H1241" s="28">
        <v>1.7</v>
      </c>
      <c r="I1241" s="28"/>
      <c r="J1241" s="133">
        <v>45981</v>
      </c>
      <c r="K1241" s="9">
        <f t="shared" si="82"/>
        <v>31.11</v>
      </c>
      <c r="L1241" s="9"/>
      <c r="M1241" s="9"/>
      <c r="N1241" s="9">
        <f>G1241*H1241*I1241*E1241</f>
        <v>0</v>
      </c>
      <c r="O1241" s="3">
        <f>K1241*1.6667</f>
        <v>51.851036999999998</v>
      </c>
    </row>
    <row r="1242" spans="1:15" ht="18" customHeight="1">
      <c r="A1242" s="24">
        <v>2159</v>
      </c>
      <c r="B1242" s="78" t="s">
        <v>2593</v>
      </c>
      <c r="C1242" s="78" t="s">
        <v>15</v>
      </c>
      <c r="D1242" s="78" t="s">
        <v>451</v>
      </c>
      <c r="E1242" s="78">
        <v>1</v>
      </c>
      <c r="F1242" s="78">
        <v>698</v>
      </c>
      <c r="G1242" s="78"/>
      <c r="H1242" s="78">
        <v>1.6</v>
      </c>
      <c r="I1242" s="78"/>
      <c r="J1242" s="140">
        <v>44728</v>
      </c>
      <c r="K1242" s="13">
        <f t="shared" si="82"/>
        <v>1116.8</v>
      </c>
      <c r="L1242" s="9"/>
      <c r="M1242" s="9"/>
      <c r="N1242" s="9">
        <f>G1242*H1242*I1242*E1242</f>
        <v>0</v>
      </c>
      <c r="O1242" s="3">
        <f>K1242*1.6667</f>
        <v>1861.3705600000001</v>
      </c>
    </row>
    <row r="1243" spans="1:15" ht="18" customHeight="1">
      <c r="A1243" s="24">
        <v>20</v>
      </c>
      <c r="B1243" s="78" t="s">
        <v>2593</v>
      </c>
      <c r="C1243" s="78" t="s">
        <v>15</v>
      </c>
      <c r="D1243" s="78" t="s">
        <v>451</v>
      </c>
      <c r="E1243" s="78">
        <v>1</v>
      </c>
      <c r="F1243" s="78">
        <v>524</v>
      </c>
      <c r="G1243" s="78"/>
      <c r="H1243" s="78">
        <v>1.6</v>
      </c>
      <c r="I1243" s="78"/>
      <c r="J1243" s="140">
        <v>44728</v>
      </c>
      <c r="K1243" s="13">
        <f t="shared" si="82"/>
        <v>838.40000000000009</v>
      </c>
      <c r="L1243" s="9"/>
      <c r="M1243" s="9"/>
      <c r="N1243" s="9"/>
      <c r="O1243" s="3"/>
    </row>
    <row r="1244" spans="1:15" ht="18" customHeight="1">
      <c r="A1244" s="21"/>
      <c r="B1244" s="28" t="s">
        <v>1398</v>
      </c>
      <c r="C1244" s="28" t="s">
        <v>472</v>
      </c>
      <c r="D1244" s="28" t="s">
        <v>451</v>
      </c>
      <c r="E1244" s="28">
        <v>1.22</v>
      </c>
      <c r="F1244" s="28">
        <v>85</v>
      </c>
      <c r="G1244" s="28"/>
      <c r="H1244" s="28">
        <v>1.5</v>
      </c>
      <c r="I1244" s="28"/>
      <c r="J1244" s="133">
        <v>45960</v>
      </c>
      <c r="K1244" s="9">
        <f t="shared" si="82"/>
        <v>155.55000000000001</v>
      </c>
      <c r="L1244" s="9"/>
      <c r="M1244" s="9"/>
      <c r="N1244" s="9"/>
      <c r="O1244" s="3"/>
    </row>
    <row r="1245" spans="1:15" ht="18" hidden="1" customHeight="1">
      <c r="A1245" s="21"/>
      <c r="B1245" s="28" t="s">
        <v>1398</v>
      </c>
      <c r="C1245" s="28" t="s">
        <v>473</v>
      </c>
      <c r="D1245" s="28" t="s">
        <v>451</v>
      </c>
      <c r="E1245" s="28">
        <v>1.22</v>
      </c>
      <c r="F1245" s="28">
        <v>85</v>
      </c>
      <c r="G1245" s="28"/>
      <c r="H1245" s="28">
        <v>1.6</v>
      </c>
      <c r="I1245" s="28"/>
      <c r="J1245" s="133">
        <v>43390</v>
      </c>
      <c r="K1245" s="9">
        <f t="shared" si="82"/>
        <v>165.92000000000002</v>
      </c>
      <c r="L1245" s="9"/>
      <c r="M1245" s="9"/>
      <c r="N1245" s="9">
        <f>G1245*H1245*I1245*E1245</f>
        <v>0</v>
      </c>
      <c r="O1245" s="3">
        <f>K1245*1.6667</f>
        <v>276.53886400000005</v>
      </c>
    </row>
    <row r="1246" spans="1:15" ht="18" customHeight="1">
      <c r="A1246" s="16"/>
      <c r="B1246" s="28" t="s">
        <v>1398</v>
      </c>
      <c r="C1246" s="28" t="s">
        <v>474</v>
      </c>
      <c r="D1246" s="28" t="s">
        <v>451</v>
      </c>
      <c r="E1246" s="28">
        <v>1.22</v>
      </c>
      <c r="F1246" s="28">
        <v>145</v>
      </c>
      <c r="G1246" s="110"/>
      <c r="H1246" s="28">
        <v>1.6</v>
      </c>
      <c r="I1246" s="110"/>
      <c r="J1246" s="133">
        <v>45318</v>
      </c>
      <c r="K1246" s="9">
        <f t="shared" si="82"/>
        <v>283.04000000000002</v>
      </c>
      <c r="L1246" s="9"/>
      <c r="M1246" s="9"/>
      <c r="N1246" s="9">
        <f>G1246*H1246*I1246*E1246</f>
        <v>0</v>
      </c>
      <c r="O1246" s="3">
        <f>K1246*1.6667</f>
        <v>471.74276800000007</v>
      </c>
    </row>
    <row r="1247" spans="1:15" ht="18" customHeight="1">
      <c r="A1247" s="21"/>
      <c r="B1247" s="28" t="s">
        <v>3358</v>
      </c>
      <c r="C1247" s="28" t="s">
        <v>474</v>
      </c>
      <c r="D1247" s="28" t="s">
        <v>451</v>
      </c>
      <c r="E1247" s="28">
        <v>1.22</v>
      </c>
      <c r="F1247" s="28">
        <v>234</v>
      </c>
      <c r="G1247" s="28"/>
      <c r="H1247" s="28">
        <v>1.6</v>
      </c>
      <c r="I1247" s="28"/>
      <c r="J1247" s="133">
        <v>45318</v>
      </c>
      <c r="K1247" s="9">
        <f t="shared" si="82"/>
        <v>456.76800000000003</v>
      </c>
      <c r="L1247" s="9"/>
      <c r="M1247" s="9"/>
      <c r="N1247" s="9"/>
      <c r="O1247" s="3"/>
    </row>
    <row r="1248" spans="1:15" ht="18" customHeight="1">
      <c r="A1248" s="46" t="s">
        <v>2032</v>
      </c>
      <c r="B1248" s="80" t="s">
        <v>1872</v>
      </c>
      <c r="C1248" s="110"/>
      <c r="D1248" s="28" t="s">
        <v>1921</v>
      </c>
      <c r="E1248" s="28">
        <v>1.22</v>
      </c>
      <c r="F1248" s="80">
        <v>214</v>
      </c>
      <c r="G1248" s="110"/>
      <c r="H1248" s="28">
        <v>1.4</v>
      </c>
      <c r="I1248" s="110"/>
      <c r="J1248" s="143">
        <v>44210</v>
      </c>
      <c r="K1248" s="35">
        <f t="shared" si="82"/>
        <v>365.51199999999994</v>
      </c>
      <c r="L1248" s="35"/>
      <c r="M1248" s="17"/>
      <c r="N1248" s="16"/>
      <c r="O1248" s="16"/>
    </row>
    <row r="1249" spans="1:15" ht="18" customHeight="1">
      <c r="A1249" s="46" t="s">
        <v>2421</v>
      </c>
      <c r="B1249" s="80" t="s">
        <v>1868</v>
      </c>
      <c r="C1249" s="79" t="s">
        <v>1871</v>
      </c>
      <c r="D1249" s="28" t="s">
        <v>1921</v>
      </c>
      <c r="E1249" s="28">
        <v>1.22</v>
      </c>
      <c r="F1249" s="80">
        <v>339</v>
      </c>
      <c r="G1249" s="110"/>
      <c r="H1249" s="28">
        <v>1.4</v>
      </c>
      <c r="I1249" s="110"/>
      <c r="J1249" s="143">
        <v>45406</v>
      </c>
      <c r="K1249" s="35">
        <f t="shared" si="82"/>
        <v>579.01199999999994</v>
      </c>
      <c r="L1249" s="35"/>
      <c r="M1249" s="17"/>
      <c r="N1249" s="16"/>
      <c r="O1249" s="16"/>
    </row>
    <row r="1250" spans="1:15" ht="18" customHeight="1">
      <c r="A1250" s="46" t="s">
        <v>2424</v>
      </c>
      <c r="B1250" s="80" t="s">
        <v>1868</v>
      </c>
      <c r="C1250" s="79" t="s">
        <v>2780</v>
      </c>
      <c r="D1250" s="28" t="s">
        <v>1921</v>
      </c>
      <c r="E1250" s="28">
        <v>1.22</v>
      </c>
      <c r="F1250" s="80">
        <v>177</v>
      </c>
      <c r="G1250" s="110"/>
      <c r="H1250" s="28">
        <v>1.4</v>
      </c>
      <c r="I1250" s="110"/>
      <c r="J1250" s="134">
        <v>44881</v>
      </c>
      <c r="K1250" s="35">
        <f t="shared" si="82"/>
        <v>302.31599999999997</v>
      </c>
      <c r="L1250" s="35"/>
      <c r="M1250" s="17"/>
      <c r="N1250" s="16"/>
      <c r="O1250" s="16"/>
    </row>
    <row r="1251" spans="1:15" ht="18" customHeight="1">
      <c r="A1251" s="46" t="s">
        <v>2740</v>
      </c>
      <c r="B1251" s="80" t="s">
        <v>1868</v>
      </c>
      <c r="C1251" s="79" t="s">
        <v>1869</v>
      </c>
      <c r="D1251" s="28" t="s">
        <v>1921</v>
      </c>
      <c r="E1251" s="28">
        <v>1.22</v>
      </c>
      <c r="F1251" s="80">
        <v>91</v>
      </c>
      <c r="G1251" s="110"/>
      <c r="H1251" s="28">
        <v>1.4</v>
      </c>
      <c r="I1251" s="110"/>
      <c r="J1251" s="134">
        <v>44881</v>
      </c>
      <c r="K1251" s="35">
        <f t="shared" si="82"/>
        <v>155.428</v>
      </c>
      <c r="L1251" s="35"/>
      <c r="M1251" s="17"/>
      <c r="N1251" s="16"/>
      <c r="O1251" s="16"/>
    </row>
    <row r="1252" spans="1:15" ht="18" customHeight="1">
      <c r="A1252" s="16" t="s">
        <v>2135</v>
      </c>
      <c r="B1252" s="87" t="s">
        <v>1868</v>
      </c>
      <c r="C1252" s="110" t="s">
        <v>1870</v>
      </c>
      <c r="D1252" s="28" t="s">
        <v>1921</v>
      </c>
      <c r="E1252" s="28">
        <v>1.22</v>
      </c>
      <c r="F1252" s="87">
        <v>123</v>
      </c>
      <c r="G1252" s="110"/>
      <c r="H1252" s="28">
        <v>1.5</v>
      </c>
      <c r="I1252" s="110"/>
      <c r="J1252" s="143">
        <v>44881</v>
      </c>
      <c r="K1252" s="35">
        <f t="shared" si="82"/>
        <v>225.09</v>
      </c>
      <c r="L1252" s="35"/>
      <c r="M1252" s="17"/>
      <c r="N1252" s="16"/>
      <c r="O1252" s="16"/>
    </row>
    <row r="1253" spans="1:15" ht="18" customHeight="1">
      <c r="A1253" s="16" t="s">
        <v>1953</v>
      </c>
      <c r="B1253" s="90" t="s">
        <v>1936</v>
      </c>
      <c r="C1253" s="114" t="s">
        <v>1938</v>
      </c>
      <c r="D1253" s="28" t="s">
        <v>1921</v>
      </c>
      <c r="E1253" s="28">
        <v>1.22</v>
      </c>
      <c r="F1253" s="90">
        <v>388</v>
      </c>
      <c r="G1253" s="110"/>
      <c r="H1253" s="28">
        <v>1.4</v>
      </c>
      <c r="I1253" s="110"/>
      <c r="J1253" s="135">
        <v>44608</v>
      </c>
      <c r="K1253" s="35">
        <f t="shared" si="82"/>
        <v>662.70399999999995</v>
      </c>
      <c r="L1253" s="35"/>
      <c r="M1253" s="17"/>
      <c r="N1253" s="16"/>
      <c r="O1253" s="16"/>
    </row>
    <row r="1254" spans="1:15" ht="18" customHeight="1">
      <c r="A1254" s="16" t="s">
        <v>1952</v>
      </c>
      <c r="B1254" s="90" t="s">
        <v>1936</v>
      </c>
      <c r="C1254" s="114" t="s">
        <v>1937</v>
      </c>
      <c r="D1254" s="28" t="s">
        <v>1921</v>
      </c>
      <c r="E1254" s="28">
        <v>1.22</v>
      </c>
      <c r="F1254" s="90">
        <v>186</v>
      </c>
      <c r="G1254" s="110"/>
      <c r="H1254" s="28">
        <v>1.4</v>
      </c>
      <c r="I1254" s="110"/>
      <c r="J1254" s="135">
        <v>45175</v>
      </c>
      <c r="K1254" s="35">
        <f t="shared" si="82"/>
        <v>317.68799999999999</v>
      </c>
      <c r="L1254" s="35"/>
      <c r="M1254" s="17"/>
      <c r="N1254" s="16"/>
      <c r="O1254" s="16"/>
    </row>
    <row r="1255" spans="1:15" ht="18" customHeight="1">
      <c r="A1255" s="46" t="s">
        <v>3445</v>
      </c>
      <c r="B1255" s="80" t="s">
        <v>3446</v>
      </c>
      <c r="C1255" s="79" t="s">
        <v>3447</v>
      </c>
      <c r="D1255" s="28" t="s">
        <v>1921</v>
      </c>
      <c r="E1255" s="28">
        <v>1.22</v>
      </c>
      <c r="F1255" s="80">
        <v>257</v>
      </c>
      <c r="G1255" s="110"/>
      <c r="H1255" s="28">
        <v>1.6</v>
      </c>
      <c r="I1255" s="110"/>
      <c r="J1255" s="134">
        <v>45406</v>
      </c>
      <c r="K1255" s="9">
        <f t="shared" si="82"/>
        <v>501.66400000000004</v>
      </c>
      <c r="L1255" s="9"/>
      <c r="M1255" s="17"/>
      <c r="N1255" s="16"/>
      <c r="O1255" s="16"/>
    </row>
    <row r="1256" spans="1:15" ht="18" customHeight="1">
      <c r="A1256" s="16" t="s">
        <v>2999</v>
      </c>
      <c r="B1256" s="28" t="s">
        <v>3000</v>
      </c>
      <c r="C1256" s="28" t="s">
        <v>3001</v>
      </c>
      <c r="D1256" s="28" t="s">
        <v>1921</v>
      </c>
      <c r="E1256" s="28">
        <v>1.22</v>
      </c>
      <c r="F1256" s="28">
        <v>257</v>
      </c>
      <c r="G1256" s="110"/>
      <c r="H1256" s="28">
        <v>1.5</v>
      </c>
      <c r="I1256" s="110"/>
      <c r="J1256" s="133">
        <v>45029</v>
      </c>
      <c r="K1256" s="9">
        <f t="shared" si="82"/>
        <v>470.31000000000006</v>
      </c>
      <c r="L1256" s="9"/>
      <c r="M1256" s="9"/>
      <c r="N1256" s="9"/>
      <c r="O1256" s="3"/>
    </row>
    <row r="1257" spans="1:15" ht="18" customHeight="1">
      <c r="A1257" s="16" t="s">
        <v>2090</v>
      </c>
      <c r="B1257" s="87" t="s">
        <v>2256</v>
      </c>
      <c r="C1257" s="110" t="s">
        <v>2091</v>
      </c>
      <c r="D1257" s="28" t="s">
        <v>1921</v>
      </c>
      <c r="E1257" s="28">
        <v>1.22</v>
      </c>
      <c r="F1257" s="87">
        <v>144</v>
      </c>
      <c r="G1257" s="110"/>
      <c r="H1257" s="28">
        <v>1.5</v>
      </c>
      <c r="I1257" s="110"/>
      <c r="J1257" s="137">
        <v>44348</v>
      </c>
      <c r="K1257" s="35">
        <f t="shared" si="82"/>
        <v>263.52</v>
      </c>
      <c r="L1257" s="35"/>
      <c r="M1257" s="17"/>
      <c r="N1257" s="16"/>
      <c r="O1257" s="16"/>
    </row>
    <row r="1258" spans="1:15" ht="18" customHeight="1">
      <c r="A1258" s="32">
        <v>21</v>
      </c>
      <c r="B1258" s="93" t="s">
        <v>2594</v>
      </c>
      <c r="C1258" s="93" t="s">
        <v>15</v>
      </c>
      <c r="D1258" s="93" t="s">
        <v>451</v>
      </c>
      <c r="E1258" s="93">
        <v>1</v>
      </c>
      <c r="F1258" s="93">
        <v>324</v>
      </c>
      <c r="G1258" s="93"/>
      <c r="H1258" s="93">
        <v>1.6</v>
      </c>
      <c r="I1258" s="93"/>
      <c r="J1258" s="146">
        <v>44728</v>
      </c>
      <c r="K1258" s="33">
        <f t="shared" si="82"/>
        <v>518.4</v>
      </c>
      <c r="L1258" s="33"/>
      <c r="M1258" s="33"/>
      <c r="N1258" s="33"/>
      <c r="O1258" s="34"/>
    </row>
    <row r="1259" spans="1:15" ht="18" customHeight="1">
      <c r="A1259" s="46">
        <v>100095</v>
      </c>
      <c r="B1259" s="28" t="s">
        <v>4420</v>
      </c>
      <c r="C1259" s="80" t="s">
        <v>3228</v>
      </c>
      <c r="D1259" s="28" t="s">
        <v>1859</v>
      </c>
      <c r="E1259" s="28">
        <v>1.22</v>
      </c>
      <c r="F1259" s="28">
        <v>107.92</v>
      </c>
      <c r="G1259" s="110"/>
      <c r="H1259" s="28">
        <v>1.5</v>
      </c>
      <c r="I1259" s="110"/>
      <c r="J1259" s="134">
        <v>45940</v>
      </c>
      <c r="K1259" s="35">
        <f t="shared" si="82"/>
        <v>197.49359999999999</v>
      </c>
      <c r="L1259" s="37"/>
      <c r="M1259" s="17"/>
      <c r="N1259" s="16"/>
      <c r="O1259" s="16"/>
    </row>
    <row r="1260" spans="1:15" ht="18" customHeight="1">
      <c r="A1260" s="156"/>
      <c r="B1260" s="162" t="s">
        <v>3086</v>
      </c>
      <c r="C1260" s="120">
        <v>14</v>
      </c>
      <c r="D1260" s="85" t="s">
        <v>451</v>
      </c>
      <c r="E1260" s="85">
        <v>1.22</v>
      </c>
      <c r="F1260" s="162">
        <v>38</v>
      </c>
      <c r="G1260" s="120"/>
      <c r="H1260" s="85">
        <v>1.6</v>
      </c>
      <c r="I1260" s="120"/>
      <c r="J1260" s="135">
        <v>45366</v>
      </c>
      <c r="K1260" s="10">
        <f t="shared" si="82"/>
        <v>74.176000000000002</v>
      </c>
      <c r="L1260" s="63"/>
      <c r="M1260" s="56"/>
      <c r="N1260" s="156"/>
      <c r="O1260" s="156"/>
    </row>
    <row r="1261" spans="1:15" ht="18" customHeight="1">
      <c r="A1261" s="16"/>
      <c r="B1261" s="87" t="s">
        <v>3086</v>
      </c>
      <c r="C1261" s="110">
        <v>18</v>
      </c>
      <c r="D1261" s="28" t="s">
        <v>451</v>
      </c>
      <c r="E1261" s="28">
        <v>1.22</v>
      </c>
      <c r="F1261" s="87">
        <v>47</v>
      </c>
      <c r="G1261" s="110"/>
      <c r="H1261" s="85">
        <v>1.6</v>
      </c>
      <c r="I1261" s="110"/>
      <c r="J1261" s="135">
        <v>45366</v>
      </c>
      <c r="K1261" s="9">
        <f t="shared" si="82"/>
        <v>91.744</v>
      </c>
      <c r="L1261" s="37"/>
      <c r="M1261" s="17"/>
      <c r="N1261" s="16"/>
      <c r="O1261" s="16"/>
    </row>
    <row r="1262" spans="1:15" ht="18" customHeight="1">
      <c r="A1262" s="21"/>
      <c r="B1262" s="28" t="s">
        <v>2145</v>
      </c>
      <c r="C1262" s="28"/>
      <c r="D1262" s="28" t="s">
        <v>451</v>
      </c>
      <c r="E1262" s="28">
        <v>1.22</v>
      </c>
      <c r="F1262" s="28">
        <v>184</v>
      </c>
      <c r="G1262" s="28"/>
      <c r="H1262" s="85">
        <v>1.5</v>
      </c>
      <c r="I1262" s="28"/>
      <c r="J1262" s="133">
        <v>44321</v>
      </c>
      <c r="K1262" s="9">
        <f t="shared" si="82"/>
        <v>336.71999999999997</v>
      </c>
      <c r="L1262" s="9"/>
      <c r="M1262" s="9"/>
      <c r="N1262" s="9"/>
      <c r="O1262" s="3"/>
    </row>
    <row r="1263" spans="1:15" ht="18" customHeight="1">
      <c r="A1263" s="21"/>
      <c r="B1263" s="28" t="s">
        <v>1542</v>
      </c>
      <c r="C1263" s="28"/>
      <c r="D1263" s="28" t="s">
        <v>451</v>
      </c>
      <c r="E1263" s="28">
        <v>1</v>
      </c>
      <c r="F1263" s="28">
        <v>319</v>
      </c>
      <c r="G1263" s="28"/>
      <c r="H1263" s="28">
        <v>1.8</v>
      </c>
      <c r="I1263" s="28"/>
      <c r="J1263" s="135">
        <v>44265</v>
      </c>
      <c r="K1263" s="9">
        <f t="shared" si="82"/>
        <v>574.20000000000005</v>
      </c>
      <c r="L1263" s="9"/>
      <c r="M1263" s="36">
        <v>1.22</v>
      </c>
      <c r="N1263" s="9">
        <f>G1263*H1263*I1263*E1263</f>
        <v>0</v>
      </c>
      <c r="O1263" s="3">
        <f>K1263*1.6667</f>
        <v>957.01914000000011</v>
      </c>
    </row>
    <row r="1264" spans="1:15" ht="18" customHeight="1">
      <c r="A1264" s="22"/>
      <c r="B1264" s="28" t="s">
        <v>1353</v>
      </c>
      <c r="C1264" s="28" t="s">
        <v>1147</v>
      </c>
      <c r="D1264" s="28" t="s">
        <v>451</v>
      </c>
      <c r="E1264" s="28">
        <v>1.22</v>
      </c>
      <c r="F1264" s="28">
        <v>40</v>
      </c>
      <c r="G1264" s="28"/>
      <c r="H1264" s="28">
        <v>1.7</v>
      </c>
      <c r="I1264" s="28"/>
      <c r="J1264" s="133">
        <v>45244</v>
      </c>
      <c r="K1264" s="9">
        <f t="shared" si="82"/>
        <v>82.96</v>
      </c>
      <c r="L1264" s="9"/>
      <c r="M1264" s="9"/>
      <c r="N1264" s="9"/>
      <c r="O1264" s="3"/>
    </row>
    <row r="1265" spans="1:15" ht="18" customHeight="1">
      <c r="A1265" s="22"/>
      <c r="B1265" s="28" t="s">
        <v>1353</v>
      </c>
      <c r="C1265" s="28" t="s">
        <v>542</v>
      </c>
      <c r="D1265" s="28" t="s">
        <v>451</v>
      </c>
      <c r="E1265" s="28">
        <v>1.22</v>
      </c>
      <c r="F1265" s="28">
        <v>38</v>
      </c>
      <c r="G1265" s="28"/>
      <c r="H1265" s="28">
        <v>1.6</v>
      </c>
      <c r="I1265" s="28"/>
      <c r="J1265" s="133">
        <v>45812</v>
      </c>
      <c r="K1265" s="9">
        <f t="shared" si="82"/>
        <v>74.176000000000002</v>
      </c>
      <c r="L1265" s="9"/>
      <c r="M1265" s="9"/>
      <c r="N1265" s="9"/>
      <c r="O1265" s="3"/>
    </row>
    <row r="1266" spans="1:15" ht="18" customHeight="1">
      <c r="A1266" s="22"/>
      <c r="B1266" s="28" t="s">
        <v>1353</v>
      </c>
      <c r="C1266" s="28" t="s">
        <v>544</v>
      </c>
      <c r="D1266" s="28" t="s">
        <v>451</v>
      </c>
      <c r="E1266" s="28">
        <v>1.22</v>
      </c>
      <c r="F1266" s="28">
        <v>47</v>
      </c>
      <c r="G1266" s="28"/>
      <c r="H1266" s="28">
        <v>1.6</v>
      </c>
      <c r="I1266" s="28"/>
      <c r="J1266" s="133">
        <v>45981</v>
      </c>
      <c r="K1266" s="9">
        <f t="shared" si="82"/>
        <v>91.744</v>
      </c>
      <c r="L1266" s="9"/>
      <c r="M1266" s="9"/>
      <c r="N1266" s="9"/>
      <c r="O1266" s="3"/>
    </row>
    <row r="1267" spans="1:15" ht="18" customHeight="1">
      <c r="A1267" s="16"/>
      <c r="B1267" s="28" t="s">
        <v>1353</v>
      </c>
      <c r="C1267" s="110" t="s">
        <v>4005</v>
      </c>
      <c r="D1267" s="28" t="s">
        <v>451</v>
      </c>
      <c r="E1267" s="28">
        <v>1.22</v>
      </c>
      <c r="F1267" s="87">
        <v>120</v>
      </c>
      <c r="G1267" s="110"/>
      <c r="H1267" s="87">
        <v>1.6</v>
      </c>
      <c r="I1267" s="110"/>
      <c r="J1267" s="133">
        <v>45653</v>
      </c>
      <c r="K1267" s="37">
        <f t="shared" si="82"/>
        <v>234.24</v>
      </c>
      <c r="L1267" s="37"/>
      <c r="M1267" s="17"/>
      <c r="N1267" s="16"/>
      <c r="O1267" s="16"/>
    </row>
    <row r="1268" spans="1:15" ht="18" customHeight="1">
      <c r="A1268" s="21"/>
      <c r="B1268" s="28" t="s">
        <v>1462</v>
      </c>
      <c r="C1268" s="28">
        <v>35</v>
      </c>
      <c r="D1268" s="28" t="s">
        <v>451</v>
      </c>
      <c r="E1268" s="28">
        <v>1.22</v>
      </c>
      <c r="F1268" s="28">
        <v>129</v>
      </c>
      <c r="G1268" s="28"/>
      <c r="H1268" s="28">
        <v>1.6</v>
      </c>
      <c r="I1268" s="28"/>
      <c r="J1268" s="133">
        <v>43945</v>
      </c>
      <c r="K1268" s="9">
        <f t="shared" si="82"/>
        <v>251.80799999999999</v>
      </c>
      <c r="L1268" s="9"/>
      <c r="M1268" s="9"/>
      <c r="N1268" s="9"/>
      <c r="O1268" s="3"/>
    </row>
    <row r="1269" spans="1:15" ht="18" customHeight="1">
      <c r="A1269" s="16"/>
      <c r="B1269" s="87" t="s">
        <v>3460</v>
      </c>
      <c r="C1269" s="110">
        <v>23</v>
      </c>
      <c r="D1269" s="110" t="s">
        <v>451</v>
      </c>
      <c r="E1269" s="87">
        <v>1.22</v>
      </c>
      <c r="F1269" s="87">
        <v>296</v>
      </c>
      <c r="G1269" s="110"/>
      <c r="H1269" s="87">
        <v>1.6</v>
      </c>
      <c r="I1269" s="110"/>
      <c r="J1269" s="135">
        <v>45407</v>
      </c>
      <c r="K1269" s="9">
        <f t="shared" si="82"/>
        <v>577.79200000000003</v>
      </c>
      <c r="L1269" s="37"/>
      <c r="M1269" s="17"/>
      <c r="N1269" s="16"/>
      <c r="O1269" s="16"/>
    </row>
    <row r="1270" spans="1:15" ht="18" customHeight="1">
      <c r="A1270" s="49" t="s">
        <v>3956</v>
      </c>
      <c r="B1270" s="147" t="s">
        <v>2178</v>
      </c>
      <c r="C1270" s="151" t="s">
        <v>3957</v>
      </c>
      <c r="D1270" s="136" t="s">
        <v>1921</v>
      </c>
      <c r="E1270" s="147">
        <v>1.22</v>
      </c>
      <c r="F1270" s="147">
        <v>169</v>
      </c>
      <c r="G1270" s="151"/>
      <c r="H1270" s="147">
        <v>1.5</v>
      </c>
      <c r="I1270" s="151"/>
      <c r="J1270" s="139">
        <v>21</v>
      </c>
      <c r="K1270" s="35">
        <f t="shared" si="82"/>
        <v>309.27</v>
      </c>
      <c r="L1270" s="64"/>
      <c r="M1270" s="41"/>
      <c r="N1270" s="38"/>
      <c r="O1270" s="38"/>
    </row>
    <row r="1271" spans="1:15" ht="18" customHeight="1">
      <c r="A1271" s="38"/>
      <c r="B1271" s="101" t="s">
        <v>2178</v>
      </c>
      <c r="C1271" s="121" t="s">
        <v>4279</v>
      </c>
      <c r="D1271" s="110" t="s">
        <v>451</v>
      </c>
      <c r="E1271" s="101">
        <v>1.22</v>
      </c>
      <c r="F1271" s="101">
        <v>99</v>
      </c>
      <c r="G1271" s="121"/>
      <c r="H1271" s="101">
        <v>1.8</v>
      </c>
      <c r="I1271" s="121"/>
      <c r="J1271" s="138">
        <v>45812</v>
      </c>
      <c r="K1271" s="13">
        <f t="shared" ref="K1271:K1278" si="83">E1271*F1271*H1271</f>
        <v>217.404</v>
      </c>
      <c r="L1271" s="64"/>
      <c r="M1271" s="41"/>
      <c r="N1271" s="38"/>
      <c r="O1271" s="38"/>
    </row>
    <row r="1272" spans="1:15" ht="18" customHeight="1">
      <c r="B1272" s="101" t="s">
        <v>2178</v>
      </c>
      <c r="C1272" s="122" t="s">
        <v>4541</v>
      </c>
      <c r="D1272" s="110" t="s">
        <v>451</v>
      </c>
      <c r="E1272" s="101">
        <v>1.22</v>
      </c>
      <c r="F1272" s="101">
        <v>55</v>
      </c>
      <c r="H1272" s="101">
        <v>1.8</v>
      </c>
      <c r="J1272" s="159">
        <v>45981</v>
      </c>
      <c r="K1272" s="13">
        <f t="shared" si="83"/>
        <v>120.77999999999999</v>
      </c>
    </row>
    <row r="1273" spans="1:15" ht="18" customHeight="1">
      <c r="B1273" s="101" t="s">
        <v>2178</v>
      </c>
      <c r="C1273" s="122" t="s">
        <v>626</v>
      </c>
      <c r="D1273" s="110" t="s">
        <v>451</v>
      </c>
      <c r="E1273" s="101">
        <v>1.22</v>
      </c>
      <c r="F1273" s="101">
        <v>77</v>
      </c>
      <c r="H1273" s="101">
        <v>1.8</v>
      </c>
      <c r="J1273" s="159">
        <v>45981</v>
      </c>
      <c r="K1273" s="13">
        <f t="shared" si="83"/>
        <v>169.09200000000001</v>
      </c>
    </row>
    <row r="1274" spans="1:15" ht="18" customHeight="1">
      <c r="A1274" s="16" t="s">
        <v>2179</v>
      </c>
      <c r="B1274" s="90" t="s">
        <v>2178</v>
      </c>
      <c r="C1274" s="114" t="s">
        <v>2180</v>
      </c>
      <c r="D1274" s="28" t="s">
        <v>1921</v>
      </c>
      <c r="E1274" s="28">
        <v>1.21</v>
      </c>
      <c r="F1274" s="83">
        <v>62</v>
      </c>
      <c r="G1274" s="110"/>
      <c r="H1274" s="28">
        <v>1.5</v>
      </c>
      <c r="I1274" s="110"/>
      <c r="J1274" s="144">
        <v>46009</v>
      </c>
      <c r="K1274" s="35">
        <f t="shared" si="83"/>
        <v>112.53</v>
      </c>
      <c r="L1274" s="35"/>
      <c r="M1274" s="17"/>
      <c r="N1274" s="16"/>
      <c r="O1274" s="16"/>
    </row>
    <row r="1275" spans="1:15" ht="18" customHeight="1">
      <c r="A1275" s="21" t="s">
        <v>2315</v>
      </c>
      <c r="B1275" s="28" t="s">
        <v>2316</v>
      </c>
      <c r="C1275" s="28"/>
      <c r="D1275" s="28" t="s">
        <v>1921</v>
      </c>
      <c r="E1275" s="28">
        <v>1.22</v>
      </c>
      <c r="F1275" s="28">
        <v>94</v>
      </c>
      <c r="G1275" s="28"/>
      <c r="H1275" s="28">
        <v>1.6</v>
      </c>
      <c r="I1275" s="28"/>
      <c r="J1275" s="133">
        <v>46009</v>
      </c>
      <c r="K1275" s="9">
        <f t="shared" si="83"/>
        <v>183.488</v>
      </c>
      <c r="L1275" s="9"/>
      <c r="M1275" s="9"/>
      <c r="N1275" s="9"/>
      <c r="O1275" s="3"/>
    </row>
    <row r="1276" spans="1:15" ht="18" customHeight="1">
      <c r="A1276" s="16"/>
      <c r="B1276" s="87" t="s">
        <v>4292</v>
      </c>
      <c r="C1276" s="110">
        <v>18</v>
      </c>
      <c r="D1276" s="110" t="s">
        <v>451</v>
      </c>
      <c r="E1276" s="87">
        <v>1.22</v>
      </c>
      <c r="F1276" s="87">
        <v>105</v>
      </c>
      <c r="G1276" s="110"/>
      <c r="H1276" s="87">
        <v>1.8</v>
      </c>
      <c r="I1276" s="110"/>
      <c r="J1276" s="135">
        <v>45909</v>
      </c>
      <c r="K1276" s="9">
        <f t="shared" si="83"/>
        <v>230.57999999999998</v>
      </c>
      <c r="L1276" s="37"/>
      <c r="M1276" s="17"/>
      <c r="N1276" s="16"/>
      <c r="O1276" s="16"/>
    </row>
    <row r="1277" spans="1:15" ht="18" customHeight="1">
      <c r="A1277" s="16"/>
      <c r="B1277" s="87" t="s">
        <v>4292</v>
      </c>
      <c r="C1277" s="110">
        <v>22</v>
      </c>
      <c r="D1277" s="110" t="s">
        <v>451</v>
      </c>
      <c r="E1277" s="87">
        <v>1.22</v>
      </c>
      <c r="F1277" s="87">
        <v>190</v>
      </c>
      <c r="G1277" s="110"/>
      <c r="H1277" s="87">
        <v>1.8</v>
      </c>
      <c r="I1277" s="110"/>
      <c r="J1277" s="135">
        <v>45909</v>
      </c>
      <c r="K1277" s="9">
        <f t="shared" si="83"/>
        <v>417.23999999999995</v>
      </c>
      <c r="L1277" s="37"/>
      <c r="M1277" s="17"/>
      <c r="N1277" s="16"/>
      <c r="O1277" s="16"/>
    </row>
    <row r="1278" spans="1:15" ht="18" customHeight="1">
      <c r="A1278" s="16"/>
      <c r="B1278" s="87" t="s">
        <v>4292</v>
      </c>
      <c r="C1278" s="110">
        <v>27</v>
      </c>
      <c r="D1278" s="110" t="s">
        <v>451</v>
      </c>
      <c r="E1278" s="87">
        <v>1.22</v>
      </c>
      <c r="F1278" s="87">
        <v>326</v>
      </c>
      <c r="G1278" s="110"/>
      <c r="H1278" s="87">
        <v>1.8</v>
      </c>
      <c r="I1278" s="110"/>
      <c r="J1278" s="138">
        <v>45909</v>
      </c>
      <c r="K1278" s="10">
        <f t="shared" si="83"/>
        <v>715.89599999999996</v>
      </c>
      <c r="L1278" s="37"/>
      <c r="M1278" s="17"/>
      <c r="N1278" s="16"/>
      <c r="O1278" s="16"/>
    </row>
    <row r="1279" spans="1:15" ht="18" customHeight="1">
      <c r="A1279" s="46">
        <v>706770</v>
      </c>
      <c r="B1279" s="28" t="s">
        <v>3218</v>
      </c>
      <c r="C1279" s="28" t="s">
        <v>2401</v>
      </c>
      <c r="D1279" s="28" t="s">
        <v>23</v>
      </c>
      <c r="E1279" s="28">
        <v>1.22</v>
      </c>
      <c r="F1279" s="28">
        <v>5.12</v>
      </c>
      <c r="G1279" s="79">
        <v>5.12</v>
      </c>
      <c r="H1279" s="28">
        <v>1.6</v>
      </c>
      <c r="I1279" s="79">
        <v>46</v>
      </c>
      <c r="J1279" s="144">
        <v>45794</v>
      </c>
      <c r="K1279" s="10">
        <f>E1279*F1279*H1279*I1279</f>
        <v>459.73504000000008</v>
      </c>
      <c r="L1279" s="9"/>
      <c r="M1279" s="17"/>
      <c r="N1279" s="9">
        <f t="shared" ref="N1279:N1284" si="84">G1279*H1279*I1279*E1279</f>
        <v>459.73503999999997</v>
      </c>
      <c r="O1279" s="3"/>
    </row>
    <row r="1280" spans="1:15" ht="18" customHeight="1">
      <c r="A1280" s="46">
        <v>704647</v>
      </c>
      <c r="B1280" s="28" t="s">
        <v>3217</v>
      </c>
      <c r="C1280" s="28" t="s">
        <v>556</v>
      </c>
      <c r="D1280" s="28" t="s">
        <v>23</v>
      </c>
      <c r="E1280" s="28">
        <v>1.22</v>
      </c>
      <c r="F1280" s="28">
        <v>3.13</v>
      </c>
      <c r="G1280" s="110"/>
      <c r="H1280" s="28">
        <v>1.6</v>
      </c>
      <c r="I1280" s="28">
        <v>45</v>
      </c>
      <c r="J1280" s="144">
        <v>45794</v>
      </c>
      <c r="K1280" s="10">
        <f>E1280*F1280*H1280*I1280</f>
        <v>274.93920000000003</v>
      </c>
      <c r="L1280" s="9"/>
      <c r="M1280" s="17"/>
      <c r="N1280" s="9">
        <f t="shared" si="84"/>
        <v>0</v>
      </c>
      <c r="O1280" s="16"/>
    </row>
    <row r="1281" spans="1:15" ht="18" customHeight="1">
      <c r="A1281" s="46">
        <v>706732</v>
      </c>
      <c r="B1281" s="28" t="s">
        <v>3217</v>
      </c>
      <c r="C1281" s="28">
        <v>18</v>
      </c>
      <c r="D1281" s="28" t="s">
        <v>23</v>
      </c>
      <c r="E1281" s="28">
        <v>1.22</v>
      </c>
      <c r="F1281" s="28">
        <v>1.5</v>
      </c>
      <c r="G1281" s="79">
        <v>1.5</v>
      </c>
      <c r="H1281" s="28">
        <v>1.4</v>
      </c>
      <c r="I1281" s="28">
        <v>45</v>
      </c>
      <c r="J1281" s="134">
        <v>45755</v>
      </c>
      <c r="K1281" s="9">
        <f>+E1281*G1281*H1281*I1281</f>
        <v>115.28999999999999</v>
      </c>
      <c r="L1281" s="9"/>
      <c r="M1281" s="17"/>
      <c r="N1281" s="9">
        <f t="shared" si="84"/>
        <v>115.28999999999998</v>
      </c>
      <c r="O1281" s="16"/>
    </row>
    <row r="1282" spans="1:15" ht="18" customHeight="1">
      <c r="A1282" s="16">
        <v>706740</v>
      </c>
      <c r="B1282" s="28" t="s">
        <v>3217</v>
      </c>
      <c r="C1282" s="28" t="s">
        <v>545</v>
      </c>
      <c r="D1282" s="28" t="s">
        <v>23</v>
      </c>
      <c r="E1282" s="28">
        <v>1.22</v>
      </c>
      <c r="F1282" s="28">
        <v>1.81</v>
      </c>
      <c r="G1282" s="79">
        <v>1.81</v>
      </c>
      <c r="H1282" s="28">
        <v>1.6</v>
      </c>
      <c r="I1282" s="79">
        <v>45</v>
      </c>
      <c r="J1282" s="134">
        <v>45794</v>
      </c>
      <c r="K1282" s="9">
        <f>E1282*F1282*H1282*I1282</f>
        <v>158.99040000000002</v>
      </c>
      <c r="L1282" s="9"/>
      <c r="M1282" s="17"/>
      <c r="N1282" s="9">
        <f t="shared" si="84"/>
        <v>158.99040000000002</v>
      </c>
      <c r="O1282" s="3"/>
    </row>
    <row r="1283" spans="1:15" ht="18" customHeight="1">
      <c r="A1283" s="46">
        <v>704648</v>
      </c>
      <c r="B1283" s="28" t="s">
        <v>3217</v>
      </c>
      <c r="C1283" s="28" t="s">
        <v>298</v>
      </c>
      <c r="D1283" s="28" t="s">
        <v>23</v>
      </c>
      <c r="E1283" s="28">
        <v>1.22</v>
      </c>
      <c r="F1283" s="28">
        <v>7.21</v>
      </c>
      <c r="G1283" s="110"/>
      <c r="H1283" s="28">
        <v>1.4</v>
      </c>
      <c r="I1283" s="79">
        <v>45</v>
      </c>
      <c r="J1283" s="134">
        <v>45794</v>
      </c>
      <c r="K1283" s="9">
        <f>E1283*F1283*H1283*I1283</f>
        <v>554.16059999999993</v>
      </c>
      <c r="L1283" s="9"/>
      <c r="M1283" s="17"/>
      <c r="N1283" s="9">
        <f t="shared" si="84"/>
        <v>0</v>
      </c>
      <c r="O1283" s="3"/>
    </row>
    <row r="1284" spans="1:15" ht="18" customHeight="1">
      <c r="A1284" s="21"/>
      <c r="B1284" s="28" t="s">
        <v>2612</v>
      </c>
      <c r="C1284" s="28" t="s">
        <v>689</v>
      </c>
      <c r="D1284" s="28" t="s">
        <v>1921</v>
      </c>
      <c r="E1284" s="28">
        <v>1.22</v>
      </c>
      <c r="F1284" s="28">
        <v>2078.6999999999998</v>
      </c>
      <c r="G1284" s="28"/>
      <c r="H1284" s="28">
        <v>1.3</v>
      </c>
      <c r="I1284" s="28"/>
      <c r="J1284" s="133">
        <v>44741</v>
      </c>
      <c r="K1284" s="9">
        <f t="shared" ref="K1284:K1307" si="85">E1284*F1284*H1284</f>
        <v>3296.8181999999997</v>
      </c>
      <c r="L1284" s="9"/>
      <c r="M1284" s="9"/>
      <c r="N1284" s="9">
        <f t="shared" si="84"/>
        <v>0</v>
      </c>
      <c r="O1284" s="3">
        <f>K1284*1.6667</f>
        <v>5494.80689394</v>
      </c>
    </row>
    <row r="1285" spans="1:15" ht="18" customHeight="1">
      <c r="A1285" s="28" t="s">
        <v>2092</v>
      </c>
      <c r="B1285" s="83" t="s">
        <v>3221</v>
      </c>
      <c r="C1285" s="28" t="s">
        <v>2311</v>
      </c>
      <c r="D1285" s="28" t="s">
        <v>1921</v>
      </c>
      <c r="E1285" s="28">
        <v>1.22</v>
      </c>
      <c r="F1285" s="28">
        <v>163</v>
      </c>
      <c r="G1285" s="28"/>
      <c r="H1285" s="28">
        <v>1.5</v>
      </c>
      <c r="I1285" s="28"/>
      <c r="J1285" s="133">
        <v>45231</v>
      </c>
      <c r="K1285" s="213">
        <f t="shared" si="85"/>
        <v>298.28999999999996</v>
      </c>
      <c r="L1285" s="9"/>
      <c r="M1285" s="9"/>
      <c r="N1285" s="9"/>
      <c r="O1285" s="3"/>
    </row>
    <row r="1286" spans="1:15" ht="18" customHeight="1">
      <c r="A1286" s="83" t="s">
        <v>2033</v>
      </c>
      <c r="B1286" s="83" t="s">
        <v>2034</v>
      </c>
      <c r="C1286" s="80" t="s">
        <v>1876</v>
      </c>
      <c r="D1286" s="28" t="s">
        <v>1921</v>
      </c>
      <c r="E1286" s="28">
        <v>1.22</v>
      </c>
      <c r="F1286" s="83">
        <v>133</v>
      </c>
      <c r="G1286" s="80"/>
      <c r="H1286" s="28">
        <v>1.5</v>
      </c>
      <c r="I1286" s="80"/>
      <c r="J1286" s="134">
        <v>45281</v>
      </c>
      <c r="K1286" s="220">
        <f t="shared" si="85"/>
        <v>243.39</v>
      </c>
      <c r="L1286" s="37"/>
      <c r="M1286" s="17"/>
      <c r="N1286" s="16"/>
      <c r="O1286" s="16"/>
    </row>
    <row r="1287" spans="1:15" ht="18" customHeight="1">
      <c r="A1287" s="28" t="s">
        <v>2312</v>
      </c>
      <c r="B1287" s="28" t="s">
        <v>2034</v>
      </c>
      <c r="C1287" s="28" t="s">
        <v>2313</v>
      </c>
      <c r="D1287" s="28" t="s">
        <v>1921</v>
      </c>
      <c r="E1287" s="28">
        <v>1.22</v>
      </c>
      <c r="F1287" s="28">
        <v>101</v>
      </c>
      <c r="G1287" s="28"/>
      <c r="H1287" s="28">
        <v>1.5</v>
      </c>
      <c r="I1287" s="28"/>
      <c r="J1287" s="133">
        <v>45358</v>
      </c>
      <c r="K1287" s="220">
        <f t="shared" si="85"/>
        <v>184.82999999999998</v>
      </c>
      <c r="L1287" s="17"/>
      <c r="M1287" s="17"/>
      <c r="N1287" s="9"/>
      <c r="O1287" s="3"/>
    </row>
    <row r="1288" spans="1:15" ht="18" customHeight="1">
      <c r="A1288" s="219" t="s">
        <v>4176</v>
      </c>
      <c r="B1288" s="88" t="s">
        <v>4173</v>
      </c>
      <c r="C1288" s="136" t="s">
        <v>4178</v>
      </c>
      <c r="D1288" s="136" t="s">
        <v>1921</v>
      </c>
      <c r="E1288" s="88">
        <v>1.22</v>
      </c>
      <c r="F1288" s="88">
        <v>93</v>
      </c>
      <c r="G1288" s="136"/>
      <c r="H1288" s="88">
        <v>1.5</v>
      </c>
      <c r="I1288" s="136"/>
      <c r="J1288" s="137">
        <v>45589</v>
      </c>
      <c r="K1288" s="35">
        <f t="shared" si="85"/>
        <v>170.19</v>
      </c>
      <c r="L1288" s="37"/>
      <c r="M1288" s="17"/>
      <c r="N1288" s="16"/>
      <c r="O1288" s="16"/>
    </row>
    <row r="1289" spans="1:15" ht="18" customHeight="1">
      <c r="A1289" s="290" t="s">
        <v>4175</v>
      </c>
      <c r="B1289" s="88" t="s">
        <v>4173</v>
      </c>
      <c r="C1289" s="136" t="s">
        <v>4177</v>
      </c>
      <c r="D1289" s="136" t="s">
        <v>1921</v>
      </c>
      <c r="E1289" s="88">
        <v>1.22</v>
      </c>
      <c r="F1289" s="95">
        <v>59</v>
      </c>
      <c r="G1289" s="136"/>
      <c r="H1289" s="88">
        <v>1.5</v>
      </c>
      <c r="I1289" s="136"/>
      <c r="J1289" s="143">
        <v>46009</v>
      </c>
      <c r="K1289" s="35">
        <f t="shared" si="85"/>
        <v>107.97</v>
      </c>
      <c r="L1289" s="37"/>
      <c r="M1289" s="17"/>
      <c r="N1289" s="16"/>
      <c r="O1289" s="16"/>
    </row>
    <row r="1290" spans="1:15" ht="18" customHeight="1">
      <c r="A1290" s="219" t="s">
        <v>4174</v>
      </c>
      <c r="B1290" s="88" t="s">
        <v>4173</v>
      </c>
      <c r="C1290" s="88" t="s">
        <v>4172</v>
      </c>
      <c r="D1290" s="136" t="s">
        <v>1921</v>
      </c>
      <c r="E1290" s="88">
        <v>1.22</v>
      </c>
      <c r="F1290" s="88">
        <v>39</v>
      </c>
      <c r="G1290" s="136"/>
      <c r="H1290" s="88">
        <v>1.5</v>
      </c>
      <c r="I1290" s="136"/>
      <c r="J1290" s="137">
        <v>45589</v>
      </c>
      <c r="K1290" s="35">
        <f t="shared" si="85"/>
        <v>71.37</v>
      </c>
      <c r="L1290" s="37"/>
      <c r="M1290" s="17"/>
      <c r="N1290" s="16"/>
      <c r="O1290" s="16"/>
    </row>
    <row r="1291" spans="1:15" ht="18" customHeight="1">
      <c r="A1291" s="80" t="s">
        <v>3962</v>
      </c>
      <c r="B1291" s="80" t="s">
        <v>3960</v>
      </c>
      <c r="C1291" s="80" t="s">
        <v>3964</v>
      </c>
      <c r="D1291" s="80" t="s">
        <v>1921</v>
      </c>
      <c r="E1291" s="80">
        <v>1.22</v>
      </c>
      <c r="F1291" s="80">
        <v>99</v>
      </c>
      <c r="G1291" s="80"/>
      <c r="H1291" s="80">
        <v>1.5</v>
      </c>
      <c r="I1291" s="80"/>
      <c r="J1291" s="134">
        <v>45589</v>
      </c>
      <c r="K1291" s="220">
        <f t="shared" si="85"/>
        <v>181.17000000000002</v>
      </c>
      <c r="L1291" s="37"/>
      <c r="M1291" s="17"/>
      <c r="N1291" s="16"/>
      <c r="O1291" s="16"/>
    </row>
    <row r="1292" spans="1:15" ht="18" customHeight="1">
      <c r="A1292" s="80" t="s">
        <v>3961</v>
      </c>
      <c r="B1292" s="80" t="s">
        <v>3960</v>
      </c>
      <c r="C1292" s="80" t="s">
        <v>3963</v>
      </c>
      <c r="D1292" s="80" t="s">
        <v>1921</v>
      </c>
      <c r="E1292" s="80">
        <v>1.22</v>
      </c>
      <c r="F1292" s="80">
        <v>76</v>
      </c>
      <c r="G1292" s="80"/>
      <c r="H1292" s="80">
        <v>1.5</v>
      </c>
      <c r="I1292" s="80"/>
      <c r="J1292" s="134">
        <v>45917</v>
      </c>
      <c r="K1292" s="220">
        <f t="shared" si="85"/>
        <v>139.07999999999998</v>
      </c>
      <c r="L1292" s="37"/>
      <c r="M1292" s="17"/>
      <c r="N1292" s="16"/>
      <c r="O1292" s="16"/>
    </row>
    <row r="1293" spans="1:15" ht="18" customHeight="1">
      <c r="A1293" s="80" t="s">
        <v>3958</v>
      </c>
      <c r="B1293" s="80" t="s">
        <v>3960</v>
      </c>
      <c r="C1293" s="80" t="s">
        <v>3959</v>
      </c>
      <c r="D1293" s="80" t="s">
        <v>1921</v>
      </c>
      <c r="E1293" s="80">
        <v>1.22</v>
      </c>
      <c r="F1293" s="80">
        <v>57</v>
      </c>
      <c r="G1293" s="80"/>
      <c r="H1293" s="80">
        <v>1.5</v>
      </c>
      <c r="I1293" s="80"/>
      <c r="J1293" s="134">
        <v>45589</v>
      </c>
      <c r="K1293" s="220">
        <f t="shared" si="85"/>
        <v>104.30999999999999</v>
      </c>
      <c r="L1293" s="37"/>
      <c r="M1293" s="17"/>
      <c r="N1293" s="16"/>
      <c r="O1293" s="16"/>
    </row>
    <row r="1294" spans="1:15" ht="18" customHeight="1">
      <c r="A1294" s="80" t="s">
        <v>3106</v>
      </c>
      <c r="B1294" s="80" t="s">
        <v>3107</v>
      </c>
      <c r="C1294" s="80" t="s">
        <v>3108</v>
      </c>
      <c r="D1294" s="28" t="s">
        <v>1921</v>
      </c>
      <c r="E1294" s="28">
        <v>1.22</v>
      </c>
      <c r="F1294" s="80">
        <v>56</v>
      </c>
      <c r="G1294" s="80"/>
      <c r="H1294" s="80">
        <v>1.5</v>
      </c>
      <c r="I1294" s="80"/>
      <c r="J1294" s="134">
        <v>45917</v>
      </c>
      <c r="K1294" s="220">
        <f t="shared" si="85"/>
        <v>102.47999999999999</v>
      </c>
      <c r="L1294" s="37"/>
      <c r="M1294" s="17"/>
      <c r="N1294" s="16"/>
      <c r="O1294" s="16"/>
    </row>
    <row r="1295" spans="1:15" ht="18" customHeight="1">
      <c r="A1295" s="16"/>
      <c r="B1295" s="87" t="s">
        <v>3456</v>
      </c>
      <c r="C1295" s="110"/>
      <c r="D1295" s="110" t="s">
        <v>451</v>
      </c>
      <c r="E1295" s="87">
        <v>1.22</v>
      </c>
      <c r="F1295" s="87">
        <v>125</v>
      </c>
      <c r="G1295" s="110"/>
      <c r="H1295" s="87">
        <v>1.6</v>
      </c>
      <c r="I1295" s="110"/>
      <c r="J1295" s="135">
        <v>45407</v>
      </c>
      <c r="K1295" s="9">
        <f t="shared" si="85"/>
        <v>244</v>
      </c>
      <c r="L1295" s="37"/>
      <c r="M1295" s="17"/>
      <c r="N1295" s="16"/>
      <c r="O1295" s="16"/>
    </row>
    <row r="1296" spans="1:15" ht="18" customHeight="1">
      <c r="A1296" s="22"/>
      <c r="B1296" s="28" t="s">
        <v>470</v>
      </c>
      <c r="C1296" s="81" t="s">
        <v>474</v>
      </c>
      <c r="D1296" s="28" t="s">
        <v>451</v>
      </c>
      <c r="E1296" s="28">
        <v>1.22</v>
      </c>
      <c r="F1296" s="28">
        <v>190</v>
      </c>
      <c r="G1296" s="81"/>
      <c r="H1296" s="28">
        <v>1.4</v>
      </c>
      <c r="I1296" s="81"/>
      <c r="J1296" s="133">
        <v>43990</v>
      </c>
      <c r="K1296" s="10">
        <f t="shared" si="85"/>
        <v>324.52</v>
      </c>
      <c r="L1296" s="9"/>
      <c r="M1296" s="9"/>
      <c r="N1296" s="16"/>
      <c r="O1296" s="16"/>
    </row>
    <row r="1297" spans="1:15" ht="17.100000000000001" customHeight="1">
      <c r="A1297" s="22"/>
      <c r="B1297" s="28" t="s">
        <v>470</v>
      </c>
      <c r="C1297" s="81" t="s">
        <v>577</v>
      </c>
      <c r="D1297" s="28" t="s">
        <v>451</v>
      </c>
      <c r="E1297" s="28">
        <v>1.22</v>
      </c>
      <c r="F1297" s="28">
        <v>295</v>
      </c>
      <c r="G1297" s="81"/>
      <c r="H1297" s="28">
        <v>1.4</v>
      </c>
      <c r="I1297" s="81"/>
      <c r="J1297" s="133">
        <v>43990</v>
      </c>
      <c r="K1297" s="9">
        <f t="shared" si="85"/>
        <v>503.85999999999996</v>
      </c>
      <c r="L1297" s="9"/>
      <c r="M1297" s="9"/>
      <c r="N1297" s="16"/>
      <c r="O1297" s="16"/>
    </row>
    <row r="1298" spans="1:15" ht="17.100000000000001" customHeight="1">
      <c r="A1298" s="21"/>
      <c r="B1298" s="28" t="s">
        <v>3740</v>
      </c>
      <c r="C1298" s="28">
        <v>17</v>
      </c>
      <c r="D1298" s="28" t="s">
        <v>451</v>
      </c>
      <c r="E1298" s="28">
        <v>1.22</v>
      </c>
      <c r="F1298" s="28">
        <v>44</v>
      </c>
      <c r="G1298" s="28"/>
      <c r="H1298" s="28">
        <v>1.6</v>
      </c>
      <c r="I1298" s="28"/>
      <c r="J1298" s="133">
        <v>45772</v>
      </c>
      <c r="K1298" s="9">
        <f t="shared" si="85"/>
        <v>85.888000000000005</v>
      </c>
      <c r="L1298" s="9"/>
      <c r="M1298" s="9"/>
      <c r="N1298" s="9">
        <f>G1298*H1298*I1298*E1298</f>
        <v>0</v>
      </c>
      <c r="O1298" s="3">
        <f>K1298*1.6667</f>
        <v>143.14952960000002</v>
      </c>
    </row>
    <row r="1299" spans="1:15" ht="18" customHeight="1">
      <c r="A1299" s="21"/>
      <c r="B1299" s="28" t="s">
        <v>3740</v>
      </c>
      <c r="C1299" s="28">
        <v>20</v>
      </c>
      <c r="D1299" s="28" t="s">
        <v>451</v>
      </c>
      <c r="E1299" s="28">
        <v>1.22</v>
      </c>
      <c r="F1299" s="28">
        <v>51</v>
      </c>
      <c r="G1299" s="28"/>
      <c r="H1299" s="28">
        <v>1.6</v>
      </c>
      <c r="I1299" s="28"/>
      <c r="J1299" s="133">
        <v>45772</v>
      </c>
      <c r="K1299" s="9">
        <f t="shared" si="85"/>
        <v>99.552000000000007</v>
      </c>
      <c r="L1299" s="9"/>
      <c r="M1299" s="9"/>
      <c r="N1299" s="9">
        <f>G1299*H1299*I1299*E1299</f>
        <v>0</v>
      </c>
      <c r="O1299" s="3">
        <f>K1299*1.6667</f>
        <v>165.92331840000003</v>
      </c>
    </row>
    <row r="1300" spans="1:15" ht="18" customHeight="1">
      <c r="A1300" s="21"/>
      <c r="B1300" s="28" t="s">
        <v>3740</v>
      </c>
      <c r="C1300" s="28">
        <v>24</v>
      </c>
      <c r="D1300" s="28" t="s">
        <v>451</v>
      </c>
      <c r="E1300" s="28">
        <v>1.22</v>
      </c>
      <c r="F1300" s="28">
        <v>66</v>
      </c>
      <c r="G1300" s="28"/>
      <c r="H1300" s="28">
        <v>1.6</v>
      </c>
      <c r="I1300" s="28"/>
      <c r="J1300" s="140">
        <v>45772</v>
      </c>
      <c r="K1300" s="9">
        <f t="shared" si="85"/>
        <v>128.83199999999999</v>
      </c>
      <c r="L1300" s="9"/>
      <c r="M1300" s="9"/>
      <c r="N1300" s="9">
        <f>G1300*H1300*I1300*E1300</f>
        <v>0</v>
      </c>
      <c r="O1300" s="3">
        <f>K1300*1.6667</f>
        <v>214.72429439999999</v>
      </c>
    </row>
    <row r="1301" spans="1:15" ht="18" customHeight="1">
      <c r="A1301" s="21"/>
      <c r="B1301" s="28" t="s">
        <v>3740</v>
      </c>
      <c r="C1301" s="28">
        <v>30</v>
      </c>
      <c r="D1301" s="28" t="s">
        <v>451</v>
      </c>
      <c r="E1301" s="28">
        <v>1.22</v>
      </c>
      <c r="F1301" s="28">
        <v>160</v>
      </c>
      <c r="G1301" s="28"/>
      <c r="H1301" s="28">
        <v>1.6</v>
      </c>
      <c r="I1301" s="28"/>
      <c r="J1301" s="133">
        <v>45772</v>
      </c>
      <c r="K1301" s="9">
        <f t="shared" si="85"/>
        <v>312.32</v>
      </c>
      <c r="L1301" s="9"/>
      <c r="M1301" s="9"/>
      <c r="N1301" s="9">
        <f>G1301*H1301*I1301*E1301</f>
        <v>0</v>
      </c>
      <c r="O1301" s="3">
        <f>K1301*1.6667</f>
        <v>520.54374400000006</v>
      </c>
    </row>
    <row r="1302" spans="1:15" ht="18" customHeight="1">
      <c r="A1302" s="16"/>
      <c r="B1302" s="87" t="s">
        <v>3741</v>
      </c>
      <c r="C1302" s="28">
        <v>17</v>
      </c>
      <c r="D1302" s="28" t="s">
        <v>451</v>
      </c>
      <c r="E1302" s="28">
        <v>1.22</v>
      </c>
      <c r="F1302" s="87">
        <v>32</v>
      </c>
      <c r="G1302" s="110"/>
      <c r="H1302" s="28">
        <v>1.6</v>
      </c>
      <c r="I1302" s="110"/>
      <c r="J1302" s="133">
        <v>45772</v>
      </c>
      <c r="K1302" s="9">
        <f t="shared" si="85"/>
        <v>62.463999999999999</v>
      </c>
      <c r="L1302" s="37"/>
      <c r="M1302" s="17"/>
      <c r="N1302" s="16"/>
      <c r="O1302" s="16"/>
    </row>
    <row r="1303" spans="1:15" ht="18" customHeight="1">
      <c r="A1303" s="16"/>
      <c r="B1303" s="87" t="s">
        <v>3741</v>
      </c>
      <c r="C1303" s="28">
        <v>20</v>
      </c>
      <c r="D1303" s="28" t="s">
        <v>451</v>
      </c>
      <c r="E1303" s="28">
        <v>1.22</v>
      </c>
      <c r="F1303" s="87">
        <v>36</v>
      </c>
      <c r="G1303" s="110"/>
      <c r="H1303" s="28">
        <v>1.6</v>
      </c>
      <c r="I1303" s="110"/>
      <c r="J1303" s="133">
        <v>45772</v>
      </c>
      <c r="K1303" s="9">
        <f t="shared" si="85"/>
        <v>70.272000000000006</v>
      </c>
      <c r="L1303" s="37"/>
      <c r="M1303" s="17"/>
      <c r="N1303" s="16"/>
      <c r="O1303" s="16"/>
    </row>
    <row r="1304" spans="1:15" ht="18" customHeight="1">
      <c r="A1304" s="16"/>
      <c r="B1304" s="87" t="s">
        <v>3741</v>
      </c>
      <c r="C1304" s="28">
        <v>24</v>
      </c>
      <c r="D1304" s="28" t="s">
        <v>451</v>
      </c>
      <c r="E1304" s="28">
        <v>1.22</v>
      </c>
      <c r="F1304" s="87">
        <v>45</v>
      </c>
      <c r="G1304" s="110"/>
      <c r="H1304" s="28">
        <v>1.6</v>
      </c>
      <c r="I1304" s="110"/>
      <c r="J1304" s="133">
        <v>45772</v>
      </c>
      <c r="K1304" s="9">
        <f t="shared" si="85"/>
        <v>87.84</v>
      </c>
      <c r="L1304" s="37"/>
      <c r="M1304" s="17"/>
      <c r="N1304" s="16"/>
      <c r="O1304" s="16"/>
    </row>
    <row r="1305" spans="1:15" ht="18" customHeight="1">
      <c r="A1305" s="16"/>
      <c r="B1305" s="87" t="s">
        <v>3741</v>
      </c>
      <c r="C1305" s="110">
        <v>30</v>
      </c>
      <c r="D1305" s="28" t="s">
        <v>451</v>
      </c>
      <c r="E1305" s="28">
        <v>1.22</v>
      </c>
      <c r="F1305" s="87">
        <v>124</v>
      </c>
      <c r="G1305" s="110"/>
      <c r="H1305" s="87">
        <v>1.6</v>
      </c>
      <c r="I1305" s="110"/>
      <c r="J1305" s="133">
        <v>45772</v>
      </c>
      <c r="K1305" s="9">
        <f t="shared" si="85"/>
        <v>242.048</v>
      </c>
      <c r="L1305" s="37"/>
      <c r="M1305" s="17"/>
      <c r="N1305" s="16"/>
      <c r="O1305" s="16"/>
    </row>
    <row r="1306" spans="1:15" ht="17.100000000000001" customHeight="1">
      <c r="A1306" s="16" t="s">
        <v>3210</v>
      </c>
      <c r="B1306" s="87" t="s">
        <v>2870</v>
      </c>
      <c r="C1306" s="110" t="s">
        <v>3668</v>
      </c>
      <c r="D1306" s="28" t="s">
        <v>1292</v>
      </c>
      <c r="E1306" s="87">
        <v>1.22</v>
      </c>
      <c r="F1306" s="87">
        <v>69.900000000000006</v>
      </c>
      <c r="G1306" s="110"/>
      <c r="H1306" s="87">
        <v>2</v>
      </c>
      <c r="I1306" s="110"/>
      <c r="J1306" s="169">
        <v>45532</v>
      </c>
      <c r="K1306" s="75">
        <f t="shared" si="85"/>
        <v>170.55600000000001</v>
      </c>
      <c r="L1306" s="37"/>
      <c r="M1306" s="17"/>
      <c r="N1306" s="16"/>
      <c r="O1306" s="16"/>
    </row>
    <row r="1307" spans="1:15" ht="17.100000000000001" customHeight="1">
      <c r="A1307" s="16"/>
      <c r="B1307" s="28" t="s">
        <v>2870</v>
      </c>
      <c r="C1307" s="110" t="s">
        <v>2871</v>
      </c>
      <c r="D1307" s="28" t="s">
        <v>451</v>
      </c>
      <c r="E1307" s="28">
        <v>1.22</v>
      </c>
      <c r="F1307" s="28">
        <v>38</v>
      </c>
      <c r="G1307" s="110"/>
      <c r="H1307" s="28">
        <v>2.5</v>
      </c>
      <c r="I1307" s="110"/>
      <c r="J1307" s="133">
        <v>45772</v>
      </c>
      <c r="K1307" s="37">
        <f t="shared" si="85"/>
        <v>115.9</v>
      </c>
      <c r="L1307" s="37"/>
      <c r="M1307" s="17"/>
      <c r="N1307" s="16"/>
      <c r="O1307" s="16"/>
    </row>
    <row r="1308" spans="1:15" ht="18" customHeight="1">
      <c r="A1308" s="16" t="s">
        <v>3269</v>
      </c>
      <c r="B1308" s="87" t="s">
        <v>2870</v>
      </c>
      <c r="C1308" s="110">
        <v>0</v>
      </c>
      <c r="D1308" s="28" t="s">
        <v>451</v>
      </c>
      <c r="E1308" s="87">
        <v>1.22</v>
      </c>
      <c r="F1308" s="87">
        <v>39.9</v>
      </c>
      <c r="G1308" s="110"/>
      <c r="H1308" s="87">
        <v>1.8</v>
      </c>
      <c r="I1308" s="110"/>
      <c r="J1308" s="135">
        <v>45258</v>
      </c>
      <c r="K1308" s="37">
        <f>E1481*F1308*H1308</f>
        <v>87.620400000000004</v>
      </c>
      <c r="L1308" s="37"/>
      <c r="M1308" s="17"/>
      <c r="N1308" s="16"/>
      <c r="O1308" s="16"/>
    </row>
    <row r="1309" spans="1:15" ht="18" customHeight="1">
      <c r="A1309" s="16" t="s">
        <v>3673</v>
      </c>
      <c r="B1309" s="87" t="s">
        <v>2870</v>
      </c>
      <c r="C1309" s="110" t="s">
        <v>3674</v>
      </c>
      <c r="D1309" s="110"/>
      <c r="E1309" s="87">
        <v>1.22</v>
      </c>
      <c r="F1309" s="87">
        <v>99.9</v>
      </c>
      <c r="G1309" s="110"/>
      <c r="H1309" s="87">
        <v>1.8</v>
      </c>
      <c r="I1309" s="110"/>
      <c r="J1309" s="87"/>
      <c r="K1309" s="37">
        <f t="shared" ref="K1309:K1340" si="86">E1309*F1309*H1309</f>
        <v>219.38040000000001</v>
      </c>
      <c r="L1309" s="37"/>
      <c r="M1309" s="17"/>
      <c r="N1309" s="16"/>
      <c r="O1309" s="16"/>
    </row>
    <row r="1310" spans="1:15" ht="18" customHeight="1">
      <c r="A1310" s="16">
        <v>27419</v>
      </c>
      <c r="B1310" s="87" t="s">
        <v>2870</v>
      </c>
      <c r="C1310" s="110" t="s">
        <v>4412</v>
      </c>
      <c r="D1310" s="110" t="s">
        <v>3300</v>
      </c>
      <c r="E1310" s="87">
        <v>1.22</v>
      </c>
      <c r="F1310" s="87">
        <v>28.9</v>
      </c>
      <c r="G1310" s="110"/>
      <c r="H1310" s="87">
        <v>1.45</v>
      </c>
      <c r="I1310" s="110"/>
      <c r="J1310" s="133">
        <v>45929</v>
      </c>
      <c r="K1310" s="9">
        <f t="shared" si="86"/>
        <v>51.124099999999991</v>
      </c>
      <c r="L1310" s="37"/>
      <c r="M1310" s="17"/>
      <c r="N1310" s="16"/>
      <c r="O1310" s="16"/>
    </row>
    <row r="1311" spans="1:15" ht="18" customHeight="1">
      <c r="A1311" s="16">
        <v>27432</v>
      </c>
      <c r="B1311" s="87" t="s">
        <v>2870</v>
      </c>
      <c r="C1311" s="110" t="s">
        <v>4417</v>
      </c>
      <c r="D1311" s="110" t="s">
        <v>3300</v>
      </c>
      <c r="E1311" s="87">
        <v>1.22</v>
      </c>
      <c r="F1311" s="87">
        <v>22.09</v>
      </c>
      <c r="G1311" s="110"/>
      <c r="H1311" s="87">
        <v>1.45</v>
      </c>
      <c r="I1311" s="110"/>
      <c r="J1311" s="133">
        <v>45929</v>
      </c>
      <c r="K1311" s="9">
        <f t="shared" si="86"/>
        <v>39.077210000000001</v>
      </c>
      <c r="L1311" s="37"/>
      <c r="M1311" s="17"/>
      <c r="N1311" s="16"/>
      <c r="O1311" s="16"/>
    </row>
    <row r="1312" spans="1:15" ht="18" customHeight="1">
      <c r="A1312" s="21">
        <v>27045</v>
      </c>
      <c r="B1312" s="28" t="s">
        <v>3398</v>
      </c>
      <c r="C1312" s="28" t="s">
        <v>3399</v>
      </c>
      <c r="D1312" s="28" t="s">
        <v>37</v>
      </c>
      <c r="E1312" s="28">
        <v>1.22</v>
      </c>
      <c r="F1312" s="28">
        <v>89.9</v>
      </c>
      <c r="G1312" s="28"/>
      <c r="H1312" s="28">
        <v>1.6</v>
      </c>
      <c r="I1312" s="28"/>
      <c r="J1312" s="133">
        <v>45364</v>
      </c>
      <c r="K1312" s="9">
        <f t="shared" si="86"/>
        <v>175.48480000000004</v>
      </c>
      <c r="L1312" s="9"/>
      <c r="M1312" s="9"/>
      <c r="N1312" s="9">
        <f>G1312*H1312*I1312*E1312</f>
        <v>0</v>
      </c>
      <c r="O1312" s="3">
        <f>K1312*1.6667</f>
        <v>292.48051616000009</v>
      </c>
    </row>
    <row r="1313" spans="1:15" ht="18" customHeight="1">
      <c r="A1313" s="42">
        <v>27424</v>
      </c>
      <c r="B1313" s="160" t="s">
        <v>4414</v>
      </c>
      <c r="C1313" s="123" t="s">
        <v>4412</v>
      </c>
      <c r="D1313" s="110" t="s">
        <v>3300</v>
      </c>
      <c r="E1313" s="160">
        <v>1.22</v>
      </c>
      <c r="F1313" s="160">
        <v>39.1</v>
      </c>
      <c r="G1313" s="123"/>
      <c r="H1313" s="160">
        <v>1.45</v>
      </c>
      <c r="I1313" s="123"/>
      <c r="J1313" s="146">
        <v>45929</v>
      </c>
      <c r="K1313" s="33">
        <f t="shared" si="86"/>
        <v>69.167899999999989</v>
      </c>
      <c r="L1313" s="161"/>
      <c r="M1313" s="17"/>
      <c r="N1313" s="42"/>
      <c r="O1313" s="42"/>
    </row>
    <row r="1314" spans="1:15" ht="18" customHeight="1">
      <c r="A1314" s="80" t="s">
        <v>3967</v>
      </c>
      <c r="B1314" s="83" t="s">
        <v>1881</v>
      </c>
      <c r="C1314" s="80" t="s">
        <v>3623</v>
      </c>
      <c r="D1314" s="28" t="s">
        <v>1921</v>
      </c>
      <c r="E1314" s="28">
        <v>1.22</v>
      </c>
      <c r="F1314" s="80">
        <v>74</v>
      </c>
      <c r="G1314" s="80"/>
      <c r="H1314" s="80">
        <v>1.5</v>
      </c>
      <c r="I1314" s="80"/>
      <c r="J1314" s="134">
        <v>45819</v>
      </c>
      <c r="K1314" s="220">
        <f t="shared" si="86"/>
        <v>135.42000000000002</v>
      </c>
      <c r="L1314" s="37"/>
      <c r="M1314" s="154"/>
      <c r="N1314" s="16"/>
      <c r="O1314" s="16"/>
    </row>
    <row r="1315" spans="1:15" ht="18" customHeight="1">
      <c r="A1315" s="16" t="s">
        <v>4025</v>
      </c>
      <c r="B1315" s="87" t="s">
        <v>4026</v>
      </c>
      <c r="C1315" s="110"/>
      <c r="D1315" s="28" t="s">
        <v>1292</v>
      </c>
      <c r="E1315" s="90">
        <v>1.22</v>
      </c>
      <c r="F1315" s="87">
        <v>49.9</v>
      </c>
      <c r="G1315" s="110"/>
      <c r="H1315" s="87">
        <v>2</v>
      </c>
      <c r="I1315" s="110"/>
      <c r="J1315" s="135">
        <v>45668</v>
      </c>
      <c r="K1315" s="9">
        <f t="shared" si="86"/>
        <v>121.756</v>
      </c>
      <c r="L1315" s="37"/>
      <c r="M1315" s="154"/>
      <c r="N1315" s="16"/>
      <c r="O1315" s="16"/>
    </row>
    <row r="1316" spans="1:15" ht="18" customHeight="1">
      <c r="A1316" s="48" t="s">
        <v>1777</v>
      </c>
      <c r="B1316" s="100" t="s">
        <v>1781</v>
      </c>
      <c r="C1316" s="124" t="s">
        <v>2371</v>
      </c>
      <c r="D1316" s="28" t="s">
        <v>3302</v>
      </c>
      <c r="E1316" s="104">
        <v>1.22</v>
      </c>
      <c r="F1316" s="100">
        <v>240</v>
      </c>
      <c r="G1316" s="124"/>
      <c r="H1316" s="100">
        <v>1.25</v>
      </c>
      <c r="I1316" s="124"/>
      <c r="J1316" s="210">
        <v>45320</v>
      </c>
      <c r="K1316" s="10">
        <f t="shared" si="86"/>
        <v>366</v>
      </c>
      <c r="L1316" s="13"/>
      <c r="M1316" s="41"/>
      <c r="N1316" s="48"/>
      <c r="O1316" s="48"/>
    </row>
    <row r="1317" spans="1:15" ht="18" customHeight="1">
      <c r="A1317" s="44"/>
      <c r="B1317" s="92" t="s">
        <v>1781</v>
      </c>
      <c r="C1317" s="113" t="s">
        <v>2372</v>
      </c>
      <c r="D1317" s="28" t="s">
        <v>3302</v>
      </c>
      <c r="E1317" s="94">
        <v>1.22</v>
      </c>
      <c r="F1317" s="92">
        <v>250</v>
      </c>
      <c r="G1317" s="113"/>
      <c r="H1317" s="89">
        <v>1.25</v>
      </c>
      <c r="I1317" s="113"/>
      <c r="J1317" s="141">
        <v>44537</v>
      </c>
      <c r="K1317" s="9">
        <f t="shared" si="86"/>
        <v>381.25</v>
      </c>
      <c r="L1317" s="9"/>
      <c r="M1317" s="17"/>
      <c r="N1317" s="44"/>
      <c r="O1317" s="44"/>
    </row>
    <row r="1318" spans="1:15" ht="18" customHeight="1">
      <c r="A1318" s="44" t="s">
        <v>1778</v>
      </c>
      <c r="B1318" s="92" t="s">
        <v>1781</v>
      </c>
      <c r="C1318" s="113" t="s">
        <v>1782</v>
      </c>
      <c r="D1318" s="28" t="s">
        <v>3302</v>
      </c>
      <c r="E1318" s="94">
        <v>1.22</v>
      </c>
      <c r="F1318" s="92">
        <v>78</v>
      </c>
      <c r="G1318" s="113"/>
      <c r="H1318" s="92">
        <v>1.6</v>
      </c>
      <c r="I1318" s="113"/>
      <c r="J1318" s="141">
        <v>44988</v>
      </c>
      <c r="K1318" s="9">
        <f t="shared" si="86"/>
        <v>152.256</v>
      </c>
      <c r="L1318" s="9"/>
      <c r="M1318" s="17"/>
      <c r="N1318" s="44"/>
      <c r="O1318" s="44"/>
    </row>
    <row r="1319" spans="1:15" ht="18" customHeight="1">
      <c r="A1319" s="44" t="s">
        <v>1779</v>
      </c>
      <c r="B1319" s="92" t="s">
        <v>1781</v>
      </c>
      <c r="C1319" s="113" t="s">
        <v>1783</v>
      </c>
      <c r="D1319" s="28" t="s">
        <v>3302</v>
      </c>
      <c r="E1319" s="94">
        <v>1.22</v>
      </c>
      <c r="F1319" s="92">
        <v>80</v>
      </c>
      <c r="G1319" s="113"/>
      <c r="H1319" s="92">
        <v>1.25</v>
      </c>
      <c r="I1319" s="113"/>
      <c r="J1319" s="141">
        <v>45134</v>
      </c>
      <c r="K1319" s="9">
        <f t="shared" si="86"/>
        <v>122</v>
      </c>
      <c r="L1319" s="9"/>
      <c r="M1319" s="17"/>
      <c r="N1319" s="44"/>
      <c r="O1319" s="44"/>
    </row>
    <row r="1320" spans="1:15" ht="18" customHeight="1">
      <c r="A1320" s="44"/>
      <c r="B1320" s="92" t="s">
        <v>1781</v>
      </c>
      <c r="C1320" s="113" t="s">
        <v>1606</v>
      </c>
      <c r="D1320" s="28" t="s">
        <v>3302</v>
      </c>
      <c r="E1320" s="94">
        <v>1.22</v>
      </c>
      <c r="F1320" s="92">
        <v>72</v>
      </c>
      <c r="G1320" s="113"/>
      <c r="H1320" s="89">
        <v>1.25</v>
      </c>
      <c r="I1320" s="113"/>
      <c r="J1320" s="141">
        <v>45320</v>
      </c>
      <c r="K1320" s="9">
        <f t="shared" si="86"/>
        <v>109.80000000000001</v>
      </c>
      <c r="L1320" s="9"/>
      <c r="M1320" s="17"/>
      <c r="N1320" s="44"/>
      <c r="O1320" s="44"/>
    </row>
    <row r="1321" spans="1:15" ht="18" customHeight="1">
      <c r="A1321" s="44" t="s">
        <v>1780</v>
      </c>
      <c r="B1321" s="92" t="s">
        <v>1781</v>
      </c>
      <c r="C1321" s="113" t="s">
        <v>1784</v>
      </c>
      <c r="D1321" s="28" t="s">
        <v>3302</v>
      </c>
      <c r="E1321" s="94">
        <v>1.22</v>
      </c>
      <c r="F1321" s="92">
        <v>51</v>
      </c>
      <c r="G1321" s="113"/>
      <c r="H1321" s="92">
        <v>1.25</v>
      </c>
      <c r="I1321" s="113"/>
      <c r="J1321" s="141">
        <v>45320</v>
      </c>
      <c r="K1321" s="9">
        <f t="shared" si="86"/>
        <v>77.775000000000006</v>
      </c>
      <c r="L1321" s="9"/>
      <c r="M1321" s="17"/>
      <c r="N1321" s="44"/>
      <c r="O1321" s="44"/>
    </row>
    <row r="1322" spans="1:15" ht="18" customHeight="1">
      <c r="A1322" s="80" t="s">
        <v>2324</v>
      </c>
      <c r="B1322" s="83" t="s">
        <v>2325</v>
      </c>
      <c r="C1322" s="80"/>
      <c r="D1322" s="28" t="s">
        <v>1921</v>
      </c>
      <c r="E1322" s="28">
        <v>1.22</v>
      </c>
      <c r="F1322" s="83">
        <v>636</v>
      </c>
      <c r="G1322" s="80"/>
      <c r="H1322" s="28">
        <v>1.8</v>
      </c>
      <c r="I1322" s="80"/>
      <c r="J1322" s="134"/>
      <c r="K1322" s="220">
        <f t="shared" si="86"/>
        <v>1396.6559999999999</v>
      </c>
      <c r="L1322" s="35"/>
      <c r="M1322" s="17"/>
      <c r="N1322" s="16"/>
      <c r="O1322" s="16"/>
    </row>
    <row r="1323" spans="1:15" ht="18" customHeight="1">
      <c r="A1323" s="80" t="s">
        <v>3624</v>
      </c>
      <c r="B1323" s="80" t="s">
        <v>3622</v>
      </c>
      <c r="C1323" s="80" t="s">
        <v>3399</v>
      </c>
      <c r="D1323" s="80" t="s">
        <v>1921</v>
      </c>
      <c r="E1323" s="80">
        <v>1.22</v>
      </c>
      <c r="F1323" s="80">
        <v>199</v>
      </c>
      <c r="G1323" s="80"/>
      <c r="H1323" s="80">
        <v>1.6</v>
      </c>
      <c r="I1323" s="80"/>
      <c r="J1323" s="134">
        <v>45504</v>
      </c>
      <c r="K1323" s="220">
        <f t="shared" si="86"/>
        <v>388.44800000000004</v>
      </c>
      <c r="L1323" s="37"/>
      <c r="M1323" s="17"/>
      <c r="N1323" s="16"/>
      <c r="O1323" s="16"/>
    </row>
    <row r="1324" spans="1:15" ht="18" customHeight="1">
      <c r="A1324" s="80" t="s">
        <v>3621</v>
      </c>
      <c r="B1324" s="80" t="s">
        <v>3622</v>
      </c>
      <c r="C1324" s="80" t="s">
        <v>3623</v>
      </c>
      <c r="D1324" s="80" t="s">
        <v>1921</v>
      </c>
      <c r="E1324" s="80">
        <v>1.22</v>
      </c>
      <c r="F1324" s="80">
        <v>119</v>
      </c>
      <c r="G1324" s="80"/>
      <c r="H1324" s="80">
        <v>1.6</v>
      </c>
      <c r="I1324" s="80"/>
      <c r="J1324" s="134">
        <v>45504</v>
      </c>
      <c r="K1324" s="220">
        <f t="shared" si="86"/>
        <v>232.28800000000001</v>
      </c>
      <c r="L1324" s="37"/>
      <c r="M1324" s="17"/>
      <c r="N1324" s="16"/>
      <c r="O1324" s="16"/>
    </row>
    <row r="1325" spans="1:15" ht="18" customHeight="1">
      <c r="A1325" s="32">
        <v>1246</v>
      </c>
      <c r="B1325" s="93" t="s">
        <v>2574</v>
      </c>
      <c r="C1325" s="93" t="s">
        <v>15</v>
      </c>
      <c r="D1325" s="28" t="s">
        <v>451</v>
      </c>
      <c r="E1325" s="93">
        <v>1.22</v>
      </c>
      <c r="F1325" s="93">
        <v>6</v>
      </c>
      <c r="G1325" s="93"/>
      <c r="H1325" s="93">
        <v>1.6</v>
      </c>
      <c r="I1325" s="93"/>
      <c r="J1325" s="146">
        <v>44847</v>
      </c>
      <c r="K1325" s="33">
        <f t="shared" si="86"/>
        <v>11.712000000000002</v>
      </c>
      <c r="L1325" s="33"/>
      <c r="M1325" s="9"/>
      <c r="N1325" s="33">
        <f>G1325*H1325*I1325*E1325</f>
        <v>0</v>
      </c>
      <c r="O1325" s="34">
        <f>K1325*1.6667</f>
        <v>19.520390400000004</v>
      </c>
    </row>
    <row r="1326" spans="1:15" ht="17.100000000000001" customHeight="1">
      <c r="A1326" s="22"/>
      <c r="B1326" s="28" t="s">
        <v>2573</v>
      </c>
      <c r="C1326" s="81">
        <v>0</v>
      </c>
      <c r="D1326" s="28" t="s">
        <v>451</v>
      </c>
      <c r="E1326" s="28">
        <v>1.22</v>
      </c>
      <c r="F1326" s="28">
        <v>4</v>
      </c>
      <c r="G1326" s="81"/>
      <c r="H1326" s="28">
        <v>1.6</v>
      </c>
      <c r="I1326" s="81"/>
      <c r="J1326" s="133">
        <v>44714</v>
      </c>
      <c r="K1326" s="9">
        <f t="shared" si="86"/>
        <v>7.8079999999999998</v>
      </c>
      <c r="L1326" s="9"/>
      <c r="M1326" s="249"/>
      <c r="N1326" s="9">
        <f>G1326*H1326*I1326*E1326</f>
        <v>0</v>
      </c>
      <c r="O1326" s="3">
        <f>K1326*1.6667</f>
        <v>13.0135936</v>
      </c>
    </row>
    <row r="1327" spans="1:15" ht="17.100000000000001" customHeight="1">
      <c r="A1327" s="22"/>
      <c r="B1327" s="28" t="s">
        <v>3450</v>
      </c>
      <c r="C1327" s="81">
        <v>20</v>
      </c>
      <c r="D1327" s="28" t="s">
        <v>451</v>
      </c>
      <c r="E1327" s="28">
        <v>1.22</v>
      </c>
      <c r="F1327" s="28">
        <v>150</v>
      </c>
      <c r="G1327" s="81"/>
      <c r="H1327" s="28">
        <v>1.6</v>
      </c>
      <c r="I1327" s="81"/>
      <c r="J1327" s="133">
        <v>45407</v>
      </c>
      <c r="K1327" s="9">
        <f t="shared" si="86"/>
        <v>292.8</v>
      </c>
      <c r="L1327" s="9"/>
      <c r="M1327" s="249"/>
      <c r="N1327" s="9"/>
      <c r="O1327" s="3"/>
    </row>
    <row r="1328" spans="1:15" ht="17.100000000000001" customHeight="1">
      <c r="A1328" s="266"/>
      <c r="B1328" s="85" t="s">
        <v>3195</v>
      </c>
      <c r="C1328" s="85" t="s">
        <v>1355</v>
      </c>
      <c r="D1328" s="28" t="s">
        <v>451</v>
      </c>
      <c r="E1328" s="85">
        <v>1.22</v>
      </c>
      <c r="F1328" s="85">
        <v>52</v>
      </c>
      <c r="G1328" s="85"/>
      <c r="H1328" s="85">
        <v>1.6</v>
      </c>
      <c r="I1328" s="85"/>
      <c r="J1328" s="131">
        <v>45653</v>
      </c>
      <c r="K1328" s="10">
        <f t="shared" si="86"/>
        <v>101.504</v>
      </c>
      <c r="L1328" s="10"/>
      <c r="M1328" s="9"/>
      <c r="N1328" s="10"/>
      <c r="O1328" s="14"/>
    </row>
    <row r="1329" spans="1:15" ht="17.100000000000001" customHeight="1">
      <c r="A1329" s="22"/>
      <c r="B1329" s="28" t="s">
        <v>3195</v>
      </c>
      <c r="C1329" s="28">
        <v>16</v>
      </c>
      <c r="D1329" s="28" t="s">
        <v>451</v>
      </c>
      <c r="E1329" s="28">
        <v>1.22</v>
      </c>
      <c r="F1329" s="28">
        <v>78</v>
      </c>
      <c r="G1329" s="28"/>
      <c r="H1329" s="28">
        <v>1.6</v>
      </c>
      <c r="I1329" s="28"/>
      <c r="J1329" s="133">
        <v>45366</v>
      </c>
      <c r="K1329" s="9">
        <f t="shared" si="86"/>
        <v>152.256</v>
      </c>
      <c r="L1329" s="9"/>
      <c r="M1329" s="9"/>
      <c r="N1329" s="9"/>
      <c r="O1329" s="3"/>
    </row>
    <row r="1330" spans="1:15" ht="17.100000000000001" customHeight="1">
      <c r="A1330" s="263"/>
      <c r="B1330" s="93" t="s">
        <v>3195</v>
      </c>
      <c r="C1330" s="93">
        <v>18</v>
      </c>
      <c r="D1330" s="28" t="s">
        <v>451</v>
      </c>
      <c r="E1330" s="93">
        <v>1.22</v>
      </c>
      <c r="F1330" s="93">
        <v>105</v>
      </c>
      <c r="G1330" s="93"/>
      <c r="H1330" s="28">
        <v>1.6</v>
      </c>
      <c r="I1330" s="93"/>
      <c r="J1330" s="146">
        <v>45653</v>
      </c>
      <c r="K1330" s="33">
        <f t="shared" si="86"/>
        <v>204.96</v>
      </c>
      <c r="L1330" s="33"/>
      <c r="M1330" s="9"/>
      <c r="N1330" s="9"/>
      <c r="O1330" s="3"/>
    </row>
    <row r="1331" spans="1:15" ht="17.100000000000001" customHeight="1">
      <c r="A1331" s="22"/>
      <c r="B1331" s="28" t="s">
        <v>3195</v>
      </c>
      <c r="C1331" s="28">
        <v>20</v>
      </c>
      <c r="D1331" s="28" t="s">
        <v>451</v>
      </c>
      <c r="E1331" s="28">
        <v>1.22</v>
      </c>
      <c r="F1331" s="28">
        <v>157</v>
      </c>
      <c r="G1331" s="28"/>
      <c r="H1331" s="28">
        <v>1.6</v>
      </c>
      <c r="I1331" s="28"/>
      <c r="J1331" s="133">
        <v>45366</v>
      </c>
      <c r="K1331" s="9">
        <f t="shared" si="86"/>
        <v>306.464</v>
      </c>
      <c r="L1331" s="9"/>
      <c r="M1331" s="59"/>
      <c r="N1331" s="9"/>
      <c r="O1331" s="3"/>
    </row>
    <row r="1332" spans="1:15" ht="18" customHeight="1">
      <c r="A1332" s="266"/>
      <c r="B1332" s="85" t="s">
        <v>3195</v>
      </c>
      <c r="C1332" s="85">
        <v>24</v>
      </c>
      <c r="D1332" s="28" t="s">
        <v>451</v>
      </c>
      <c r="E1332" s="85">
        <v>1.22</v>
      </c>
      <c r="F1332" s="85">
        <v>249</v>
      </c>
      <c r="G1332" s="85"/>
      <c r="H1332" s="85">
        <v>1.6</v>
      </c>
      <c r="I1332" s="85"/>
      <c r="J1332" s="131">
        <v>45366</v>
      </c>
      <c r="K1332" s="10">
        <f t="shared" si="86"/>
        <v>486.048</v>
      </c>
      <c r="L1332" s="10"/>
      <c r="M1332" s="9"/>
      <c r="N1332" s="9"/>
      <c r="O1332" s="3"/>
    </row>
    <row r="1333" spans="1:15" ht="18" customHeight="1">
      <c r="A1333" s="16"/>
      <c r="B1333" s="28" t="s">
        <v>3034</v>
      </c>
      <c r="C1333" s="110"/>
      <c r="D1333" s="28" t="s">
        <v>451</v>
      </c>
      <c r="E1333" s="28">
        <v>1.22</v>
      </c>
      <c r="F1333" s="28">
        <v>326</v>
      </c>
      <c r="G1333" s="110"/>
      <c r="H1333" s="28">
        <v>1.6</v>
      </c>
      <c r="I1333" s="110"/>
      <c r="J1333" s="135">
        <v>45056</v>
      </c>
      <c r="K1333" s="37">
        <f t="shared" si="86"/>
        <v>636.35199999999998</v>
      </c>
      <c r="L1333" s="37"/>
      <c r="M1333" s="17"/>
      <c r="N1333" s="16"/>
      <c r="O1333" s="16"/>
    </row>
    <row r="1334" spans="1:15" ht="18" customHeight="1">
      <c r="A1334" s="285"/>
      <c r="B1334" s="248" t="s">
        <v>2149</v>
      </c>
      <c r="C1334" s="123"/>
      <c r="D1334" s="28" t="s">
        <v>451</v>
      </c>
      <c r="E1334" s="93">
        <v>1.22</v>
      </c>
      <c r="F1334" s="248">
        <v>80</v>
      </c>
      <c r="G1334" s="123"/>
      <c r="H1334" s="93">
        <v>1.7</v>
      </c>
      <c r="I1334" s="123"/>
      <c r="J1334" s="150">
        <v>44323</v>
      </c>
      <c r="K1334" s="161">
        <f t="shared" si="86"/>
        <v>165.92</v>
      </c>
      <c r="L1334" s="161"/>
      <c r="M1334" s="17"/>
      <c r="N1334" s="42"/>
      <c r="O1334" s="42"/>
    </row>
    <row r="1335" spans="1:15" ht="18" customHeight="1">
      <c r="A1335" s="21">
        <v>446</v>
      </c>
      <c r="B1335" s="90" t="s">
        <v>2151</v>
      </c>
      <c r="C1335" s="28" t="s">
        <v>2155</v>
      </c>
      <c r="D1335" s="28" t="s">
        <v>451</v>
      </c>
      <c r="E1335" s="28">
        <v>1.22</v>
      </c>
      <c r="F1335" s="28">
        <v>66</v>
      </c>
      <c r="G1335" s="28"/>
      <c r="H1335" s="28">
        <v>1.6</v>
      </c>
      <c r="I1335" s="28"/>
      <c r="J1335" s="133">
        <v>44323</v>
      </c>
      <c r="K1335" s="9">
        <f t="shared" si="86"/>
        <v>128.83199999999999</v>
      </c>
      <c r="L1335" s="9"/>
      <c r="M1335" s="249"/>
      <c r="N1335" s="9"/>
      <c r="O1335" s="3"/>
    </row>
    <row r="1336" spans="1:15" ht="18" customHeight="1">
      <c r="A1336" s="21">
        <v>447</v>
      </c>
      <c r="B1336" s="90" t="s">
        <v>2152</v>
      </c>
      <c r="C1336" s="28" t="s">
        <v>2156</v>
      </c>
      <c r="D1336" s="28" t="s">
        <v>451</v>
      </c>
      <c r="E1336" s="28">
        <v>1.22</v>
      </c>
      <c r="F1336" s="28">
        <v>94</v>
      </c>
      <c r="G1336" s="28"/>
      <c r="H1336" s="28">
        <v>1.6</v>
      </c>
      <c r="I1336" s="28"/>
      <c r="J1336" s="133">
        <v>44323</v>
      </c>
      <c r="K1336" s="9">
        <f t="shared" si="86"/>
        <v>183.488</v>
      </c>
      <c r="L1336" s="9"/>
      <c r="M1336" s="155"/>
      <c r="N1336" s="9"/>
      <c r="O1336" s="3"/>
    </row>
    <row r="1337" spans="1:15" ht="18" customHeight="1">
      <c r="A1337" s="20">
        <v>448</v>
      </c>
      <c r="B1337" s="269" t="s">
        <v>2153</v>
      </c>
      <c r="C1337" s="85" t="s">
        <v>1784</v>
      </c>
      <c r="D1337" s="28" t="s">
        <v>3923</v>
      </c>
      <c r="E1337" s="85">
        <v>1.22</v>
      </c>
      <c r="F1337" s="85">
        <v>140</v>
      </c>
      <c r="G1337" s="85"/>
      <c r="H1337" s="85">
        <v>1.6</v>
      </c>
      <c r="I1337" s="85"/>
      <c r="J1337" s="131">
        <v>44323</v>
      </c>
      <c r="K1337" s="10">
        <f t="shared" si="86"/>
        <v>273.27999999999997</v>
      </c>
      <c r="L1337" s="10"/>
      <c r="M1337" s="9"/>
      <c r="N1337" s="10"/>
      <c r="O1337" s="14"/>
    </row>
    <row r="1338" spans="1:15" ht="18" customHeight="1">
      <c r="A1338" s="21">
        <v>450</v>
      </c>
      <c r="B1338" s="90" t="s">
        <v>2154</v>
      </c>
      <c r="C1338" s="28" t="s">
        <v>2157</v>
      </c>
      <c r="D1338" s="28" t="s">
        <v>451</v>
      </c>
      <c r="E1338" s="28">
        <v>1.22</v>
      </c>
      <c r="F1338" s="28">
        <v>184</v>
      </c>
      <c r="G1338" s="28"/>
      <c r="H1338" s="28">
        <v>1.6</v>
      </c>
      <c r="I1338" s="28"/>
      <c r="J1338" s="133">
        <v>44323</v>
      </c>
      <c r="K1338" s="9">
        <f t="shared" si="86"/>
        <v>359.16800000000001</v>
      </c>
      <c r="L1338" s="9"/>
      <c r="M1338" s="9"/>
      <c r="N1338" s="9"/>
      <c r="O1338" s="3"/>
    </row>
    <row r="1339" spans="1:15" ht="18" customHeight="1">
      <c r="A1339" s="28" t="s">
        <v>3005</v>
      </c>
      <c r="B1339" s="80" t="s">
        <v>3006</v>
      </c>
      <c r="C1339" s="28" t="s">
        <v>3007</v>
      </c>
      <c r="D1339" s="28" t="s">
        <v>1921</v>
      </c>
      <c r="E1339" s="28">
        <v>1.22</v>
      </c>
      <c r="F1339" s="28">
        <v>68</v>
      </c>
      <c r="G1339" s="28"/>
      <c r="H1339" s="28">
        <v>1.5</v>
      </c>
      <c r="I1339" s="28"/>
      <c r="J1339" s="134">
        <v>45644</v>
      </c>
      <c r="K1339" s="213">
        <f t="shared" si="86"/>
        <v>124.44</v>
      </c>
      <c r="L1339" s="9"/>
      <c r="M1339" s="9"/>
      <c r="N1339" s="9"/>
      <c r="O1339" s="3"/>
    </row>
    <row r="1340" spans="1:15" ht="18" customHeight="1">
      <c r="A1340" s="46" t="s">
        <v>2038</v>
      </c>
      <c r="B1340" s="83" t="s">
        <v>1880</v>
      </c>
      <c r="C1340" s="109" t="s">
        <v>1877</v>
      </c>
      <c r="D1340" s="28" t="s">
        <v>1921</v>
      </c>
      <c r="E1340" s="28">
        <v>1.22</v>
      </c>
      <c r="F1340" s="80">
        <v>339</v>
      </c>
      <c r="G1340" s="110"/>
      <c r="H1340" s="28">
        <v>1.5</v>
      </c>
      <c r="I1340" s="110"/>
      <c r="J1340" s="134">
        <v>45358</v>
      </c>
      <c r="K1340" s="35">
        <f t="shared" si="86"/>
        <v>620.37</v>
      </c>
      <c r="L1340" s="35"/>
      <c r="M1340" s="17"/>
      <c r="N1340" s="16"/>
      <c r="O1340" s="16"/>
    </row>
    <row r="1341" spans="1:15" ht="18" customHeight="1">
      <c r="A1341" s="21" t="s">
        <v>2093</v>
      </c>
      <c r="B1341" s="83" t="s">
        <v>1880</v>
      </c>
      <c r="C1341" s="28" t="s">
        <v>2094</v>
      </c>
      <c r="D1341" s="28" t="s">
        <v>1921</v>
      </c>
      <c r="E1341" s="28">
        <v>1.22</v>
      </c>
      <c r="F1341" s="28">
        <v>252</v>
      </c>
      <c r="G1341" s="28"/>
      <c r="H1341" s="28">
        <v>1.5</v>
      </c>
      <c r="I1341" s="28"/>
      <c r="J1341" s="133">
        <v>45358</v>
      </c>
      <c r="K1341" s="9">
        <f t="shared" ref="K1341:K1359" si="87">E1341*F1341*H1341</f>
        <v>461.15999999999997</v>
      </c>
      <c r="L1341" s="9"/>
      <c r="M1341" s="9"/>
      <c r="N1341" s="9"/>
      <c r="O1341" s="3"/>
    </row>
    <row r="1342" spans="1:15" ht="18" customHeight="1">
      <c r="A1342" s="46" t="s">
        <v>2037</v>
      </c>
      <c r="B1342" s="83" t="s">
        <v>1880</v>
      </c>
      <c r="C1342" s="109" t="s">
        <v>1878</v>
      </c>
      <c r="D1342" s="28" t="s">
        <v>1921</v>
      </c>
      <c r="E1342" s="28">
        <v>1.22</v>
      </c>
      <c r="F1342" s="80">
        <v>217</v>
      </c>
      <c r="G1342" s="110"/>
      <c r="H1342" s="28">
        <v>1.5</v>
      </c>
      <c r="I1342" s="110"/>
      <c r="J1342" s="134">
        <v>45358</v>
      </c>
      <c r="K1342" s="35">
        <f t="shared" si="87"/>
        <v>397.11</v>
      </c>
      <c r="L1342" s="35"/>
      <c r="M1342" s="17"/>
      <c r="N1342" s="16"/>
      <c r="O1342" s="16"/>
    </row>
    <row r="1343" spans="1:15" ht="18" customHeight="1">
      <c r="A1343" s="46" t="s">
        <v>2036</v>
      </c>
      <c r="B1343" s="80" t="s">
        <v>1880</v>
      </c>
      <c r="C1343" s="79" t="s">
        <v>2035</v>
      </c>
      <c r="D1343" s="28" t="s">
        <v>1921</v>
      </c>
      <c r="E1343" s="28">
        <v>1.22</v>
      </c>
      <c r="F1343" s="80">
        <v>79</v>
      </c>
      <c r="G1343" s="110"/>
      <c r="H1343" s="28">
        <v>1.5</v>
      </c>
      <c r="I1343" s="110"/>
      <c r="J1343" s="134">
        <v>45358</v>
      </c>
      <c r="K1343" s="35">
        <f t="shared" si="87"/>
        <v>144.57</v>
      </c>
      <c r="L1343" s="35"/>
      <c r="M1343" s="17"/>
      <c r="N1343" s="16"/>
      <c r="O1343" s="16"/>
    </row>
    <row r="1344" spans="1:15" ht="17.100000000000001" customHeight="1">
      <c r="A1344" s="21" t="s">
        <v>2427</v>
      </c>
      <c r="B1344" s="28" t="s">
        <v>2428</v>
      </c>
      <c r="C1344" s="28" t="s">
        <v>2429</v>
      </c>
      <c r="D1344" s="28" t="s">
        <v>1921</v>
      </c>
      <c r="E1344" s="28">
        <v>1.22</v>
      </c>
      <c r="F1344" s="28">
        <v>458</v>
      </c>
      <c r="G1344" s="28"/>
      <c r="H1344" s="28">
        <v>1.6</v>
      </c>
      <c r="I1344" s="28"/>
      <c r="J1344" s="133">
        <v>45449</v>
      </c>
      <c r="K1344" s="9">
        <f t="shared" si="87"/>
        <v>894.01600000000008</v>
      </c>
      <c r="L1344" s="9"/>
      <c r="M1344" s="9"/>
      <c r="N1344" s="9">
        <f>G1344*H1344*I1344*E1344</f>
        <v>0</v>
      </c>
      <c r="O1344" s="3">
        <f>K1344*1.6667</f>
        <v>1490.0564672000003</v>
      </c>
    </row>
    <row r="1345" spans="1:15" ht="17.100000000000001" customHeight="1">
      <c r="A1345" s="16">
        <v>22076</v>
      </c>
      <c r="B1345" s="87" t="s">
        <v>4273</v>
      </c>
      <c r="C1345" s="110"/>
      <c r="D1345" s="110" t="s">
        <v>4272</v>
      </c>
      <c r="E1345" s="28">
        <v>1.22</v>
      </c>
      <c r="F1345" s="87">
        <v>297</v>
      </c>
      <c r="G1345" s="110"/>
      <c r="H1345" s="28">
        <v>1.6</v>
      </c>
      <c r="I1345" s="110"/>
      <c r="J1345" s="135">
        <v>45805</v>
      </c>
      <c r="K1345" s="35">
        <f t="shared" si="87"/>
        <v>579.74400000000003</v>
      </c>
      <c r="L1345" s="37"/>
      <c r="M1345" s="17"/>
      <c r="N1345" s="16"/>
      <c r="O1345" s="16"/>
    </row>
    <row r="1346" spans="1:15" ht="17.100000000000001" customHeight="1">
      <c r="A1346" s="16">
        <v>22071</v>
      </c>
      <c r="B1346" s="87" t="s">
        <v>4273</v>
      </c>
      <c r="C1346" s="110"/>
      <c r="D1346" s="110" t="s">
        <v>4272</v>
      </c>
      <c r="E1346" s="28">
        <v>1.22</v>
      </c>
      <c r="F1346" s="87">
        <v>87</v>
      </c>
      <c r="G1346" s="110"/>
      <c r="H1346" s="28">
        <v>1.6</v>
      </c>
      <c r="I1346" s="110"/>
      <c r="J1346" s="135">
        <v>45805</v>
      </c>
      <c r="K1346" s="35">
        <f t="shared" si="87"/>
        <v>169.82400000000001</v>
      </c>
      <c r="L1346" s="37"/>
      <c r="M1346" s="17"/>
      <c r="N1346" s="16"/>
      <c r="O1346" s="16"/>
    </row>
    <row r="1347" spans="1:15" ht="18" customHeight="1">
      <c r="A1347" s="16">
        <v>22074</v>
      </c>
      <c r="B1347" s="87" t="s">
        <v>4273</v>
      </c>
      <c r="C1347" s="110"/>
      <c r="D1347" s="110" t="s">
        <v>4272</v>
      </c>
      <c r="E1347" s="28">
        <v>1.22</v>
      </c>
      <c r="F1347" s="87">
        <v>115</v>
      </c>
      <c r="G1347" s="110"/>
      <c r="H1347" s="28">
        <v>1.6</v>
      </c>
      <c r="I1347" s="110"/>
      <c r="J1347" s="135">
        <v>45805</v>
      </c>
      <c r="K1347" s="35">
        <f t="shared" si="87"/>
        <v>224.48</v>
      </c>
      <c r="L1347" s="37"/>
      <c r="M1347" s="17"/>
      <c r="N1347" s="16"/>
      <c r="O1347" s="16"/>
    </row>
    <row r="1348" spans="1:15" ht="18" customHeight="1">
      <c r="A1348" s="16">
        <v>22075</v>
      </c>
      <c r="B1348" s="87" t="s">
        <v>4273</v>
      </c>
      <c r="C1348" s="110"/>
      <c r="D1348" s="110" t="s">
        <v>4272</v>
      </c>
      <c r="E1348" s="28">
        <v>1.22</v>
      </c>
      <c r="F1348" s="87">
        <v>209</v>
      </c>
      <c r="G1348" s="110"/>
      <c r="H1348" s="28">
        <v>1.6</v>
      </c>
      <c r="I1348" s="110"/>
      <c r="J1348" s="135">
        <v>45805</v>
      </c>
      <c r="K1348" s="35">
        <f t="shared" si="87"/>
        <v>407.96800000000002</v>
      </c>
      <c r="L1348" s="37"/>
      <c r="M1348" s="17"/>
      <c r="N1348" s="16"/>
      <c r="O1348" s="16"/>
    </row>
    <row r="1349" spans="1:15" ht="18" customHeight="1">
      <c r="A1349" s="21"/>
      <c r="B1349" s="28" t="s">
        <v>570</v>
      </c>
      <c r="C1349" s="28">
        <v>24</v>
      </c>
      <c r="D1349" s="28" t="s">
        <v>451</v>
      </c>
      <c r="E1349" s="28">
        <v>1.22</v>
      </c>
      <c r="F1349" s="28">
        <v>290</v>
      </c>
      <c r="G1349" s="28"/>
      <c r="H1349" s="28">
        <v>1.6</v>
      </c>
      <c r="I1349" s="28"/>
      <c r="J1349" s="133">
        <v>43990</v>
      </c>
      <c r="K1349" s="9">
        <f t="shared" si="87"/>
        <v>566.08000000000004</v>
      </c>
      <c r="L1349" s="9"/>
      <c r="M1349" s="9"/>
      <c r="N1349" s="9">
        <f>G1349*H1349*I1349*E1349</f>
        <v>0</v>
      </c>
      <c r="O1349" s="3">
        <f>K1349*1.6667</f>
        <v>943.48553600000014</v>
      </c>
    </row>
    <row r="1350" spans="1:15" ht="18" customHeight="1">
      <c r="A1350" s="21" t="s">
        <v>1582</v>
      </c>
      <c r="B1350" s="28" t="s">
        <v>1583</v>
      </c>
      <c r="C1350" s="28"/>
      <c r="D1350" s="28" t="s">
        <v>451</v>
      </c>
      <c r="E1350" s="28">
        <v>1.22</v>
      </c>
      <c r="F1350" s="28">
        <v>22</v>
      </c>
      <c r="G1350" s="28"/>
      <c r="H1350" s="28">
        <v>2</v>
      </c>
      <c r="I1350" s="28"/>
      <c r="J1350" s="133">
        <v>43900</v>
      </c>
      <c r="K1350" s="9">
        <f t="shared" si="87"/>
        <v>53.68</v>
      </c>
      <c r="L1350" s="9"/>
      <c r="M1350" s="9"/>
      <c r="N1350" s="9">
        <f>G1350*H1350*I1350*E1350</f>
        <v>0</v>
      </c>
      <c r="O1350" s="3">
        <f>K1350*1.6667</f>
        <v>89.468456000000003</v>
      </c>
    </row>
    <row r="1351" spans="1:15" ht="18" customHeight="1">
      <c r="A1351" s="16"/>
      <c r="B1351" s="87" t="s">
        <v>3466</v>
      </c>
      <c r="C1351" s="110" t="s">
        <v>3467</v>
      </c>
      <c r="D1351" s="110" t="s">
        <v>3471</v>
      </c>
      <c r="E1351" s="87">
        <v>1.22</v>
      </c>
      <c r="F1351" s="87">
        <v>450.8</v>
      </c>
      <c r="G1351" s="110"/>
      <c r="H1351" s="87">
        <v>1.4</v>
      </c>
      <c r="I1351" s="110"/>
      <c r="J1351" s="135">
        <v>45404</v>
      </c>
      <c r="K1351" s="9">
        <f t="shared" si="87"/>
        <v>769.96639999999991</v>
      </c>
      <c r="L1351" s="37"/>
      <c r="M1351" s="17"/>
      <c r="N1351" s="16"/>
      <c r="O1351" s="16"/>
    </row>
    <row r="1352" spans="1:15" ht="18" customHeight="1">
      <c r="A1352" s="16"/>
      <c r="B1352" s="87" t="s">
        <v>3466</v>
      </c>
      <c r="C1352" s="110" t="s">
        <v>3468</v>
      </c>
      <c r="D1352" s="110" t="s">
        <v>3471</v>
      </c>
      <c r="E1352" s="87">
        <v>1.22</v>
      </c>
      <c r="F1352" s="87">
        <v>614.75</v>
      </c>
      <c r="G1352" s="110"/>
      <c r="H1352" s="87">
        <v>1.4</v>
      </c>
      <c r="I1352" s="110"/>
      <c r="J1352" s="135">
        <v>45404</v>
      </c>
      <c r="K1352" s="9">
        <f t="shared" si="87"/>
        <v>1049.9929999999999</v>
      </c>
      <c r="L1352" s="37"/>
      <c r="M1352" s="17"/>
      <c r="N1352" s="16"/>
      <c r="O1352" s="16"/>
    </row>
    <row r="1353" spans="1:15" ht="18" customHeight="1">
      <c r="A1353" s="16"/>
      <c r="B1353" s="87" t="s">
        <v>3457</v>
      </c>
      <c r="C1353" s="110"/>
      <c r="D1353" s="110" t="s">
        <v>451</v>
      </c>
      <c r="E1353" s="87">
        <v>1.22</v>
      </c>
      <c r="F1353" s="87">
        <v>112</v>
      </c>
      <c r="G1353" s="110"/>
      <c r="H1353" s="87">
        <v>1.6</v>
      </c>
      <c r="I1353" s="110"/>
      <c r="J1353" s="135">
        <v>45407</v>
      </c>
      <c r="K1353" s="37">
        <f t="shared" si="87"/>
        <v>218.624</v>
      </c>
      <c r="L1353" s="37"/>
      <c r="M1353" s="17"/>
      <c r="N1353" s="16"/>
      <c r="O1353" s="16"/>
    </row>
    <row r="1354" spans="1:15" ht="18" customHeight="1">
      <c r="A1354" s="21"/>
      <c r="B1354" s="87" t="s">
        <v>3406</v>
      </c>
      <c r="C1354" s="28">
        <v>12</v>
      </c>
      <c r="D1354" s="28" t="s">
        <v>3451</v>
      </c>
      <c r="E1354" s="28">
        <v>1.22</v>
      </c>
      <c r="F1354" s="28">
        <v>16</v>
      </c>
      <c r="G1354" s="28"/>
      <c r="H1354" s="28">
        <v>1.6</v>
      </c>
      <c r="I1354" s="28"/>
      <c r="J1354" s="133">
        <v>45407</v>
      </c>
      <c r="K1354" s="9">
        <f t="shared" si="87"/>
        <v>31.231999999999999</v>
      </c>
      <c r="L1354" s="9"/>
      <c r="M1354" s="9"/>
      <c r="N1354" s="9"/>
      <c r="O1354" s="3"/>
    </row>
    <row r="1355" spans="1:15" ht="18" customHeight="1">
      <c r="A1355" s="16"/>
      <c r="B1355" s="87" t="s">
        <v>3406</v>
      </c>
      <c r="C1355" s="110">
        <v>15</v>
      </c>
      <c r="D1355" s="28" t="s">
        <v>451</v>
      </c>
      <c r="E1355" s="28">
        <v>1.22</v>
      </c>
      <c r="F1355" s="87">
        <v>27</v>
      </c>
      <c r="G1355" s="110"/>
      <c r="H1355" s="87">
        <v>1.6</v>
      </c>
      <c r="I1355" s="110"/>
      <c r="J1355" s="135">
        <v>45366</v>
      </c>
      <c r="K1355" s="9">
        <f t="shared" si="87"/>
        <v>52.704000000000001</v>
      </c>
      <c r="L1355" s="37"/>
      <c r="M1355" s="17"/>
      <c r="N1355" s="16"/>
      <c r="O1355" s="16"/>
    </row>
    <row r="1356" spans="1:15" ht="18" customHeight="1">
      <c r="A1356" s="42"/>
      <c r="B1356" s="160" t="s">
        <v>3406</v>
      </c>
      <c r="C1356" s="123">
        <v>17</v>
      </c>
      <c r="D1356" s="28" t="s">
        <v>451</v>
      </c>
      <c r="E1356" s="93">
        <v>1.22</v>
      </c>
      <c r="F1356" s="160">
        <v>42</v>
      </c>
      <c r="G1356" s="123"/>
      <c r="H1356" s="160">
        <v>1.6</v>
      </c>
      <c r="I1356" s="123"/>
      <c r="J1356" s="150">
        <v>45366</v>
      </c>
      <c r="K1356" s="33">
        <f t="shared" si="87"/>
        <v>81.984000000000009</v>
      </c>
      <c r="L1356" s="161"/>
      <c r="M1356" s="17"/>
      <c r="N1356" s="42"/>
      <c r="O1356" s="42"/>
    </row>
    <row r="1357" spans="1:15" ht="18" customHeight="1">
      <c r="A1357" s="16"/>
      <c r="B1357" s="87" t="s">
        <v>3406</v>
      </c>
      <c r="C1357" s="110">
        <v>20</v>
      </c>
      <c r="D1357" s="28" t="s">
        <v>451</v>
      </c>
      <c r="E1357" s="28">
        <v>1.22</v>
      </c>
      <c r="F1357" s="87">
        <v>56</v>
      </c>
      <c r="G1357" s="110"/>
      <c r="H1357" s="87">
        <v>1.6</v>
      </c>
      <c r="I1357" s="110"/>
      <c r="J1357" s="135">
        <v>45366</v>
      </c>
      <c r="K1357" s="9">
        <f t="shared" si="87"/>
        <v>109.312</v>
      </c>
      <c r="L1357" s="37"/>
      <c r="M1357" s="41"/>
      <c r="N1357" s="16"/>
      <c r="O1357" s="16"/>
    </row>
    <row r="1358" spans="1:15" ht="18" customHeight="1">
      <c r="A1358" s="16"/>
      <c r="B1358" s="87" t="s">
        <v>3385</v>
      </c>
      <c r="C1358" s="110">
        <v>6</v>
      </c>
      <c r="D1358" s="28" t="s">
        <v>451</v>
      </c>
      <c r="E1358" s="28">
        <v>1.22</v>
      </c>
      <c r="F1358" s="87">
        <v>8</v>
      </c>
      <c r="G1358" s="110"/>
      <c r="H1358" s="28">
        <v>1.7</v>
      </c>
      <c r="I1358" s="110"/>
      <c r="J1358" s="135">
        <v>45812</v>
      </c>
      <c r="K1358" s="9">
        <f t="shared" si="87"/>
        <v>16.591999999999999</v>
      </c>
      <c r="L1358" s="37"/>
      <c r="M1358" s="154"/>
      <c r="N1358" s="16"/>
      <c r="O1358" s="16"/>
    </row>
    <row r="1359" spans="1:15" ht="18" customHeight="1">
      <c r="A1359" s="16"/>
      <c r="B1359" s="87" t="s">
        <v>3385</v>
      </c>
      <c r="C1359" s="110">
        <v>8</v>
      </c>
      <c r="D1359" s="28" t="s">
        <v>451</v>
      </c>
      <c r="E1359" s="28">
        <v>1.22</v>
      </c>
      <c r="F1359" s="87">
        <v>11</v>
      </c>
      <c r="G1359" s="110"/>
      <c r="H1359" s="28">
        <v>1.7</v>
      </c>
      <c r="I1359" s="110"/>
      <c r="J1359" s="135">
        <v>45812</v>
      </c>
      <c r="K1359" s="9">
        <f t="shared" si="87"/>
        <v>22.814</v>
      </c>
      <c r="L1359" s="37"/>
      <c r="M1359" s="154"/>
      <c r="N1359" s="16"/>
      <c r="O1359" s="16"/>
    </row>
    <row r="1360" spans="1:15" ht="18" customHeight="1">
      <c r="A1360" s="16"/>
      <c r="B1360" s="87" t="s">
        <v>3385</v>
      </c>
      <c r="C1360" s="110">
        <v>10</v>
      </c>
      <c r="D1360" s="28" t="s">
        <v>451</v>
      </c>
      <c r="E1360" s="28">
        <v>1.22</v>
      </c>
      <c r="F1360" s="87">
        <v>14</v>
      </c>
      <c r="G1360" s="110"/>
      <c r="H1360" s="28">
        <v>1.7</v>
      </c>
      <c r="I1360" s="110"/>
      <c r="J1360" s="135">
        <v>45812</v>
      </c>
      <c r="K1360" s="9">
        <v>28</v>
      </c>
      <c r="L1360" s="37"/>
      <c r="M1360" s="154"/>
      <c r="N1360" s="16"/>
      <c r="O1360" s="16"/>
    </row>
    <row r="1361" spans="1:15" ht="17.100000000000001" customHeight="1">
      <c r="A1361" s="16"/>
      <c r="B1361" s="87" t="s">
        <v>3385</v>
      </c>
      <c r="C1361" s="110">
        <v>12</v>
      </c>
      <c r="D1361" s="28" t="s">
        <v>451</v>
      </c>
      <c r="E1361" s="28">
        <v>1.22</v>
      </c>
      <c r="F1361" s="87">
        <v>16</v>
      </c>
      <c r="G1361" s="110"/>
      <c r="H1361" s="28">
        <v>1.7</v>
      </c>
      <c r="I1361" s="110"/>
      <c r="J1361" s="135">
        <v>45812</v>
      </c>
      <c r="K1361" s="9">
        <v>28</v>
      </c>
      <c r="L1361" s="37"/>
      <c r="M1361" s="154"/>
      <c r="N1361" s="16"/>
      <c r="O1361" s="16"/>
    </row>
    <row r="1362" spans="1:15" ht="17.100000000000001" customHeight="1">
      <c r="A1362" s="16"/>
      <c r="B1362" s="87" t="s">
        <v>3385</v>
      </c>
      <c r="C1362" s="110">
        <v>14</v>
      </c>
      <c r="D1362" s="28" t="s">
        <v>451</v>
      </c>
      <c r="E1362" s="28">
        <v>1.22</v>
      </c>
      <c r="F1362" s="87"/>
      <c r="G1362" s="110"/>
      <c r="H1362" s="28"/>
      <c r="I1362" s="110"/>
      <c r="J1362" s="135">
        <v>45287</v>
      </c>
      <c r="K1362" s="9">
        <v>48</v>
      </c>
      <c r="L1362" s="37"/>
      <c r="M1362" s="154"/>
      <c r="N1362" s="16"/>
      <c r="O1362" s="16"/>
    </row>
    <row r="1363" spans="1:15" ht="17.100000000000001" customHeight="1">
      <c r="A1363" s="165" t="s">
        <v>3474</v>
      </c>
      <c r="B1363" s="158" t="s">
        <v>1520</v>
      </c>
      <c r="C1363" s="165" t="s">
        <v>3474</v>
      </c>
      <c r="D1363" s="79" t="s">
        <v>3473</v>
      </c>
      <c r="E1363" s="158">
        <v>1.22</v>
      </c>
      <c r="F1363" s="158">
        <v>7.26</v>
      </c>
      <c r="G1363" s="165"/>
      <c r="H1363" s="158">
        <v>1.5</v>
      </c>
      <c r="I1363" s="165">
        <v>40</v>
      </c>
      <c r="J1363" s="132">
        <v>45416</v>
      </c>
      <c r="K1363" s="57">
        <f t="shared" ref="K1363:K1375" si="88">+E1363*F1363*H1363*I1363</f>
        <v>531.4319999999999</v>
      </c>
      <c r="L1363" s="57"/>
      <c r="M1363" s="46"/>
      <c r="N1363" s="247"/>
      <c r="O1363" s="247"/>
    </row>
    <row r="1364" spans="1:15" ht="17.100000000000001" customHeight="1">
      <c r="A1364" s="125" t="s">
        <v>3475</v>
      </c>
      <c r="B1364" s="102" t="s">
        <v>1520</v>
      </c>
      <c r="C1364" s="224" t="s">
        <v>3475</v>
      </c>
      <c r="D1364" s="79" t="s">
        <v>3473</v>
      </c>
      <c r="E1364" s="99">
        <v>1.22</v>
      </c>
      <c r="F1364" s="102">
        <v>11</v>
      </c>
      <c r="G1364" s="125"/>
      <c r="H1364" s="80">
        <v>1.5</v>
      </c>
      <c r="I1364" s="125">
        <v>40</v>
      </c>
      <c r="J1364" s="144">
        <v>45416</v>
      </c>
      <c r="K1364" s="50">
        <f t="shared" si="88"/>
        <v>805.19999999999993</v>
      </c>
      <c r="L1364" s="50"/>
      <c r="M1364" s="58"/>
      <c r="N1364" s="58"/>
      <c r="O1364" s="58"/>
    </row>
    <row r="1365" spans="1:15" ht="17.100000000000001" customHeight="1">
      <c r="A1365" s="79" t="s">
        <v>3476</v>
      </c>
      <c r="B1365" s="80" t="s">
        <v>1520</v>
      </c>
      <c r="C1365" s="79" t="s">
        <v>3476</v>
      </c>
      <c r="D1365" s="79" t="s">
        <v>3473</v>
      </c>
      <c r="E1365" s="80">
        <v>1.22</v>
      </c>
      <c r="F1365" s="80">
        <v>14.85</v>
      </c>
      <c r="G1365" s="79"/>
      <c r="H1365" s="80">
        <v>1.5</v>
      </c>
      <c r="I1365" s="79">
        <v>40</v>
      </c>
      <c r="J1365" s="134">
        <v>45416</v>
      </c>
      <c r="K1365" s="35">
        <f t="shared" si="88"/>
        <v>1087.02</v>
      </c>
      <c r="L1365" s="35"/>
      <c r="M1365" s="46"/>
      <c r="N1365" s="46"/>
      <c r="O1365" s="46"/>
    </row>
    <row r="1366" spans="1:15" ht="17.100000000000001" customHeight="1">
      <c r="A1366" s="79" t="s">
        <v>3486</v>
      </c>
      <c r="B1366" s="80" t="s">
        <v>1520</v>
      </c>
      <c r="C1366" s="79" t="s">
        <v>3486</v>
      </c>
      <c r="D1366" s="79" t="s">
        <v>3473</v>
      </c>
      <c r="E1366" s="80">
        <v>1.22</v>
      </c>
      <c r="F1366" s="80">
        <v>18.7</v>
      </c>
      <c r="G1366" s="79"/>
      <c r="H1366" s="80">
        <v>1.5</v>
      </c>
      <c r="I1366" s="79">
        <v>40</v>
      </c>
      <c r="J1366" s="134">
        <v>45416</v>
      </c>
      <c r="K1366" s="35">
        <f t="shared" si="88"/>
        <v>1368.8400000000001</v>
      </c>
      <c r="L1366" s="35"/>
      <c r="M1366" s="46"/>
      <c r="N1366" s="46"/>
      <c r="O1366" s="46"/>
    </row>
    <row r="1367" spans="1:15" ht="17.100000000000001" customHeight="1">
      <c r="A1367" s="79" t="s">
        <v>3477</v>
      </c>
      <c r="B1367" s="152" t="s">
        <v>1520</v>
      </c>
      <c r="C1367" s="251" t="s">
        <v>3477</v>
      </c>
      <c r="D1367" s="79" t="s">
        <v>3473</v>
      </c>
      <c r="E1367" s="80">
        <v>1.22</v>
      </c>
      <c r="F1367" s="80">
        <v>12.1</v>
      </c>
      <c r="G1367" s="79"/>
      <c r="H1367" s="80">
        <v>1.5</v>
      </c>
      <c r="I1367" s="79">
        <v>40</v>
      </c>
      <c r="J1367" s="132">
        <v>45416</v>
      </c>
      <c r="K1367" s="173">
        <f t="shared" si="88"/>
        <v>885.71999999999991</v>
      </c>
      <c r="L1367" s="173"/>
      <c r="M1367" s="46"/>
      <c r="N1367" s="46"/>
      <c r="O1367" s="46"/>
    </row>
    <row r="1368" spans="1:15" ht="18" customHeight="1">
      <c r="A1368" s="264" t="s">
        <v>3478</v>
      </c>
      <c r="B1368" s="152" t="s">
        <v>1520</v>
      </c>
      <c r="C1368" s="251" t="s">
        <v>3478</v>
      </c>
      <c r="D1368" s="251" t="s">
        <v>3473</v>
      </c>
      <c r="E1368" s="152">
        <v>1.22</v>
      </c>
      <c r="F1368" s="152">
        <v>16.5</v>
      </c>
      <c r="G1368" s="251"/>
      <c r="H1368" s="152">
        <v>1.5</v>
      </c>
      <c r="I1368" s="251">
        <v>40</v>
      </c>
      <c r="J1368" s="253">
        <v>45416</v>
      </c>
      <c r="K1368" s="173">
        <f t="shared" si="88"/>
        <v>1207.8</v>
      </c>
      <c r="L1368" s="278"/>
      <c r="M1368" s="279"/>
      <c r="N1368" s="182"/>
      <c r="O1368" s="182"/>
    </row>
    <row r="1369" spans="1:15" ht="18" customHeight="1">
      <c r="A1369" s="264" t="s">
        <v>3479</v>
      </c>
      <c r="B1369" s="80" t="s">
        <v>1520</v>
      </c>
      <c r="C1369" s="251" t="s">
        <v>3479</v>
      </c>
      <c r="D1369" s="79" t="s">
        <v>3473</v>
      </c>
      <c r="E1369" s="80">
        <v>1.22</v>
      </c>
      <c r="F1369" s="152">
        <v>17.05</v>
      </c>
      <c r="G1369" s="251"/>
      <c r="H1369" s="152">
        <v>1.5</v>
      </c>
      <c r="I1369" s="251">
        <v>40</v>
      </c>
      <c r="J1369" s="253">
        <v>45416</v>
      </c>
      <c r="K1369" s="35">
        <f t="shared" si="88"/>
        <v>1248.0600000000002</v>
      </c>
      <c r="L1369" s="278"/>
      <c r="M1369" s="279"/>
      <c r="N1369" s="182"/>
      <c r="O1369" s="182"/>
    </row>
    <row r="1370" spans="1:15" ht="18" customHeight="1">
      <c r="A1370" s="264" t="s">
        <v>3480</v>
      </c>
      <c r="B1370" s="80" t="s">
        <v>1520</v>
      </c>
      <c r="C1370" s="251" t="s">
        <v>3480</v>
      </c>
      <c r="D1370" s="79" t="s">
        <v>3473</v>
      </c>
      <c r="E1370" s="80">
        <v>1.22</v>
      </c>
      <c r="F1370" s="152">
        <v>21.67</v>
      </c>
      <c r="G1370" s="251"/>
      <c r="H1370" s="152">
        <v>1.5</v>
      </c>
      <c r="I1370" s="251">
        <v>40</v>
      </c>
      <c r="J1370" s="253">
        <v>45416</v>
      </c>
      <c r="K1370" s="35">
        <f t="shared" si="88"/>
        <v>1586.2440000000001</v>
      </c>
      <c r="L1370" s="278"/>
      <c r="M1370" s="279"/>
      <c r="N1370" s="182"/>
      <c r="O1370" s="182"/>
    </row>
    <row r="1371" spans="1:15" ht="18" customHeight="1">
      <c r="A1371" s="79" t="s">
        <v>3481</v>
      </c>
      <c r="B1371" s="80" t="s">
        <v>1520</v>
      </c>
      <c r="C1371" s="79" t="s">
        <v>3481</v>
      </c>
      <c r="D1371" s="79" t="s">
        <v>3473</v>
      </c>
      <c r="E1371" s="80">
        <v>1.22</v>
      </c>
      <c r="F1371" s="80">
        <v>37.950000000000003</v>
      </c>
      <c r="G1371" s="79"/>
      <c r="H1371" s="80">
        <v>1.5</v>
      </c>
      <c r="I1371" s="79">
        <v>40</v>
      </c>
      <c r="J1371" s="134">
        <v>45416</v>
      </c>
      <c r="K1371" s="35">
        <f t="shared" si="88"/>
        <v>2777.9399999999996</v>
      </c>
      <c r="L1371" s="35"/>
      <c r="M1371" s="46"/>
      <c r="N1371" s="46"/>
      <c r="O1371" s="46"/>
    </row>
    <row r="1372" spans="1:15" ht="18" customHeight="1">
      <c r="A1372" s="165" t="s">
        <v>3482</v>
      </c>
      <c r="B1372" s="158" t="s">
        <v>1520</v>
      </c>
      <c r="C1372" s="165" t="s">
        <v>3482</v>
      </c>
      <c r="D1372" s="165" t="s">
        <v>3473</v>
      </c>
      <c r="E1372" s="158">
        <v>1.22</v>
      </c>
      <c r="F1372" s="158">
        <v>10.45</v>
      </c>
      <c r="G1372" s="165"/>
      <c r="H1372" s="158">
        <v>1.5</v>
      </c>
      <c r="I1372" s="165">
        <v>40</v>
      </c>
      <c r="J1372" s="132">
        <v>45416</v>
      </c>
      <c r="K1372" s="57">
        <f t="shared" si="88"/>
        <v>764.94</v>
      </c>
      <c r="L1372" s="57"/>
      <c r="M1372" s="247"/>
      <c r="N1372" s="247"/>
      <c r="O1372" s="247"/>
    </row>
    <row r="1373" spans="1:15" ht="18" customHeight="1">
      <c r="A1373" s="79" t="s">
        <v>3483</v>
      </c>
      <c r="B1373" s="80" t="s">
        <v>1520</v>
      </c>
      <c r="C1373" s="79" t="s">
        <v>3483</v>
      </c>
      <c r="D1373" s="79" t="s">
        <v>3473</v>
      </c>
      <c r="E1373" s="80">
        <v>1.22</v>
      </c>
      <c r="F1373" s="80">
        <v>39.6</v>
      </c>
      <c r="G1373" s="79"/>
      <c r="H1373" s="80">
        <v>1.5</v>
      </c>
      <c r="I1373" s="79">
        <v>40</v>
      </c>
      <c r="J1373" s="134">
        <v>45416</v>
      </c>
      <c r="K1373" s="35">
        <f t="shared" si="88"/>
        <v>2898.7199999999993</v>
      </c>
      <c r="L1373" s="35"/>
      <c r="M1373" s="46"/>
      <c r="N1373" s="46"/>
      <c r="O1373" s="46"/>
    </row>
    <row r="1374" spans="1:15" ht="18" customHeight="1">
      <c r="A1374" s="79" t="s">
        <v>3484</v>
      </c>
      <c r="B1374" s="80" t="s">
        <v>1520</v>
      </c>
      <c r="C1374" s="79" t="s">
        <v>3484</v>
      </c>
      <c r="D1374" s="79" t="s">
        <v>3473</v>
      </c>
      <c r="E1374" s="80">
        <v>1.22</v>
      </c>
      <c r="F1374" s="80">
        <v>52.8</v>
      </c>
      <c r="G1374" s="79"/>
      <c r="H1374" s="80">
        <v>1.4</v>
      </c>
      <c r="I1374" s="79">
        <v>40</v>
      </c>
      <c r="J1374" s="134">
        <v>45416</v>
      </c>
      <c r="K1374" s="35">
        <f t="shared" si="88"/>
        <v>3607.2959999999994</v>
      </c>
      <c r="L1374" s="35"/>
      <c r="M1374" s="46"/>
      <c r="N1374" s="46"/>
      <c r="O1374" s="46"/>
    </row>
    <row r="1375" spans="1:15" ht="18" customHeight="1">
      <c r="A1375" s="79" t="s">
        <v>3485</v>
      </c>
      <c r="B1375" s="80" t="s">
        <v>1520</v>
      </c>
      <c r="C1375" s="79" t="s">
        <v>3485</v>
      </c>
      <c r="D1375" s="79" t="s">
        <v>3473</v>
      </c>
      <c r="E1375" s="80">
        <v>1.22</v>
      </c>
      <c r="F1375" s="80">
        <v>1.21</v>
      </c>
      <c r="G1375" s="79"/>
      <c r="H1375" s="80">
        <v>1.5</v>
      </c>
      <c r="I1375" s="79">
        <v>40</v>
      </c>
      <c r="J1375" s="134">
        <v>45416</v>
      </c>
      <c r="K1375" s="35">
        <f t="shared" si="88"/>
        <v>88.571999999999989</v>
      </c>
      <c r="L1375" s="35"/>
      <c r="M1375" s="46"/>
      <c r="N1375" s="46"/>
      <c r="O1375" s="46"/>
    </row>
    <row r="1376" spans="1:15" ht="18" customHeight="1">
      <c r="A1376" s="23" t="s">
        <v>2163</v>
      </c>
      <c r="B1376" s="96" t="s">
        <v>1273</v>
      </c>
      <c r="C1376" s="78" t="s">
        <v>2163</v>
      </c>
      <c r="D1376" s="28" t="s">
        <v>451</v>
      </c>
      <c r="E1376" s="96">
        <v>1.22</v>
      </c>
      <c r="F1376" s="96"/>
      <c r="G1376" s="78">
        <v>12</v>
      </c>
      <c r="H1376" s="96">
        <v>1.6</v>
      </c>
      <c r="I1376" s="78">
        <v>45</v>
      </c>
      <c r="J1376" s="140">
        <v>45961</v>
      </c>
      <c r="K1376" s="13">
        <f>+E1376*G1376*H1376*I1376</f>
        <v>1054.0800000000002</v>
      </c>
      <c r="L1376" s="13"/>
      <c r="M1376" s="13"/>
      <c r="N1376" s="12">
        <f>G1376*H1376*I1376*E1376</f>
        <v>1054.0800000000002</v>
      </c>
      <c r="O1376" s="11">
        <f>K1376*1.6667</f>
        <v>1756.8351360000004</v>
      </c>
    </row>
    <row r="1377" spans="1:15" ht="18" customHeight="1">
      <c r="A1377" s="21" t="s">
        <v>1697</v>
      </c>
      <c r="B1377" s="28" t="s">
        <v>1273</v>
      </c>
      <c r="C1377" s="28" t="s">
        <v>1697</v>
      </c>
      <c r="D1377" s="28" t="s">
        <v>451</v>
      </c>
      <c r="E1377" s="28">
        <v>1.22</v>
      </c>
      <c r="F1377" s="28"/>
      <c r="G1377" s="28">
        <v>19</v>
      </c>
      <c r="H1377" s="28">
        <v>1.6</v>
      </c>
      <c r="I1377" s="28">
        <v>45</v>
      </c>
      <c r="J1377" s="133">
        <v>45961</v>
      </c>
      <c r="K1377" s="9">
        <f>+E1377*G1377*H1377*I1377</f>
        <v>1668.96</v>
      </c>
      <c r="L1377" s="9"/>
      <c r="M1377" s="13"/>
      <c r="N1377" s="9">
        <f>G1377*H1377*I1377*E1377</f>
        <v>1668.96</v>
      </c>
      <c r="O1377" s="3">
        <f>K1377*1.6667</f>
        <v>2781.655632</v>
      </c>
    </row>
    <row r="1378" spans="1:15" ht="18" customHeight="1">
      <c r="A1378" s="21" t="s">
        <v>2185</v>
      </c>
      <c r="B1378" s="28" t="s">
        <v>1273</v>
      </c>
      <c r="C1378" s="28" t="s">
        <v>2185</v>
      </c>
      <c r="D1378" s="28" t="s">
        <v>451</v>
      </c>
      <c r="E1378" s="28">
        <v>1.22</v>
      </c>
      <c r="F1378" s="28"/>
      <c r="G1378" s="28">
        <v>23</v>
      </c>
      <c r="H1378" s="28">
        <v>1.6</v>
      </c>
      <c r="I1378" s="28">
        <v>45</v>
      </c>
      <c r="J1378" s="133">
        <v>45849</v>
      </c>
      <c r="K1378" s="9">
        <f>+E1378*G1378*H1378*I1378</f>
        <v>2020.32</v>
      </c>
      <c r="L1378" s="9"/>
      <c r="M1378" s="13"/>
      <c r="N1378" s="9"/>
      <c r="O1378" s="3"/>
    </row>
    <row r="1379" spans="1:15" ht="18" customHeight="1">
      <c r="A1379" s="21" t="s">
        <v>3290</v>
      </c>
      <c r="B1379" s="28" t="s">
        <v>1273</v>
      </c>
      <c r="C1379" s="28" t="s">
        <v>1272</v>
      </c>
      <c r="D1379" s="28" t="s">
        <v>451</v>
      </c>
      <c r="E1379" s="28">
        <v>1.22</v>
      </c>
      <c r="F1379" s="28"/>
      <c r="G1379" s="28">
        <v>20</v>
      </c>
      <c r="H1379" s="28">
        <v>1.6</v>
      </c>
      <c r="I1379" s="28">
        <v>45</v>
      </c>
      <c r="J1379" s="131">
        <v>45909</v>
      </c>
      <c r="K1379" s="9">
        <f>+E1379*G1379*H1379*I1379</f>
        <v>1756.8</v>
      </c>
      <c r="L1379" s="9"/>
      <c r="M1379" s="13"/>
      <c r="N1379" s="9">
        <f>G1379*H1379*I1379*E1379</f>
        <v>1756.8</v>
      </c>
      <c r="O1379" s="3">
        <f>K1379*1.6667</f>
        <v>2928.0585599999999</v>
      </c>
    </row>
    <row r="1380" spans="1:15" ht="18" customHeight="1">
      <c r="A1380" s="21" t="s">
        <v>1417</v>
      </c>
      <c r="B1380" s="28" t="s">
        <v>1273</v>
      </c>
      <c r="C1380" s="28" t="s">
        <v>1417</v>
      </c>
      <c r="D1380" s="28" t="s">
        <v>451</v>
      </c>
      <c r="E1380" s="28">
        <v>1.22</v>
      </c>
      <c r="F1380" s="28">
        <v>1218</v>
      </c>
      <c r="G1380" s="110">
        <v>29</v>
      </c>
      <c r="H1380" s="28">
        <v>1.4</v>
      </c>
      <c r="I1380" s="275">
        <v>42</v>
      </c>
      <c r="J1380" s="133">
        <v>45154</v>
      </c>
      <c r="K1380" s="9">
        <f>+E1380*G1380*H1380*I1380</f>
        <v>2080.3440000000001</v>
      </c>
      <c r="L1380" s="75"/>
      <c r="M1380" s="41"/>
      <c r="N1380" s="9">
        <f>G1380*H1380*I1380*E1380</f>
        <v>2080.3439999999996</v>
      </c>
      <c r="O1380" s="3">
        <f>K1380*1.6667</f>
        <v>3467.3093448000004</v>
      </c>
    </row>
    <row r="1381" spans="1:15" ht="18" customHeight="1">
      <c r="A1381" s="21" t="s">
        <v>1274</v>
      </c>
      <c r="B1381" s="28" t="s">
        <v>1273</v>
      </c>
      <c r="C1381" s="28" t="s">
        <v>1274</v>
      </c>
      <c r="D1381" s="28" t="s">
        <v>451</v>
      </c>
      <c r="E1381" s="28">
        <v>1.22</v>
      </c>
      <c r="F1381" s="28">
        <v>600</v>
      </c>
      <c r="G1381" s="28"/>
      <c r="H1381" s="28">
        <v>1.5</v>
      </c>
      <c r="I1381" s="28"/>
      <c r="J1381" s="133">
        <v>45057</v>
      </c>
      <c r="K1381" s="9">
        <f t="shared" ref="K1381:K1386" si="89">E1381*F1381*H1381</f>
        <v>1098</v>
      </c>
      <c r="L1381" s="9"/>
      <c r="M1381" s="13"/>
      <c r="N1381" s="9">
        <f>G1381*H1381*I1381*E1381</f>
        <v>0</v>
      </c>
      <c r="O1381" s="3">
        <f>K1381*1.6667</f>
        <v>1830.0366000000001</v>
      </c>
    </row>
    <row r="1382" spans="1:15" ht="18" customHeight="1">
      <c r="A1382" s="21" t="s">
        <v>1418</v>
      </c>
      <c r="B1382" s="28" t="s">
        <v>1273</v>
      </c>
      <c r="C1382" s="28" t="s">
        <v>1418</v>
      </c>
      <c r="D1382" s="28" t="s">
        <v>451</v>
      </c>
      <c r="E1382" s="28">
        <v>1.22</v>
      </c>
      <c r="F1382" s="28">
        <v>495</v>
      </c>
      <c r="G1382" s="28"/>
      <c r="H1382" s="28">
        <v>1.6</v>
      </c>
      <c r="I1382" s="28"/>
      <c r="J1382" s="133">
        <v>44331</v>
      </c>
      <c r="K1382" s="9">
        <f t="shared" si="89"/>
        <v>966.24</v>
      </c>
      <c r="L1382" s="9"/>
      <c r="M1382" s="13"/>
      <c r="N1382" s="9">
        <f>G1382*H1382*I1382*E1382</f>
        <v>0</v>
      </c>
      <c r="O1382" s="3"/>
    </row>
    <row r="1383" spans="1:15" ht="18" customHeight="1">
      <c r="A1383" s="21" t="s">
        <v>1519</v>
      </c>
      <c r="B1383" s="28" t="s">
        <v>1520</v>
      </c>
      <c r="C1383" s="28" t="s">
        <v>1519</v>
      </c>
      <c r="D1383" s="28" t="s">
        <v>451</v>
      </c>
      <c r="E1383" s="28">
        <v>1.22</v>
      </c>
      <c r="F1383" s="28">
        <v>800</v>
      </c>
      <c r="G1383" s="28"/>
      <c r="H1383" s="28">
        <v>1.6</v>
      </c>
      <c r="I1383" s="28"/>
      <c r="J1383" s="133">
        <v>45366</v>
      </c>
      <c r="K1383" s="9">
        <f t="shared" si="89"/>
        <v>1561.6000000000001</v>
      </c>
      <c r="L1383" s="9"/>
      <c r="M1383" s="13"/>
      <c r="N1383" s="9">
        <f>G1383*H1383*I1383*E1383</f>
        <v>0</v>
      </c>
      <c r="O1383" s="3"/>
    </row>
    <row r="1384" spans="1:15" ht="18" customHeight="1">
      <c r="A1384" s="28" t="s">
        <v>3124</v>
      </c>
      <c r="B1384" s="28" t="s">
        <v>1273</v>
      </c>
      <c r="C1384" s="28" t="s">
        <v>3124</v>
      </c>
      <c r="D1384" s="28" t="s">
        <v>451</v>
      </c>
      <c r="E1384" s="28">
        <v>1.22</v>
      </c>
      <c r="F1384" s="28">
        <v>574</v>
      </c>
      <c r="G1384" s="28"/>
      <c r="H1384" s="28">
        <v>1.6</v>
      </c>
      <c r="I1384" s="28"/>
      <c r="J1384" s="133">
        <v>45925</v>
      </c>
      <c r="K1384" s="9">
        <f t="shared" si="89"/>
        <v>1120.4480000000001</v>
      </c>
      <c r="L1384" s="9"/>
      <c r="M1384" s="13"/>
      <c r="N1384" s="9"/>
      <c r="O1384" s="3"/>
    </row>
    <row r="1385" spans="1:15" ht="18" customHeight="1">
      <c r="A1385" s="85" t="s">
        <v>3125</v>
      </c>
      <c r="B1385" s="85" t="s">
        <v>1273</v>
      </c>
      <c r="C1385" s="85" t="s">
        <v>3125</v>
      </c>
      <c r="D1385" s="28" t="s">
        <v>451</v>
      </c>
      <c r="E1385" s="85">
        <v>1.22</v>
      </c>
      <c r="F1385" s="85">
        <v>920</v>
      </c>
      <c r="G1385" s="85">
        <v>23</v>
      </c>
      <c r="H1385" s="85">
        <v>1.6</v>
      </c>
      <c r="I1385" s="85">
        <v>42</v>
      </c>
      <c r="J1385" s="131">
        <v>45366</v>
      </c>
      <c r="K1385" s="10">
        <f t="shared" si="89"/>
        <v>1795.84</v>
      </c>
      <c r="L1385" s="10"/>
      <c r="M1385" s="13"/>
      <c r="N1385" s="12"/>
      <c r="O1385" s="11"/>
    </row>
    <row r="1386" spans="1:15" ht="18" customHeight="1">
      <c r="A1386" s="20" t="s">
        <v>3291</v>
      </c>
      <c r="B1386" s="85" t="s">
        <v>1273</v>
      </c>
      <c r="C1386" s="85" t="s">
        <v>3126</v>
      </c>
      <c r="D1386" s="28" t="s">
        <v>451</v>
      </c>
      <c r="E1386" s="85">
        <v>1.22</v>
      </c>
      <c r="F1386" s="85">
        <v>1008</v>
      </c>
      <c r="G1386" s="85">
        <v>24</v>
      </c>
      <c r="H1386" s="85">
        <v>1.6</v>
      </c>
      <c r="I1386" s="85">
        <v>42</v>
      </c>
      <c r="J1386" s="133">
        <v>46297</v>
      </c>
      <c r="K1386" s="9">
        <f t="shared" si="89"/>
        <v>1967.616</v>
      </c>
      <c r="L1386" s="10"/>
      <c r="M1386" s="9"/>
      <c r="N1386" s="9"/>
      <c r="O1386" s="3"/>
    </row>
    <row r="1387" spans="1:15" ht="18" customHeight="1">
      <c r="A1387" s="21" t="s">
        <v>1275</v>
      </c>
      <c r="B1387" s="28" t="s">
        <v>1273</v>
      </c>
      <c r="C1387" s="28" t="s">
        <v>1275</v>
      </c>
      <c r="D1387" s="28" t="s">
        <v>451</v>
      </c>
      <c r="E1387" s="28">
        <v>1.22</v>
      </c>
      <c r="F1387" s="93"/>
      <c r="G1387" s="93">
        <v>26</v>
      </c>
      <c r="H1387" s="28">
        <v>1.6</v>
      </c>
      <c r="I1387" s="93">
        <v>45</v>
      </c>
      <c r="J1387" s="133">
        <v>45318</v>
      </c>
      <c r="K1387" s="9">
        <f>+G1387*E1387*H1387*I1387</f>
        <v>2283.84</v>
      </c>
      <c r="L1387" s="33"/>
      <c r="M1387" s="33"/>
      <c r="N1387" s="33">
        <f t="shared" ref="N1387:N1394" si="90">G1387*H1387*I1387*E1387</f>
        <v>2283.84</v>
      </c>
      <c r="O1387" s="34">
        <f>K1387*1.6667</f>
        <v>3806.4761280000002</v>
      </c>
    </row>
    <row r="1388" spans="1:15" ht="18" customHeight="1">
      <c r="A1388" s="32" t="s">
        <v>1420</v>
      </c>
      <c r="B1388" s="93" t="s">
        <v>1273</v>
      </c>
      <c r="C1388" s="28" t="s">
        <v>1420</v>
      </c>
      <c r="D1388" s="28" t="s">
        <v>451</v>
      </c>
      <c r="E1388" s="28">
        <v>1.22</v>
      </c>
      <c r="F1388" s="93"/>
      <c r="G1388" s="93">
        <v>37</v>
      </c>
      <c r="H1388" s="28">
        <v>1.6</v>
      </c>
      <c r="I1388" s="93">
        <v>41</v>
      </c>
      <c r="J1388" s="133">
        <v>45545</v>
      </c>
      <c r="K1388" s="9">
        <f>+E1388*G1388*H1388*I1388</f>
        <v>2961.1840000000002</v>
      </c>
      <c r="L1388" s="33"/>
      <c r="M1388" s="33"/>
      <c r="N1388" s="33">
        <f t="shared" si="90"/>
        <v>2961.1840000000002</v>
      </c>
      <c r="O1388" s="34"/>
    </row>
    <row r="1389" spans="1:15" ht="18" customHeight="1">
      <c r="A1389" s="32" t="s">
        <v>1419</v>
      </c>
      <c r="B1389" s="93" t="s">
        <v>1273</v>
      </c>
      <c r="C1389" s="28" t="s">
        <v>1419</v>
      </c>
      <c r="D1389" s="28" t="s">
        <v>451</v>
      </c>
      <c r="E1389" s="28">
        <v>1.22</v>
      </c>
      <c r="F1389" s="93">
        <v>0</v>
      </c>
      <c r="G1389" s="93">
        <v>23</v>
      </c>
      <c r="H1389" s="28">
        <v>1.6</v>
      </c>
      <c r="I1389" s="93">
        <v>45</v>
      </c>
      <c r="J1389" s="140">
        <v>45981</v>
      </c>
      <c r="K1389" s="9">
        <f>+E1389*G1389*H1389*I1389</f>
        <v>2020.32</v>
      </c>
      <c r="L1389" s="33"/>
      <c r="M1389" s="33"/>
      <c r="N1389" s="33">
        <f t="shared" si="90"/>
        <v>2020.3200000000002</v>
      </c>
      <c r="O1389" s="34"/>
    </row>
    <row r="1390" spans="1:15" ht="18" customHeight="1">
      <c r="A1390" s="32" t="s">
        <v>1698</v>
      </c>
      <c r="B1390" s="93" t="s">
        <v>1273</v>
      </c>
      <c r="C1390" s="93" t="s">
        <v>1698</v>
      </c>
      <c r="D1390" s="28" t="s">
        <v>451</v>
      </c>
      <c r="E1390" s="93">
        <v>1.22</v>
      </c>
      <c r="F1390" s="93">
        <v>1035</v>
      </c>
      <c r="G1390" s="93"/>
      <c r="H1390" s="93">
        <v>1.55</v>
      </c>
      <c r="I1390" s="93"/>
      <c r="J1390" s="146">
        <v>43990</v>
      </c>
      <c r="K1390" s="33">
        <f>E1390*F1390*H1390</f>
        <v>1957.1850000000002</v>
      </c>
      <c r="L1390" s="33"/>
      <c r="M1390" s="33"/>
      <c r="N1390" s="33">
        <f t="shared" si="90"/>
        <v>0</v>
      </c>
      <c r="O1390" s="34">
        <f>K1390*1.6667</f>
        <v>3262.0402395000006</v>
      </c>
    </row>
    <row r="1391" spans="1:15" ht="18" customHeight="1">
      <c r="A1391" s="21" t="s">
        <v>1857</v>
      </c>
      <c r="B1391" s="28" t="s">
        <v>1273</v>
      </c>
      <c r="C1391" s="28" t="s">
        <v>1857</v>
      </c>
      <c r="D1391" s="28" t="s">
        <v>451</v>
      </c>
      <c r="E1391" s="28">
        <v>1.22</v>
      </c>
      <c r="F1391" s="28">
        <v>1012</v>
      </c>
      <c r="G1391" s="28"/>
      <c r="H1391" s="28">
        <v>1.6</v>
      </c>
      <c r="I1391" s="28"/>
      <c r="J1391" s="146">
        <v>44392</v>
      </c>
      <c r="K1391" s="9">
        <f>E1391*F1391*H1391</f>
        <v>1975.424</v>
      </c>
      <c r="L1391" s="9"/>
      <c r="M1391" s="281"/>
      <c r="N1391" s="9">
        <f t="shared" si="90"/>
        <v>0</v>
      </c>
      <c r="O1391" s="3"/>
    </row>
    <row r="1392" spans="1:15" ht="18" customHeight="1">
      <c r="A1392" s="21" t="s">
        <v>1743</v>
      </c>
      <c r="B1392" s="28" t="s">
        <v>1273</v>
      </c>
      <c r="C1392" s="21" t="s">
        <v>1743</v>
      </c>
      <c r="D1392" s="28" t="s">
        <v>451</v>
      </c>
      <c r="E1392" s="28">
        <v>1.22</v>
      </c>
      <c r="F1392" s="28">
        <v>1653</v>
      </c>
      <c r="G1392" s="28"/>
      <c r="H1392" s="28">
        <v>1.5</v>
      </c>
      <c r="I1392" s="28"/>
      <c r="J1392" s="133">
        <v>43990</v>
      </c>
      <c r="K1392" s="9">
        <f>E1392*F1392*H1392</f>
        <v>3024.99</v>
      </c>
      <c r="L1392" s="9"/>
      <c r="M1392" s="155"/>
      <c r="N1392" s="9">
        <f t="shared" si="90"/>
        <v>0</v>
      </c>
      <c r="O1392" s="3">
        <f>K1392*1.6667</f>
        <v>5041.7508330000001</v>
      </c>
    </row>
    <row r="1393" spans="1:16" s="16" customFormat="1" ht="18" customHeight="1">
      <c r="A1393" s="21" t="s">
        <v>1744</v>
      </c>
      <c r="B1393" s="28" t="s">
        <v>1273</v>
      </c>
      <c r="C1393" s="21" t="s">
        <v>1744</v>
      </c>
      <c r="D1393" s="28" t="s">
        <v>451</v>
      </c>
      <c r="E1393" s="28">
        <v>1.22</v>
      </c>
      <c r="F1393" s="28">
        <v>2280</v>
      </c>
      <c r="G1393" s="28"/>
      <c r="H1393" s="28">
        <v>1.5</v>
      </c>
      <c r="I1393" s="28"/>
      <c r="J1393" s="133">
        <v>43990</v>
      </c>
      <c r="K1393" s="9">
        <f>E1393*F1393*H1393</f>
        <v>4172.3999999999996</v>
      </c>
      <c r="L1393" s="9"/>
      <c r="M1393" s="310"/>
      <c r="N1393" s="9">
        <f t="shared" si="90"/>
        <v>0</v>
      </c>
      <c r="O1393" s="3"/>
      <c r="P1393" s="157"/>
    </row>
    <row r="1394" spans="1:16" ht="18" customHeight="1">
      <c r="A1394" s="21" t="s">
        <v>2162</v>
      </c>
      <c r="B1394" s="28" t="s">
        <v>1273</v>
      </c>
      <c r="C1394" s="21" t="s">
        <v>2162</v>
      </c>
      <c r="D1394" s="28" t="s">
        <v>451</v>
      </c>
      <c r="E1394" s="28">
        <v>1.22</v>
      </c>
      <c r="F1394" s="28"/>
      <c r="G1394" s="28">
        <v>13</v>
      </c>
      <c r="H1394" s="28">
        <v>1.6</v>
      </c>
      <c r="I1394" s="28">
        <v>45</v>
      </c>
      <c r="J1394" s="133">
        <v>45909</v>
      </c>
      <c r="K1394" s="9">
        <f>+E1394*G1394*H1394*I1394</f>
        <v>1141.92</v>
      </c>
      <c r="L1394" s="9"/>
      <c r="M1394" s="13"/>
      <c r="N1394" s="9">
        <f t="shared" si="90"/>
        <v>1141.92</v>
      </c>
      <c r="O1394" s="3"/>
    </row>
    <row r="1395" spans="1:16" s="16" customFormat="1" ht="18" customHeight="1">
      <c r="A1395" s="21" t="s">
        <v>3292</v>
      </c>
      <c r="B1395" s="28" t="s">
        <v>1273</v>
      </c>
      <c r="C1395" s="110">
        <v>45</v>
      </c>
      <c r="D1395" s="110" t="s">
        <v>451</v>
      </c>
      <c r="E1395" s="87">
        <v>1.22</v>
      </c>
      <c r="F1395" s="87"/>
      <c r="G1395" s="110">
        <v>30</v>
      </c>
      <c r="H1395" s="87">
        <v>1.6</v>
      </c>
      <c r="I1395" s="110">
        <v>45</v>
      </c>
      <c r="J1395" s="142">
        <v>45772</v>
      </c>
      <c r="K1395" s="9">
        <f>+E1395*G1395*H1395*I1395</f>
        <v>2635.2000000000003</v>
      </c>
      <c r="L1395" s="37"/>
      <c r="M1395" s="154"/>
      <c r="P1395" s="157"/>
    </row>
    <row r="1396" spans="1:16" s="16" customFormat="1" ht="18" customHeight="1">
      <c r="A1396" s="16" t="s">
        <v>3293</v>
      </c>
      <c r="B1396" s="28" t="s">
        <v>1273</v>
      </c>
      <c r="C1396" s="110">
        <v>34</v>
      </c>
      <c r="D1396" s="110" t="s">
        <v>451</v>
      </c>
      <c r="E1396" s="87">
        <v>1.22</v>
      </c>
      <c r="F1396" s="87">
        <v>960</v>
      </c>
      <c r="G1396" s="110"/>
      <c r="H1396" s="87">
        <v>1.6</v>
      </c>
      <c r="I1396" s="110"/>
      <c r="J1396" s="142">
        <v>45287</v>
      </c>
      <c r="K1396" s="9">
        <f>E1396*F1396*H1396</f>
        <v>1873.92</v>
      </c>
      <c r="L1396" s="37"/>
      <c r="M1396" s="154"/>
      <c r="P1396" s="157"/>
    </row>
    <row r="1397" spans="1:16" s="16" customFormat="1" ht="18" customHeight="1">
      <c r="A1397" s="21" t="s">
        <v>3294</v>
      </c>
      <c r="B1397" s="28" t="s">
        <v>1273</v>
      </c>
      <c r="C1397" s="110">
        <v>25</v>
      </c>
      <c r="D1397" s="110" t="s">
        <v>451</v>
      </c>
      <c r="E1397" s="87">
        <v>1.22</v>
      </c>
      <c r="F1397" s="87"/>
      <c r="G1397" s="110">
        <v>9</v>
      </c>
      <c r="H1397" s="87">
        <v>1.6</v>
      </c>
      <c r="I1397" s="110">
        <v>45</v>
      </c>
      <c r="J1397" s="142">
        <v>45772</v>
      </c>
      <c r="K1397" s="9">
        <f>+E1397*G1397*H1397*I1397</f>
        <v>790.56000000000006</v>
      </c>
      <c r="L1397" s="37"/>
      <c r="M1397" s="154"/>
      <c r="P1397" s="157"/>
    </row>
    <row r="1398" spans="1:16" ht="18" customHeight="1">
      <c r="A1398" s="24" t="s">
        <v>3295</v>
      </c>
      <c r="B1398" s="96" t="s">
        <v>1273</v>
      </c>
      <c r="C1398" s="122">
        <v>33</v>
      </c>
      <c r="D1398" s="79" t="s">
        <v>451</v>
      </c>
      <c r="E1398" s="99">
        <v>1.22</v>
      </c>
      <c r="F1398" s="101"/>
      <c r="G1398" s="121">
        <v>21</v>
      </c>
      <c r="H1398" s="101">
        <v>1.5</v>
      </c>
      <c r="I1398" s="121">
        <v>45</v>
      </c>
      <c r="J1398" s="142">
        <v>45849</v>
      </c>
      <c r="K1398" s="13">
        <f>+G1398*E1398*H1398*I1398</f>
        <v>1729.35</v>
      </c>
      <c r="L1398" s="64"/>
      <c r="M1398" s="41"/>
      <c r="N1398" s="38"/>
      <c r="O1398" s="38"/>
    </row>
    <row r="1399" spans="1:16" ht="18" customHeight="1">
      <c r="A1399" s="32" t="s">
        <v>3462</v>
      </c>
      <c r="B1399" s="93" t="s">
        <v>1273</v>
      </c>
      <c r="C1399" s="123"/>
      <c r="D1399" s="110" t="s">
        <v>451</v>
      </c>
      <c r="E1399" s="160">
        <v>1.22</v>
      </c>
      <c r="F1399" s="160"/>
      <c r="G1399" s="123">
        <v>29</v>
      </c>
      <c r="H1399" s="160">
        <v>1.6</v>
      </c>
      <c r="I1399" s="123">
        <v>45</v>
      </c>
      <c r="J1399" s="131">
        <v>45772</v>
      </c>
      <c r="K1399" s="9">
        <f>+E1399*G1399*H1399*I1399</f>
        <v>2547.36</v>
      </c>
      <c r="L1399" s="33"/>
      <c r="M1399" s="17"/>
      <c r="N1399" s="16"/>
      <c r="O1399" s="16"/>
    </row>
    <row r="1400" spans="1:16" ht="18" customHeight="1">
      <c r="A1400" s="21" t="s">
        <v>3463</v>
      </c>
      <c r="B1400" s="28" t="s">
        <v>1273</v>
      </c>
      <c r="C1400" s="110">
        <v>28</v>
      </c>
      <c r="D1400" s="110" t="s">
        <v>451</v>
      </c>
      <c r="E1400" s="87">
        <v>1.22</v>
      </c>
      <c r="F1400" s="87">
        <v>720</v>
      </c>
      <c r="G1400" s="110"/>
      <c r="H1400" s="87">
        <v>1.5</v>
      </c>
      <c r="I1400" s="110"/>
      <c r="J1400" s="142">
        <v>45407</v>
      </c>
      <c r="K1400" s="9">
        <f>E1400*F1400*H1400</f>
        <v>1317.6</v>
      </c>
      <c r="L1400" s="37"/>
      <c r="M1400" s="204"/>
      <c r="N1400" s="16"/>
      <c r="O1400" s="16"/>
    </row>
    <row r="1401" spans="1:16" ht="18" customHeight="1">
      <c r="A1401" s="20" t="s">
        <v>3464</v>
      </c>
      <c r="B1401" s="85" t="s">
        <v>1273</v>
      </c>
      <c r="C1401" s="120">
        <v>35</v>
      </c>
      <c r="D1401" s="110" t="s">
        <v>451</v>
      </c>
      <c r="E1401" s="162">
        <v>1.22</v>
      </c>
      <c r="F1401" s="162">
        <v>1520</v>
      </c>
      <c r="G1401" s="120"/>
      <c r="H1401" s="162">
        <v>1.5</v>
      </c>
      <c r="I1401" s="120"/>
      <c r="J1401" s="142">
        <v>45407</v>
      </c>
      <c r="K1401" s="9">
        <f>E1401*F1401*H1401</f>
        <v>2781.6</v>
      </c>
      <c r="L1401" s="63"/>
      <c r="M1401" s="204"/>
      <c r="N1401" s="16"/>
      <c r="O1401" s="16"/>
    </row>
    <row r="1402" spans="1:16" ht="18" customHeight="1">
      <c r="A1402" s="20" t="s">
        <v>3465</v>
      </c>
      <c r="B1402" s="85" t="s">
        <v>1273</v>
      </c>
      <c r="C1402" s="120">
        <v>45</v>
      </c>
      <c r="D1402" s="110" t="s">
        <v>451</v>
      </c>
      <c r="E1402" s="162">
        <v>1.22</v>
      </c>
      <c r="F1402" s="162">
        <v>3760</v>
      </c>
      <c r="G1402" s="120"/>
      <c r="H1402" s="162">
        <v>1.4</v>
      </c>
      <c r="I1402" s="120"/>
      <c r="J1402" s="142">
        <v>45407</v>
      </c>
      <c r="K1402" s="10">
        <f>E1402*F1402*H1402</f>
        <v>6422.079999999999</v>
      </c>
      <c r="L1402" s="63"/>
      <c r="M1402" s="17"/>
      <c r="N1402" s="16"/>
      <c r="O1402" s="16"/>
    </row>
    <row r="1403" spans="1:16" ht="18" customHeight="1">
      <c r="A1403" s="32" t="s">
        <v>4002</v>
      </c>
      <c r="B1403" s="93" t="s">
        <v>1273</v>
      </c>
      <c r="C1403" s="32" t="s">
        <v>4002</v>
      </c>
      <c r="D1403" s="110" t="s">
        <v>3824</v>
      </c>
      <c r="E1403" s="160">
        <v>1.22</v>
      </c>
      <c r="F1403" s="160"/>
      <c r="G1403" s="123">
        <v>21</v>
      </c>
      <c r="H1403" s="160">
        <v>1.6</v>
      </c>
      <c r="I1403" s="123">
        <v>45</v>
      </c>
      <c r="J1403" s="131">
        <v>45653</v>
      </c>
      <c r="K1403" s="13">
        <f>+E1403*G1403*H1403*I1403</f>
        <v>1844.64</v>
      </c>
      <c r="L1403" s="161"/>
      <c r="M1403" s="51"/>
      <c r="N1403" s="42"/>
      <c r="O1403" s="42"/>
    </row>
    <row r="1404" spans="1:16" ht="18" customHeight="1">
      <c r="A1404" s="42" t="s">
        <v>4282</v>
      </c>
      <c r="B1404" s="93" t="s">
        <v>1273</v>
      </c>
      <c r="C1404" s="123">
        <v>33</v>
      </c>
      <c r="D1404" s="110" t="s">
        <v>451</v>
      </c>
      <c r="E1404" s="160">
        <v>1.22</v>
      </c>
      <c r="F1404" s="160"/>
      <c r="G1404" s="123">
        <v>21</v>
      </c>
      <c r="H1404" s="160">
        <v>1.6</v>
      </c>
      <c r="I1404" s="123">
        <v>45</v>
      </c>
      <c r="J1404" s="150">
        <v>45812</v>
      </c>
      <c r="K1404" s="13">
        <f>+E1404*G1404*H1404*I1404</f>
        <v>1844.64</v>
      </c>
      <c r="L1404" s="161"/>
      <c r="M1404" s="51"/>
      <c r="N1404" s="42"/>
      <c r="O1404" s="42"/>
    </row>
    <row r="1405" spans="1:16" ht="18" customHeight="1">
      <c r="A1405" s="21" t="s">
        <v>4360</v>
      </c>
      <c r="B1405" s="28" t="s">
        <v>1273</v>
      </c>
      <c r="C1405" s="21" t="s">
        <v>4360</v>
      </c>
      <c r="D1405" s="28" t="s">
        <v>451</v>
      </c>
      <c r="E1405" s="28">
        <v>1.22</v>
      </c>
      <c r="F1405" s="87"/>
      <c r="G1405" s="110">
        <v>30</v>
      </c>
      <c r="H1405" s="87">
        <v>1.6</v>
      </c>
      <c r="I1405" s="110">
        <v>45</v>
      </c>
      <c r="J1405" s="135">
        <v>45981</v>
      </c>
      <c r="K1405" s="9">
        <f>+E1405*G1405*H1405*I1405</f>
        <v>2635.2000000000003</v>
      </c>
      <c r="L1405" s="37"/>
      <c r="M1405" s="17"/>
      <c r="N1405" s="16"/>
      <c r="O1405" s="16"/>
    </row>
    <row r="1406" spans="1:16" ht="18" customHeight="1">
      <c r="A1406" s="21" t="s">
        <v>4434</v>
      </c>
      <c r="B1406" s="28" t="s">
        <v>1273</v>
      </c>
      <c r="C1406" s="110"/>
      <c r="D1406" s="28" t="s">
        <v>451</v>
      </c>
      <c r="E1406" s="28">
        <v>1.22</v>
      </c>
      <c r="F1406" s="87"/>
      <c r="G1406" s="110">
        <v>14.5</v>
      </c>
      <c r="H1406" s="87">
        <v>1.5</v>
      </c>
      <c r="I1406" s="110">
        <v>45</v>
      </c>
      <c r="J1406" s="135">
        <v>45960</v>
      </c>
      <c r="K1406" s="37">
        <f>+I1406*H1406*G1406*E1406</f>
        <v>1194.075</v>
      </c>
      <c r="L1406" s="37"/>
      <c r="M1406" s="17"/>
      <c r="N1406" s="16"/>
      <c r="O1406" s="16"/>
    </row>
    <row r="1407" spans="1:16" ht="18" customHeight="1">
      <c r="A1407" s="21" t="s">
        <v>1745</v>
      </c>
      <c r="B1407" s="93" t="s">
        <v>1269</v>
      </c>
      <c r="C1407" s="93" t="s">
        <v>1268</v>
      </c>
      <c r="D1407" s="28" t="s">
        <v>451</v>
      </c>
      <c r="E1407" s="28">
        <v>1.22</v>
      </c>
      <c r="F1407" s="28"/>
      <c r="G1407" s="28">
        <v>22</v>
      </c>
      <c r="H1407" s="28">
        <v>1.6</v>
      </c>
      <c r="I1407" s="28">
        <v>41</v>
      </c>
      <c r="J1407" s="133">
        <v>45545</v>
      </c>
      <c r="K1407" s="13">
        <f>+E1407*G1407*H1407*I1407</f>
        <v>1760.7040000000002</v>
      </c>
      <c r="L1407" s="33"/>
      <c r="M1407" s="9"/>
      <c r="N1407" s="9">
        <f>G1407*H1407*I1407*E1407</f>
        <v>1760.704</v>
      </c>
      <c r="O1407" s="3">
        <f>K1407*1.6667</f>
        <v>2934.5653568000002</v>
      </c>
    </row>
    <row r="1408" spans="1:16" ht="18" customHeight="1">
      <c r="A1408" s="24" t="s">
        <v>1913</v>
      </c>
      <c r="B1408" s="28" t="s">
        <v>1017</v>
      </c>
      <c r="C1408" s="28" t="s">
        <v>1913</v>
      </c>
      <c r="D1408" s="28" t="s">
        <v>451</v>
      </c>
      <c r="E1408" s="78">
        <v>1.22</v>
      </c>
      <c r="F1408" s="78"/>
      <c r="G1408" s="78">
        <v>28</v>
      </c>
      <c r="H1408" s="78">
        <v>1.6</v>
      </c>
      <c r="I1408" s="78">
        <v>45</v>
      </c>
      <c r="J1408" s="140">
        <v>45981</v>
      </c>
      <c r="K1408" s="9">
        <f>+E1408*G1408*H1408*I1408</f>
        <v>2459.52</v>
      </c>
      <c r="L1408" s="13"/>
      <c r="M1408" s="13"/>
      <c r="N1408" s="13">
        <f>G1408*H1408*I1408*E1408</f>
        <v>2459.5200000000004</v>
      </c>
      <c r="O1408" s="15">
        <f>K1408*1.6667</f>
        <v>4099.2819840000002</v>
      </c>
    </row>
    <row r="1409" spans="1:15" ht="18" customHeight="1">
      <c r="A1409" s="21" t="s">
        <v>1241</v>
      </c>
      <c r="B1409" s="96" t="s">
        <v>1017</v>
      </c>
      <c r="C1409" s="96" t="s">
        <v>1241</v>
      </c>
      <c r="D1409" s="28" t="s">
        <v>451</v>
      </c>
      <c r="E1409" s="28">
        <v>1.22</v>
      </c>
      <c r="F1409" s="28">
        <v>1273</v>
      </c>
      <c r="G1409" s="28"/>
      <c r="H1409" s="28">
        <v>1.6</v>
      </c>
      <c r="I1409" s="28"/>
      <c r="J1409" s="140">
        <v>43990</v>
      </c>
      <c r="K1409" s="12">
        <f>E1409*F1409*H1409</f>
        <v>2484.8960000000002</v>
      </c>
      <c r="L1409" s="12"/>
      <c r="M1409" s="9"/>
      <c r="N1409" s="9">
        <f>G1409*H1409*I1409*E1409</f>
        <v>0</v>
      </c>
      <c r="O1409" s="3">
        <f>K1409*1.6667</f>
        <v>4141.5761632000003</v>
      </c>
    </row>
    <row r="1410" spans="1:15" ht="18" customHeight="1">
      <c r="A1410" s="24" t="s">
        <v>1135</v>
      </c>
      <c r="B1410" s="28" t="s">
        <v>1017</v>
      </c>
      <c r="C1410" s="28" t="s">
        <v>1135</v>
      </c>
      <c r="D1410" s="28" t="s">
        <v>451</v>
      </c>
      <c r="E1410" s="78">
        <v>1.22</v>
      </c>
      <c r="F1410" s="78">
        <v>1247</v>
      </c>
      <c r="G1410" s="78"/>
      <c r="H1410" s="78">
        <v>1.6</v>
      </c>
      <c r="I1410" s="78"/>
      <c r="J1410" s="133">
        <v>45981</v>
      </c>
      <c r="K1410" s="13">
        <f>E1410*F1410*H1410</f>
        <v>2434.1439999999998</v>
      </c>
      <c r="L1410" s="13"/>
      <c r="M1410" s="13"/>
      <c r="N1410" s="13">
        <f>G1410*H1410*I1410*E1410</f>
        <v>0</v>
      </c>
      <c r="O1410" s="15">
        <f>K1410*1.6667</f>
        <v>4056.9878047999996</v>
      </c>
    </row>
    <row r="1411" spans="1:15" ht="18" customHeight="1">
      <c r="A1411" s="21" t="s">
        <v>3737</v>
      </c>
      <c r="B1411" s="85" t="s">
        <v>1269</v>
      </c>
      <c r="C1411" s="120"/>
      <c r="D1411" s="110" t="s">
        <v>451</v>
      </c>
      <c r="E1411" s="87">
        <v>1.22</v>
      </c>
      <c r="F1411" s="87"/>
      <c r="G1411" s="110">
        <v>72</v>
      </c>
      <c r="H1411" s="87">
        <v>1.6</v>
      </c>
      <c r="I1411" s="110">
        <v>41</v>
      </c>
      <c r="J1411" s="135">
        <v>45545</v>
      </c>
      <c r="K1411" s="13">
        <f>+E1411*G1411*H1411*I1411</f>
        <v>5762.3040000000001</v>
      </c>
      <c r="L1411" s="63"/>
      <c r="M1411" s="17"/>
      <c r="N1411" s="16"/>
      <c r="O1411" s="16"/>
    </row>
    <row r="1412" spans="1:15" ht="18" customHeight="1">
      <c r="A1412" s="21" t="s">
        <v>3738</v>
      </c>
      <c r="B1412" s="28" t="s">
        <v>1269</v>
      </c>
      <c r="C1412" s="110"/>
      <c r="D1412" s="110" t="s">
        <v>451</v>
      </c>
      <c r="E1412" s="87">
        <v>1.22</v>
      </c>
      <c r="F1412" s="87"/>
      <c r="G1412" s="110">
        <v>75</v>
      </c>
      <c r="H1412" s="87">
        <v>1.6</v>
      </c>
      <c r="I1412" s="110">
        <v>41</v>
      </c>
      <c r="J1412" s="135">
        <v>45545</v>
      </c>
      <c r="K1412" s="13">
        <f>+E1412*G1412*H1412*I1412</f>
        <v>6002.4000000000005</v>
      </c>
      <c r="L1412" s="37"/>
      <c r="M1412" s="17"/>
      <c r="N1412" s="16"/>
      <c r="O1412" s="16"/>
    </row>
    <row r="1413" spans="1:15" ht="18" customHeight="1">
      <c r="A1413" s="21" t="s">
        <v>3739</v>
      </c>
      <c r="B1413" s="28" t="s">
        <v>1269</v>
      </c>
      <c r="C1413" s="110"/>
      <c r="D1413" s="110" t="s">
        <v>451</v>
      </c>
      <c r="E1413" s="87">
        <v>1.22</v>
      </c>
      <c r="F1413" s="87"/>
      <c r="G1413" s="110">
        <v>51</v>
      </c>
      <c r="H1413" s="87">
        <v>1.6</v>
      </c>
      <c r="I1413" s="110">
        <v>41</v>
      </c>
      <c r="J1413" s="135">
        <v>45545</v>
      </c>
      <c r="K1413" s="9">
        <f>+E1413*G1413*H1413*I1413</f>
        <v>4081.6320000000001</v>
      </c>
      <c r="L1413" s="37"/>
      <c r="M1413" s="17"/>
      <c r="N1413" s="16"/>
      <c r="O1413" s="16"/>
    </row>
    <row r="1414" spans="1:15" ht="18" customHeight="1">
      <c r="A1414" s="21" t="s">
        <v>4003</v>
      </c>
      <c r="B1414" s="28" t="s">
        <v>1269</v>
      </c>
      <c r="C1414" s="21" t="s">
        <v>4003</v>
      </c>
      <c r="D1414" s="110" t="s">
        <v>451</v>
      </c>
      <c r="E1414" s="87">
        <v>1.22</v>
      </c>
      <c r="F1414" s="87">
        <v>22</v>
      </c>
      <c r="G1414" s="110"/>
      <c r="H1414" s="87">
        <v>1.6</v>
      </c>
      <c r="I1414" s="110">
        <v>45</v>
      </c>
      <c r="J1414" s="135">
        <v>45653</v>
      </c>
      <c r="K1414" s="9">
        <f>+E1414*F1414*H1414*I1414</f>
        <v>1932.48</v>
      </c>
      <c r="L1414" s="37"/>
      <c r="M1414" s="17"/>
      <c r="N1414" s="16"/>
      <c r="O1414" s="16"/>
    </row>
    <row r="1415" spans="1:15" ht="18" customHeight="1">
      <c r="A1415" s="21" t="s">
        <v>4361</v>
      </c>
      <c r="B1415" s="28" t="s">
        <v>1017</v>
      </c>
      <c r="C1415" s="21" t="s">
        <v>4361</v>
      </c>
      <c r="D1415" s="28" t="s">
        <v>451</v>
      </c>
      <c r="E1415" s="28">
        <v>1.22</v>
      </c>
      <c r="F1415" s="87"/>
      <c r="G1415" s="110">
        <v>41</v>
      </c>
      <c r="H1415" s="28">
        <v>1.6</v>
      </c>
      <c r="I1415" s="28">
        <v>45</v>
      </c>
      <c r="J1415" s="133">
        <v>45960</v>
      </c>
      <c r="K1415" s="9">
        <f>+E1415*G1415*H1415*I1415</f>
        <v>3601.44</v>
      </c>
      <c r="L1415" s="37"/>
      <c r="M1415" s="17"/>
      <c r="N1415" s="16"/>
      <c r="O1415" s="16"/>
    </row>
    <row r="1416" spans="1:15" ht="18" customHeight="1">
      <c r="A1416" s="21" t="s">
        <v>1346</v>
      </c>
      <c r="B1416" s="28" t="s">
        <v>1347</v>
      </c>
      <c r="C1416" s="28" t="s">
        <v>1360</v>
      </c>
      <c r="D1416" s="28" t="s">
        <v>451</v>
      </c>
      <c r="E1416" s="28">
        <v>1.22</v>
      </c>
      <c r="F1416" s="28">
        <v>836</v>
      </c>
      <c r="G1416" s="28"/>
      <c r="H1416" s="28">
        <v>1.5</v>
      </c>
      <c r="I1416" s="28"/>
      <c r="J1416" s="131">
        <v>44062</v>
      </c>
      <c r="K1416" s="9">
        <f t="shared" ref="K1416:K1433" si="91">E1416*F1416*H1416</f>
        <v>1529.8799999999999</v>
      </c>
      <c r="L1416" s="9"/>
      <c r="M1416" s="9"/>
      <c r="N1416" s="9">
        <f>G1416*H1416*I1416*E1416</f>
        <v>0</v>
      </c>
      <c r="O1416" s="3">
        <f>K1416*1.6667</f>
        <v>2549.8509960000001</v>
      </c>
    </row>
    <row r="1417" spans="1:15" ht="18" customHeight="1">
      <c r="A1417" s="32" t="s">
        <v>1348</v>
      </c>
      <c r="B1417" s="93" t="s">
        <v>1347</v>
      </c>
      <c r="C1417" s="93" t="s">
        <v>1361</v>
      </c>
      <c r="D1417" s="93" t="s">
        <v>451</v>
      </c>
      <c r="E1417" s="93">
        <v>1.22</v>
      </c>
      <c r="F1417" s="93">
        <v>1232</v>
      </c>
      <c r="G1417" s="93">
        <v>28</v>
      </c>
      <c r="H1417" s="93">
        <v>1.5</v>
      </c>
      <c r="I1417" s="93">
        <v>45</v>
      </c>
      <c r="J1417" s="133">
        <v>44062</v>
      </c>
      <c r="K1417" s="33">
        <f t="shared" si="91"/>
        <v>2254.56</v>
      </c>
      <c r="L1417" s="33"/>
      <c r="M1417" s="33"/>
      <c r="N1417" s="33">
        <f>G1417*H1417*I1417*E1417</f>
        <v>2305.7999999999997</v>
      </c>
      <c r="O1417" s="34">
        <f>K1417*1.6667</f>
        <v>3757.6751520000003</v>
      </c>
    </row>
    <row r="1418" spans="1:15" ht="18" customHeight="1">
      <c r="A1418" s="21" t="s">
        <v>1349</v>
      </c>
      <c r="B1418" s="28" t="s">
        <v>1347</v>
      </c>
      <c r="C1418" s="28" t="s">
        <v>1362</v>
      </c>
      <c r="D1418" s="28" t="s">
        <v>451</v>
      </c>
      <c r="E1418" s="28">
        <v>1.22</v>
      </c>
      <c r="F1418" s="28">
        <v>1934</v>
      </c>
      <c r="G1418" s="28"/>
      <c r="H1418" s="28">
        <v>1.6</v>
      </c>
      <c r="I1418" s="28"/>
      <c r="J1418" s="133">
        <v>45179</v>
      </c>
      <c r="K1418" s="9">
        <f t="shared" si="91"/>
        <v>3775.1680000000001</v>
      </c>
      <c r="L1418" s="9"/>
      <c r="M1418" s="9"/>
      <c r="N1418" s="9">
        <f>G1418*H1418*I1418*E1418</f>
        <v>0</v>
      </c>
      <c r="O1418" s="3">
        <f>K1418*1.6667</f>
        <v>6292.0725056000001</v>
      </c>
    </row>
    <row r="1419" spans="1:15" ht="18" customHeight="1">
      <c r="A1419" s="20" t="s">
        <v>3289</v>
      </c>
      <c r="B1419" s="85" t="s">
        <v>1347</v>
      </c>
      <c r="C1419" s="120"/>
      <c r="D1419" s="120" t="s">
        <v>451</v>
      </c>
      <c r="E1419" s="162">
        <v>1.22</v>
      </c>
      <c r="F1419" s="162">
        <v>800</v>
      </c>
      <c r="G1419" s="120"/>
      <c r="H1419" s="162">
        <v>1.6</v>
      </c>
      <c r="I1419" s="120"/>
      <c r="J1419" s="142">
        <v>45287</v>
      </c>
      <c r="K1419" s="63">
        <f t="shared" si="91"/>
        <v>1561.6000000000001</v>
      </c>
      <c r="L1419" s="63"/>
      <c r="M1419" s="56"/>
      <c r="N1419" s="156"/>
      <c r="O1419" s="156"/>
    </row>
    <row r="1420" spans="1:15" ht="18" customHeight="1">
      <c r="A1420" s="16">
        <v>100199</v>
      </c>
      <c r="B1420" s="87" t="s">
        <v>4464</v>
      </c>
      <c r="C1420" s="87"/>
      <c r="D1420" s="28" t="s">
        <v>1859</v>
      </c>
      <c r="E1420" s="28">
        <v>1.22</v>
      </c>
      <c r="F1420" s="87">
        <v>153</v>
      </c>
      <c r="G1420" s="110"/>
      <c r="H1420" s="28">
        <v>1.7</v>
      </c>
      <c r="I1420" s="110"/>
      <c r="J1420" s="135">
        <v>45965</v>
      </c>
      <c r="K1420" s="9">
        <f t="shared" si="91"/>
        <v>317.322</v>
      </c>
      <c r="L1420" s="9"/>
      <c r="M1420" s="17"/>
      <c r="N1420" s="16"/>
      <c r="O1420" s="16"/>
    </row>
    <row r="1421" spans="1:15" ht="18" customHeight="1">
      <c r="A1421" s="21" t="s">
        <v>1270</v>
      </c>
      <c r="B1421" s="28" t="s">
        <v>1271</v>
      </c>
      <c r="C1421" s="28" t="s">
        <v>1270</v>
      </c>
      <c r="D1421" s="28" t="s">
        <v>451</v>
      </c>
      <c r="E1421" s="28">
        <v>1.22</v>
      </c>
      <c r="F1421" s="28">
        <v>1281</v>
      </c>
      <c r="G1421" s="28"/>
      <c r="H1421" s="28">
        <v>1.6</v>
      </c>
      <c r="I1421" s="28"/>
      <c r="J1421" s="133">
        <v>44323</v>
      </c>
      <c r="K1421" s="9">
        <f t="shared" si="91"/>
        <v>2500.5120000000002</v>
      </c>
      <c r="L1421" s="9"/>
      <c r="M1421" s="9"/>
      <c r="N1421" s="9">
        <f>G1421*H1421*I1421*E1421</f>
        <v>0</v>
      </c>
      <c r="O1421" s="3">
        <f>K1421*1.6667</f>
        <v>4167.6033504000006</v>
      </c>
    </row>
    <row r="1422" spans="1:15" ht="18" hidden="1" customHeight="1">
      <c r="A1422" s="24"/>
      <c r="B1422" s="96" t="s">
        <v>555</v>
      </c>
      <c r="C1422" s="96" t="s">
        <v>298</v>
      </c>
      <c r="D1422" s="28" t="s">
        <v>451</v>
      </c>
      <c r="E1422" s="96">
        <v>1.22</v>
      </c>
      <c r="F1422" s="96">
        <v>149</v>
      </c>
      <c r="G1422" s="78"/>
      <c r="H1422" s="96">
        <v>1.6</v>
      </c>
      <c r="I1422" s="78"/>
      <c r="J1422" s="140">
        <v>42991</v>
      </c>
      <c r="K1422" s="9">
        <f t="shared" si="91"/>
        <v>290.84800000000001</v>
      </c>
      <c r="L1422" s="12"/>
      <c r="M1422" s="12"/>
      <c r="N1422" s="12">
        <f>G1422*H1422*I1422*E1422</f>
        <v>0</v>
      </c>
      <c r="O1422" s="15">
        <f>K1422*1.6667</f>
        <v>484.75636160000005</v>
      </c>
    </row>
    <row r="1423" spans="1:15" ht="18" hidden="1" customHeight="1">
      <c r="A1423" s="24"/>
      <c r="B1423" s="96" t="s">
        <v>555</v>
      </c>
      <c r="C1423" s="96" t="s">
        <v>298</v>
      </c>
      <c r="D1423" s="28" t="s">
        <v>451</v>
      </c>
      <c r="E1423" s="96">
        <v>1.22</v>
      </c>
      <c r="F1423" s="96">
        <v>149</v>
      </c>
      <c r="G1423" s="78"/>
      <c r="H1423" s="96">
        <v>1.6</v>
      </c>
      <c r="I1423" s="78"/>
      <c r="J1423" s="140">
        <v>42991</v>
      </c>
      <c r="K1423" s="13">
        <f t="shared" si="91"/>
        <v>290.84800000000001</v>
      </c>
      <c r="L1423" s="13"/>
      <c r="M1423" s="13"/>
      <c r="N1423" s="12">
        <f>G1423*H1423*I1423*E1423</f>
        <v>0</v>
      </c>
      <c r="O1423" s="15">
        <f>K1423*1.6667</f>
        <v>484.75636160000005</v>
      </c>
    </row>
    <row r="1424" spans="1:15" ht="18" hidden="1" customHeight="1">
      <c r="A1424" s="24"/>
      <c r="B1424" s="96" t="s">
        <v>555</v>
      </c>
      <c r="C1424" s="96" t="s">
        <v>556</v>
      </c>
      <c r="D1424" s="28" t="s">
        <v>451</v>
      </c>
      <c r="E1424" s="96">
        <v>1.22</v>
      </c>
      <c r="F1424" s="96">
        <v>59</v>
      </c>
      <c r="G1424" s="78"/>
      <c r="H1424" s="96">
        <v>1.6</v>
      </c>
      <c r="I1424" s="78"/>
      <c r="J1424" s="133">
        <v>42991</v>
      </c>
      <c r="K1424" s="13">
        <f t="shared" si="91"/>
        <v>115.16800000000001</v>
      </c>
      <c r="L1424" s="13"/>
      <c r="M1424" s="13"/>
      <c r="N1424" s="12">
        <f>G1424*H1424*I1424*E1424</f>
        <v>0</v>
      </c>
      <c r="O1424" s="15">
        <f>K1424*1.6667</f>
        <v>191.95050560000001</v>
      </c>
    </row>
    <row r="1425" spans="1:15" ht="18" hidden="1" customHeight="1">
      <c r="A1425" s="24"/>
      <c r="B1425" s="96" t="s">
        <v>555</v>
      </c>
      <c r="C1425" s="96" t="s">
        <v>141</v>
      </c>
      <c r="D1425" s="28" t="s">
        <v>451</v>
      </c>
      <c r="E1425" s="28">
        <v>1.22</v>
      </c>
      <c r="F1425" s="96">
        <v>134</v>
      </c>
      <c r="G1425" s="78"/>
      <c r="H1425" s="96">
        <v>1.6</v>
      </c>
      <c r="I1425" s="78"/>
      <c r="J1425" s="140">
        <v>42991</v>
      </c>
      <c r="K1425" s="13">
        <f t="shared" si="91"/>
        <v>261.56799999999998</v>
      </c>
      <c r="L1425" s="13"/>
      <c r="M1425" s="13"/>
      <c r="N1425" s="13">
        <f>G1425*H1425*I1425*E1425</f>
        <v>0</v>
      </c>
      <c r="O1425" s="15">
        <f>K1425*1.6667</f>
        <v>435.9553856</v>
      </c>
    </row>
    <row r="1426" spans="1:15" ht="18" customHeight="1">
      <c r="A1426" s="24"/>
      <c r="B1426" s="96" t="s">
        <v>3454</v>
      </c>
      <c r="C1426" s="96">
        <v>25</v>
      </c>
      <c r="D1426" s="28" t="s">
        <v>451</v>
      </c>
      <c r="E1426" s="28">
        <v>1.22</v>
      </c>
      <c r="F1426" s="96">
        <v>125</v>
      </c>
      <c r="G1426" s="78"/>
      <c r="H1426" s="96">
        <v>1.6</v>
      </c>
      <c r="I1426" s="78"/>
      <c r="J1426" s="140">
        <v>45545</v>
      </c>
      <c r="K1426" s="13">
        <f t="shared" si="91"/>
        <v>244</v>
      </c>
      <c r="L1426" s="13"/>
      <c r="M1426" s="13"/>
      <c r="N1426" s="13"/>
      <c r="O1426" s="15"/>
    </row>
    <row r="1427" spans="1:15" ht="18" customHeight="1">
      <c r="A1427" s="38"/>
      <c r="B1427" s="96" t="s">
        <v>3454</v>
      </c>
      <c r="C1427" s="121">
        <v>20</v>
      </c>
      <c r="D1427" s="28" t="s">
        <v>451</v>
      </c>
      <c r="E1427" s="93">
        <v>1.22</v>
      </c>
      <c r="F1427" s="101">
        <v>100</v>
      </c>
      <c r="G1427" s="121"/>
      <c r="H1427" s="96">
        <v>1.6</v>
      </c>
      <c r="I1427" s="110"/>
      <c r="J1427" s="140">
        <v>45545</v>
      </c>
      <c r="K1427" s="13">
        <f t="shared" si="91"/>
        <v>195.20000000000002</v>
      </c>
      <c r="L1427" s="64"/>
      <c r="M1427" s="41"/>
      <c r="N1427" s="38"/>
      <c r="O1427" s="38"/>
    </row>
    <row r="1428" spans="1:15" ht="18" customHeight="1">
      <c r="A1428" s="16"/>
      <c r="B1428" s="28" t="s">
        <v>3454</v>
      </c>
      <c r="C1428" s="110">
        <v>16</v>
      </c>
      <c r="D1428" s="28" t="s">
        <v>451</v>
      </c>
      <c r="E1428" s="28">
        <v>1.22</v>
      </c>
      <c r="F1428" s="87">
        <v>69</v>
      </c>
      <c r="G1428" s="110"/>
      <c r="H1428" s="28">
        <v>1.6</v>
      </c>
      <c r="I1428" s="110"/>
      <c r="J1428" s="133">
        <v>45545</v>
      </c>
      <c r="K1428" s="9">
        <f t="shared" si="91"/>
        <v>134.68799999999999</v>
      </c>
      <c r="L1428" s="64"/>
      <c r="M1428" s="41"/>
      <c r="N1428" s="38"/>
      <c r="O1428" s="38"/>
    </row>
    <row r="1429" spans="1:15" ht="18" customHeight="1">
      <c r="A1429" s="16"/>
      <c r="B1429" s="28" t="s">
        <v>3454</v>
      </c>
      <c r="C1429" s="110">
        <v>23</v>
      </c>
      <c r="D1429" s="28" t="s">
        <v>451</v>
      </c>
      <c r="E1429" s="28">
        <v>1.22</v>
      </c>
      <c r="F1429" s="87">
        <v>115</v>
      </c>
      <c r="G1429" s="110"/>
      <c r="H1429" s="87">
        <v>1.6</v>
      </c>
      <c r="I1429" s="110"/>
      <c r="J1429" s="135">
        <v>45814</v>
      </c>
      <c r="K1429" s="37">
        <f t="shared" si="91"/>
        <v>224.48</v>
      </c>
      <c r="L1429" s="64"/>
      <c r="M1429" s="41"/>
      <c r="N1429" s="38"/>
      <c r="O1429" s="38"/>
    </row>
    <row r="1430" spans="1:15" ht="18" customHeight="1">
      <c r="A1430" s="16"/>
      <c r="B1430" s="28" t="s">
        <v>3454</v>
      </c>
      <c r="C1430" s="110">
        <v>8</v>
      </c>
      <c r="D1430" s="28" t="s">
        <v>451</v>
      </c>
      <c r="E1430" s="28">
        <v>1.22</v>
      </c>
      <c r="F1430" s="87">
        <v>24</v>
      </c>
      <c r="G1430" s="110"/>
      <c r="H1430" s="87">
        <v>1.8</v>
      </c>
      <c r="I1430" s="110"/>
      <c r="J1430" s="135">
        <v>45909</v>
      </c>
      <c r="K1430" s="37">
        <f t="shared" si="91"/>
        <v>52.704000000000001</v>
      </c>
      <c r="L1430" s="64"/>
      <c r="M1430" s="41"/>
      <c r="N1430" s="38"/>
      <c r="O1430" s="38"/>
    </row>
    <row r="1431" spans="1:15" ht="18" customHeight="1">
      <c r="A1431" s="16"/>
      <c r="B1431" s="28" t="s">
        <v>3454</v>
      </c>
      <c r="C1431" s="110">
        <v>10</v>
      </c>
      <c r="D1431" s="28" t="s">
        <v>451</v>
      </c>
      <c r="E1431" s="28">
        <v>1.22</v>
      </c>
      <c r="F1431" s="87">
        <v>31</v>
      </c>
      <c r="G1431" s="110"/>
      <c r="H1431" s="87">
        <v>1.8</v>
      </c>
      <c r="I1431" s="110"/>
      <c r="J1431" s="135">
        <v>45909</v>
      </c>
      <c r="K1431" s="37">
        <f t="shared" si="91"/>
        <v>68.076000000000008</v>
      </c>
      <c r="L1431" s="64"/>
      <c r="M1431" s="41"/>
      <c r="N1431" s="38"/>
      <c r="O1431" s="38"/>
    </row>
    <row r="1432" spans="1:15" ht="18" customHeight="1">
      <c r="A1432" s="38"/>
      <c r="B1432" s="78" t="s">
        <v>3454</v>
      </c>
      <c r="C1432" s="121">
        <v>12</v>
      </c>
      <c r="D1432" s="28" t="s">
        <v>451</v>
      </c>
      <c r="E1432" s="28">
        <v>1.22</v>
      </c>
      <c r="F1432" s="103">
        <v>44</v>
      </c>
      <c r="G1432" s="121"/>
      <c r="H1432" s="103">
        <v>1.8</v>
      </c>
      <c r="I1432" s="121"/>
      <c r="J1432" s="142">
        <v>45909</v>
      </c>
      <c r="K1432" s="37">
        <f t="shared" si="91"/>
        <v>96.623999999999995</v>
      </c>
      <c r="L1432" s="64"/>
      <c r="M1432" s="41"/>
      <c r="N1432" s="38"/>
      <c r="O1432" s="16"/>
    </row>
    <row r="1433" spans="1:15" ht="18" customHeight="1">
      <c r="A1433" s="38"/>
      <c r="B1433" s="96" t="s">
        <v>3454</v>
      </c>
      <c r="C1433" s="122">
        <v>14</v>
      </c>
      <c r="D1433" s="93" t="s">
        <v>451</v>
      </c>
      <c r="E1433" s="96">
        <v>1.22</v>
      </c>
      <c r="F1433" s="101">
        <v>56</v>
      </c>
      <c r="G1433" s="121"/>
      <c r="H1433" s="101">
        <v>1.8</v>
      </c>
      <c r="I1433" s="121"/>
      <c r="J1433" s="302">
        <v>45909</v>
      </c>
      <c r="K1433" s="64">
        <f t="shared" si="91"/>
        <v>122.97599999999998</v>
      </c>
      <c r="L1433" s="64"/>
      <c r="M1433" s="41"/>
      <c r="N1433" s="38"/>
      <c r="O1433" s="38"/>
    </row>
    <row r="1434" spans="1:15" ht="18" customHeight="1">
      <c r="A1434" s="16"/>
      <c r="B1434" s="28" t="s">
        <v>3454</v>
      </c>
      <c r="C1434" s="110">
        <v>18</v>
      </c>
      <c r="D1434" s="28" t="s">
        <v>451</v>
      </c>
      <c r="E1434" s="28">
        <v>1.22</v>
      </c>
      <c r="F1434" s="87">
        <v>81</v>
      </c>
      <c r="G1434" s="110"/>
      <c r="H1434" s="87">
        <v>1.8</v>
      </c>
      <c r="I1434" s="110"/>
      <c r="J1434" s="135">
        <v>45909</v>
      </c>
      <c r="K1434" s="37">
        <f>+H1434*F1434</f>
        <v>145.80000000000001</v>
      </c>
      <c r="L1434" s="37"/>
      <c r="M1434" s="17"/>
      <c r="N1434" s="16"/>
      <c r="O1434" s="16"/>
    </row>
    <row r="1435" spans="1:15" ht="18" customHeight="1">
      <c r="A1435" s="24"/>
      <c r="B1435" s="78" t="s">
        <v>1460</v>
      </c>
      <c r="C1435" s="78">
        <v>12</v>
      </c>
      <c r="D1435" s="85" t="s">
        <v>451</v>
      </c>
      <c r="E1435" s="78">
        <v>1.22</v>
      </c>
      <c r="F1435" s="78">
        <v>20</v>
      </c>
      <c r="G1435" s="78"/>
      <c r="H1435" s="78">
        <v>1.5</v>
      </c>
      <c r="I1435" s="85"/>
      <c r="J1435" s="131">
        <v>44323</v>
      </c>
      <c r="K1435" s="10">
        <f t="shared" ref="K1435:K1442" si="92">E1435*F1435*H1435</f>
        <v>36.599999999999994</v>
      </c>
      <c r="L1435" s="13"/>
      <c r="M1435" s="13"/>
      <c r="N1435" s="13">
        <f>G1435*H1435*I1435*E1435</f>
        <v>0</v>
      </c>
      <c r="O1435" s="15"/>
    </row>
    <row r="1436" spans="1:15" ht="18" customHeight="1">
      <c r="A1436" s="21"/>
      <c r="B1436" s="96" t="s">
        <v>1460</v>
      </c>
      <c r="C1436" s="78">
        <v>15</v>
      </c>
      <c r="D1436" s="28" t="s">
        <v>451</v>
      </c>
      <c r="E1436" s="96">
        <v>1.22</v>
      </c>
      <c r="F1436" s="96">
        <v>26</v>
      </c>
      <c r="G1436" s="78"/>
      <c r="H1436" s="96">
        <v>1.5</v>
      </c>
      <c r="I1436" s="78"/>
      <c r="J1436" s="131">
        <v>44789</v>
      </c>
      <c r="K1436" s="9">
        <f t="shared" si="92"/>
        <v>47.58</v>
      </c>
      <c r="L1436" s="13"/>
      <c r="M1436" s="13"/>
      <c r="N1436" s="13">
        <f>G1436*H1436*I1436*E1436</f>
        <v>0</v>
      </c>
      <c r="O1436" s="15"/>
    </row>
    <row r="1437" spans="1:15" ht="18" customHeight="1">
      <c r="A1437" s="21"/>
      <c r="B1437" s="28" t="s">
        <v>1460</v>
      </c>
      <c r="C1437" s="28">
        <v>17</v>
      </c>
      <c r="D1437" s="28" t="s">
        <v>451</v>
      </c>
      <c r="E1437" s="96">
        <v>1.22</v>
      </c>
      <c r="F1437" s="28">
        <v>30</v>
      </c>
      <c r="G1437" s="28"/>
      <c r="H1437" s="28">
        <v>1.6</v>
      </c>
      <c r="I1437" s="28"/>
      <c r="J1437" s="131">
        <v>44789</v>
      </c>
      <c r="K1437" s="9">
        <f t="shared" si="92"/>
        <v>58.56</v>
      </c>
      <c r="L1437" s="9"/>
      <c r="M1437" s="9"/>
      <c r="N1437" s="9">
        <f>G1437*H1437*I1437*E1437</f>
        <v>0</v>
      </c>
      <c r="O1437" s="3"/>
    </row>
    <row r="1438" spans="1:15" ht="18" customHeight="1">
      <c r="A1438" s="21"/>
      <c r="B1438" s="28" t="s">
        <v>1460</v>
      </c>
      <c r="C1438" s="28">
        <v>20</v>
      </c>
      <c r="D1438" s="28" t="s">
        <v>451</v>
      </c>
      <c r="E1438" s="96">
        <v>1.22</v>
      </c>
      <c r="F1438" s="28">
        <v>45</v>
      </c>
      <c r="G1438" s="28"/>
      <c r="H1438" s="28">
        <v>1.6</v>
      </c>
      <c r="I1438" s="28"/>
      <c r="J1438" s="133">
        <v>44690</v>
      </c>
      <c r="K1438" s="9">
        <f t="shared" si="92"/>
        <v>87.84</v>
      </c>
      <c r="L1438" s="9"/>
      <c r="M1438" s="9"/>
      <c r="N1438" s="9">
        <f>G1438*H1438*I1438*E1438</f>
        <v>0</v>
      </c>
      <c r="O1438" s="3"/>
    </row>
    <row r="1439" spans="1:15" ht="18" customHeight="1">
      <c r="A1439" s="16"/>
      <c r="B1439" s="87" t="s">
        <v>3469</v>
      </c>
      <c r="C1439" s="110" t="s">
        <v>3470</v>
      </c>
      <c r="D1439" s="110" t="s">
        <v>3471</v>
      </c>
      <c r="E1439" s="101">
        <v>1.22</v>
      </c>
      <c r="F1439" s="87">
        <v>647.54</v>
      </c>
      <c r="G1439" s="110"/>
      <c r="H1439" s="87">
        <v>1.4</v>
      </c>
      <c r="I1439" s="110"/>
      <c r="J1439" s="135">
        <v>45404</v>
      </c>
      <c r="K1439" s="9">
        <f t="shared" si="92"/>
        <v>1105.9983199999999</v>
      </c>
      <c r="L1439" s="37"/>
      <c r="M1439" s="17"/>
      <c r="N1439" s="16"/>
      <c r="O1439" s="16"/>
    </row>
    <row r="1440" spans="1:15" ht="18" customHeight="1">
      <c r="A1440" s="46" t="s">
        <v>1961</v>
      </c>
      <c r="B1440" s="83" t="s">
        <v>1873</v>
      </c>
      <c r="C1440" s="79" t="s">
        <v>1948</v>
      </c>
      <c r="D1440" s="28" t="s">
        <v>1921</v>
      </c>
      <c r="E1440" s="96">
        <v>1.22</v>
      </c>
      <c r="F1440" s="83">
        <v>209</v>
      </c>
      <c r="G1440" s="110"/>
      <c r="H1440" s="28">
        <v>1.5</v>
      </c>
      <c r="I1440" s="110"/>
      <c r="J1440" s="134">
        <v>46009</v>
      </c>
      <c r="K1440" s="35">
        <f t="shared" si="92"/>
        <v>382.46999999999997</v>
      </c>
      <c r="L1440" s="35"/>
      <c r="M1440" s="17"/>
      <c r="N1440" s="16"/>
      <c r="O1440" s="16"/>
    </row>
    <row r="1441" spans="1:15" ht="18" customHeight="1">
      <c r="A1441" s="21">
        <v>100161</v>
      </c>
      <c r="B1441" s="28" t="s">
        <v>4095</v>
      </c>
      <c r="C1441" s="28" t="s">
        <v>3099</v>
      </c>
      <c r="D1441" s="28" t="s">
        <v>1859</v>
      </c>
      <c r="E1441" s="28">
        <v>1.22</v>
      </c>
      <c r="F1441" s="28">
        <v>7</v>
      </c>
      <c r="G1441" s="28"/>
      <c r="H1441" s="28">
        <v>1.7</v>
      </c>
      <c r="I1441" s="28"/>
      <c r="J1441" s="133">
        <v>45714</v>
      </c>
      <c r="K1441" s="13">
        <f t="shared" si="92"/>
        <v>14.517999999999999</v>
      </c>
      <c r="L1441" s="13"/>
      <c r="M1441" s="9"/>
      <c r="N1441" s="9">
        <f>G1441*H1441*I1441*E1441</f>
        <v>0</v>
      </c>
      <c r="O1441" s="3">
        <f>K1441*1.6667</f>
        <v>24.197150600000001</v>
      </c>
    </row>
    <row r="1442" spans="1:15" ht="18" customHeight="1">
      <c r="A1442" s="22">
        <v>100161</v>
      </c>
      <c r="B1442" s="80" t="s">
        <v>4095</v>
      </c>
      <c r="C1442" s="28" t="s">
        <v>542</v>
      </c>
      <c r="D1442" s="28" t="s">
        <v>1859</v>
      </c>
      <c r="E1442" s="28">
        <v>1.22</v>
      </c>
      <c r="F1442" s="28">
        <v>18.37</v>
      </c>
      <c r="G1442" s="28"/>
      <c r="H1442" s="28">
        <v>1.7</v>
      </c>
      <c r="I1442" s="28"/>
      <c r="J1442" s="133">
        <v>45714</v>
      </c>
      <c r="K1442" s="9">
        <f t="shared" si="92"/>
        <v>38.099379999999996</v>
      </c>
      <c r="L1442" s="9"/>
      <c r="M1442" s="9"/>
      <c r="N1442" s="9"/>
      <c r="O1442" s="3"/>
    </row>
    <row r="1443" spans="1:15" ht="18" customHeight="1">
      <c r="A1443" s="21">
        <v>100162</v>
      </c>
      <c r="B1443" s="28" t="s">
        <v>4095</v>
      </c>
      <c r="C1443" s="28" t="s">
        <v>4096</v>
      </c>
      <c r="D1443" s="28" t="s">
        <v>1859</v>
      </c>
      <c r="E1443" s="28">
        <v>1.22</v>
      </c>
      <c r="F1443" s="28">
        <v>31.89</v>
      </c>
      <c r="G1443" s="28">
        <v>1</v>
      </c>
      <c r="H1443" s="28">
        <v>1.7</v>
      </c>
      <c r="I1443" s="28"/>
      <c r="J1443" s="133">
        <v>45714</v>
      </c>
      <c r="K1443" s="9">
        <f>E1443*F1443*H1443*G1443</f>
        <v>66.139859999999999</v>
      </c>
      <c r="L1443" s="9"/>
      <c r="M1443" s="9"/>
      <c r="N1443" s="9">
        <f>G1443*H1443*I1443*E1443</f>
        <v>0</v>
      </c>
      <c r="O1443" s="3">
        <f>K1443*1.6667</f>
        <v>110.235304662</v>
      </c>
    </row>
    <row r="1444" spans="1:15" ht="18" customHeight="1">
      <c r="A1444" s="16" t="s">
        <v>1963</v>
      </c>
      <c r="B1444" s="83" t="s">
        <v>1873</v>
      </c>
      <c r="C1444" s="110" t="s">
        <v>1949</v>
      </c>
      <c r="D1444" s="28" t="s">
        <v>1921</v>
      </c>
      <c r="E1444" s="28">
        <v>1.22</v>
      </c>
      <c r="F1444" s="90">
        <v>42</v>
      </c>
      <c r="G1444" s="110"/>
      <c r="H1444" s="28">
        <v>1.4</v>
      </c>
      <c r="I1444" s="110"/>
      <c r="J1444" s="144">
        <v>45960</v>
      </c>
      <c r="K1444" s="35">
        <f t="shared" ref="K1444:K1452" si="93">E1444*F1444*H1444</f>
        <v>71.736000000000004</v>
      </c>
      <c r="L1444" s="35"/>
      <c r="M1444" s="17"/>
      <c r="N1444" s="16"/>
      <c r="O1444" s="16"/>
    </row>
    <row r="1445" spans="1:15" ht="18" hidden="1" customHeight="1">
      <c r="A1445" s="21"/>
      <c r="B1445" s="28" t="s">
        <v>832</v>
      </c>
      <c r="C1445" s="28"/>
      <c r="D1445" s="28" t="s">
        <v>451</v>
      </c>
      <c r="E1445" s="28">
        <v>1.22</v>
      </c>
      <c r="F1445" s="28">
        <v>125</v>
      </c>
      <c r="G1445" s="28"/>
      <c r="H1445" s="28">
        <v>1.6</v>
      </c>
      <c r="I1445" s="28"/>
      <c r="J1445" s="133">
        <v>43213</v>
      </c>
      <c r="K1445" s="9">
        <f t="shared" si="93"/>
        <v>244</v>
      </c>
      <c r="L1445" s="9"/>
      <c r="M1445" s="9"/>
      <c r="N1445" s="9">
        <f t="shared" ref="N1445:N1451" si="94">G1445*H1445*I1445*E1445</f>
        <v>0</v>
      </c>
      <c r="O1445" s="3">
        <f t="shared" ref="O1445:O1451" si="95">K1445*1.6667</f>
        <v>406.6748</v>
      </c>
    </row>
    <row r="1446" spans="1:15" ht="18" customHeight="1">
      <c r="A1446" s="21">
        <v>0</v>
      </c>
      <c r="B1446" s="28" t="s">
        <v>2441</v>
      </c>
      <c r="C1446" s="28">
        <v>14</v>
      </c>
      <c r="D1446" s="28" t="s">
        <v>451</v>
      </c>
      <c r="E1446" s="28">
        <v>1.22</v>
      </c>
      <c r="F1446" s="28">
        <v>38</v>
      </c>
      <c r="G1446" s="28"/>
      <c r="H1446" s="28">
        <v>1.7</v>
      </c>
      <c r="I1446" s="28"/>
      <c r="J1446" s="140">
        <v>45960</v>
      </c>
      <c r="K1446" s="9">
        <f t="shared" si="93"/>
        <v>78.811999999999998</v>
      </c>
      <c r="L1446" s="9"/>
      <c r="M1446" s="9"/>
      <c r="N1446" s="9">
        <f t="shared" si="94"/>
        <v>0</v>
      </c>
      <c r="O1446" s="3">
        <f t="shared" si="95"/>
        <v>131.35596040000001</v>
      </c>
    </row>
    <row r="1447" spans="1:15" ht="18" customHeight="1">
      <c r="A1447" s="21">
        <v>0</v>
      </c>
      <c r="B1447" s="28" t="s">
        <v>2441</v>
      </c>
      <c r="C1447" s="28">
        <v>18</v>
      </c>
      <c r="D1447" s="28" t="s">
        <v>451</v>
      </c>
      <c r="E1447" s="28">
        <v>1.22</v>
      </c>
      <c r="F1447" s="28">
        <v>47</v>
      </c>
      <c r="G1447" s="28">
        <v>0</v>
      </c>
      <c r="H1447" s="28">
        <v>1.7</v>
      </c>
      <c r="I1447" s="28">
        <v>45</v>
      </c>
      <c r="J1447" s="140">
        <v>44628</v>
      </c>
      <c r="K1447" s="9">
        <f t="shared" si="93"/>
        <v>97.477999999999994</v>
      </c>
      <c r="L1447" s="9"/>
      <c r="M1447" s="9"/>
      <c r="N1447" s="9">
        <f t="shared" si="94"/>
        <v>0</v>
      </c>
      <c r="O1447" s="3">
        <f t="shared" si="95"/>
        <v>162.46658260000001</v>
      </c>
    </row>
    <row r="1448" spans="1:15" ht="18" customHeight="1">
      <c r="A1448" s="21"/>
      <c r="B1448" s="28" t="s">
        <v>625</v>
      </c>
      <c r="C1448" s="28" t="s">
        <v>2184</v>
      </c>
      <c r="D1448" s="28" t="s">
        <v>451</v>
      </c>
      <c r="E1448" s="28">
        <v>1.22</v>
      </c>
      <c r="F1448" s="28">
        <v>8</v>
      </c>
      <c r="G1448" s="28"/>
      <c r="H1448" s="28">
        <v>2</v>
      </c>
      <c r="I1448" s="28"/>
      <c r="J1448" s="140">
        <v>44362</v>
      </c>
      <c r="K1448" s="9">
        <f t="shared" si="93"/>
        <v>19.52</v>
      </c>
      <c r="L1448" s="9"/>
      <c r="M1448" s="9"/>
      <c r="N1448" s="9">
        <f t="shared" si="94"/>
        <v>0</v>
      </c>
      <c r="O1448" s="3">
        <f t="shared" si="95"/>
        <v>32.533984000000004</v>
      </c>
    </row>
    <row r="1449" spans="1:15" ht="18" customHeight="1">
      <c r="A1449" s="21"/>
      <c r="B1449" s="28" t="s">
        <v>625</v>
      </c>
      <c r="C1449" s="28" t="s">
        <v>626</v>
      </c>
      <c r="D1449" s="28" t="s">
        <v>451</v>
      </c>
      <c r="E1449" s="28">
        <v>1.22</v>
      </c>
      <c r="F1449" s="28">
        <v>12</v>
      </c>
      <c r="G1449" s="28"/>
      <c r="H1449" s="28">
        <v>2</v>
      </c>
      <c r="I1449" s="28"/>
      <c r="J1449" s="140">
        <v>43990</v>
      </c>
      <c r="K1449" s="13">
        <f t="shared" si="93"/>
        <v>29.28</v>
      </c>
      <c r="L1449" s="9"/>
      <c r="M1449" s="9"/>
      <c r="N1449" s="9">
        <f t="shared" si="94"/>
        <v>0</v>
      </c>
      <c r="O1449" s="3">
        <f t="shared" si="95"/>
        <v>48.800976000000006</v>
      </c>
    </row>
    <row r="1450" spans="1:15" ht="18" customHeight="1">
      <c r="A1450" s="21"/>
      <c r="B1450" s="28" t="s">
        <v>627</v>
      </c>
      <c r="C1450" s="28" t="s">
        <v>2146</v>
      </c>
      <c r="D1450" s="28" t="s">
        <v>451</v>
      </c>
      <c r="E1450" s="28">
        <v>1.22</v>
      </c>
      <c r="F1450" s="28">
        <v>9</v>
      </c>
      <c r="G1450" s="28"/>
      <c r="H1450" s="28">
        <v>2</v>
      </c>
      <c r="I1450" s="28"/>
      <c r="J1450" s="140">
        <v>44323</v>
      </c>
      <c r="K1450" s="13">
        <f t="shared" si="93"/>
        <v>21.96</v>
      </c>
      <c r="L1450" s="9"/>
      <c r="M1450" s="9"/>
      <c r="N1450" s="9">
        <f t="shared" si="94"/>
        <v>0</v>
      </c>
      <c r="O1450" s="3">
        <f t="shared" si="95"/>
        <v>36.600732000000001</v>
      </c>
    </row>
    <row r="1451" spans="1:15" ht="18" customHeight="1">
      <c r="A1451" s="21"/>
      <c r="B1451" s="28" t="s">
        <v>627</v>
      </c>
      <c r="C1451" s="28" t="s">
        <v>302</v>
      </c>
      <c r="D1451" s="28" t="s">
        <v>451</v>
      </c>
      <c r="E1451" s="28">
        <v>1.22</v>
      </c>
      <c r="F1451" s="28">
        <v>9</v>
      </c>
      <c r="G1451" s="28"/>
      <c r="H1451" s="28">
        <v>2</v>
      </c>
      <c r="I1451" s="28"/>
      <c r="J1451" s="140">
        <v>43990</v>
      </c>
      <c r="K1451" s="9">
        <f t="shared" si="93"/>
        <v>21.96</v>
      </c>
      <c r="L1451" s="9"/>
      <c r="M1451" s="9"/>
      <c r="N1451" s="9">
        <f t="shared" si="94"/>
        <v>0</v>
      </c>
      <c r="O1451" s="3">
        <f t="shared" si="95"/>
        <v>36.600732000000001</v>
      </c>
    </row>
    <row r="1452" spans="1:15" ht="18" customHeight="1">
      <c r="A1452" s="48">
        <v>100152</v>
      </c>
      <c r="B1452" s="293" t="s">
        <v>4094</v>
      </c>
      <c r="C1452" s="124">
        <v>1.5</v>
      </c>
      <c r="D1452" s="28" t="s">
        <v>1859</v>
      </c>
      <c r="E1452" s="28">
        <v>1.22</v>
      </c>
      <c r="F1452" s="293">
        <v>48.46</v>
      </c>
      <c r="G1452" s="124"/>
      <c r="H1452" s="28">
        <v>1.7</v>
      </c>
      <c r="I1452" s="124"/>
      <c r="J1452" s="137">
        <v>45714</v>
      </c>
      <c r="K1452" s="13">
        <f t="shared" si="93"/>
        <v>100.50604</v>
      </c>
      <c r="L1452" s="13"/>
      <c r="M1452" s="17"/>
      <c r="N1452" s="48"/>
      <c r="O1452" s="234"/>
    </row>
    <row r="1453" spans="1:15" ht="18" customHeight="1">
      <c r="A1453" s="58"/>
      <c r="B1453" s="99" t="s">
        <v>4357</v>
      </c>
      <c r="C1453" s="125"/>
      <c r="D1453" s="79"/>
      <c r="E1453" s="80"/>
      <c r="F1453" s="99"/>
      <c r="G1453" s="125"/>
      <c r="H1453" s="80"/>
      <c r="I1453" s="125"/>
      <c r="J1453" s="80"/>
      <c r="K1453" s="50"/>
      <c r="L1453" s="64"/>
      <c r="M1453" s="17"/>
      <c r="N1453" s="38"/>
      <c r="O1453" s="39"/>
    </row>
    <row r="1454" spans="1:15" ht="18" customHeight="1">
      <c r="A1454" s="24">
        <v>52044</v>
      </c>
      <c r="B1454" s="96" t="s">
        <v>2629</v>
      </c>
      <c r="C1454" s="78" t="s">
        <v>2696</v>
      </c>
      <c r="D1454" s="28" t="s">
        <v>451</v>
      </c>
      <c r="E1454" s="96">
        <v>1.22</v>
      </c>
      <c r="F1454" s="96">
        <v>80</v>
      </c>
      <c r="G1454" s="78"/>
      <c r="H1454" s="96">
        <v>1.3</v>
      </c>
      <c r="I1454" s="78"/>
      <c r="J1454" s="140">
        <v>44749</v>
      </c>
      <c r="K1454" s="13">
        <f>E1454*F1454*H1454</f>
        <v>126.88</v>
      </c>
      <c r="L1454" s="13"/>
      <c r="M1454" s="9"/>
      <c r="N1454" s="13">
        <f>G1454*H1454*I1454*E1454</f>
        <v>0</v>
      </c>
      <c r="O1454" s="11">
        <f>K1454*1.6667</f>
        <v>211.47089600000001</v>
      </c>
    </row>
    <row r="1455" spans="1:15" ht="18" customHeight="1">
      <c r="A1455" s="24"/>
      <c r="B1455" s="96" t="s">
        <v>2629</v>
      </c>
      <c r="C1455" s="78" t="s">
        <v>2622</v>
      </c>
      <c r="D1455" s="28" t="s">
        <v>451</v>
      </c>
      <c r="E1455" s="96">
        <v>1.22</v>
      </c>
      <c r="F1455" s="96">
        <v>138</v>
      </c>
      <c r="G1455" s="78"/>
      <c r="H1455" s="96">
        <v>1.3</v>
      </c>
      <c r="I1455" s="78"/>
      <c r="J1455" s="140">
        <v>44749</v>
      </c>
      <c r="K1455" s="13">
        <f>E1455*F1455*H1455</f>
        <v>218.86799999999999</v>
      </c>
      <c r="L1455" s="13"/>
      <c r="M1455" s="13"/>
      <c r="N1455" s="13">
        <f>G1455*H1455*I1455*E1455</f>
        <v>0</v>
      </c>
      <c r="O1455" s="15">
        <f>K1455*1.6667</f>
        <v>364.78729559999999</v>
      </c>
    </row>
    <row r="1456" spans="1:15" ht="18" customHeight="1">
      <c r="A1456" s="24"/>
      <c r="B1456" s="96" t="s">
        <v>2629</v>
      </c>
      <c r="C1456" s="78" t="s">
        <v>2623</v>
      </c>
      <c r="D1456" s="28" t="s">
        <v>451</v>
      </c>
      <c r="E1456" s="96">
        <v>1.22</v>
      </c>
      <c r="F1456" s="96">
        <v>192</v>
      </c>
      <c r="G1456" s="78">
        <v>0</v>
      </c>
      <c r="H1456" s="96">
        <v>1.3</v>
      </c>
      <c r="I1456" s="78">
        <v>0</v>
      </c>
      <c r="J1456" s="133">
        <v>44749</v>
      </c>
      <c r="K1456" s="13">
        <f>+H1456*F1456</f>
        <v>249.60000000000002</v>
      </c>
      <c r="L1456" s="13"/>
      <c r="M1456" s="13"/>
      <c r="N1456" s="13"/>
      <c r="O1456" s="15"/>
    </row>
    <row r="1457" spans="1:15" ht="18" customHeight="1">
      <c r="A1457" s="24" t="s">
        <v>1294</v>
      </c>
      <c r="B1457" s="96" t="s">
        <v>2629</v>
      </c>
      <c r="C1457" s="78" t="s">
        <v>2615</v>
      </c>
      <c r="D1457" s="28" t="s">
        <v>451</v>
      </c>
      <c r="E1457" s="96">
        <v>1.22</v>
      </c>
      <c r="F1457" s="96">
        <v>259</v>
      </c>
      <c r="G1457" s="78"/>
      <c r="H1457" s="96">
        <v>1.3</v>
      </c>
      <c r="I1457" s="78"/>
      <c r="J1457" s="133">
        <v>44749</v>
      </c>
      <c r="K1457" s="9">
        <f>E1457*F1457*H1457</f>
        <v>410.77400000000006</v>
      </c>
      <c r="L1457" s="13">
        <f>+H1457*G1457</f>
        <v>0</v>
      </c>
      <c r="M1457" s="13"/>
      <c r="N1457" s="13">
        <f>G1457*H1457*I1457*E1457</f>
        <v>0</v>
      </c>
      <c r="O1457" s="15">
        <f>K1457*1.6667</f>
        <v>684.63702580000017</v>
      </c>
    </row>
    <row r="1458" spans="1:15" ht="18" customHeight="1">
      <c r="A1458" s="38"/>
      <c r="B1458" s="96" t="s">
        <v>2924</v>
      </c>
      <c r="C1458" s="272">
        <v>3.5</v>
      </c>
      <c r="D1458" s="28" t="s">
        <v>451</v>
      </c>
      <c r="E1458" s="96">
        <v>1.22</v>
      </c>
      <c r="F1458" s="96">
        <v>59</v>
      </c>
      <c r="G1458" s="121"/>
      <c r="H1458" s="96">
        <v>1.4</v>
      </c>
      <c r="I1458" s="121"/>
      <c r="J1458" s="135">
        <v>45001</v>
      </c>
      <c r="K1458" s="64">
        <f>E1458*F1458*H1458</f>
        <v>100.77200000000001</v>
      </c>
      <c r="L1458" s="64"/>
      <c r="M1458" s="41"/>
      <c r="N1458" s="38"/>
      <c r="O1458" s="38"/>
    </row>
    <row r="1459" spans="1:15" ht="18" customHeight="1">
      <c r="A1459" s="38"/>
      <c r="B1459" s="96" t="s">
        <v>2924</v>
      </c>
      <c r="C1459" s="272">
        <v>5</v>
      </c>
      <c r="D1459" s="28" t="s">
        <v>451</v>
      </c>
      <c r="E1459" s="96">
        <v>1.22</v>
      </c>
      <c r="F1459" s="96">
        <v>138</v>
      </c>
      <c r="G1459" s="121"/>
      <c r="H1459" s="96">
        <v>1.4</v>
      </c>
      <c r="I1459" s="121"/>
      <c r="J1459" s="138">
        <v>45001</v>
      </c>
      <c r="K1459" s="64">
        <f>E1459*F1459*H1459</f>
        <v>235.70399999999995</v>
      </c>
      <c r="L1459" s="64"/>
      <c r="M1459" s="41"/>
      <c r="N1459" s="38"/>
      <c r="O1459" s="38"/>
    </row>
    <row r="1460" spans="1:15" ht="18" customHeight="1">
      <c r="A1460" s="38">
        <v>100231</v>
      </c>
      <c r="B1460" s="96" t="s">
        <v>4458</v>
      </c>
      <c r="C1460" s="78"/>
      <c r="D1460" s="28" t="s">
        <v>1859</v>
      </c>
      <c r="E1460" s="96">
        <v>1</v>
      </c>
      <c r="F1460" s="101">
        <v>285</v>
      </c>
      <c r="G1460" s="78">
        <v>6.8</v>
      </c>
      <c r="H1460" s="96">
        <v>1.6</v>
      </c>
      <c r="I1460" s="121">
        <v>42</v>
      </c>
      <c r="J1460" s="138">
        <v>45965</v>
      </c>
      <c r="K1460" s="13">
        <f>E1460*F1460*H1460</f>
        <v>456</v>
      </c>
      <c r="L1460" s="13"/>
      <c r="M1460" s="41"/>
      <c r="N1460" s="38"/>
      <c r="O1460" s="38"/>
    </row>
    <row r="1461" spans="1:15" ht="18" customHeight="1">
      <c r="A1461" s="38">
        <v>100232</v>
      </c>
      <c r="B1461" s="96" t="s">
        <v>4459</v>
      </c>
      <c r="C1461" s="121"/>
      <c r="D1461" s="110" t="s">
        <v>1859</v>
      </c>
      <c r="E1461" s="101">
        <v>1</v>
      </c>
      <c r="F1461" s="101">
        <v>739</v>
      </c>
      <c r="G1461" s="121">
        <v>17.600000000000001</v>
      </c>
      <c r="H1461" s="101">
        <v>1.6</v>
      </c>
      <c r="I1461" s="121"/>
      <c r="J1461" s="138">
        <v>45965</v>
      </c>
      <c r="K1461" s="13">
        <f>E1461*F1461*H1461</f>
        <v>1182.4000000000001</v>
      </c>
      <c r="L1461" s="64"/>
      <c r="M1461" s="41"/>
      <c r="N1461" s="38"/>
      <c r="O1461" s="38"/>
    </row>
    <row r="1462" spans="1:15" ht="18" customHeight="1">
      <c r="A1462" s="24">
        <v>100189</v>
      </c>
      <c r="B1462" s="96" t="s">
        <v>4456</v>
      </c>
      <c r="C1462" s="78"/>
      <c r="D1462" s="28" t="s">
        <v>1859</v>
      </c>
      <c r="E1462" s="96">
        <v>1</v>
      </c>
      <c r="F1462" s="96"/>
      <c r="G1462" s="78">
        <v>7.45</v>
      </c>
      <c r="H1462" s="96">
        <v>1.36</v>
      </c>
      <c r="I1462" s="78">
        <v>42</v>
      </c>
      <c r="J1462" s="140">
        <v>45965</v>
      </c>
      <c r="K1462" s="13">
        <f>+I1462*H1462*G1462</f>
        <v>425.54400000000004</v>
      </c>
      <c r="L1462" s="13">
        <f>+H1462*G1462</f>
        <v>10.132000000000001</v>
      </c>
      <c r="M1462" s="13"/>
      <c r="N1462" s="13">
        <f>G1462*H1462*I1462*E1462</f>
        <v>425.54400000000004</v>
      </c>
      <c r="O1462" s="15">
        <f>K1462*1.6667</f>
        <v>709.25418480000008</v>
      </c>
    </row>
    <row r="1463" spans="1:15" ht="18" customHeight="1">
      <c r="A1463" s="24">
        <v>100190</v>
      </c>
      <c r="B1463" s="96" t="s">
        <v>4457</v>
      </c>
      <c r="C1463" s="78"/>
      <c r="D1463" s="28" t="s">
        <v>1859</v>
      </c>
      <c r="E1463" s="96">
        <v>1</v>
      </c>
      <c r="F1463" s="96"/>
      <c r="G1463" s="78">
        <v>5.35</v>
      </c>
      <c r="H1463" s="96">
        <v>1.6</v>
      </c>
      <c r="I1463" s="78">
        <v>42</v>
      </c>
      <c r="J1463" s="133">
        <v>45965</v>
      </c>
      <c r="K1463" s="13">
        <f>+G1463*E1463*H1463*I1463</f>
        <v>359.52000000000004</v>
      </c>
      <c r="L1463" s="13"/>
      <c r="M1463" s="13"/>
      <c r="N1463" s="13"/>
      <c r="O1463" s="15"/>
    </row>
    <row r="1464" spans="1:15" ht="18" customHeight="1">
      <c r="A1464">
        <v>100228</v>
      </c>
      <c r="B1464" s="101" t="s">
        <v>4465</v>
      </c>
      <c r="D1464" s="28" t="s">
        <v>1859</v>
      </c>
      <c r="E1464" s="96">
        <v>1.22</v>
      </c>
      <c r="F1464" s="101">
        <v>254</v>
      </c>
      <c r="H1464" s="101">
        <v>1.6</v>
      </c>
      <c r="J1464" s="138">
        <v>45965</v>
      </c>
      <c r="K1464" s="13">
        <f t="shared" ref="K1464:K1486" si="96">E1464*F1464*H1464</f>
        <v>495.80799999999999</v>
      </c>
      <c r="M1464" s="41"/>
      <c r="O1464" s="38"/>
    </row>
    <row r="1465" spans="1:15" ht="18" customHeight="1">
      <c r="A1465" s="38" t="s">
        <v>2174</v>
      </c>
      <c r="B1465" s="190" t="s">
        <v>3925</v>
      </c>
      <c r="C1465" s="121"/>
      <c r="D1465" s="28" t="s">
        <v>451</v>
      </c>
      <c r="E1465" s="96">
        <v>1.22</v>
      </c>
      <c r="F1465" s="227">
        <v>3.93</v>
      </c>
      <c r="G1465" s="121"/>
      <c r="H1465" s="96">
        <v>1.5</v>
      </c>
      <c r="I1465" s="121"/>
      <c r="J1465" s="138">
        <v>44340</v>
      </c>
      <c r="K1465" s="64">
        <f t="shared" si="96"/>
        <v>7.1919000000000004</v>
      </c>
      <c r="L1465" s="64"/>
      <c r="M1465" s="41"/>
      <c r="N1465" s="38"/>
      <c r="O1465" s="38"/>
    </row>
    <row r="1466" spans="1:15" ht="18" customHeight="1">
      <c r="A1466" s="24"/>
      <c r="B1466" s="96" t="s">
        <v>1549</v>
      </c>
      <c r="C1466" s="78"/>
      <c r="D1466" s="28" t="s">
        <v>451</v>
      </c>
      <c r="E1466" s="96">
        <v>1.22</v>
      </c>
      <c r="F1466" s="96">
        <v>162</v>
      </c>
      <c r="G1466" s="78"/>
      <c r="H1466" s="96">
        <v>1.6</v>
      </c>
      <c r="I1466" s="78"/>
      <c r="J1466" s="138">
        <v>45005</v>
      </c>
      <c r="K1466" s="13">
        <f t="shared" si="96"/>
        <v>316.22399999999999</v>
      </c>
      <c r="L1466" s="13"/>
      <c r="M1466" s="62"/>
      <c r="N1466" s="13"/>
      <c r="O1466" s="15"/>
    </row>
    <row r="1467" spans="1:15" ht="18" customHeight="1">
      <c r="A1467" s="38"/>
      <c r="B1467" s="96" t="s">
        <v>1742</v>
      </c>
      <c r="C1467" s="121"/>
      <c r="D1467" s="28" t="s">
        <v>451</v>
      </c>
      <c r="E1467" s="96">
        <v>1</v>
      </c>
      <c r="F1467" s="96">
        <v>235</v>
      </c>
      <c r="G1467" s="121"/>
      <c r="H1467" s="96">
        <v>1.6</v>
      </c>
      <c r="I1467" s="121"/>
      <c r="J1467" s="138">
        <v>44939</v>
      </c>
      <c r="K1467" s="184">
        <f t="shared" si="96"/>
        <v>376</v>
      </c>
      <c r="L1467" s="184"/>
      <c r="M1467" s="41">
        <v>1.22</v>
      </c>
      <c r="N1467" s="38"/>
      <c r="O1467" s="38"/>
    </row>
    <row r="1468" spans="1:15" ht="18" customHeight="1">
      <c r="A1468" s="24">
        <v>100096</v>
      </c>
      <c r="B1468" s="96" t="s">
        <v>4424</v>
      </c>
      <c r="C1468" s="78">
        <v>3</v>
      </c>
      <c r="D1468" s="28" t="s">
        <v>1859</v>
      </c>
      <c r="E1468" s="96">
        <v>1.22</v>
      </c>
      <c r="F1468" s="96">
        <v>127.1</v>
      </c>
      <c r="G1468" s="78"/>
      <c r="H1468" s="96">
        <v>1.8</v>
      </c>
      <c r="I1468" s="78"/>
      <c r="J1468" s="140">
        <v>45947</v>
      </c>
      <c r="K1468" s="13">
        <f t="shared" si="96"/>
        <v>279.11159999999995</v>
      </c>
      <c r="L1468" s="13"/>
      <c r="M1468" s="13"/>
      <c r="N1468" s="13">
        <f>G1468*H1468*I1468*E1468</f>
        <v>0</v>
      </c>
      <c r="O1468" s="15">
        <f>K1468*1.6667</f>
        <v>465.19530371999991</v>
      </c>
    </row>
    <row r="1469" spans="1:15" ht="18" customHeight="1">
      <c r="A1469" s="71" t="s">
        <v>1962</v>
      </c>
      <c r="B1469" s="227" t="s">
        <v>2745</v>
      </c>
      <c r="C1469" s="125" t="s">
        <v>3544</v>
      </c>
      <c r="D1469" s="28" t="s">
        <v>1921</v>
      </c>
      <c r="E1469" s="96">
        <v>1.22</v>
      </c>
      <c r="F1469" s="99">
        <v>137</v>
      </c>
      <c r="G1469" s="121"/>
      <c r="H1469" s="99">
        <v>1.6</v>
      </c>
      <c r="I1469" s="121"/>
      <c r="J1469" s="138">
        <v>45960</v>
      </c>
      <c r="K1469" s="50">
        <f t="shared" si="96"/>
        <v>267.42399999999998</v>
      </c>
      <c r="L1469" s="64"/>
      <c r="M1469" s="41"/>
      <c r="N1469" s="38"/>
      <c r="O1469" s="38"/>
    </row>
    <row r="1470" spans="1:15" ht="18" customHeight="1">
      <c r="A1470" s="58" t="s">
        <v>2744</v>
      </c>
      <c r="B1470" s="227" t="s">
        <v>2745</v>
      </c>
      <c r="C1470" s="177" t="s">
        <v>2746</v>
      </c>
      <c r="D1470" s="28" t="s">
        <v>1921</v>
      </c>
      <c r="E1470" s="96">
        <v>1.22</v>
      </c>
      <c r="F1470" s="227">
        <v>94</v>
      </c>
      <c r="G1470" s="121"/>
      <c r="H1470" s="96">
        <v>1.6</v>
      </c>
      <c r="I1470" s="121"/>
      <c r="J1470" s="144">
        <v>45960</v>
      </c>
      <c r="K1470" s="50">
        <f t="shared" si="96"/>
        <v>183.488</v>
      </c>
      <c r="L1470" s="50"/>
      <c r="M1470" s="41"/>
      <c r="N1470" s="38"/>
      <c r="O1470" s="38"/>
    </row>
    <row r="1471" spans="1:15" ht="18" hidden="1" customHeight="1">
      <c r="A1471" s="24"/>
      <c r="B1471" s="96" t="s">
        <v>831</v>
      </c>
      <c r="C1471" s="78"/>
      <c r="D1471" s="28" t="s">
        <v>451</v>
      </c>
      <c r="E1471" s="96">
        <v>1.22</v>
      </c>
      <c r="F1471" s="96">
        <v>270</v>
      </c>
      <c r="G1471" s="78"/>
      <c r="H1471" s="96">
        <v>1.6</v>
      </c>
      <c r="I1471" s="78"/>
      <c r="J1471" s="140">
        <v>43213</v>
      </c>
      <c r="K1471" s="13">
        <f t="shared" si="96"/>
        <v>527.04</v>
      </c>
      <c r="L1471" s="13"/>
      <c r="M1471" s="13"/>
      <c r="N1471" s="13">
        <f>G1471*H1471*I1471*E1471</f>
        <v>0</v>
      </c>
      <c r="O1471" s="15">
        <f>K1471*1.6667</f>
        <v>878.41756799999996</v>
      </c>
    </row>
    <row r="1472" spans="1:15" ht="18" customHeight="1">
      <c r="A1472" s="38"/>
      <c r="B1472" s="96" t="s">
        <v>2927</v>
      </c>
      <c r="C1472" s="121" t="s">
        <v>1652</v>
      </c>
      <c r="D1472" s="28" t="s">
        <v>451</v>
      </c>
      <c r="E1472" s="96">
        <v>1.22</v>
      </c>
      <c r="F1472" s="190">
        <v>662</v>
      </c>
      <c r="G1472" s="121"/>
      <c r="H1472" s="96">
        <v>1.4</v>
      </c>
      <c r="I1472" s="121"/>
      <c r="J1472" s="138">
        <v>45001</v>
      </c>
      <c r="K1472" s="13">
        <f t="shared" si="96"/>
        <v>1130.6959999999999</v>
      </c>
      <c r="L1472" s="50"/>
      <c r="M1472" s="41"/>
      <c r="N1472" s="38"/>
      <c r="O1472" s="38"/>
    </row>
    <row r="1473" spans="1:15" ht="18" customHeight="1">
      <c r="A1473" s="38"/>
      <c r="B1473" s="96" t="s">
        <v>2927</v>
      </c>
      <c r="C1473" s="121" t="s">
        <v>544</v>
      </c>
      <c r="D1473" s="93" t="s">
        <v>451</v>
      </c>
      <c r="E1473" s="96">
        <v>1.22</v>
      </c>
      <c r="F1473" s="190">
        <v>270</v>
      </c>
      <c r="G1473" s="121"/>
      <c r="H1473" s="96">
        <v>1.4</v>
      </c>
      <c r="I1473" s="121"/>
      <c r="J1473" s="138">
        <v>45001</v>
      </c>
      <c r="K1473" s="13">
        <f t="shared" si="96"/>
        <v>461.15999999999991</v>
      </c>
      <c r="L1473" s="50"/>
      <c r="M1473" s="41"/>
      <c r="N1473" s="38"/>
      <c r="O1473" s="38"/>
    </row>
    <row r="1474" spans="1:15" ht="18" customHeight="1">
      <c r="A1474" s="21"/>
      <c r="B1474" s="28" t="s">
        <v>1917</v>
      </c>
      <c r="C1474" s="28" t="s">
        <v>1918</v>
      </c>
      <c r="D1474" s="28" t="s">
        <v>451</v>
      </c>
      <c r="E1474" s="28">
        <v>1.22</v>
      </c>
      <c r="F1474" s="28">
        <v>80</v>
      </c>
      <c r="G1474" s="28"/>
      <c r="H1474" s="28">
        <v>1.6</v>
      </c>
      <c r="I1474" s="28"/>
      <c r="J1474" s="133">
        <v>44125</v>
      </c>
      <c r="K1474" s="9">
        <f t="shared" si="96"/>
        <v>156.16</v>
      </c>
      <c r="L1474" s="13"/>
      <c r="M1474" s="13"/>
      <c r="N1474" s="13">
        <f>G1474*H1474*I1474*E1474</f>
        <v>0</v>
      </c>
      <c r="O1474" s="15">
        <f>K1474*1.6667</f>
        <v>260.27187200000003</v>
      </c>
    </row>
    <row r="1475" spans="1:15" ht="18" customHeight="1">
      <c r="A1475" s="16"/>
      <c r="B1475" s="80" t="s">
        <v>3386</v>
      </c>
      <c r="C1475" s="80">
        <v>13</v>
      </c>
      <c r="D1475" s="28" t="s">
        <v>451</v>
      </c>
      <c r="E1475" s="80">
        <v>1.22</v>
      </c>
      <c r="F1475" s="80">
        <v>25</v>
      </c>
      <c r="G1475" s="79"/>
      <c r="H1475" s="80">
        <v>1.6</v>
      </c>
      <c r="I1475" s="79"/>
      <c r="J1475" s="133">
        <v>45366</v>
      </c>
      <c r="K1475" s="35">
        <f t="shared" si="96"/>
        <v>48.800000000000004</v>
      </c>
      <c r="L1475" s="186"/>
      <c r="M1475" s="170"/>
      <c r="N1475" s="170"/>
      <c r="O1475" s="170"/>
    </row>
    <row r="1476" spans="1:15" ht="18" customHeight="1">
      <c r="A1476" s="16"/>
      <c r="B1476" s="80" t="s">
        <v>3386</v>
      </c>
      <c r="C1476" s="80">
        <v>15</v>
      </c>
      <c r="D1476" s="28" t="s">
        <v>451</v>
      </c>
      <c r="E1476" s="80">
        <v>1.22</v>
      </c>
      <c r="F1476" s="80">
        <v>31</v>
      </c>
      <c r="G1476" s="79"/>
      <c r="H1476" s="80">
        <v>1.6</v>
      </c>
      <c r="I1476" s="79"/>
      <c r="J1476" s="133">
        <v>45366</v>
      </c>
      <c r="K1476" s="35">
        <f t="shared" si="96"/>
        <v>60.512</v>
      </c>
      <c r="L1476" s="186"/>
      <c r="M1476" s="170"/>
      <c r="N1476" s="170"/>
      <c r="O1476" s="170"/>
    </row>
    <row r="1477" spans="1:15" ht="18" customHeight="1">
      <c r="A1477" s="16"/>
      <c r="B1477" s="80" t="s">
        <v>3386</v>
      </c>
      <c r="C1477" s="80">
        <v>17</v>
      </c>
      <c r="D1477" s="28" t="s">
        <v>451</v>
      </c>
      <c r="E1477" s="80">
        <v>1.22</v>
      </c>
      <c r="F1477" s="80">
        <v>46</v>
      </c>
      <c r="G1477" s="79"/>
      <c r="H1477" s="80">
        <v>1.6</v>
      </c>
      <c r="I1477" s="79"/>
      <c r="J1477" s="133">
        <v>45366</v>
      </c>
      <c r="K1477" s="35">
        <f t="shared" si="96"/>
        <v>89.792000000000002</v>
      </c>
      <c r="L1477" s="186"/>
      <c r="M1477" s="170"/>
      <c r="N1477" s="170"/>
      <c r="O1477" s="170"/>
    </row>
    <row r="1478" spans="1:15" ht="18" customHeight="1">
      <c r="A1478" s="38"/>
      <c r="B1478" s="99" t="s">
        <v>3386</v>
      </c>
      <c r="C1478" s="102">
        <v>19</v>
      </c>
      <c r="D1478" s="85" t="s">
        <v>451</v>
      </c>
      <c r="E1478" s="99">
        <v>1.22</v>
      </c>
      <c r="F1478" s="102">
        <v>59</v>
      </c>
      <c r="G1478" s="125"/>
      <c r="H1478" s="99">
        <v>1.6</v>
      </c>
      <c r="I1478" s="125"/>
      <c r="J1478" s="140">
        <v>45366</v>
      </c>
      <c r="K1478" s="50">
        <f t="shared" si="96"/>
        <v>115.16800000000001</v>
      </c>
      <c r="L1478" s="186"/>
      <c r="M1478" s="170"/>
      <c r="N1478" s="170"/>
      <c r="O1478" s="170"/>
    </row>
    <row r="1479" spans="1:15" ht="21" customHeight="1">
      <c r="A1479" s="38"/>
      <c r="B1479" s="102" t="s">
        <v>3386</v>
      </c>
      <c r="C1479" s="102">
        <v>21</v>
      </c>
      <c r="D1479" s="28" t="s">
        <v>451</v>
      </c>
      <c r="E1479" s="99">
        <v>1.22</v>
      </c>
      <c r="F1479" s="102">
        <v>67</v>
      </c>
      <c r="G1479" s="125"/>
      <c r="H1479" s="99">
        <v>1.6</v>
      </c>
      <c r="I1479" s="125"/>
      <c r="J1479" s="140">
        <v>45366</v>
      </c>
      <c r="K1479" s="50">
        <f t="shared" si="96"/>
        <v>130.78399999999999</v>
      </c>
      <c r="L1479" s="186"/>
      <c r="M1479" s="170"/>
      <c r="N1479" s="170"/>
      <c r="O1479" s="170"/>
    </row>
    <row r="1480" spans="1:15" ht="21" customHeight="1">
      <c r="A1480" s="38"/>
      <c r="B1480" s="102" t="s">
        <v>3386</v>
      </c>
      <c r="C1480" s="102">
        <v>24</v>
      </c>
      <c r="D1480" s="28" t="s">
        <v>451</v>
      </c>
      <c r="E1480" s="99">
        <v>1.22</v>
      </c>
      <c r="F1480" s="102">
        <v>89</v>
      </c>
      <c r="G1480" s="125"/>
      <c r="H1480" s="99">
        <v>1.6</v>
      </c>
      <c r="I1480" s="125"/>
      <c r="J1480" s="140">
        <v>45366</v>
      </c>
      <c r="K1480" s="50">
        <f t="shared" si="96"/>
        <v>173.72800000000001</v>
      </c>
      <c r="L1480" s="186"/>
      <c r="M1480" s="170"/>
      <c r="N1480" s="170"/>
      <c r="O1480" s="170"/>
    </row>
    <row r="1481" spans="1:15" ht="18" customHeight="1">
      <c r="A1481" s="38"/>
      <c r="B1481" s="102" t="s">
        <v>3386</v>
      </c>
      <c r="C1481" s="102">
        <v>27</v>
      </c>
      <c r="D1481" s="28" t="s">
        <v>451</v>
      </c>
      <c r="E1481" s="99">
        <v>1.22</v>
      </c>
      <c r="F1481" s="102">
        <v>140</v>
      </c>
      <c r="G1481" s="125"/>
      <c r="H1481" s="99">
        <v>1.6</v>
      </c>
      <c r="I1481" s="125"/>
      <c r="J1481" s="140">
        <v>45366</v>
      </c>
      <c r="K1481" s="50">
        <f t="shared" si="96"/>
        <v>273.27999999999997</v>
      </c>
      <c r="L1481" s="186"/>
      <c r="M1481" s="170"/>
      <c r="N1481" s="170"/>
      <c r="O1481" s="170"/>
    </row>
    <row r="1482" spans="1:15" ht="18" customHeight="1">
      <c r="A1482" s="38"/>
      <c r="B1482" s="102" t="s">
        <v>3386</v>
      </c>
      <c r="C1482" s="102">
        <v>30</v>
      </c>
      <c r="D1482" s="28" t="s">
        <v>451</v>
      </c>
      <c r="E1482" s="99">
        <v>1.22</v>
      </c>
      <c r="F1482" s="102">
        <v>185</v>
      </c>
      <c r="G1482" s="125"/>
      <c r="H1482" s="99">
        <v>1.6</v>
      </c>
      <c r="I1482" s="125"/>
      <c r="J1482" s="140">
        <v>45366</v>
      </c>
      <c r="K1482" s="50">
        <f t="shared" si="96"/>
        <v>361.12</v>
      </c>
      <c r="L1482" s="186"/>
      <c r="M1482" s="170"/>
      <c r="N1482" s="170"/>
      <c r="O1482" s="170"/>
    </row>
    <row r="1483" spans="1:15" ht="18" customHeight="1">
      <c r="A1483" s="38"/>
      <c r="B1483" s="99" t="s">
        <v>3386</v>
      </c>
      <c r="C1483" s="102">
        <v>35</v>
      </c>
      <c r="D1483" s="28" t="s">
        <v>451</v>
      </c>
      <c r="E1483" s="99">
        <v>1.22</v>
      </c>
      <c r="F1483" s="99">
        <v>340</v>
      </c>
      <c r="G1483" s="125"/>
      <c r="H1483" s="99">
        <v>1.6</v>
      </c>
      <c r="I1483" s="125"/>
      <c r="J1483" s="133">
        <v>45366</v>
      </c>
      <c r="K1483" s="50">
        <f t="shared" si="96"/>
        <v>663.68000000000006</v>
      </c>
      <c r="L1483" s="186"/>
      <c r="M1483" s="170"/>
      <c r="N1483" s="170"/>
      <c r="O1483" s="170"/>
    </row>
    <row r="1484" spans="1:15" ht="18" customHeight="1">
      <c r="A1484" s="38"/>
      <c r="B1484" s="99" t="s">
        <v>3386</v>
      </c>
      <c r="C1484" s="102">
        <v>40</v>
      </c>
      <c r="D1484" s="28" t="s">
        <v>451</v>
      </c>
      <c r="E1484" s="99">
        <v>1.22</v>
      </c>
      <c r="F1484" s="99">
        <v>446</v>
      </c>
      <c r="G1484" s="125"/>
      <c r="H1484" s="99">
        <v>1.6</v>
      </c>
      <c r="I1484" s="125"/>
      <c r="J1484" s="133">
        <v>45366</v>
      </c>
      <c r="K1484" s="50">
        <f t="shared" si="96"/>
        <v>870.5920000000001</v>
      </c>
      <c r="L1484" s="186"/>
      <c r="M1484" s="170"/>
      <c r="N1484" s="170"/>
      <c r="O1484" s="170"/>
    </row>
    <row r="1485" spans="1:15" ht="18" customHeight="1">
      <c r="A1485" s="38"/>
      <c r="B1485" s="99" t="s">
        <v>3386</v>
      </c>
      <c r="C1485" s="102">
        <v>60</v>
      </c>
      <c r="D1485" s="28" t="s">
        <v>451</v>
      </c>
      <c r="E1485" s="99">
        <v>1.22</v>
      </c>
      <c r="F1485" s="99">
        <v>990</v>
      </c>
      <c r="G1485" s="125"/>
      <c r="H1485" s="99">
        <v>1.6</v>
      </c>
      <c r="I1485" s="125"/>
      <c r="J1485" s="133">
        <v>45366</v>
      </c>
      <c r="K1485" s="50">
        <f t="shared" si="96"/>
        <v>1932.48</v>
      </c>
      <c r="L1485" s="186"/>
      <c r="M1485" s="170"/>
      <c r="N1485" s="170"/>
      <c r="O1485" s="170"/>
    </row>
    <row r="1486" spans="1:15" ht="18" hidden="1" customHeight="1">
      <c r="A1486" s="24"/>
      <c r="B1486" s="96" t="s">
        <v>828</v>
      </c>
      <c r="C1486" s="78"/>
      <c r="D1486" s="28" t="s">
        <v>451</v>
      </c>
      <c r="E1486" s="96">
        <v>1.22</v>
      </c>
      <c r="F1486" s="96">
        <v>110</v>
      </c>
      <c r="G1486" s="78"/>
      <c r="H1486" s="96">
        <v>1.6</v>
      </c>
      <c r="I1486" s="78"/>
      <c r="J1486" s="133">
        <v>43213</v>
      </c>
      <c r="K1486" s="13">
        <f t="shared" si="96"/>
        <v>214.72</v>
      </c>
      <c r="L1486" s="13"/>
      <c r="M1486" s="13"/>
      <c r="N1486" s="13">
        <f>G1486*H1486*I1486*E1486</f>
        <v>0</v>
      </c>
      <c r="O1486" s="15">
        <f>K1486*1.6667</f>
        <v>357.87382400000001</v>
      </c>
    </row>
    <row r="1487" spans="1:15" ht="18" customHeight="1">
      <c r="A1487" s="38"/>
      <c r="B1487" s="96" t="s">
        <v>3039</v>
      </c>
      <c r="C1487" s="102" t="s">
        <v>3194</v>
      </c>
      <c r="D1487" s="28" t="s">
        <v>1859</v>
      </c>
      <c r="E1487" s="96">
        <v>1.22</v>
      </c>
      <c r="F1487" s="96">
        <v>28</v>
      </c>
      <c r="G1487" s="121"/>
      <c r="H1487" s="96">
        <v>1.5</v>
      </c>
      <c r="I1487" s="121"/>
      <c r="J1487" s="134">
        <v>45945</v>
      </c>
      <c r="K1487" s="50">
        <v>53</v>
      </c>
      <c r="L1487" s="64"/>
      <c r="M1487" s="41"/>
      <c r="N1487" s="38"/>
      <c r="O1487" s="38"/>
    </row>
    <row r="1488" spans="1:15" ht="18" customHeight="1">
      <c r="A1488" s="46">
        <v>100095</v>
      </c>
      <c r="B1488" s="28" t="s">
        <v>3039</v>
      </c>
      <c r="C1488" s="80" t="s">
        <v>1606</v>
      </c>
      <c r="D1488" s="28" t="s">
        <v>1859</v>
      </c>
      <c r="E1488" s="28">
        <v>1.22</v>
      </c>
      <c r="F1488" s="28">
        <v>36</v>
      </c>
      <c r="G1488" s="110"/>
      <c r="H1488" s="28">
        <v>1.5</v>
      </c>
      <c r="I1488" s="110"/>
      <c r="J1488" s="134">
        <v>46003</v>
      </c>
      <c r="K1488" s="35">
        <f t="shared" ref="K1488:K1508" si="97">E1488*F1488*H1488</f>
        <v>65.88</v>
      </c>
      <c r="L1488" s="37"/>
      <c r="M1488" s="17"/>
      <c r="N1488" s="16"/>
      <c r="O1488" s="16"/>
    </row>
    <row r="1489" spans="1:15" ht="18" customHeight="1">
      <c r="A1489" s="46">
        <v>100131</v>
      </c>
      <c r="B1489" s="28" t="s">
        <v>3039</v>
      </c>
      <c r="C1489" s="80" t="s">
        <v>3038</v>
      </c>
      <c r="D1489" s="28" t="s">
        <v>1859</v>
      </c>
      <c r="E1489" s="28">
        <v>1.22</v>
      </c>
      <c r="F1489" s="28">
        <v>40</v>
      </c>
      <c r="G1489" s="110"/>
      <c r="H1489" s="28">
        <v>1.5</v>
      </c>
      <c r="I1489" s="110"/>
      <c r="J1489" s="144">
        <v>45940</v>
      </c>
      <c r="K1489" s="35">
        <f t="shared" si="97"/>
        <v>73.199999999999989</v>
      </c>
      <c r="L1489" s="37"/>
      <c r="M1489" s="17"/>
      <c r="N1489" s="16"/>
      <c r="O1489" s="16"/>
    </row>
    <row r="1490" spans="1:15" ht="18" customHeight="1">
      <c r="A1490" s="16"/>
      <c r="B1490" s="28" t="s">
        <v>3039</v>
      </c>
      <c r="C1490" s="80" t="s">
        <v>1783</v>
      </c>
      <c r="D1490" s="28" t="s">
        <v>1859</v>
      </c>
      <c r="E1490" s="28">
        <v>1.22</v>
      </c>
      <c r="F1490" s="28">
        <v>52</v>
      </c>
      <c r="G1490" s="110"/>
      <c r="H1490" s="28">
        <v>1.5</v>
      </c>
      <c r="I1490" s="110"/>
      <c r="J1490" s="138">
        <v>45776</v>
      </c>
      <c r="K1490" s="50">
        <f t="shared" si="97"/>
        <v>95.16</v>
      </c>
      <c r="L1490" s="64"/>
      <c r="M1490" s="17"/>
      <c r="N1490" s="16"/>
      <c r="O1490" s="16"/>
    </row>
    <row r="1491" spans="1:15" ht="18" customHeight="1">
      <c r="A1491" s="46">
        <v>100186</v>
      </c>
      <c r="B1491" s="28" t="s">
        <v>3039</v>
      </c>
      <c r="C1491" s="80" t="s">
        <v>1855</v>
      </c>
      <c r="D1491" s="28" t="s">
        <v>1859</v>
      </c>
      <c r="E1491" s="28">
        <v>1.22</v>
      </c>
      <c r="F1491" s="28">
        <v>55</v>
      </c>
      <c r="G1491" s="110"/>
      <c r="H1491" s="28">
        <v>1.5</v>
      </c>
      <c r="I1491" s="110"/>
      <c r="J1491" s="144">
        <v>46003</v>
      </c>
      <c r="K1491" s="50">
        <f t="shared" si="97"/>
        <v>100.64999999999999</v>
      </c>
      <c r="L1491" s="64"/>
      <c r="M1491" s="17"/>
      <c r="N1491" s="16"/>
      <c r="O1491" s="16"/>
    </row>
    <row r="1492" spans="1:15" ht="18" customHeight="1">
      <c r="A1492" s="16"/>
      <c r="B1492" s="28" t="s">
        <v>3039</v>
      </c>
      <c r="C1492" s="80" t="s">
        <v>3037</v>
      </c>
      <c r="D1492" s="28" t="s">
        <v>1859</v>
      </c>
      <c r="E1492" s="28">
        <v>1.22</v>
      </c>
      <c r="F1492" s="28">
        <v>57.4</v>
      </c>
      <c r="G1492" s="110"/>
      <c r="H1492" s="28">
        <v>1.6</v>
      </c>
      <c r="I1492" s="110"/>
      <c r="J1492" s="138">
        <v>46003</v>
      </c>
      <c r="K1492" s="50">
        <f t="shared" si="97"/>
        <v>112.0448</v>
      </c>
      <c r="L1492" s="64"/>
      <c r="M1492" s="17"/>
      <c r="N1492" s="16"/>
      <c r="O1492" s="16"/>
    </row>
    <row r="1493" spans="1:15" ht="18" customHeight="1">
      <c r="A1493" s="16"/>
      <c r="B1493" s="28" t="s">
        <v>3039</v>
      </c>
      <c r="C1493" s="80" t="s">
        <v>3152</v>
      </c>
      <c r="D1493" s="28" t="s">
        <v>1859</v>
      </c>
      <c r="E1493" s="28">
        <v>1.22</v>
      </c>
      <c r="F1493" s="28">
        <v>71</v>
      </c>
      <c r="G1493" s="110"/>
      <c r="H1493" s="28">
        <v>1.5</v>
      </c>
      <c r="I1493" s="110"/>
      <c r="J1493" s="138">
        <v>46003</v>
      </c>
      <c r="K1493" s="50">
        <f t="shared" si="97"/>
        <v>129.93</v>
      </c>
      <c r="L1493" s="64"/>
      <c r="M1493" s="17"/>
      <c r="N1493" s="16"/>
      <c r="O1493" s="16"/>
    </row>
    <row r="1494" spans="1:15" ht="18" customHeight="1">
      <c r="A1494" s="46">
        <v>100113</v>
      </c>
      <c r="B1494" s="28" t="s">
        <v>3039</v>
      </c>
      <c r="C1494" s="80" t="s">
        <v>3151</v>
      </c>
      <c r="D1494" s="28" t="s">
        <v>1859</v>
      </c>
      <c r="E1494" s="28">
        <v>1.22</v>
      </c>
      <c r="F1494" s="28">
        <v>84</v>
      </c>
      <c r="G1494" s="110"/>
      <c r="H1494" s="28">
        <v>1.5</v>
      </c>
      <c r="I1494" s="110"/>
      <c r="J1494" s="144">
        <v>45940</v>
      </c>
      <c r="K1494" s="50">
        <f t="shared" si="97"/>
        <v>153.72</v>
      </c>
      <c r="L1494" s="64"/>
      <c r="M1494" s="17"/>
      <c r="N1494" s="16"/>
      <c r="O1494" s="16"/>
    </row>
    <row r="1495" spans="1:15" ht="18" customHeight="1">
      <c r="A1495" s="46">
        <v>100131</v>
      </c>
      <c r="B1495" s="28" t="s">
        <v>3039</v>
      </c>
      <c r="C1495" s="80" t="s">
        <v>3272</v>
      </c>
      <c r="D1495" s="28" t="s">
        <v>1859</v>
      </c>
      <c r="E1495" s="28">
        <v>1.22</v>
      </c>
      <c r="F1495" s="80">
        <v>180.6</v>
      </c>
      <c r="G1495" s="110"/>
      <c r="H1495" s="28">
        <v>1.5</v>
      </c>
      <c r="I1495" s="110"/>
      <c r="J1495" s="144">
        <v>45940</v>
      </c>
      <c r="K1495" s="50">
        <f t="shared" si="97"/>
        <v>330.49799999999999</v>
      </c>
      <c r="L1495" s="50"/>
      <c r="M1495" s="46"/>
      <c r="N1495" s="46"/>
      <c r="O1495" s="46"/>
    </row>
    <row r="1496" spans="1:15" ht="18" customHeight="1">
      <c r="A1496" s="46"/>
      <c r="B1496" s="28" t="s">
        <v>3039</v>
      </c>
      <c r="C1496" s="80" t="s">
        <v>3237</v>
      </c>
      <c r="D1496" s="28" t="s">
        <v>1859</v>
      </c>
      <c r="E1496" s="28">
        <v>1.22</v>
      </c>
      <c r="F1496" s="28">
        <v>212</v>
      </c>
      <c r="G1496" s="110"/>
      <c r="H1496" s="28">
        <v>1.5</v>
      </c>
      <c r="I1496" s="110"/>
      <c r="J1496" s="138">
        <v>45231</v>
      </c>
      <c r="K1496" s="50">
        <f t="shared" si="97"/>
        <v>387.96</v>
      </c>
      <c r="L1496" s="50"/>
      <c r="M1496" s="46"/>
      <c r="N1496" s="46"/>
      <c r="O1496" s="46"/>
    </row>
    <row r="1497" spans="1:15" ht="18" customHeight="1">
      <c r="A1497" s="58">
        <v>100133</v>
      </c>
      <c r="B1497" s="78" t="s">
        <v>3039</v>
      </c>
      <c r="C1497" s="102" t="s">
        <v>1377</v>
      </c>
      <c r="D1497" s="93" t="s">
        <v>1859</v>
      </c>
      <c r="E1497" s="78">
        <v>1.22</v>
      </c>
      <c r="F1497" s="78">
        <v>317</v>
      </c>
      <c r="G1497" s="121"/>
      <c r="H1497" s="78">
        <v>1.5</v>
      </c>
      <c r="I1497" s="121"/>
      <c r="J1497" s="134">
        <v>45940</v>
      </c>
      <c r="K1497" s="50">
        <f t="shared" si="97"/>
        <v>580.11</v>
      </c>
      <c r="L1497" s="50"/>
      <c r="M1497" s="58"/>
      <c r="N1497" s="58"/>
      <c r="O1497" s="58"/>
    </row>
    <row r="1498" spans="1:15" ht="18" customHeight="1">
      <c r="A1498" s="21" t="s">
        <v>1573</v>
      </c>
      <c r="B1498" s="28" t="s">
        <v>1572</v>
      </c>
      <c r="C1498" s="28"/>
      <c r="D1498" s="28" t="s">
        <v>451</v>
      </c>
      <c r="E1498" s="28">
        <v>1.22</v>
      </c>
      <c r="F1498" s="28">
        <v>199</v>
      </c>
      <c r="G1498" s="28"/>
      <c r="H1498" s="28">
        <v>2</v>
      </c>
      <c r="I1498" s="28"/>
      <c r="J1498" s="133">
        <v>43900</v>
      </c>
      <c r="K1498" s="9">
        <f t="shared" si="97"/>
        <v>485.56</v>
      </c>
      <c r="L1498" s="9"/>
      <c r="M1498" s="9"/>
      <c r="N1498" s="9">
        <f>G1498*H1498*I1498*E1498</f>
        <v>0</v>
      </c>
      <c r="O1498" s="3">
        <f>K1498*1.6667</f>
        <v>809.28285200000005</v>
      </c>
    </row>
    <row r="1499" spans="1:15" ht="18" customHeight="1">
      <c r="A1499" s="24" t="s">
        <v>1577</v>
      </c>
      <c r="B1499" s="78" t="s">
        <v>1575</v>
      </c>
      <c r="C1499" s="78"/>
      <c r="D1499" s="85" t="s">
        <v>451</v>
      </c>
      <c r="E1499" s="78">
        <v>1.22</v>
      </c>
      <c r="F1499" s="78">
        <v>299</v>
      </c>
      <c r="G1499" s="78"/>
      <c r="H1499" s="78">
        <v>2</v>
      </c>
      <c r="I1499" s="78"/>
      <c r="J1499" s="131">
        <v>43900</v>
      </c>
      <c r="K1499" s="13">
        <f t="shared" si="97"/>
        <v>729.56</v>
      </c>
      <c r="L1499" s="13"/>
      <c r="M1499" s="13"/>
      <c r="N1499" s="13">
        <f>G1499*H1499*I1499*E1499</f>
        <v>0</v>
      </c>
      <c r="O1499" s="15">
        <f>K1499*1.6667</f>
        <v>1215.9576520000001</v>
      </c>
    </row>
    <row r="1500" spans="1:15" ht="18" customHeight="1">
      <c r="A1500" s="24" t="s">
        <v>1576</v>
      </c>
      <c r="B1500" s="78" t="s">
        <v>1574</v>
      </c>
      <c r="C1500" s="78"/>
      <c r="D1500" s="28" t="s">
        <v>451</v>
      </c>
      <c r="E1500" s="78">
        <v>1.22</v>
      </c>
      <c r="F1500" s="78">
        <v>259</v>
      </c>
      <c r="G1500" s="78"/>
      <c r="H1500" s="78">
        <v>2</v>
      </c>
      <c r="I1500" s="78"/>
      <c r="J1500" s="133">
        <v>43900</v>
      </c>
      <c r="K1500" s="13">
        <f t="shared" si="97"/>
        <v>631.96</v>
      </c>
      <c r="L1500" s="13"/>
      <c r="M1500" s="13"/>
      <c r="N1500" s="13">
        <f>G1500*H1500*I1500*E1500</f>
        <v>0</v>
      </c>
      <c r="O1500" s="15">
        <f>K1500*1.6667</f>
        <v>1053.287732</v>
      </c>
    </row>
    <row r="1501" spans="1:15" ht="18" customHeight="1">
      <c r="A1501" s="262" t="s">
        <v>4169</v>
      </c>
      <c r="B1501" s="147" t="s">
        <v>4170</v>
      </c>
      <c r="C1501" s="151" t="s">
        <v>4171</v>
      </c>
      <c r="D1501" s="136" t="s">
        <v>1921</v>
      </c>
      <c r="E1501" s="147">
        <v>1.22</v>
      </c>
      <c r="F1501" s="147">
        <v>69</v>
      </c>
      <c r="G1501" s="151"/>
      <c r="H1501" s="147">
        <v>1.5</v>
      </c>
      <c r="I1501" s="151"/>
      <c r="J1501" s="133">
        <v>45917</v>
      </c>
      <c r="K1501" s="50">
        <f t="shared" si="97"/>
        <v>126.26999999999998</v>
      </c>
      <c r="L1501" s="64"/>
      <c r="M1501" s="41"/>
      <c r="N1501" s="38"/>
      <c r="O1501" s="38"/>
    </row>
    <row r="1502" spans="1:15" ht="18" customHeight="1">
      <c r="A1502" s="262" t="s">
        <v>4371</v>
      </c>
      <c r="B1502" s="271" t="s">
        <v>4170</v>
      </c>
      <c r="C1502" s="96"/>
      <c r="D1502" s="136" t="s">
        <v>1921</v>
      </c>
      <c r="E1502" s="271">
        <v>1.22</v>
      </c>
      <c r="F1502" s="96">
        <v>106</v>
      </c>
      <c r="G1502" s="78"/>
      <c r="H1502" s="96">
        <v>1.5</v>
      </c>
      <c r="I1502" s="78"/>
      <c r="J1502" s="133">
        <v>45917</v>
      </c>
      <c r="K1502" s="35">
        <f t="shared" si="97"/>
        <v>193.98</v>
      </c>
      <c r="L1502" s="9"/>
      <c r="M1502" s="9"/>
      <c r="N1502" s="9"/>
      <c r="O1502" s="3"/>
    </row>
    <row r="1503" spans="1:15" ht="18" customHeight="1">
      <c r="A1503" s="38">
        <v>26600018</v>
      </c>
      <c r="B1503" s="101" t="s">
        <v>3681</v>
      </c>
      <c r="C1503" s="121">
        <v>18</v>
      </c>
      <c r="D1503" s="110"/>
      <c r="E1503" s="101">
        <v>1.22</v>
      </c>
      <c r="F1503" s="101">
        <v>269.89999999999998</v>
      </c>
      <c r="G1503" s="121"/>
      <c r="H1503" s="101">
        <v>1.7</v>
      </c>
      <c r="I1503" s="121"/>
      <c r="J1503" s="87"/>
      <c r="K1503" s="64">
        <f t="shared" si="97"/>
        <v>559.7725999999999</v>
      </c>
      <c r="L1503" s="64"/>
      <c r="M1503" s="41"/>
      <c r="N1503" s="39"/>
      <c r="O1503" s="39"/>
    </row>
    <row r="1504" spans="1:15" ht="18" customHeight="1">
      <c r="A1504" s="24">
        <v>1463</v>
      </c>
      <c r="B1504" s="96" t="s">
        <v>2085</v>
      </c>
      <c r="C1504" s="78" t="s">
        <v>93</v>
      </c>
      <c r="D1504" s="28" t="s">
        <v>19</v>
      </c>
      <c r="E1504" s="96">
        <v>1</v>
      </c>
      <c r="F1504" s="96">
        <v>11.4</v>
      </c>
      <c r="G1504" s="78">
        <v>0.3</v>
      </c>
      <c r="H1504" s="96">
        <v>1.6</v>
      </c>
      <c r="I1504" s="78"/>
      <c r="J1504" s="133">
        <v>45972</v>
      </c>
      <c r="K1504" s="13">
        <f t="shared" si="97"/>
        <v>18.240000000000002</v>
      </c>
      <c r="L1504" s="13"/>
      <c r="M1504" s="13"/>
      <c r="N1504" s="12">
        <f>G1504*H1504*I1504*E1504</f>
        <v>0</v>
      </c>
      <c r="O1504" s="11">
        <f>K1504*1.6667</f>
        <v>30.400608000000005</v>
      </c>
    </row>
    <row r="1505" spans="1:15" ht="18" customHeight="1">
      <c r="A1505" s="24">
        <v>1463</v>
      </c>
      <c r="B1505" s="78" t="s">
        <v>2085</v>
      </c>
      <c r="C1505" s="78" t="s">
        <v>98</v>
      </c>
      <c r="D1505" s="28" t="s">
        <v>19</v>
      </c>
      <c r="E1505" s="78">
        <v>1</v>
      </c>
      <c r="F1505" s="78">
        <v>285</v>
      </c>
      <c r="G1505" s="78">
        <v>7.5</v>
      </c>
      <c r="H1505" s="78">
        <v>1.3</v>
      </c>
      <c r="I1505" s="78"/>
      <c r="J1505" s="133">
        <v>45972</v>
      </c>
      <c r="K1505" s="13">
        <f t="shared" si="97"/>
        <v>370.5</v>
      </c>
      <c r="L1505" s="13"/>
      <c r="M1505" s="13"/>
      <c r="N1505" s="13">
        <f>G1505*H1505*I1505*E1505</f>
        <v>0</v>
      </c>
      <c r="O1505" s="62">
        <f>K1505*1.6667</f>
        <v>617.51234999999997</v>
      </c>
    </row>
    <row r="1506" spans="1:15" ht="18" customHeight="1">
      <c r="A1506" s="24" t="s">
        <v>4321</v>
      </c>
      <c r="B1506" s="78" t="s">
        <v>517</v>
      </c>
      <c r="C1506" s="78" t="s">
        <v>98</v>
      </c>
      <c r="D1506" s="93" t="s">
        <v>19</v>
      </c>
      <c r="E1506" s="78">
        <v>1</v>
      </c>
      <c r="F1506" s="78">
        <v>288.60000000000002</v>
      </c>
      <c r="G1506" s="78">
        <v>7.13</v>
      </c>
      <c r="H1506" s="78">
        <v>1.35</v>
      </c>
      <c r="I1506" s="78">
        <v>0</v>
      </c>
      <c r="J1506" s="146">
        <v>45979</v>
      </c>
      <c r="K1506" s="13">
        <f t="shared" si="97"/>
        <v>389.61000000000007</v>
      </c>
      <c r="L1506" s="13"/>
      <c r="M1506" s="13"/>
      <c r="N1506" s="13">
        <f>G1506*H1506*I1506*E1506</f>
        <v>0</v>
      </c>
      <c r="O1506" s="62">
        <f>K1506*1.6667</f>
        <v>649.36298700000009</v>
      </c>
    </row>
    <row r="1507" spans="1:15" ht="18" customHeight="1">
      <c r="A1507" s="21">
        <v>1464</v>
      </c>
      <c r="B1507" s="28" t="s">
        <v>517</v>
      </c>
      <c r="C1507" s="28" t="s">
        <v>93</v>
      </c>
      <c r="D1507" s="28" t="s">
        <v>19</v>
      </c>
      <c r="E1507" s="28">
        <v>1</v>
      </c>
      <c r="F1507" s="28">
        <v>11.7</v>
      </c>
      <c r="G1507" s="28">
        <v>0.31</v>
      </c>
      <c r="H1507" s="28">
        <v>1.65</v>
      </c>
      <c r="I1507" s="28"/>
      <c r="J1507" s="133">
        <v>45979</v>
      </c>
      <c r="K1507" s="9">
        <f t="shared" si="97"/>
        <v>19.304999999999996</v>
      </c>
      <c r="L1507" s="9"/>
      <c r="M1507" s="9"/>
      <c r="N1507" s="9">
        <f>G1507*H1507*I1507*E1507</f>
        <v>0</v>
      </c>
      <c r="O1507" s="3">
        <f>K1507*1.6667</f>
        <v>32.175643499999993</v>
      </c>
    </row>
    <row r="1508" spans="1:15" ht="18" customHeight="1">
      <c r="A1508" s="16"/>
      <c r="B1508" s="28" t="s">
        <v>2087</v>
      </c>
      <c r="C1508" s="28" t="s">
        <v>2088</v>
      </c>
      <c r="D1508" s="28"/>
      <c r="E1508" s="28">
        <v>1.22</v>
      </c>
      <c r="F1508" s="28">
        <v>68.03</v>
      </c>
      <c r="G1508" s="110"/>
      <c r="H1508" s="28">
        <v>1.5</v>
      </c>
      <c r="I1508" s="110"/>
      <c r="J1508" s="135">
        <v>44540</v>
      </c>
      <c r="K1508" s="9">
        <f t="shared" si="97"/>
        <v>124.4949</v>
      </c>
      <c r="L1508" s="9"/>
      <c r="M1508" s="17"/>
      <c r="N1508" s="16"/>
      <c r="O1508" s="16"/>
    </row>
    <row r="1509" spans="1:15" ht="18" customHeight="1">
      <c r="A1509" s="21">
        <v>642004</v>
      </c>
      <c r="B1509" s="28" t="s">
        <v>2240</v>
      </c>
      <c r="C1509" s="28" t="s">
        <v>62</v>
      </c>
      <c r="D1509" s="28" t="s">
        <v>3312</v>
      </c>
      <c r="E1509" s="28">
        <v>1.22</v>
      </c>
      <c r="F1509" s="28">
        <v>57.6</v>
      </c>
      <c r="G1509" s="28">
        <v>0</v>
      </c>
      <c r="H1509" s="28">
        <v>2</v>
      </c>
      <c r="I1509" s="28">
        <v>0</v>
      </c>
      <c r="J1509" s="137">
        <v>45244</v>
      </c>
      <c r="K1509" s="35">
        <f>+H1509*F1509</f>
        <v>115.2</v>
      </c>
      <c r="L1509" s="9"/>
      <c r="M1509" s="9"/>
      <c r="N1509" s="9">
        <f>G1509*H1509*I1509*E1509</f>
        <v>0</v>
      </c>
      <c r="O1509" s="3">
        <f>K1509*1.6667</f>
        <v>192.00384000000003</v>
      </c>
    </row>
    <row r="1510" spans="1:15" ht="18" customHeight="1">
      <c r="A1510" s="21">
        <v>642001</v>
      </c>
      <c r="B1510" s="28" t="s">
        <v>2241</v>
      </c>
      <c r="C1510" s="28" t="s">
        <v>62</v>
      </c>
      <c r="D1510" s="28" t="s">
        <v>3312</v>
      </c>
      <c r="E1510" s="28">
        <v>1.22</v>
      </c>
      <c r="F1510" s="28">
        <v>62.32</v>
      </c>
      <c r="G1510" s="28"/>
      <c r="H1510" s="28">
        <v>2</v>
      </c>
      <c r="I1510" s="28">
        <v>0</v>
      </c>
      <c r="J1510" s="137">
        <v>44925</v>
      </c>
      <c r="K1510" s="35">
        <f>+H1510*F1510</f>
        <v>124.64</v>
      </c>
      <c r="L1510" s="9"/>
      <c r="M1510" s="9"/>
      <c r="N1510" s="9">
        <f>G1510*H1510*I1510*E1510</f>
        <v>0</v>
      </c>
      <c r="O1510" s="3">
        <f>K1510*1.6667</f>
        <v>207.73748800000001</v>
      </c>
    </row>
    <row r="1511" spans="1:15" ht="18" customHeight="1">
      <c r="A1511" s="31">
        <v>0</v>
      </c>
      <c r="B1511" s="102" t="s">
        <v>4235</v>
      </c>
      <c r="C1511" s="78" t="s">
        <v>62</v>
      </c>
      <c r="D1511" s="85" t="s">
        <v>1748</v>
      </c>
      <c r="E1511" s="78">
        <v>1</v>
      </c>
      <c r="F1511" s="78">
        <v>38.124000000000002</v>
      </c>
      <c r="G1511" s="78"/>
      <c r="H1511" s="78">
        <v>2.5</v>
      </c>
      <c r="I1511" s="78"/>
      <c r="J1511" s="133">
        <v>45782</v>
      </c>
      <c r="K1511" s="13">
        <f>E1511*F1511*H1511</f>
        <v>95.31</v>
      </c>
      <c r="L1511" s="13"/>
      <c r="M1511" s="13"/>
      <c r="N1511" s="13"/>
      <c r="O1511" s="15"/>
    </row>
    <row r="1512" spans="1:15" ht="18" customHeight="1">
      <c r="A1512" s="21"/>
      <c r="B1512" s="78" t="s">
        <v>700</v>
      </c>
      <c r="C1512" s="28">
        <v>2.1</v>
      </c>
      <c r="D1512" s="28" t="s">
        <v>3312</v>
      </c>
      <c r="E1512" s="78">
        <v>1.22</v>
      </c>
      <c r="F1512" s="28"/>
      <c r="G1512" s="28">
        <v>70</v>
      </c>
      <c r="H1512" s="78">
        <v>1.5</v>
      </c>
      <c r="I1512" s="28">
        <v>45</v>
      </c>
      <c r="J1512" s="133">
        <v>44925</v>
      </c>
      <c r="K1512" s="13">
        <f>+G1512*H1512</f>
        <v>105</v>
      </c>
      <c r="L1512" s="9"/>
      <c r="M1512" s="13"/>
      <c r="N1512" s="13">
        <f>G1512*H1512*I1512*E1512</f>
        <v>5764.5</v>
      </c>
      <c r="O1512" s="15">
        <f>K1512*1.6667</f>
        <v>175.0035</v>
      </c>
    </row>
    <row r="1513" spans="1:15" ht="18" customHeight="1">
      <c r="A1513" s="21"/>
      <c r="B1513" s="78" t="s">
        <v>700</v>
      </c>
      <c r="C1513" s="28"/>
      <c r="D1513" s="28" t="s">
        <v>3312</v>
      </c>
      <c r="E1513" s="78"/>
      <c r="F1513" s="28"/>
      <c r="G1513" s="28"/>
      <c r="H1513" s="78"/>
      <c r="I1513" s="28"/>
      <c r="J1513" s="133"/>
      <c r="K1513" s="13"/>
      <c r="L1513" s="9"/>
      <c r="M1513" s="13"/>
      <c r="N1513" s="13"/>
      <c r="O1513" s="15"/>
    </row>
    <row r="1514" spans="1:15" ht="18" customHeight="1">
      <c r="A1514" s="21">
        <v>107</v>
      </c>
      <c r="B1514" s="28" t="s">
        <v>4565</v>
      </c>
      <c r="C1514" s="28" t="s">
        <v>4566</v>
      </c>
      <c r="D1514" s="28" t="s">
        <v>3312</v>
      </c>
      <c r="E1514" s="78">
        <v>1.22</v>
      </c>
      <c r="F1514" s="28">
        <v>0</v>
      </c>
      <c r="G1514" s="28">
        <v>112.04</v>
      </c>
      <c r="H1514" s="28">
        <v>1.5</v>
      </c>
      <c r="I1514" s="28">
        <v>45</v>
      </c>
      <c r="J1514" s="133">
        <v>46001</v>
      </c>
      <c r="K1514" s="13">
        <f>+G1514*H1514*I1514*E1514</f>
        <v>9226.4939999999988</v>
      </c>
      <c r="L1514" s="9"/>
      <c r="M1514" s="13"/>
      <c r="N1514" s="13">
        <f>G1514*H1514*I1514*E1514</f>
        <v>9226.4939999999988</v>
      </c>
      <c r="O1514" s="15">
        <f>K1514*1.6667</f>
        <v>15377.797549799998</v>
      </c>
    </row>
    <row r="1515" spans="1:15" ht="18" customHeight="1">
      <c r="A1515" s="16"/>
      <c r="B1515" s="28" t="s">
        <v>4565</v>
      </c>
      <c r="C1515" s="110" t="s">
        <v>4567</v>
      </c>
      <c r="D1515" s="28" t="s">
        <v>3312</v>
      </c>
      <c r="E1515" s="87">
        <v>1.22</v>
      </c>
      <c r="F1515" s="87"/>
      <c r="G1515" s="110">
        <v>1.1200000000000001</v>
      </c>
      <c r="H1515" s="87">
        <v>1.8</v>
      </c>
      <c r="I1515" s="110">
        <v>45</v>
      </c>
      <c r="J1515" s="133">
        <v>46001</v>
      </c>
      <c r="K1515" s="9">
        <f>+G1515*H1515*I1515*E1515</f>
        <v>110.67840000000002</v>
      </c>
      <c r="L1515" s="37"/>
    </row>
    <row r="1516" spans="1:15" ht="18" customHeight="1">
      <c r="A1516" s="16"/>
      <c r="B1516" s="28" t="s">
        <v>4565</v>
      </c>
      <c r="C1516" s="110" t="s">
        <v>4568</v>
      </c>
      <c r="D1516" s="28" t="s">
        <v>3312</v>
      </c>
      <c r="E1516" s="87">
        <v>1.22</v>
      </c>
      <c r="F1516" s="87"/>
      <c r="G1516" s="110">
        <v>1.1200000000000001</v>
      </c>
      <c r="H1516" s="87">
        <v>1.8</v>
      </c>
      <c r="I1516" s="110">
        <v>45</v>
      </c>
      <c r="J1516" s="133">
        <v>46001</v>
      </c>
      <c r="K1516" s="9">
        <f>+(G1516*H1516*I1516*E1516)/4</f>
        <v>27.669600000000006</v>
      </c>
      <c r="L1516" s="37"/>
    </row>
    <row r="1517" spans="1:15" ht="18" customHeight="1">
      <c r="A1517" s="38">
        <v>28</v>
      </c>
      <c r="B1517" s="78" t="s">
        <v>1900</v>
      </c>
      <c r="C1517" s="121">
        <v>0</v>
      </c>
      <c r="D1517" s="28" t="s">
        <v>14</v>
      </c>
      <c r="E1517" s="78">
        <v>1</v>
      </c>
      <c r="F1517" s="78">
        <v>166</v>
      </c>
      <c r="G1517" s="121"/>
      <c r="H1517" s="78">
        <v>1.6</v>
      </c>
      <c r="I1517" s="121"/>
      <c r="J1517" s="303">
        <v>44512</v>
      </c>
      <c r="K1517" s="13">
        <f t="shared" ref="K1517:K1524" si="98">E1517*F1517*H1517</f>
        <v>265.60000000000002</v>
      </c>
      <c r="L1517" s="13"/>
      <c r="M1517" s="41"/>
      <c r="N1517" s="38"/>
      <c r="O1517" s="38"/>
    </row>
    <row r="1518" spans="1:15" ht="18" customHeight="1">
      <c r="A1518" s="38"/>
      <c r="B1518" s="103" t="s">
        <v>3202</v>
      </c>
      <c r="C1518" s="121"/>
      <c r="D1518" s="28" t="s">
        <v>3932</v>
      </c>
      <c r="E1518" s="78">
        <v>1.22</v>
      </c>
      <c r="F1518" s="103">
        <v>189</v>
      </c>
      <c r="G1518" s="121"/>
      <c r="H1518" s="103">
        <v>1.5</v>
      </c>
      <c r="I1518" s="121"/>
      <c r="J1518" s="140">
        <v>45635</v>
      </c>
      <c r="K1518" s="13">
        <f t="shared" si="98"/>
        <v>345.87</v>
      </c>
      <c r="L1518" s="64"/>
      <c r="M1518" s="41"/>
      <c r="N1518" s="38"/>
      <c r="O1518" s="38"/>
    </row>
    <row r="1519" spans="1:15" ht="18" customHeight="1">
      <c r="A1519" s="16"/>
      <c r="B1519" s="91" t="s">
        <v>3202</v>
      </c>
      <c r="C1519" s="117"/>
      <c r="D1519" s="28"/>
      <c r="E1519" s="91">
        <v>1.22</v>
      </c>
      <c r="F1519" s="87">
        <v>180</v>
      </c>
      <c r="G1519" s="110"/>
      <c r="H1519" s="87">
        <v>1.4</v>
      </c>
      <c r="I1519" s="110"/>
      <c r="J1519" s="135">
        <v>45220</v>
      </c>
      <c r="K1519" s="37">
        <f t="shared" si="98"/>
        <v>307.44</v>
      </c>
      <c r="L1519" s="37"/>
      <c r="M1519" s="41"/>
      <c r="N1519" s="38"/>
      <c r="O1519" s="38"/>
    </row>
    <row r="1520" spans="1:15" ht="18" customHeight="1">
      <c r="A1520" s="21" t="s">
        <v>4483</v>
      </c>
      <c r="B1520" s="28" t="s">
        <v>4486</v>
      </c>
      <c r="C1520" s="28" t="s">
        <v>4487</v>
      </c>
      <c r="D1520" s="28" t="s">
        <v>1292</v>
      </c>
      <c r="E1520" s="28">
        <v>1.22</v>
      </c>
      <c r="F1520" s="28">
        <v>199.9</v>
      </c>
      <c r="G1520" s="28"/>
      <c r="H1520" s="28">
        <v>1.8</v>
      </c>
      <c r="I1520" s="28"/>
      <c r="J1520" s="133">
        <v>45981</v>
      </c>
      <c r="K1520" s="9">
        <f t="shared" si="98"/>
        <v>438.98040000000003</v>
      </c>
      <c r="L1520" s="9"/>
      <c r="M1520" s="13"/>
      <c r="N1520" s="13">
        <f>G1520*H1520*I1520*E1520</f>
        <v>0</v>
      </c>
      <c r="O1520" s="15">
        <f>K1520*1.6667</f>
        <v>731.64863268000011</v>
      </c>
    </row>
    <row r="1521" spans="1:15" ht="18" customHeight="1">
      <c r="A1521" s="21" t="s">
        <v>4481</v>
      </c>
      <c r="B1521" s="28" t="s">
        <v>3799</v>
      </c>
      <c r="C1521" s="28" t="s">
        <v>4482</v>
      </c>
      <c r="D1521" s="28" t="s">
        <v>1292</v>
      </c>
      <c r="E1521" s="28">
        <v>1.22</v>
      </c>
      <c r="F1521" s="28">
        <v>499.9</v>
      </c>
      <c r="G1521" s="28"/>
      <c r="H1521" s="28">
        <v>1.8</v>
      </c>
      <c r="I1521" s="28"/>
      <c r="J1521" s="133">
        <v>45981</v>
      </c>
      <c r="K1521" s="9">
        <f t="shared" si="98"/>
        <v>1097.7803999999999</v>
      </c>
      <c r="L1521" s="9"/>
      <c r="M1521" s="13"/>
      <c r="N1521" s="13">
        <f>G1521*H1521*I1521*E1521</f>
        <v>0</v>
      </c>
      <c r="O1521" s="15">
        <f>K1521*1.6667</f>
        <v>1829.6705926799998</v>
      </c>
    </row>
    <row r="1522" spans="1:15" ht="18" customHeight="1">
      <c r="A1522" s="46" t="s">
        <v>1293</v>
      </c>
      <c r="B1522" s="28" t="s">
        <v>3799</v>
      </c>
      <c r="C1522" s="110">
        <v>0</v>
      </c>
      <c r="D1522" s="28" t="s">
        <v>1292</v>
      </c>
      <c r="E1522" s="28">
        <v>1.22</v>
      </c>
      <c r="F1522" s="28">
        <v>199.9</v>
      </c>
      <c r="G1522" s="110"/>
      <c r="H1522" s="28">
        <v>1.8</v>
      </c>
      <c r="I1522" s="110"/>
      <c r="J1522" s="134">
        <v>45572</v>
      </c>
      <c r="K1522" s="9">
        <f t="shared" si="98"/>
        <v>438.98040000000003</v>
      </c>
      <c r="L1522" s="9"/>
      <c r="M1522" s="13"/>
      <c r="N1522" s="38"/>
      <c r="O1522" s="38"/>
    </row>
    <row r="1523" spans="1:15" ht="18" customHeight="1">
      <c r="A1523" s="38" t="s">
        <v>1293</v>
      </c>
      <c r="B1523" s="101" t="s">
        <v>3679</v>
      </c>
      <c r="C1523" s="121" t="s">
        <v>3680</v>
      </c>
      <c r="D1523" s="110"/>
      <c r="E1523" s="103">
        <v>1.22</v>
      </c>
      <c r="F1523" s="103">
        <v>249.9</v>
      </c>
      <c r="G1523" s="121"/>
      <c r="H1523" s="103">
        <v>1.7</v>
      </c>
      <c r="I1523" s="121"/>
      <c r="J1523" s="103"/>
      <c r="K1523" s="64">
        <f t="shared" si="98"/>
        <v>518.29259999999999</v>
      </c>
      <c r="L1523" s="64"/>
      <c r="M1523" s="41"/>
      <c r="N1523" s="38"/>
      <c r="O1523" s="38"/>
    </row>
    <row r="1524" spans="1:15" ht="18" customHeight="1">
      <c r="A1524" s="228" t="s">
        <v>3204</v>
      </c>
      <c r="B1524" s="96" t="s">
        <v>3205</v>
      </c>
      <c r="C1524" s="96" t="s">
        <v>3206</v>
      </c>
      <c r="D1524" s="28" t="s">
        <v>451</v>
      </c>
      <c r="E1524" s="99">
        <v>1.22</v>
      </c>
      <c r="F1524" s="102">
        <v>269.89999999999998</v>
      </c>
      <c r="G1524" s="122"/>
      <c r="H1524" s="99">
        <v>1.8</v>
      </c>
      <c r="I1524" s="122"/>
      <c r="J1524" s="134">
        <v>45224</v>
      </c>
      <c r="K1524" s="50">
        <f t="shared" si="98"/>
        <v>592.70039999999995</v>
      </c>
      <c r="L1524" s="41"/>
      <c r="M1524" s="41"/>
      <c r="N1524" s="38"/>
      <c r="O1524" s="38"/>
    </row>
    <row r="1525" spans="1:15" ht="18" customHeight="1">
      <c r="A1525" s="38"/>
      <c r="B1525" s="103" t="s">
        <v>3205</v>
      </c>
      <c r="C1525" s="121" t="s">
        <v>3206</v>
      </c>
      <c r="D1525" s="28"/>
      <c r="E1525" s="103"/>
      <c r="F1525" s="103">
        <v>269.89999999999998</v>
      </c>
      <c r="G1525" s="121"/>
      <c r="H1525" s="103">
        <v>1.7</v>
      </c>
      <c r="I1525" s="121"/>
      <c r="J1525" s="135">
        <v>45219</v>
      </c>
      <c r="K1525" s="64">
        <f>E1689*F1525*H1525</f>
        <v>559.7725999999999</v>
      </c>
      <c r="L1525" s="64"/>
      <c r="M1525" s="41"/>
      <c r="N1525" s="38"/>
      <c r="O1525" s="38"/>
    </row>
    <row r="1526" spans="1:15" ht="18" customHeight="1">
      <c r="A1526" s="1" t="s">
        <v>4033</v>
      </c>
      <c r="B1526" s="101" t="s">
        <v>4034</v>
      </c>
      <c r="C1526" s="121" t="s">
        <v>4035</v>
      </c>
      <c r="D1526" s="28" t="s">
        <v>1292</v>
      </c>
      <c r="E1526" s="190">
        <v>1.22</v>
      </c>
      <c r="F1526" s="101">
        <v>199.9</v>
      </c>
      <c r="G1526" s="121"/>
      <c r="H1526" s="101">
        <v>1.8</v>
      </c>
      <c r="I1526" s="121"/>
      <c r="J1526" s="135">
        <v>45668</v>
      </c>
      <c r="K1526" s="13">
        <f t="shared" ref="K1526:K1545" si="99">E1526*F1526*H1526</f>
        <v>438.98040000000003</v>
      </c>
      <c r="L1526" s="64"/>
      <c r="M1526" s="41"/>
      <c r="N1526" s="39"/>
      <c r="O1526" s="39"/>
    </row>
    <row r="1527" spans="1:15" ht="18" customHeight="1">
      <c r="A1527" s="38"/>
      <c r="B1527" s="103" t="s">
        <v>4006</v>
      </c>
      <c r="C1527" s="121"/>
      <c r="D1527" s="28" t="s">
        <v>451</v>
      </c>
      <c r="E1527" s="103">
        <v>1.22</v>
      </c>
      <c r="F1527" s="103">
        <v>650</v>
      </c>
      <c r="G1527" s="121"/>
      <c r="H1527" s="103">
        <v>1.8</v>
      </c>
      <c r="I1527" s="121"/>
      <c r="J1527" s="138">
        <v>45960</v>
      </c>
      <c r="K1527" s="64">
        <f t="shared" si="99"/>
        <v>1427.4</v>
      </c>
      <c r="L1527" s="64"/>
      <c r="M1527" s="41"/>
      <c r="N1527" s="38"/>
      <c r="O1527" s="38"/>
    </row>
    <row r="1528" spans="1:15" ht="18" customHeight="1">
      <c r="A1528" s="38"/>
      <c r="B1528" s="103" t="s">
        <v>4006</v>
      </c>
      <c r="C1528" s="121" t="s">
        <v>4007</v>
      </c>
      <c r="D1528" s="28" t="s">
        <v>451</v>
      </c>
      <c r="E1528" s="103">
        <v>1.22</v>
      </c>
      <c r="F1528" s="103">
        <v>70</v>
      </c>
      <c r="G1528" s="121"/>
      <c r="H1528" s="103">
        <v>1.2</v>
      </c>
      <c r="I1528" s="121"/>
      <c r="J1528" s="138">
        <v>45960</v>
      </c>
      <c r="K1528" s="64">
        <f t="shared" si="99"/>
        <v>102.47999999999999</v>
      </c>
      <c r="L1528" s="64"/>
      <c r="M1528" s="41"/>
      <c r="N1528" s="38"/>
      <c r="O1528" s="38"/>
    </row>
    <row r="1529" spans="1:15" ht="18" customHeight="1">
      <c r="A1529" s="24"/>
      <c r="B1529" s="78" t="s">
        <v>628</v>
      </c>
      <c r="C1529" s="78" t="s">
        <v>3229</v>
      </c>
      <c r="D1529" s="93"/>
      <c r="E1529" s="78">
        <v>1.22</v>
      </c>
      <c r="F1529" s="78">
        <v>65</v>
      </c>
      <c r="G1529" s="78"/>
      <c r="H1529" s="93">
        <v>1.8</v>
      </c>
      <c r="I1529" s="78"/>
      <c r="J1529" s="146">
        <v>45232</v>
      </c>
      <c r="K1529" s="13">
        <f t="shared" si="99"/>
        <v>142.74</v>
      </c>
      <c r="L1529" s="13"/>
      <c r="M1529" s="13"/>
      <c r="N1529" s="13">
        <f>G1529*H1529*I1529*E1529</f>
        <v>0</v>
      </c>
      <c r="O1529" s="15">
        <f>K1529*1.6667</f>
        <v>237.90475800000002</v>
      </c>
    </row>
    <row r="1530" spans="1:15" ht="18" customHeight="1">
      <c r="A1530" s="21" t="s">
        <v>1561</v>
      </c>
      <c r="B1530" s="28" t="s">
        <v>1562</v>
      </c>
      <c r="C1530" s="28"/>
      <c r="D1530" s="28"/>
      <c r="E1530" s="28">
        <v>1.22</v>
      </c>
      <c r="F1530" s="28">
        <v>14.9</v>
      </c>
      <c r="G1530" s="28"/>
      <c r="H1530" s="28">
        <v>2</v>
      </c>
      <c r="I1530" s="28"/>
      <c r="J1530" s="133">
        <v>43900</v>
      </c>
      <c r="K1530" s="9">
        <f t="shared" si="99"/>
        <v>36.356000000000002</v>
      </c>
      <c r="L1530" s="13"/>
      <c r="M1530" s="13"/>
      <c r="N1530" s="13">
        <f>G1530*H1530*I1530*E1530</f>
        <v>0</v>
      </c>
      <c r="O1530" s="11">
        <f>K1530*1.6667</f>
        <v>60.594545200000006</v>
      </c>
    </row>
    <row r="1531" spans="1:15" ht="18" customHeight="1">
      <c r="A1531" s="24"/>
      <c r="B1531" s="96" t="s">
        <v>3855</v>
      </c>
      <c r="C1531" s="78" t="s">
        <v>3854</v>
      </c>
      <c r="D1531" s="85" t="s">
        <v>3409</v>
      </c>
      <c r="E1531" s="96">
        <v>1.22</v>
      </c>
      <c r="F1531" s="96">
        <v>632</v>
      </c>
      <c r="G1531" s="78"/>
      <c r="H1531" s="96">
        <v>1.3</v>
      </c>
      <c r="I1531" s="78"/>
      <c r="J1531" s="140">
        <v>45824</v>
      </c>
      <c r="K1531" s="13">
        <f t="shared" si="99"/>
        <v>1002.352</v>
      </c>
      <c r="L1531" s="13"/>
      <c r="M1531" s="13"/>
      <c r="N1531" s="13">
        <f>G1531*H1531*I1531*E1531</f>
        <v>0</v>
      </c>
      <c r="O1531" s="11">
        <f>K1531*1.6667</f>
        <v>1670.6200784</v>
      </c>
    </row>
    <row r="1532" spans="1:15" ht="18" customHeight="1">
      <c r="A1532" s="24">
        <v>590</v>
      </c>
      <c r="B1532" s="96" t="s">
        <v>2671</v>
      </c>
      <c r="C1532" s="78" t="s">
        <v>15</v>
      </c>
      <c r="D1532" s="28" t="s">
        <v>3409</v>
      </c>
      <c r="E1532" s="96">
        <v>1.22</v>
      </c>
      <c r="F1532" s="96">
        <v>5.3</v>
      </c>
      <c r="G1532" s="78">
        <v>0</v>
      </c>
      <c r="H1532" s="96">
        <v>1.6</v>
      </c>
      <c r="I1532" s="78"/>
      <c r="J1532" s="140">
        <v>45824</v>
      </c>
      <c r="K1532" s="13">
        <f t="shared" si="99"/>
        <v>10.345599999999999</v>
      </c>
      <c r="L1532" s="13"/>
      <c r="M1532" s="13"/>
      <c r="N1532" s="13">
        <f>G1532*H1532*I1532*E1532</f>
        <v>0</v>
      </c>
      <c r="O1532" s="11">
        <f>K1532*1.6667</f>
        <v>17.24301152</v>
      </c>
    </row>
    <row r="1533" spans="1:15" ht="18" customHeight="1">
      <c r="A1533" s="24">
        <v>31109</v>
      </c>
      <c r="B1533" s="96" t="s">
        <v>2855</v>
      </c>
      <c r="C1533" s="78"/>
      <c r="D1533" s="28" t="s">
        <v>1292</v>
      </c>
      <c r="E1533" s="96">
        <v>1.22</v>
      </c>
      <c r="F1533" s="96">
        <v>79.900000000000006</v>
      </c>
      <c r="G1533" s="78"/>
      <c r="H1533" s="96">
        <v>3</v>
      </c>
      <c r="I1533" s="78"/>
      <c r="J1533" s="138">
        <v>44944</v>
      </c>
      <c r="K1533" s="13">
        <f t="shared" si="99"/>
        <v>292.43400000000003</v>
      </c>
      <c r="L1533" s="13"/>
      <c r="M1533" s="13"/>
      <c r="N1533" s="13"/>
      <c r="O1533" s="11"/>
    </row>
    <row r="1534" spans="1:15" ht="18" hidden="1" customHeight="1">
      <c r="A1534" s="24" t="s">
        <v>1028</v>
      </c>
      <c r="B1534" s="96" t="s">
        <v>1029</v>
      </c>
      <c r="C1534" s="78" t="s">
        <v>15</v>
      </c>
      <c r="D1534" s="28" t="s">
        <v>3301</v>
      </c>
      <c r="E1534" s="96">
        <v>1.22</v>
      </c>
      <c r="F1534" s="96">
        <v>39</v>
      </c>
      <c r="G1534" s="78"/>
      <c r="H1534" s="96">
        <v>2</v>
      </c>
      <c r="I1534" s="78"/>
      <c r="J1534" s="140">
        <v>43325</v>
      </c>
      <c r="K1534" s="13">
        <f t="shared" si="99"/>
        <v>95.16</v>
      </c>
      <c r="L1534" s="13"/>
      <c r="M1534" s="13"/>
      <c r="N1534" s="13">
        <f>G1534*H1534*I1534*E1534</f>
        <v>0</v>
      </c>
      <c r="O1534" s="11">
        <f>K1534*1.6667</f>
        <v>158.603172</v>
      </c>
    </row>
    <row r="1535" spans="1:15" ht="18" customHeight="1">
      <c r="A1535" s="58">
        <v>2126</v>
      </c>
      <c r="B1535" s="99" t="s">
        <v>3022</v>
      </c>
      <c r="C1535" s="121" t="s">
        <v>3023</v>
      </c>
      <c r="D1535" s="28" t="s">
        <v>451</v>
      </c>
      <c r="E1535" s="96">
        <v>1.22</v>
      </c>
      <c r="F1535" s="99">
        <v>71</v>
      </c>
      <c r="G1535" s="121"/>
      <c r="H1535" s="96">
        <v>1.4</v>
      </c>
      <c r="I1535" s="121"/>
      <c r="J1535" s="144">
        <v>45055</v>
      </c>
      <c r="K1535" s="13">
        <f t="shared" si="99"/>
        <v>121.268</v>
      </c>
      <c r="L1535" s="13"/>
      <c r="M1535" s="41"/>
      <c r="N1535" s="38"/>
      <c r="O1535" s="39"/>
    </row>
    <row r="1536" spans="1:15" ht="18" customHeight="1">
      <c r="A1536" s="38"/>
      <c r="B1536" s="96" t="s">
        <v>2368</v>
      </c>
      <c r="C1536" s="78" t="s">
        <v>13</v>
      </c>
      <c r="D1536" s="28"/>
      <c r="E1536" s="28">
        <v>1.22</v>
      </c>
      <c r="F1536" s="96">
        <v>80</v>
      </c>
      <c r="G1536" s="121"/>
      <c r="H1536" s="28">
        <v>1.6</v>
      </c>
      <c r="I1536" s="121"/>
      <c r="J1536" s="138">
        <v>44768</v>
      </c>
      <c r="K1536" s="9">
        <f t="shared" si="99"/>
        <v>156.16</v>
      </c>
      <c r="L1536" s="41"/>
      <c r="M1536" s="41"/>
      <c r="N1536" s="38"/>
      <c r="O1536" s="39"/>
    </row>
    <row r="1537" spans="1:15" ht="18" customHeight="1">
      <c r="A1537" s="31">
        <v>108001</v>
      </c>
      <c r="B1537" s="96" t="s">
        <v>4058</v>
      </c>
      <c r="C1537" s="82" t="s">
        <v>4059</v>
      </c>
      <c r="D1537" s="28" t="s">
        <v>1245</v>
      </c>
      <c r="E1537" s="28">
        <v>1.22</v>
      </c>
      <c r="F1537" s="96">
        <v>138.71</v>
      </c>
      <c r="G1537" s="82"/>
      <c r="H1537" s="96">
        <v>1.5</v>
      </c>
      <c r="I1537" s="82"/>
      <c r="J1537" s="140">
        <v>45687</v>
      </c>
      <c r="K1537" s="13">
        <f t="shared" si="99"/>
        <v>253.83930000000001</v>
      </c>
      <c r="L1537" s="13"/>
      <c r="M1537" s="13"/>
      <c r="N1537" s="38"/>
      <c r="O1537" s="39"/>
    </row>
    <row r="1538" spans="1:15" ht="18" customHeight="1">
      <c r="A1538" s="24"/>
      <c r="B1538" s="96" t="s">
        <v>3748</v>
      </c>
      <c r="C1538" s="78"/>
      <c r="D1538" s="28" t="s">
        <v>3747</v>
      </c>
      <c r="E1538" s="28">
        <v>1.22</v>
      </c>
      <c r="F1538" s="96">
        <v>41</v>
      </c>
      <c r="G1538" s="78"/>
      <c r="H1538" s="96">
        <v>1.5</v>
      </c>
      <c r="I1538" s="78"/>
      <c r="J1538" s="140">
        <v>45541</v>
      </c>
      <c r="K1538" s="64">
        <f t="shared" si="99"/>
        <v>75.03</v>
      </c>
      <c r="L1538" s="13"/>
      <c r="M1538" s="13"/>
      <c r="N1538" s="13"/>
      <c r="O1538" s="11"/>
    </row>
    <row r="1539" spans="1:15" ht="18" customHeight="1">
      <c r="A1539" s="24">
        <v>31036</v>
      </c>
      <c r="B1539" s="96" t="s">
        <v>3396</v>
      </c>
      <c r="C1539" s="78" t="s">
        <v>3397</v>
      </c>
      <c r="D1539" s="28" t="s">
        <v>37</v>
      </c>
      <c r="E1539" s="96">
        <v>1.22</v>
      </c>
      <c r="F1539" s="96">
        <v>179.9</v>
      </c>
      <c r="G1539" s="121"/>
      <c r="H1539" s="96">
        <v>1.6</v>
      </c>
      <c r="I1539" s="121"/>
      <c r="J1539" s="144">
        <v>45364</v>
      </c>
      <c r="K1539" s="13">
        <f t="shared" si="99"/>
        <v>351.16480000000001</v>
      </c>
      <c r="L1539" s="13"/>
      <c r="M1539" s="226"/>
      <c r="N1539" s="13">
        <f>G1539*H1539*I1539*E1539</f>
        <v>0</v>
      </c>
      <c r="O1539" s="11">
        <f>K1539*1.6667</f>
        <v>585.28637216000004</v>
      </c>
    </row>
    <row r="1540" spans="1:15" ht="18" customHeight="1">
      <c r="A1540" s="21"/>
      <c r="B1540" s="28" t="s">
        <v>1822</v>
      </c>
      <c r="C1540" s="28" t="s">
        <v>1367</v>
      </c>
      <c r="D1540" s="28"/>
      <c r="E1540" s="28">
        <v>1.22</v>
      </c>
      <c r="F1540" s="28"/>
      <c r="G1540" s="28"/>
      <c r="H1540" s="28">
        <v>1.2</v>
      </c>
      <c r="I1540" s="28"/>
      <c r="J1540" s="133">
        <v>44056</v>
      </c>
      <c r="K1540" s="9">
        <f t="shared" si="99"/>
        <v>0</v>
      </c>
      <c r="L1540" s="9"/>
      <c r="M1540" s="13"/>
      <c r="N1540" s="13" t="e">
        <f>#REF!*#REF!*#REF!*#REF!</f>
        <v>#REF!</v>
      </c>
      <c r="O1540" s="312" t="e">
        <f>#REF!*1.6667</f>
        <v>#REF!</v>
      </c>
    </row>
    <row r="1541" spans="1:15" ht="18" customHeight="1">
      <c r="A1541" s="21"/>
      <c r="B1541" s="28" t="s">
        <v>1822</v>
      </c>
      <c r="C1541" s="28" t="s">
        <v>1823</v>
      </c>
      <c r="D1541" s="28"/>
      <c r="E1541" s="28">
        <v>1.22</v>
      </c>
      <c r="F1541" s="28"/>
      <c r="G1541" s="28"/>
      <c r="H1541" s="28">
        <v>1.2</v>
      </c>
      <c r="I1541" s="28"/>
      <c r="J1541" s="133">
        <v>44056</v>
      </c>
      <c r="K1541" s="9">
        <f t="shared" si="99"/>
        <v>0</v>
      </c>
      <c r="L1541" s="9"/>
      <c r="M1541" s="13"/>
      <c r="N1541" s="13" t="e">
        <f>#REF!*#REF!*#REF!*#REF!</f>
        <v>#REF!</v>
      </c>
      <c r="O1541" s="15" t="e">
        <f>#REF!*1.6667</f>
        <v>#REF!</v>
      </c>
    </row>
    <row r="1542" spans="1:15" ht="18" customHeight="1">
      <c r="A1542" s="21"/>
      <c r="B1542" s="28" t="s">
        <v>1822</v>
      </c>
      <c r="C1542" s="274" t="s">
        <v>129</v>
      </c>
      <c r="D1542" s="28"/>
      <c r="E1542" s="28">
        <v>1.22</v>
      </c>
      <c r="F1542" s="28"/>
      <c r="G1542" s="28"/>
      <c r="H1542" s="28">
        <v>1.3</v>
      </c>
      <c r="I1542" s="28"/>
      <c r="J1542" s="133">
        <v>44056</v>
      </c>
      <c r="K1542" s="9">
        <f t="shared" si="99"/>
        <v>0</v>
      </c>
      <c r="L1542" s="9"/>
      <c r="M1542" s="13"/>
      <c r="N1542" s="13"/>
      <c r="O1542" s="15"/>
    </row>
    <row r="1543" spans="1:15" ht="18" customHeight="1">
      <c r="A1543" s="21"/>
      <c r="B1543" s="28" t="s">
        <v>1178</v>
      </c>
      <c r="C1543" s="28" t="s">
        <v>3073</v>
      </c>
      <c r="D1543" s="28" t="s">
        <v>3299</v>
      </c>
      <c r="E1543" s="28">
        <v>1.22</v>
      </c>
      <c r="F1543" s="28">
        <v>380</v>
      </c>
      <c r="G1543" s="28"/>
      <c r="H1543" s="28">
        <v>1.4</v>
      </c>
      <c r="I1543" s="28"/>
      <c r="J1543" s="133">
        <v>45098</v>
      </c>
      <c r="K1543" s="9">
        <f t="shared" si="99"/>
        <v>649.04</v>
      </c>
      <c r="L1543" s="9"/>
      <c r="M1543" s="13"/>
      <c r="N1543" s="13">
        <f>G1543*H1543*I1543*E1543</f>
        <v>0</v>
      </c>
      <c r="O1543" s="15">
        <f>K1543*1.6667</f>
        <v>1081.754968</v>
      </c>
    </row>
    <row r="1544" spans="1:15" ht="18" customHeight="1">
      <c r="A1544" s="24"/>
      <c r="B1544" s="78" t="s">
        <v>210</v>
      </c>
      <c r="C1544" s="78" t="s">
        <v>3072</v>
      </c>
      <c r="D1544" s="28" t="s">
        <v>3299</v>
      </c>
      <c r="E1544" s="78">
        <v>1.22</v>
      </c>
      <c r="F1544" s="78">
        <v>130</v>
      </c>
      <c r="G1544" s="78"/>
      <c r="H1544" s="78">
        <v>1.5</v>
      </c>
      <c r="I1544" s="78"/>
      <c r="J1544" s="140">
        <v>45098</v>
      </c>
      <c r="K1544" s="13">
        <f t="shared" si="99"/>
        <v>237.89999999999998</v>
      </c>
      <c r="L1544" s="13"/>
      <c r="M1544" s="13"/>
      <c r="N1544" s="13">
        <f>G1544*H1544*I1544*E1544</f>
        <v>0</v>
      </c>
      <c r="O1544" s="15">
        <f>K1544*1.6667</f>
        <v>396.50792999999999</v>
      </c>
    </row>
    <row r="1545" spans="1:15" ht="18" customHeight="1">
      <c r="A1545" s="58">
        <v>0</v>
      </c>
      <c r="B1545" s="106" t="s">
        <v>4099</v>
      </c>
      <c r="C1545" s="125" t="s">
        <v>91</v>
      </c>
      <c r="D1545" s="28" t="s">
        <v>23</v>
      </c>
      <c r="E1545" s="78">
        <v>1.22</v>
      </c>
      <c r="F1545" s="106">
        <v>760</v>
      </c>
      <c r="G1545" s="121"/>
      <c r="H1545" s="274">
        <v>1.4</v>
      </c>
      <c r="I1545" s="121"/>
      <c r="J1545" s="134">
        <v>45715</v>
      </c>
      <c r="K1545" s="50">
        <f t="shared" si="99"/>
        <v>1298.08</v>
      </c>
      <c r="L1545" s="64"/>
      <c r="M1545" s="41"/>
      <c r="N1545" s="38"/>
      <c r="O1545" s="38"/>
    </row>
    <row r="1546" spans="1:15" ht="18" customHeight="1">
      <c r="A1546" s="24">
        <v>260500</v>
      </c>
      <c r="B1546" s="78" t="s">
        <v>534</v>
      </c>
      <c r="C1546" s="78" t="s">
        <v>535</v>
      </c>
      <c r="D1546" s="28" t="s">
        <v>23</v>
      </c>
      <c r="E1546" s="78">
        <v>1</v>
      </c>
      <c r="F1546" s="78">
        <v>0</v>
      </c>
      <c r="G1546" s="78">
        <v>3.73</v>
      </c>
      <c r="H1546" s="78">
        <v>1.6</v>
      </c>
      <c r="I1546" s="78">
        <v>42</v>
      </c>
      <c r="J1546" s="140">
        <v>45567</v>
      </c>
      <c r="K1546" s="13">
        <f>+I1546*H1546*G1546</f>
        <v>250.65600000000001</v>
      </c>
      <c r="L1546" s="13"/>
      <c r="M1546" s="13"/>
      <c r="N1546" s="13">
        <f>G1546*H1546*I1546*E1546</f>
        <v>250.65600000000001</v>
      </c>
      <c r="O1546" s="15">
        <f>K1546*1.6667</f>
        <v>417.76835520000003</v>
      </c>
    </row>
    <row r="1547" spans="1:15" ht="18" customHeight="1">
      <c r="A1547" s="24" t="s">
        <v>1076</v>
      </c>
      <c r="B1547" s="78" t="s">
        <v>1075</v>
      </c>
      <c r="C1547" s="78" t="s">
        <v>139</v>
      </c>
      <c r="D1547" s="28" t="s">
        <v>3297</v>
      </c>
      <c r="E1547" s="78">
        <v>1.22</v>
      </c>
      <c r="F1547" s="78">
        <v>29</v>
      </c>
      <c r="G1547" s="78"/>
      <c r="H1547" s="78">
        <v>2</v>
      </c>
      <c r="I1547" s="78"/>
      <c r="J1547" s="140">
        <v>45939</v>
      </c>
      <c r="K1547" s="13">
        <f t="shared" ref="K1547:K1561" si="100">E1547*F1547*H1547</f>
        <v>70.760000000000005</v>
      </c>
      <c r="L1547" s="13"/>
      <c r="M1547" s="13"/>
      <c r="N1547" s="13">
        <f>G1547*H1547*I1547*E1547</f>
        <v>0</v>
      </c>
      <c r="O1547" s="15"/>
    </row>
    <row r="1548" spans="1:15" ht="18" customHeight="1">
      <c r="A1548" s="38"/>
      <c r="B1548" s="78" t="s">
        <v>1661</v>
      </c>
      <c r="C1548" s="78" t="s">
        <v>1662</v>
      </c>
      <c r="D1548" s="28" t="s">
        <v>3299</v>
      </c>
      <c r="E1548" s="78">
        <v>1.22</v>
      </c>
      <c r="F1548" s="78">
        <v>240</v>
      </c>
      <c r="G1548" s="121"/>
      <c r="H1548" s="78">
        <v>1.4</v>
      </c>
      <c r="I1548" s="121"/>
      <c r="J1548" s="138">
        <v>43956</v>
      </c>
      <c r="K1548" s="13">
        <f t="shared" si="100"/>
        <v>409.92</v>
      </c>
      <c r="L1548" s="13"/>
      <c r="M1548" s="41"/>
      <c r="N1548" s="38"/>
      <c r="O1548" s="38"/>
    </row>
    <row r="1549" spans="1:15" ht="18" customHeight="1">
      <c r="A1549" s="24"/>
      <c r="B1549" s="78" t="s">
        <v>1541</v>
      </c>
      <c r="C1549" s="78"/>
      <c r="D1549" s="28"/>
      <c r="E1549" s="78">
        <v>1</v>
      </c>
      <c r="F1549" s="78">
        <v>79</v>
      </c>
      <c r="G1549" s="78"/>
      <c r="H1549" s="78">
        <v>1.8</v>
      </c>
      <c r="I1549" s="78"/>
      <c r="J1549" s="138">
        <v>43900</v>
      </c>
      <c r="K1549" s="13">
        <f t="shared" si="100"/>
        <v>142.20000000000002</v>
      </c>
      <c r="L1549" s="13"/>
      <c r="M1549" s="62">
        <v>1.22</v>
      </c>
      <c r="N1549" s="13">
        <f>G1549*H1549*I1549*E1549</f>
        <v>0</v>
      </c>
      <c r="O1549" s="15">
        <f>K1549*1.6667</f>
        <v>237.00474000000003</v>
      </c>
    </row>
    <row r="1550" spans="1:15" ht="18" customHeight="1">
      <c r="A1550" s="24">
        <v>0</v>
      </c>
      <c r="B1550" s="78" t="s">
        <v>2611</v>
      </c>
      <c r="C1550" s="78" t="s">
        <v>15</v>
      </c>
      <c r="D1550" s="28" t="s">
        <v>451</v>
      </c>
      <c r="E1550" s="78">
        <v>1</v>
      </c>
      <c r="F1550" s="78">
        <v>20</v>
      </c>
      <c r="G1550" s="78"/>
      <c r="H1550" s="78">
        <v>1.6</v>
      </c>
      <c r="I1550" s="78"/>
      <c r="J1550" s="140">
        <v>44740</v>
      </c>
      <c r="K1550" s="13">
        <f t="shared" si="100"/>
        <v>32</v>
      </c>
      <c r="L1550" s="13"/>
      <c r="M1550" s="13"/>
      <c r="N1550" s="13">
        <f>G1550*H1550*I1550*E1550</f>
        <v>0</v>
      </c>
      <c r="O1550" s="15">
        <f>K1550*1.6667</f>
        <v>53.334400000000002</v>
      </c>
    </row>
    <row r="1551" spans="1:15" ht="18" customHeight="1">
      <c r="A1551" s="38" t="s">
        <v>3699</v>
      </c>
      <c r="B1551" s="103" t="s">
        <v>3697</v>
      </c>
      <c r="C1551" s="121" t="s">
        <v>3698</v>
      </c>
      <c r="D1551" s="110"/>
      <c r="E1551" s="103">
        <v>1.22</v>
      </c>
      <c r="F1551" s="103">
        <v>890</v>
      </c>
      <c r="G1551" s="121"/>
      <c r="H1551" s="103">
        <v>1.8</v>
      </c>
      <c r="I1551" s="121"/>
      <c r="J1551" s="103"/>
      <c r="K1551" s="64">
        <f t="shared" si="100"/>
        <v>1954.44</v>
      </c>
      <c r="L1551" s="64"/>
      <c r="M1551" s="41"/>
      <c r="N1551" s="38"/>
      <c r="O1551" s="38"/>
    </row>
    <row r="1552" spans="1:15" ht="18" customHeight="1">
      <c r="A1552" s="58" t="s">
        <v>2505</v>
      </c>
      <c r="B1552" s="78" t="s">
        <v>2506</v>
      </c>
      <c r="C1552" s="125" t="s">
        <v>2507</v>
      </c>
      <c r="D1552" s="28" t="s">
        <v>451</v>
      </c>
      <c r="E1552" s="78">
        <v>1.22</v>
      </c>
      <c r="F1552" s="102">
        <v>1225</v>
      </c>
      <c r="G1552" s="121"/>
      <c r="H1552" s="78">
        <v>1.4</v>
      </c>
      <c r="I1552" s="121"/>
      <c r="J1552" s="144">
        <v>44676</v>
      </c>
      <c r="K1552" s="13">
        <f t="shared" si="100"/>
        <v>2092.2999999999997</v>
      </c>
      <c r="L1552" s="13"/>
      <c r="M1552" s="41"/>
      <c r="N1552" s="38"/>
      <c r="O1552" s="38"/>
    </row>
    <row r="1553" spans="1:15" ht="18" customHeight="1">
      <c r="A1553" s="24" t="s">
        <v>4506</v>
      </c>
      <c r="B1553" s="78" t="s">
        <v>4507</v>
      </c>
      <c r="C1553" s="78">
        <v>0</v>
      </c>
      <c r="D1553" s="28" t="s">
        <v>1292</v>
      </c>
      <c r="E1553" s="78">
        <v>1.22</v>
      </c>
      <c r="F1553" s="78">
        <v>399.9</v>
      </c>
      <c r="G1553" s="78"/>
      <c r="H1553" s="78">
        <v>1.6</v>
      </c>
      <c r="I1553" s="78"/>
      <c r="J1553" s="140">
        <v>45981</v>
      </c>
      <c r="K1553" s="13">
        <f t="shared" si="100"/>
        <v>780.60480000000007</v>
      </c>
      <c r="L1553" s="13"/>
      <c r="M1553" s="13"/>
      <c r="N1553" s="13">
        <f>G1553*H1553*I1553*E1553</f>
        <v>0</v>
      </c>
      <c r="O1553" s="15">
        <f>K1553*1.6667</f>
        <v>1301.0340201600002</v>
      </c>
    </row>
    <row r="1554" spans="1:15" ht="18" customHeight="1">
      <c r="A1554" s="31">
        <v>22079</v>
      </c>
      <c r="B1554" s="78" t="s">
        <v>1985</v>
      </c>
      <c r="C1554" s="82" t="s">
        <v>98</v>
      </c>
      <c r="D1554" s="28" t="s">
        <v>3303</v>
      </c>
      <c r="E1554" s="78">
        <v>1</v>
      </c>
      <c r="F1554" s="78">
        <v>1200</v>
      </c>
      <c r="G1554" s="82"/>
      <c r="H1554" s="78">
        <v>1.3</v>
      </c>
      <c r="I1554" s="82"/>
      <c r="J1554" s="140">
        <v>45590</v>
      </c>
      <c r="K1554" s="13">
        <f t="shared" si="100"/>
        <v>1560</v>
      </c>
      <c r="L1554" s="58"/>
      <c r="M1554" s="58"/>
      <c r="N1554" s="13">
        <f>G1554*H1554*I1554*E1554</f>
        <v>0</v>
      </c>
      <c r="O1554" s="62">
        <f>K1554*1.6667</f>
        <v>2600.0520000000001</v>
      </c>
    </row>
    <row r="1555" spans="1:15" ht="18" customHeight="1">
      <c r="A1555" s="31">
        <v>22080</v>
      </c>
      <c r="B1555" s="78" t="s">
        <v>1985</v>
      </c>
      <c r="C1555" s="82" t="s">
        <v>4419</v>
      </c>
      <c r="D1555" s="28" t="s">
        <v>4063</v>
      </c>
      <c r="E1555" s="78">
        <v>1</v>
      </c>
      <c r="F1555" s="78">
        <v>2320</v>
      </c>
      <c r="G1555" s="82"/>
      <c r="H1555" s="78">
        <v>1.4</v>
      </c>
      <c r="I1555" s="82"/>
      <c r="J1555" s="140">
        <v>45937</v>
      </c>
      <c r="K1555" s="13">
        <f t="shared" si="100"/>
        <v>3248</v>
      </c>
      <c r="L1555" s="41"/>
      <c r="M1555" s="41"/>
      <c r="N1555" s="13">
        <f>G1555*H1555*I1555*E1555</f>
        <v>0</v>
      </c>
      <c r="O1555" s="15">
        <f>K1555*1.6667</f>
        <v>5413.4416000000001</v>
      </c>
    </row>
    <row r="1556" spans="1:15" ht="18" customHeight="1">
      <c r="A1556" s="38"/>
      <c r="B1556" s="78" t="s">
        <v>1985</v>
      </c>
      <c r="C1556" s="125" t="s">
        <v>4064</v>
      </c>
      <c r="D1556" s="28" t="s">
        <v>4063</v>
      </c>
      <c r="E1556" s="78">
        <v>1</v>
      </c>
      <c r="F1556" s="78">
        <v>58</v>
      </c>
      <c r="G1556" s="121"/>
      <c r="H1556" s="78">
        <v>1.4</v>
      </c>
      <c r="I1556" s="121"/>
      <c r="J1556" s="144">
        <v>45937</v>
      </c>
      <c r="K1556" s="13">
        <f t="shared" si="100"/>
        <v>81.199999999999989</v>
      </c>
      <c r="L1556" s="13"/>
      <c r="M1556" s="62">
        <v>1.22</v>
      </c>
      <c r="N1556" s="38"/>
      <c r="O1556" s="15">
        <f>K1556*1.6667</f>
        <v>135.33604</v>
      </c>
    </row>
    <row r="1557" spans="1:15" ht="18" customHeight="1">
      <c r="A1557" s="175" t="s">
        <v>3830</v>
      </c>
      <c r="B1557" s="103" t="s">
        <v>3846</v>
      </c>
      <c r="C1557" s="121"/>
      <c r="D1557" s="110" t="s">
        <v>3824</v>
      </c>
      <c r="E1557" s="103">
        <v>1.22</v>
      </c>
      <c r="F1557" s="103">
        <v>83</v>
      </c>
      <c r="G1557" s="121"/>
      <c r="H1557" s="103">
        <v>1.8</v>
      </c>
      <c r="I1557" s="121"/>
      <c r="J1557" s="138">
        <v>45567</v>
      </c>
      <c r="K1557" s="13">
        <f t="shared" si="100"/>
        <v>182.268</v>
      </c>
      <c r="L1557" s="64"/>
      <c r="M1557" s="41"/>
      <c r="N1557" s="38"/>
      <c r="O1557" s="38"/>
    </row>
    <row r="1558" spans="1:15" ht="18" customHeight="1">
      <c r="A1558" s="38"/>
      <c r="B1558" s="78" t="s">
        <v>1547</v>
      </c>
      <c r="C1558" s="121"/>
      <c r="D1558" s="28"/>
      <c r="E1558" s="78">
        <v>1</v>
      </c>
      <c r="F1558" s="78">
        <v>48</v>
      </c>
      <c r="G1558" s="121"/>
      <c r="H1558" s="78">
        <v>2</v>
      </c>
      <c r="I1558" s="121"/>
      <c r="J1558" s="138">
        <v>43900</v>
      </c>
      <c r="K1558" s="184">
        <f t="shared" si="100"/>
        <v>96</v>
      </c>
      <c r="L1558" s="184"/>
      <c r="M1558" s="41">
        <v>1.22</v>
      </c>
      <c r="N1558" s="38"/>
      <c r="O1558" s="38"/>
    </row>
    <row r="1559" spans="1:15" ht="18" customHeight="1">
      <c r="A1559" s="175" t="s">
        <v>3829</v>
      </c>
      <c r="B1559" s="103" t="s">
        <v>3845</v>
      </c>
      <c r="C1559" s="121"/>
      <c r="D1559" s="110" t="s">
        <v>3824</v>
      </c>
      <c r="E1559" s="103">
        <v>1.22</v>
      </c>
      <c r="F1559" s="103">
        <v>130</v>
      </c>
      <c r="G1559" s="121"/>
      <c r="H1559" s="103">
        <v>1.8</v>
      </c>
      <c r="I1559" s="121"/>
      <c r="J1559" s="138">
        <v>45567</v>
      </c>
      <c r="K1559" s="13">
        <f t="shared" si="100"/>
        <v>285.48</v>
      </c>
      <c r="L1559" s="64"/>
      <c r="M1559" s="41"/>
      <c r="N1559" s="38"/>
      <c r="O1559" s="38"/>
    </row>
    <row r="1560" spans="1:15" ht="18" customHeight="1">
      <c r="A1560" s="24" t="s">
        <v>4509</v>
      </c>
      <c r="B1560" s="78" t="s">
        <v>2361</v>
      </c>
      <c r="C1560" s="78"/>
      <c r="D1560" s="28" t="s">
        <v>1292</v>
      </c>
      <c r="E1560" s="78">
        <v>1.22</v>
      </c>
      <c r="F1560" s="78">
        <v>59.9</v>
      </c>
      <c r="G1560" s="78"/>
      <c r="H1560" s="78">
        <v>1.8</v>
      </c>
      <c r="I1560" s="78"/>
      <c r="J1560" s="140">
        <v>45981</v>
      </c>
      <c r="K1560" s="13">
        <f t="shared" si="100"/>
        <v>131.54040000000001</v>
      </c>
      <c r="L1560" s="13"/>
      <c r="M1560" s="13"/>
      <c r="N1560" s="13"/>
      <c r="O1560" s="15"/>
    </row>
    <row r="1561" spans="1:15" ht="18" customHeight="1">
      <c r="A1561" s="24" t="s">
        <v>4510</v>
      </c>
      <c r="B1561" s="78" t="s">
        <v>2361</v>
      </c>
      <c r="C1561" s="78"/>
      <c r="D1561" s="28" t="s">
        <v>1292</v>
      </c>
      <c r="E1561" s="78">
        <v>1.22</v>
      </c>
      <c r="F1561" s="78">
        <v>59.9</v>
      </c>
      <c r="G1561" s="78"/>
      <c r="H1561" s="78">
        <v>1.8</v>
      </c>
      <c r="I1561" s="78"/>
      <c r="J1561" s="140">
        <v>45981</v>
      </c>
      <c r="K1561" s="13">
        <f t="shared" si="100"/>
        <v>131.54040000000001</v>
      </c>
      <c r="L1561" s="13"/>
      <c r="M1561" s="13"/>
      <c r="N1561" s="13"/>
      <c r="O1561" s="15"/>
    </row>
    <row r="1562" spans="1:15" ht="18" customHeight="1">
      <c r="A1562" s="1" t="s">
        <v>4511</v>
      </c>
      <c r="B1562" s="78" t="s">
        <v>2361</v>
      </c>
      <c r="C1562" s="125" t="s">
        <v>15</v>
      </c>
      <c r="D1562" s="28" t="s">
        <v>1292</v>
      </c>
      <c r="E1562" s="102">
        <v>1.22</v>
      </c>
      <c r="F1562" s="106">
        <v>59.9</v>
      </c>
      <c r="G1562" s="121">
        <v>1.78</v>
      </c>
      <c r="H1562" s="102">
        <v>1.8</v>
      </c>
      <c r="I1562" s="125">
        <v>44</v>
      </c>
      <c r="J1562" s="144">
        <v>45982</v>
      </c>
      <c r="K1562" s="13">
        <f>+E1562*G1562*H1562*I1562</f>
        <v>171.99072000000001</v>
      </c>
      <c r="L1562" s="13"/>
      <c r="M1562" s="41"/>
      <c r="N1562" s="38"/>
      <c r="O1562" s="38"/>
    </row>
    <row r="1563" spans="1:15" ht="18" customHeight="1">
      <c r="A1563" s="24" t="s">
        <v>4512</v>
      </c>
      <c r="B1563" s="78" t="s">
        <v>2361</v>
      </c>
      <c r="C1563" s="78">
        <v>0</v>
      </c>
      <c r="D1563" s="28" t="s">
        <v>1292</v>
      </c>
      <c r="E1563" s="78">
        <v>1.22</v>
      </c>
      <c r="F1563" s="78">
        <v>49.9</v>
      </c>
      <c r="G1563" s="78"/>
      <c r="H1563" s="78">
        <v>1.8</v>
      </c>
      <c r="I1563" s="78"/>
      <c r="J1563" s="140">
        <v>45982</v>
      </c>
      <c r="K1563" s="13">
        <f t="shared" ref="K1563:K1573" si="101">E1563*F1563*H1563</f>
        <v>109.5804</v>
      </c>
      <c r="L1563" s="13"/>
      <c r="M1563" s="13"/>
      <c r="N1563" s="13">
        <f>G1563*H1563*I1563*E1563</f>
        <v>0</v>
      </c>
      <c r="O1563" s="15">
        <f>K1563*1.6667</f>
        <v>182.63765268</v>
      </c>
    </row>
    <row r="1564" spans="1:15" ht="18" customHeight="1">
      <c r="A1564" s="24" t="s">
        <v>4513</v>
      </c>
      <c r="B1564" s="78" t="s">
        <v>2361</v>
      </c>
      <c r="C1564" s="78">
        <v>0</v>
      </c>
      <c r="D1564" s="28" t="s">
        <v>1292</v>
      </c>
      <c r="E1564" s="78">
        <v>1.22</v>
      </c>
      <c r="F1564" s="78">
        <v>129.9</v>
      </c>
      <c r="G1564" s="78"/>
      <c r="H1564" s="78">
        <v>1.8</v>
      </c>
      <c r="I1564" s="78"/>
      <c r="J1564" s="140">
        <v>45982</v>
      </c>
      <c r="K1564" s="13">
        <f t="shared" si="101"/>
        <v>285.2604</v>
      </c>
      <c r="L1564" s="13"/>
      <c r="M1564" s="13"/>
      <c r="N1564" s="13">
        <f>G1564*H1564*I1564*E1564</f>
        <v>0</v>
      </c>
      <c r="O1564" s="15">
        <f>K1564*1.6667</f>
        <v>475.44350868000004</v>
      </c>
    </row>
    <row r="1565" spans="1:15" ht="18" customHeight="1">
      <c r="A1565" s="32" t="s">
        <v>2360</v>
      </c>
      <c r="B1565" s="93" t="s">
        <v>2361</v>
      </c>
      <c r="C1565" s="93" t="s">
        <v>2362</v>
      </c>
      <c r="D1565" s="93" t="s">
        <v>451</v>
      </c>
      <c r="E1565" s="93">
        <v>1.22</v>
      </c>
      <c r="F1565" s="93">
        <v>49.9</v>
      </c>
      <c r="G1565" s="93"/>
      <c r="H1565" s="93">
        <v>1.6</v>
      </c>
      <c r="I1565" s="93"/>
      <c r="J1565" s="133">
        <v>44524</v>
      </c>
      <c r="K1565" s="33">
        <f t="shared" si="101"/>
        <v>97.404800000000009</v>
      </c>
      <c r="L1565" s="33"/>
      <c r="M1565" s="13"/>
      <c r="N1565" s="13">
        <f>G1565*H1565*I1565*E1565</f>
        <v>0</v>
      </c>
      <c r="O1565" s="15"/>
    </row>
    <row r="1566" spans="1:15" ht="18" customHeight="1">
      <c r="A1566" s="168"/>
      <c r="B1566" s="87" t="s">
        <v>1591</v>
      </c>
      <c r="C1566" s="87" t="s">
        <v>644</v>
      </c>
      <c r="D1566" s="28"/>
      <c r="E1566" s="87">
        <v>1.22</v>
      </c>
      <c r="F1566" s="87">
        <v>149.09</v>
      </c>
      <c r="G1566" s="87"/>
      <c r="H1566" s="87">
        <v>1.4</v>
      </c>
      <c r="I1566" s="87"/>
      <c r="J1566" s="135">
        <v>43906</v>
      </c>
      <c r="K1566" s="9">
        <f t="shared" si="101"/>
        <v>254.64571999999998</v>
      </c>
      <c r="L1566" s="9"/>
      <c r="M1566" s="311"/>
      <c r="N1566" s="168"/>
      <c r="O1566" s="168"/>
    </row>
    <row r="1567" spans="1:15" ht="18" customHeight="1">
      <c r="A1567" s="39"/>
      <c r="B1567" s="101" t="s">
        <v>2437</v>
      </c>
      <c r="C1567" s="122" t="s">
        <v>2438</v>
      </c>
      <c r="D1567" s="96"/>
      <c r="E1567" s="101">
        <v>1.22</v>
      </c>
      <c r="F1567" s="101">
        <v>188</v>
      </c>
      <c r="G1567" s="122"/>
      <c r="H1567" s="101">
        <v>1.25</v>
      </c>
      <c r="I1567" s="122"/>
      <c r="J1567" s="135">
        <v>44642</v>
      </c>
      <c r="K1567" s="12">
        <f t="shared" si="101"/>
        <v>286.7</v>
      </c>
      <c r="L1567" s="232"/>
      <c r="M1567" s="232"/>
      <c r="N1567" s="16"/>
      <c r="O1567" s="39"/>
    </row>
    <row r="1568" spans="1:15" ht="18" customHeight="1">
      <c r="A1568" s="21">
        <v>271</v>
      </c>
      <c r="B1568" s="28" t="s">
        <v>450</v>
      </c>
      <c r="C1568" s="28" t="s">
        <v>1885</v>
      </c>
      <c r="D1568" s="28" t="s">
        <v>1983</v>
      </c>
      <c r="E1568" s="28">
        <v>1.22</v>
      </c>
      <c r="F1568" s="28">
        <v>17.68</v>
      </c>
      <c r="G1568" s="28"/>
      <c r="H1568" s="28">
        <v>1.6</v>
      </c>
      <c r="I1568" s="28"/>
      <c r="J1568" s="133">
        <v>44105</v>
      </c>
      <c r="K1568" s="9">
        <f t="shared" si="101"/>
        <v>34.511359999999996</v>
      </c>
      <c r="L1568" s="9"/>
      <c r="M1568" s="9"/>
      <c r="N1568" s="9">
        <f>G1568*H1568*I1568*E1568</f>
        <v>0</v>
      </c>
      <c r="O1568" s="3"/>
    </row>
    <row r="1569" spans="1:15" ht="18" customHeight="1">
      <c r="A1569" s="21">
        <v>273</v>
      </c>
      <c r="B1569" s="28" t="s">
        <v>450</v>
      </c>
      <c r="C1569" s="28" t="s">
        <v>58</v>
      </c>
      <c r="D1569" s="28" t="s">
        <v>1983</v>
      </c>
      <c r="E1569" s="28">
        <v>1.22</v>
      </c>
      <c r="F1569" s="28">
        <v>39.1</v>
      </c>
      <c r="G1569" s="28"/>
      <c r="H1569" s="28">
        <v>1.6</v>
      </c>
      <c r="I1569" s="28"/>
      <c r="J1569" s="133">
        <v>44105</v>
      </c>
      <c r="K1569" s="9">
        <f t="shared" si="101"/>
        <v>76.3232</v>
      </c>
      <c r="L1569" s="9"/>
      <c r="M1569" s="9"/>
      <c r="N1569" s="9">
        <f>G1569*H1569*I1569*E1569</f>
        <v>0</v>
      </c>
      <c r="O1569" s="3">
        <f>K1569*1.6667</f>
        <v>127.20787744</v>
      </c>
    </row>
    <row r="1570" spans="1:15" ht="18" customHeight="1">
      <c r="A1570" s="24">
        <v>274</v>
      </c>
      <c r="B1570" s="78" t="s">
        <v>450</v>
      </c>
      <c r="C1570" s="78" t="s">
        <v>1886</v>
      </c>
      <c r="D1570" s="96" t="s">
        <v>1983</v>
      </c>
      <c r="E1570" s="78">
        <v>1.22</v>
      </c>
      <c r="F1570" s="78">
        <v>57.8</v>
      </c>
      <c r="G1570" s="78"/>
      <c r="H1570" s="78">
        <v>1.6</v>
      </c>
      <c r="I1570" s="78"/>
      <c r="J1570" s="140">
        <v>44105</v>
      </c>
      <c r="K1570" s="13">
        <f t="shared" si="101"/>
        <v>112.82559999999999</v>
      </c>
      <c r="L1570" s="13"/>
      <c r="M1570" s="13"/>
      <c r="N1570" s="13"/>
      <c r="O1570" s="15"/>
    </row>
    <row r="1571" spans="1:15" ht="18" customHeight="1">
      <c r="A1571" s="21">
        <v>275</v>
      </c>
      <c r="B1571" s="28" t="s">
        <v>450</v>
      </c>
      <c r="C1571" s="28" t="s">
        <v>1887</v>
      </c>
      <c r="D1571" s="28" t="s">
        <v>1983</v>
      </c>
      <c r="E1571" s="28">
        <v>1.22</v>
      </c>
      <c r="F1571" s="28">
        <v>77.349999999999994</v>
      </c>
      <c r="G1571" s="28"/>
      <c r="H1571" s="28">
        <v>1.6</v>
      </c>
      <c r="I1571" s="28"/>
      <c r="J1571" s="133">
        <v>44105</v>
      </c>
      <c r="K1571" s="9">
        <f t="shared" si="101"/>
        <v>150.9872</v>
      </c>
      <c r="L1571" s="9"/>
      <c r="M1571" s="9"/>
      <c r="N1571" s="9"/>
      <c r="O1571" s="3"/>
    </row>
    <row r="1572" spans="1:15" ht="18" customHeight="1">
      <c r="A1572" s="156"/>
      <c r="B1572" s="85" t="s">
        <v>2403</v>
      </c>
      <c r="C1572" s="85" t="s">
        <v>1377</v>
      </c>
      <c r="D1572" s="85" t="s">
        <v>1030</v>
      </c>
      <c r="E1572" s="85">
        <v>1.22</v>
      </c>
      <c r="F1572" s="85">
        <v>320</v>
      </c>
      <c r="G1572" s="120"/>
      <c r="H1572" s="85">
        <v>1.7</v>
      </c>
      <c r="I1572" s="120"/>
      <c r="J1572" s="132">
        <v>45770</v>
      </c>
      <c r="K1572" s="10">
        <f t="shared" si="101"/>
        <v>663.68</v>
      </c>
      <c r="L1572" s="63"/>
      <c r="M1572" s="56"/>
      <c r="N1572" s="16"/>
      <c r="O1572" s="156"/>
    </row>
    <row r="1573" spans="1:15" ht="18" customHeight="1">
      <c r="A1573" s="38"/>
      <c r="B1573" s="78" t="s">
        <v>2217</v>
      </c>
      <c r="C1573" s="121"/>
      <c r="D1573" s="96"/>
      <c r="E1573" s="78">
        <v>1.22</v>
      </c>
      <c r="F1573" s="78">
        <v>551</v>
      </c>
      <c r="G1573" s="121"/>
      <c r="H1573" s="103">
        <v>1.6</v>
      </c>
      <c r="I1573" s="121">
        <v>0</v>
      </c>
      <c r="J1573" s="144">
        <v>44391</v>
      </c>
      <c r="K1573" s="50">
        <f t="shared" si="101"/>
        <v>1075.5520000000001</v>
      </c>
      <c r="L1573" s="64"/>
      <c r="M1573" s="41"/>
      <c r="N1573" s="38"/>
      <c r="O1573" s="38"/>
    </row>
    <row r="1574" spans="1:15" ht="18" customHeight="1">
      <c r="A1574" s="16"/>
      <c r="B1574" s="87" t="s">
        <v>1088</v>
      </c>
      <c r="C1574" s="110"/>
      <c r="D1574" s="110" t="s">
        <v>3301</v>
      </c>
      <c r="E1574" s="87">
        <v>1.22</v>
      </c>
      <c r="F1574" s="87">
        <v>369</v>
      </c>
      <c r="G1574" s="110"/>
      <c r="H1574" s="87">
        <v>1.7</v>
      </c>
      <c r="I1574" s="110"/>
      <c r="J1574" s="135">
        <v>45636</v>
      </c>
      <c r="K1574" s="9">
        <f>+F1574*H1574</f>
        <v>627.29999999999995</v>
      </c>
      <c r="L1574" s="37"/>
      <c r="M1574" s="17"/>
      <c r="N1574" s="16"/>
      <c r="O1574" s="16"/>
    </row>
    <row r="1575" spans="1:15" ht="18" hidden="1" customHeight="1">
      <c r="A1575" s="31"/>
      <c r="B1575" s="78" t="s">
        <v>1088</v>
      </c>
      <c r="C1575" s="78" t="s">
        <v>1415</v>
      </c>
      <c r="D1575" s="85"/>
      <c r="E1575" s="78">
        <v>1.22</v>
      </c>
      <c r="F1575" s="78">
        <v>60</v>
      </c>
      <c r="G1575" s="78"/>
      <c r="H1575" s="78">
        <v>1.6</v>
      </c>
      <c r="I1575" s="78"/>
      <c r="J1575" s="140">
        <v>43755</v>
      </c>
      <c r="K1575" s="13">
        <f>E1575*F1575*H1575</f>
        <v>117.12</v>
      </c>
      <c r="L1575" s="13"/>
      <c r="M1575" s="13"/>
      <c r="N1575" s="13">
        <f>G1575*H1575*I1575*E1575</f>
        <v>0</v>
      </c>
      <c r="O1575" s="15">
        <f>K1575*1.6667</f>
        <v>195.20390400000002</v>
      </c>
    </row>
    <row r="1576" spans="1:15" ht="18" customHeight="1">
      <c r="A1576" s="38"/>
      <c r="B1576" s="103" t="s">
        <v>3702</v>
      </c>
      <c r="C1576" s="121" t="s">
        <v>1896</v>
      </c>
      <c r="D1576" s="123" t="s">
        <v>3298</v>
      </c>
      <c r="E1576" s="103">
        <v>1.22</v>
      </c>
      <c r="F1576" s="103">
        <v>380</v>
      </c>
      <c r="G1576" s="121"/>
      <c r="H1576" s="103">
        <v>1.75</v>
      </c>
      <c r="I1576" s="121"/>
      <c r="J1576" s="135">
        <v>45769</v>
      </c>
      <c r="K1576" s="13">
        <f>E1576*F1576*H1576</f>
        <v>811.3</v>
      </c>
      <c r="L1576" s="64"/>
      <c r="M1576" s="41"/>
      <c r="N1576" s="38"/>
      <c r="O1576" s="38"/>
    </row>
    <row r="1577" spans="1:15" ht="18" customHeight="1">
      <c r="A1577" s="21"/>
      <c r="B1577" s="28" t="s">
        <v>303</v>
      </c>
      <c r="C1577" s="28" t="s">
        <v>304</v>
      </c>
      <c r="D1577" s="28" t="s">
        <v>207</v>
      </c>
      <c r="E1577" s="28">
        <v>1.22</v>
      </c>
      <c r="F1577" s="28">
        <v>16.399999999999999</v>
      </c>
      <c r="G1577" s="28"/>
      <c r="H1577" s="28">
        <v>1.3</v>
      </c>
      <c r="I1577" s="28">
        <v>45</v>
      </c>
      <c r="J1577" s="133">
        <v>44013</v>
      </c>
      <c r="K1577" s="9">
        <f>E1577*F1577*H1577</f>
        <v>26.010400000000001</v>
      </c>
      <c r="L1577" s="9"/>
      <c r="M1577" s="9"/>
      <c r="N1577" s="9">
        <f>G1577*H1577*I1577*E1577</f>
        <v>0</v>
      </c>
      <c r="O1577" s="3">
        <f>K1577*1.6667</f>
        <v>43.351533680000003</v>
      </c>
    </row>
    <row r="1578" spans="1:15" ht="18" customHeight="1">
      <c r="A1578" s="21">
        <v>310003</v>
      </c>
      <c r="B1578" s="28" t="s">
        <v>2082</v>
      </c>
      <c r="C1578" s="28" t="s">
        <v>2799</v>
      </c>
      <c r="D1578" s="28" t="s">
        <v>23</v>
      </c>
      <c r="E1578" s="28">
        <v>1.22</v>
      </c>
      <c r="F1578" s="28">
        <v>2509.92</v>
      </c>
      <c r="G1578" s="28">
        <v>0</v>
      </c>
      <c r="H1578" s="28">
        <v>1.3</v>
      </c>
      <c r="I1578" s="28">
        <v>0</v>
      </c>
      <c r="J1578" s="133">
        <v>45700</v>
      </c>
      <c r="K1578" s="9">
        <f>E1578*F1578*H1578</f>
        <v>3980.7331200000003</v>
      </c>
      <c r="L1578" s="9"/>
      <c r="M1578" s="9"/>
      <c r="N1578" s="9">
        <f>G1578*H1578*I1578*E1578</f>
        <v>0</v>
      </c>
      <c r="O1578" s="3">
        <f>K1578*1.6667</f>
        <v>6634.6878911040012</v>
      </c>
    </row>
    <row r="1579" spans="1:15" ht="18" customHeight="1">
      <c r="A1579" s="21"/>
      <c r="B1579" s="28" t="s">
        <v>2082</v>
      </c>
      <c r="C1579" s="28" t="s">
        <v>2083</v>
      </c>
      <c r="D1579" s="28" t="s">
        <v>23</v>
      </c>
      <c r="E1579" s="28">
        <v>1.22</v>
      </c>
      <c r="F1579" s="28">
        <v>209</v>
      </c>
      <c r="G1579" s="28"/>
      <c r="H1579" s="28">
        <v>1.1000000000000001</v>
      </c>
      <c r="I1579" s="28"/>
      <c r="J1579" s="133">
        <v>45700</v>
      </c>
      <c r="K1579" s="9">
        <f>+H1579*F1579*E1579</f>
        <v>280.47800000000001</v>
      </c>
      <c r="L1579" s="9"/>
      <c r="M1579" s="9"/>
      <c r="N1579" s="9"/>
      <c r="O1579" s="3">
        <f>K1579*1.6667</f>
        <v>467.47268260000004</v>
      </c>
    </row>
    <row r="1580" spans="1:15" ht="18" customHeight="1">
      <c r="A1580" s="24">
        <v>2047</v>
      </c>
      <c r="B1580" s="78" t="s">
        <v>3655</v>
      </c>
      <c r="C1580" s="78" t="s">
        <v>3656</v>
      </c>
      <c r="D1580" s="85" t="s">
        <v>1983</v>
      </c>
      <c r="E1580" s="78">
        <v>1.22</v>
      </c>
      <c r="F1580" s="78">
        <v>242</v>
      </c>
      <c r="G1580" s="78"/>
      <c r="H1580" s="78">
        <v>1.6</v>
      </c>
      <c r="I1580" s="78"/>
      <c r="J1580" s="140">
        <v>45842</v>
      </c>
      <c r="K1580" s="13">
        <f t="shared" ref="K1580:K1598" si="102">E1580*F1580*H1580</f>
        <v>472.38400000000001</v>
      </c>
      <c r="L1580" s="13"/>
      <c r="M1580" s="13"/>
      <c r="N1580" s="13">
        <f>G1580*H1580*I1580*E1580</f>
        <v>0</v>
      </c>
      <c r="O1580" s="15">
        <f>K1580*1.6667</f>
        <v>787.32241280000005</v>
      </c>
    </row>
    <row r="1581" spans="1:15" ht="18" customHeight="1">
      <c r="A1581" s="58" t="s">
        <v>1402</v>
      </c>
      <c r="B1581" s="99" t="s">
        <v>1403</v>
      </c>
      <c r="C1581" s="121"/>
      <c r="D1581" s="28" t="s">
        <v>3297</v>
      </c>
      <c r="E1581" s="99">
        <v>1.22</v>
      </c>
      <c r="F1581" s="99">
        <v>245.4</v>
      </c>
      <c r="G1581" s="121"/>
      <c r="H1581" s="99">
        <v>1.6</v>
      </c>
      <c r="I1581" s="121"/>
      <c r="J1581" s="144">
        <v>45988</v>
      </c>
      <c r="K1581" s="58">
        <f t="shared" si="102"/>
        <v>479.02080000000001</v>
      </c>
      <c r="L1581" s="41"/>
      <c r="M1581" s="41"/>
      <c r="N1581" s="39"/>
      <c r="O1581" s="39"/>
    </row>
    <row r="1582" spans="1:15" ht="18" customHeight="1">
      <c r="A1582" s="24" t="s">
        <v>4251</v>
      </c>
      <c r="B1582" s="101" t="s">
        <v>4252</v>
      </c>
      <c r="C1582" s="121" t="s">
        <v>4253</v>
      </c>
      <c r="D1582" s="93" t="s">
        <v>1983</v>
      </c>
      <c r="E1582" s="96">
        <v>1.22</v>
      </c>
      <c r="F1582" s="101">
        <v>217</v>
      </c>
      <c r="G1582" s="121"/>
      <c r="H1582" s="101">
        <v>1.3</v>
      </c>
      <c r="I1582" s="121"/>
      <c r="J1582" s="138">
        <v>45808</v>
      </c>
      <c r="K1582" s="64">
        <f t="shared" si="102"/>
        <v>344.16200000000003</v>
      </c>
      <c r="L1582" s="64"/>
      <c r="M1582" s="41"/>
      <c r="N1582" s="39"/>
      <c r="O1582" s="39"/>
    </row>
    <row r="1583" spans="1:15" ht="18" customHeight="1">
      <c r="A1583" s="182" t="s">
        <v>2754</v>
      </c>
      <c r="B1583" s="152" t="s">
        <v>2755</v>
      </c>
      <c r="C1583" s="251">
        <v>0</v>
      </c>
      <c r="D1583" s="93" t="s">
        <v>3297</v>
      </c>
      <c r="E1583" s="93">
        <v>1.22</v>
      </c>
      <c r="F1583" s="152">
        <v>155</v>
      </c>
      <c r="G1583" s="123"/>
      <c r="H1583" s="93">
        <v>1.3</v>
      </c>
      <c r="I1583" s="123"/>
      <c r="J1583" s="183">
        <v>44844</v>
      </c>
      <c r="K1583" s="33">
        <f t="shared" si="102"/>
        <v>245.83</v>
      </c>
      <c r="L1583" s="33"/>
      <c r="M1583" s="51"/>
      <c r="N1583" s="16"/>
      <c r="O1583" s="16"/>
    </row>
    <row r="1584" spans="1:15" ht="18" customHeight="1">
      <c r="A1584" s="21" t="s">
        <v>2198</v>
      </c>
      <c r="B1584" s="28" t="s">
        <v>4555</v>
      </c>
      <c r="C1584" s="28" t="s">
        <v>15</v>
      </c>
      <c r="D1584" s="28" t="s">
        <v>3297</v>
      </c>
      <c r="E1584" s="28">
        <v>1.22</v>
      </c>
      <c r="F1584" s="28">
        <v>245.4</v>
      </c>
      <c r="G1584" s="28"/>
      <c r="H1584" s="28">
        <v>1.6</v>
      </c>
      <c r="I1584" s="28"/>
      <c r="J1584" s="133">
        <v>45988</v>
      </c>
      <c r="K1584" s="9">
        <f t="shared" si="102"/>
        <v>479.02080000000001</v>
      </c>
      <c r="L1584" s="9"/>
      <c r="M1584" s="9"/>
      <c r="N1584" s="243">
        <f>G1584*H1584*I1584*E1584</f>
        <v>0</v>
      </c>
      <c r="O1584" s="14">
        <f>K1584*1.6667</f>
        <v>798.38396736000004</v>
      </c>
    </row>
    <row r="1585" spans="1:15" ht="18" customHeight="1">
      <c r="A1585" s="21" t="s">
        <v>3987</v>
      </c>
      <c r="B1585" s="28" t="s">
        <v>3988</v>
      </c>
      <c r="C1585" s="28" t="s">
        <v>15</v>
      </c>
      <c r="D1585" s="28" t="s">
        <v>1983</v>
      </c>
      <c r="E1585" s="28">
        <v>1.22</v>
      </c>
      <c r="F1585" s="28">
        <v>150</v>
      </c>
      <c r="G1585" s="28"/>
      <c r="H1585" s="28">
        <v>1.6</v>
      </c>
      <c r="I1585" s="28"/>
      <c r="J1585" s="133">
        <v>45649</v>
      </c>
      <c r="K1585" s="9">
        <f t="shared" si="102"/>
        <v>292.8</v>
      </c>
      <c r="L1585" s="9"/>
      <c r="M1585" s="9"/>
      <c r="N1585" s="178">
        <f>G1585*H1585*I1585*E1585</f>
        <v>0</v>
      </c>
      <c r="O1585" s="11">
        <f>K1585*1.6667</f>
        <v>488.00976000000003</v>
      </c>
    </row>
    <row r="1586" spans="1:15" ht="18" customHeight="1">
      <c r="A1586" s="39" t="s">
        <v>3608</v>
      </c>
      <c r="B1586" s="101" t="s">
        <v>3609</v>
      </c>
      <c r="C1586" s="122"/>
      <c r="D1586" s="96" t="s">
        <v>1983</v>
      </c>
      <c r="E1586" s="96">
        <v>1.22</v>
      </c>
      <c r="F1586" s="101">
        <v>140</v>
      </c>
      <c r="G1586" s="122"/>
      <c r="H1586" s="96">
        <v>1.5</v>
      </c>
      <c r="I1586" s="122"/>
      <c r="J1586" s="253">
        <v>45649</v>
      </c>
      <c r="K1586" s="12">
        <f t="shared" si="102"/>
        <v>256.2</v>
      </c>
      <c r="L1586" s="163"/>
      <c r="M1586" s="232"/>
      <c r="N1586" s="42"/>
      <c r="O1586" s="42"/>
    </row>
    <row r="1587" spans="1:15" s="45" customFormat="1" ht="18" customHeight="1">
      <c r="A1587" s="21" t="s">
        <v>3657</v>
      </c>
      <c r="B1587" s="28" t="s">
        <v>3985</v>
      </c>
      <c r="C1587" s="28" t="s">
        <v>3986</v>
      </c>
      <c r="D1587" s="28" t="s">
        <v>1983</v>
      </c>
      <c r="E1587" s="28">
        <v>1.22</v>
      </c>
      <c r="F1587" s="28">
        <v>139</v>
      </c>
      <c r="G1587" s="28"/>
      <c r="H1587" s="28">
        <v>1.6</v>
      </c>
      <c r="I1587" s="28"/>
      <c r="J1587" s="133">
        <v>45649</v>
      </c>
      <c r="K1587" s="9">
        <f t="shared" si="102"/>
        <v>271.32799999999997</v>
      </c>
      <c r="L1587" s="9"/>
      <c r="M1587" s="9"/>
      <c r="N1587" s="33">
        <f t="shared" ref="N1587:N1593" si="103">G1587*H1587*I1587*E1587</f>
        <v>0</v>
      </c>
      <c r="O1587" s="3">
        <f t="shared" ref="O1587:O1593" si="104">K1587*1.6667</f>
        <v>452.22237759999996</v>
      </c>
    </row>
    <row r="1588" spans="1:15" s="45" customFormat="1" ht="18" customHeight="1">
      <c r="A1588" s="289" t="s">
        <v>3989</v>
      </c>
      <c r="B1588" s="85" t="s">
        <v>3990</v>
      </c>
      <c r="C1588" s="85" t="s">
        <v>15</v>
      </c>
      <c r="D1588" s="85" t="s">
        <v>1983</v>
      </c>
      <c r="E1588" s="85">
        <v>1.22</v>
      </c>
      <c r="F1588" s="85">
        <v>170</v>
      </c>
      <c r="G1588" s="85"/>
      <c r="H1588" s="85">
        <v>1.6</v>
      </c>
      <c r="I1588" s="85"/>
      <c r="J1588" s="133">
        <v>45649</v>
      </c>
      <c r="K1588" s="10">
        <f t="shared" si="102"/>
        <v>331.84000000000003</v>
      </c>
      <c r="L1588" s="10"/>
      <c r="M1588" s="10"/>
      <c r="N1588" s="10">
        <f t="shared" si="103"/>
        <v>0</v>
      </c>
      <c r="O1588" s="14">
        <f t="shared" si="104"/>
        <v>553.07772800000009</v>
      </c>
    </row>
    <row r="1589" spans="1:15" s="45" customFormat="1" ht="18" customHeight="1">
      <c r="A1589" s="263"/>
      <c r="B1589" s="93" t="s">
        <v>1312</v>
      </c>
      <c r="C1589" s="93" t="s">
        <v>1313</v>
      </c>
      <c r="D1589" s="93" t="s">
        <v>7</v>
      </c>
      <c r="E1589" s="93">
        <v>1</v>
      </c>
      <c r="F1589" s="93">
        <v>1933.8</v>
      </c>
      <c r="G1589" s="93"/>
      <c r="H1589" s="93">
        <v>1.3</v>
      </c>
      <c r="I1589" s="93"/>
      <c r="J1589" s="146">
        <v>44986</v>
      </c>
      <c r="K1589" s="33">
        <f t="shared" si="102"/>
        <v>2513.94</v>
      </c>
      <c r="L1589" s="33"/>
      <c r="M1589" s="33"/>
      <c r="N1589" s="33">
        <f t="shared" si="103"/>
        <v>0</v>
      </c>
      <c r="O1589" s="34">
        <f t="shared" si="104"/>
        <v>4189.9837980000002</v>
      </c>
    </row>
    <row r="1590" spans="1:15" s="45" customFormat="1" ht="18" customHeight="1">
      <c r="A1590" s="22"/>
      <c r="B1590" s="28" t="s">
        <v>1312</v>
      </c>
      <c r="C1590" s="28" t="s">
        <v>122</v>
      </c>
      <c r="D1590" s="28" t="s">
        <v>7</v>
      </c>
      <c r="E1590" s="28">
        <v>1</v>
      </c>
      <c r="F1590" s="28">
        <v>194</v>
      </c>
      <c r="G1590" s="28"/>
      <c r="H1590" s="28">
        <v>1.6</v>
      </c>
      <c r="I1590" s="28"/>
      <c r="J1590" s="133">
        <v>44986</v>
      </c>
      <c r="K1590" s="9">
        <f t="shared" si="102"/>
        <v>310.40000000000003</v>
      </c>
      <c r="L1590" s="9"/>
      <c r="M1590" s="9"/>
      <c r="N1590" s="33">
        <f t="shared" si="103"/>
        <v>0</v>
      </c>
      <c r="O1590" s="3">
        <f t="shared" si="104"/>
        <v>517.34368000000006</v>
      </c>
    </row>
    <row r="1591" spans="1:15" s="45" customFormat="1" ht="18" customHeight="1">
      <c r="A1591" s="20"/>
      <c r="B1591" s="85" t="s">
        <v>485</v>
      </c>
      <c r="C1591" s="85"/>
      <c r="D1591" s="85"/>
      <c r="E1591" s="85">
        <v>1</v>
      </c>
      <c r="F1591" s="85">
        <v>345</v>
      </c>
      <c r="G1591" s="85"/>
      <c r="H1591" s="85">
        <v>1.6</v>
      </c>
      <c r="I1591" s="85"/>
      <c r="J1591" s="131"/>
      <c r="K1591" s="10">
        <f t="shared" si="102"/>
        <v>552</v>
      </c>
      <c r="L1591" s="10"/>
      <c r="M1591" s="10"/>
      <c r="N1591" s="13">
        <f t="shared" si="103"/>
        <v>0</v>
      </c>
      <c r="O1591" s="14">
        <f t="shared" si="104"/>
        <v>920.01840000000004</v>
      </c>
    </row>
    <row r="1592" spans="1:15" ht="18" customHeight="1">
      <c r="A1592" s="24" t="s">
        <v>1712</v>
      </c>
      <c r="B1592" s="78" t="s">
        <v>816</v>
      </c>
      <c r="C1592" s="78" t="s">
        <v>1713</v>
      </c>
      <c r="D1592" s="28" t="s">
        <v>3297</v>
      </c>
      <c r="E1592" s="78">
        <v>1.22</v>
      </c>
      <c r="F1592" s="78">
        <v>261.12</v>
      </c>
      <c r="G1592" s="78"/>
      <c r="H1592" s="78">
        <v>1.6</v>
      </c>
      <c r="I1592" s="78"/>
      <c r="J1592" s="133">
        <v>43977</v>
      </c>
      <c r="K1592" s="13">
        <f t="shared" si="102"/>
        <v>509.70623999999998</v>
      </c>
      <c r="L1592" s="13"/>
      <c r="M1592" s="13"/>
      <c r="N1592" s="13">
        <f t="shared" si="103"/>
        <v>0</v>
      </c>
      <c r="O1592" s="15">
        <f t="shared" si="104"/>
        <v>849.52739020800004</v>
      </c>
    </row>
    <row r="1593" spans="1:15" ht="18" customHeight="1">
      <c r="A1593" s="24" t="s">
        <v>1715</v>
      </c>
      <c r="B1593" s="78" t="s">
        <v>816</v>
      </c>
      <c r="C1593" s="78" t="s">
        <v>1716</v>
      </c>
      <c r="D1593" s="28" t="s">
        <v>3297</v>
      </c>
      <c r="E1593" s="78">
        <v>1.22</v>
      </c>
      <c r="F1593" s="78">
        <v>150</v>
      </c>
      <c r="G1593" s="78"/>
      <c r="H1593" s="78">
        <v>1.7</v>
      </c>
      <c r="I1593" s="78"/>
      <c r="J1593" s="133">
        <v>45777</v>
      </c>
      <c r="K1593" s="13">
        <f t="shared" si="102"/>
        <v>311.09999999999997</v>
      </c>
      <c r="L1593" s="13"/>
      <c r="M1593" s="13"/>
      <c r="N1593" s="13">
        <f t="shared" si="103"/>
        <v>0</v>
      </c>
      <c r="O1593" s="15">
        <f t="shared" si="104"/>
        <v>518.51036999999997</v>
      </c>
    </row>
    <row r="1594" spans="1:15" ht="18" customHeight="1">
      <c r="A1594" s="24" t="s">
        <v>2905</v>
      </c>
      <c r="B1594" s="78" t="s">
        <v>816</v>
      </c>
      <c r="C1594" s="78" t="s">
        <v>1810</v>
      </c>
      <c r="D1594" s="28" t="s">
        <v>3297</v>
      </c>
      <c r="E1594" s="78">
        <v>1.22</v>
      </c>
      <c r="F1594" s="78">
        <v>1544</v>
      </c>
      <c r="G1594" s="78"/>
      <c r="H1594" s="78">
        <v>2</v>
      </c>
      <c r="I1594" s="78"/>
      <c r="J1594" s="133">
        <v>45777</v>
      </c>
      <c r="K1594" s="13">
        <f t="shared" si="102"/>
        <v>3767.36</v>
      </c>
      <c r="L1594" s="13"/>
      <c r="M1594" s="13"/>
      <c r="N1594" s="13"/>
      <c r="O1594" s="15"/>
    </row>
    <row r="1595" spans="1:15" ht="18" customHeight="1">
      <c r="A1595" s="24" t="s">
        <v>3250</v>
      </c>
      <c r="B1595" s="96" t="s">
        <v>816</v>
      </c>
      <c r="C1595" s="151" t="s">
        <v>3775</v>
      </c>
      <c r="D1595" s="93" t="s">
        <v>3297</v>
      </c>
      <c r="E1595" s="101">
        <v>1.22</v>
      </c>
      <c r="F1595" s="101">
        <v>59</v>
      </c>
      <c r="G1595" s="121"/>
      <c r="H1595" s="101">
        <v>1.3</v>
      </c>
      <c r="I1595" s="121"/>
      <c r="J1595" s="133">
        <v>45561</v>
      </c>
      <c r="K1595" s="64">
        <f t="shared" si="102"/>
        <v>93.574000000000012</v>
      </c>
      <c r="L1595" s="64"/>
      <c r="M1595" s="41"/>
      <c r="N1595" s="38"/>
      <c r="O1595" s="38"/>
    </row>
    <row r="1596" spans="1:15" ht="18" customHeight="1">
      <c r="A1596" s="16"/>
      <c r="B1596" s="87" t="s">
        <v>3032</v>
      </c>
      <c r="C1596" s="110"/>
      <c r="D1596" s="28" t="s">
        <v>451</v>
      </c>
      <c r="E1596" s="28">
        <v>1.22</v>
      </c>
      <c r="F1596" s="28">
        <v>47</v>
      </c>
      <c r="G1596" s="110"/>
      <c r="H1596" s="28">
        <v>2</v>
      </c>
      <c r="I1596" s="110"/>
      <c r="J1596" s="135">
        <v>45056</v>
      </c>
      <c r="K1596" s="13">
        <f t="shared" si="102"/>
        <v>114.67999999999999</v>
      </c>
      <c r="L1596" s="64"/>
      <c r="M1596" s="41"/>
      <c r="N1596" s="38"/>
      <c r="O1596" s="38"/>
    </row>
    <row r="1597" spans="1:15" ht="18" customHeight="1">
      <c r="A1597" s="21"/>
      <c r="B1597" s="28" t="s">
        <v>97</v>
      </c>
      <c r="C1597" s="28" t="s">
        <v>15</v>
      </c>
      <c r="D1597" s="28" t="s">
        <v>3298</v>
      </c>
      <c r="E1597" s="28">
        <v>1.22</v>
      </c>
      <c r="F1597" s="28">
        <v>42</v>
      </c>
      <c r="G1597" s="28"/>
      <c r="H1597" s="28">
        <v>2</v>
      </c>
      <c r="I1597" s="28"/>
      <c r="J1597" s="133">
        <v>45242</v>
      </c>
      <c r="K1597" s="13">
        <f t="shared" si="102"/>
        <v>102.48</v>
      </c>
      <c r="L1597" s="13"/>
      <c r="M1597" s="13"/>
      <c r="N1597" s="13">
        <f>G1597*H1597*I1597*E1597</f>
        <v>0</v>
      </c>
      <c r="O1597" s="15">
        <f>K1597*1.6667</f>
        <v>170.80341600000003</v>
      </c>
    </row>
    <row r="1598" spans="1:15" ht="18" customHeight="1">
      <c r="A1598" s="16"/>
      <c r="B1598" s="87" t="s">
        <v>3821</v>
      </c>
      <c r="C1598" s="110" t="s">
        <v>3822</v>
      </c>
      <c r="D1598" s="110" t="s">
        <v>3823</v>
      </c>
      <c r="E1598" s="87">
        <v>1.22</v>
      </c>
      <c r="F1598" s="87">
        <v>47.11</v>
      </c>
      <c r="G1598" s="110"/>
      <c r="H1598" s="87">
        <v>1.6</v>
      </c>
      <c r="I1598" s="110"/>
      <c r="J1598" s="135">
        <v>45575</v>
      </c>
      <c r="K1598" s="64">
        <f t="shared" si="102"/>
        <v>91.95872</v>
      </c>
      <c r="L1598" s="64"/>
      <c r="M1598" s="41"/>
      <c r="N1598" s="38"/>
      <c r="O1598" s="38"/>
    </row>
    <row r="1599" spans="1:15" ht="18" customHeight="1">
      <c r="A1599" s="26"/>
      <c r="B1599" s="80" t="s">
        <v>2244</v>
      </c>
      <c r="C1599" s="80" t="s">
        <v>2245</v>
      </c>
      <c r="D1599" s="28" t="s">
        <v>3701</v>
      </c>
      <c r="E1599" s="80">
        <v>1.22</v>
      </c>
      <c r="F1599" s="80">
        <v>0</v>
      </c>
      <c r="G1599" s="80">
        <v>7.18</v>
      </c>
      <c r="H1599" s="80">
        <v>1.9</v>
      </c>
      <c r="I1599" s="80">
        <v>42</v>
      </c>
      <c r="J1599" s="134">
        <v>45538</v>
      </c>
      <c r="K1599" s="13">
        <f>+E1599*G1599*H1599*I1599</f>
        <v>699.01607999999999</v>
      </c>
      <c r="L1599" s="13"/>
      <c r="M1599" s="41"/>
      <c r="N1599" s="48"/>
      <c r="O1599" s="48"/>
    </row>
    <row r="1600" spans="1:15" ht="18" customHeight="1">
      <c r="A1600" s="21">
        <v>315600</v>
      </c>
      <c r="B1600" s="28" t="s">
        <v>1465</v>
      </c>
      <c r="C1600" s="28" t="s">
        <v>20</v>
      </c>
      <c r="D1600" s="28" t="s">
        <v>1748</v>
      </c>
      <c r="E1600" s="28">
        <v>1</v>
      </c>
      <c r="F1600" s="28">
        <v>0</v>
      </c>
      <c r="G1600" s="28">
        <v>17.899999999999999</v>
      </c>
      <c r="H1600" s="28">
        <v>1.5</v>
      </c>
      <c r="I1600" s="28">
        <v>45</v>
      </c>
      <c r="J1600" s="133">
        <v>45958</v>
      </c>
      <c r="K1600" s="13">
        <f>+I1600*H1600*G1600</f>
        <v>1208.25</v>
      </c>
      <c r="L1600" s="13"/>
      <c r="M1600" s="13"/>
      <c r="N1600" s="13">
        <f>G1600*H1600*I1600*E1600</f>
        <v>1208.25</v>
      </c>
      <c r="O1600" s="15">
        <f>K1600*1.6667</f>
        <v>2013.7902750000001</v>
      </c>
    </row>
    <row r="1601" spans="1:15" ht="18" customHeight="1">
      <c r="A1601" s="16"/>
      <c r="B1601" s="28" t="s">
        <v>1465</v>
      </c>
      <c r="C1601" s="79" t="s">
        <v>133</v>
      </c>
      <c r="D1601" s="79" t="s">
        <v>1748</v>
      </c>
      <c r="E1601" s="87">
        <v>1</v>
      </c>
      <c r="F1601" s="87">
        <v>0</v>
      </c>
      <c r="G1601" s="79">
        <v>1.79</v>
      </c>
      <c r="H1601" s="80">
        <v>1.5</v>
      </c>
      <c r="I1601" s="79">
        <v>45</v>
      </c>
      <c r="J1601" s="134">
        <v>45958</v>
      </c>
      <c r="K1601" s="13">
        <f>+I1601*H1601*G1601</f>
        <v>120.825</v>
      </c>
      <c r="L1601" s="64"/>
      <c r="M1601" s="41"/>
      <c r="N1601" s="38"/>
      <c r="O1601" s="38"/>
    </row>
    <row r="1602" spans="1:15" ht="18" customHeight="1">
      <c r="A1602" s="21">
        <v>100200</v>
      </c>
      <c r="B1602" s="28" t="s">
        <v>4421</v>
      </c>
      <c r="C1602" s="28" t="s">
        <v>15</v>
      </c>
      <c r="D1602" s="28" t="s">
        <v>1859</v>
      </c>
      <c r="E1602" s="28">
        <v>1.22</v>
      </c>
      <c r="F1602" s="28">
        <v>62</v>
      </c>
      <c r="G1602" s="28"/>
      <c r="H1602" s="28">
        <v>1.8</v>
      </c>
      <c r="I1602" s="28"/>
      <c r="J1602" s="133">
        <v>45945</v>
      </c>
      <c r="K1602" s="13">
        <f t="shared" ref="K1602:K1608" si="105">E1602*F1602*H1602</f>
        <v>136.15200000000002</v>
      </c>
      <c r="L1602" s="13"/>
      <c r="M1602" s="13"/>
      <c r="N1602" s="13">
        <f>G1602*H1602*I1602*E1602</f>
        <v>0</v>
      </c>
      <c r="O1602" s="15">
        <f>K1602*1.6667</f>
        <v>226.92453840000005</v>
      </c>
    </row>
    <row r="1603" spans="1:15" ht="18" customHeight="1">
      <c r="A1603" s="68">
        <v>244</v>
      </c>
      <c r="B1603" s="28" t="s">
        <v>2107</v>
      </c>
      <c r="C1603" s="110"/>
      <c r="D1603" s="28" t="s">
        <v>451</v>
      </c>
      <c r="E1603" s="28">
        <v>1.22</v>
      </c>
      <c r="F1603" s="28">
        <v>123</v>
      </c>
      <c r="G1603" s="110"/>
      <c r="H1603" s="28">
        <v>1.5</v>
      </c>
      <c r="I1603" s="110"/>
      <c r="J1603" s="134">
        <v>44698</v>
      </c>
      <c r="K1603" s="13">
        <f t="shared" si="105"/>
        <v>225.09</v>
      </c>
      <c r="L1603" s="13"/>
      <c r="M1603" s="41"/>
      <c r="N1603" s="38"/>
      <c r="O1603" s="38"/>
    </row>
    <row r="1604" spans="1:15" ht="18" customHeight="1">
      <c r="A1604" s="21" t="s">
        <v>2483</v>
      </c>
      <c r="B1604" s="28" t="s">
        <v>2484</v>
      </c>
      <c r="C1604" s="111" t="s">
        <v>2485</v>
      </c>
      <c r="D1604" s="28" t="s">
        <v>451</v>
      </c>
      <c r="E1604" s="28">
        <v>1.22</v>
      </c>
      <c r="F1604" s="28">
        <v>219</v>
      </c>
      <c r="G1604" s="28">
        <v>0</v>
      </c>
      <c r="H1604" s="28">
        <v>1.6</v>
      </c>
      <c r="I1604" s="28">
        <v>0</v>
      </c>
      <c r="J1604" s="133">
        <v>44657</v>
      </c>
      <c r="K1604" s="13">
        <f t="shared" si="105"/>
        <v>427.48800000000006</v>
      </c>
      <c r="L1604" s="13"/>
      <c r="M1604" s="13"/>
      <c r="N1604" s="13">
        <f>G1604*H1604*I1604*E1604</f>
        <v>0</v>
      </c>
      <c r="O1604" s="15">
        <f>K1604*1.6667</f>
        <v>712.4942496000001</v>
      </c>
    </row>
    <row r="1605" spans="1:15" ht="18" customHeight="1">
      <c r="A1605" s="21">
        <v>15199</v>
      </c>
      <c r="B1605" s="28" t="s">
        <v>1026</v>
      </c>
      <c r="C1605" s="86" t="s">
        <v>15</v>
      </c>
      <c r="D1605" s="28" t="s">
        <v>451</v>
      </c>
      <c r="E1605" s="28">
        <v>1.22</v>
      </c>
      <c r="F1605" s="28">
        <v>80</v>
      </c>
      <c r="G1605" s="28"/>
      <c r="H1605" s="28">
        <v>1.6</v>
      </c>
      <c r="I1605" s="28"/>
      <c r="J1605" s="133">
        <v>45880</v>
      </c>
      <c r="K1605" s="13">
        <f t="shared" si="105"/>
        <v>156.16</v>
      </c>
      <c r="L1605" s="13"/>
      <c r="M1605" s="13"/>
      <c r="N1605" s="13">
        <f>G1605*H1605*I1605*E1605</f>
        <v>0</v>
      </c>
      <c r="O1605" s="15">
        <f>K1605*1.6667</f>
        <v>260.27187200000003</v>
      </c>
    </row>
    <row r="1606" spans="1:15" ht="18" customHeight="1">
      <c r="A1606" s="16" t="s">
        <v>4576</v>
      </c>
      <c r="B1606" s="80" t="s">
        <v>4577</v>
      </c>
      <c r="C1606" s="110" t="s">
        <v>4578</v>
      </c>
      <c r="D1606" s="110" t="s">
        <v>1921</v>
      </c>
      <c r="E1606" s="87">
        <v>1.22</v>
      </c>
      <c r="F1606" s="87">
        <v>32</v>
      </c>
      <c r="G1606" s="110"/>
      <c r="H1606" s="87">
        <v>1.8</v>
      </c>
      <c r="I1606" s="110"/>
      <c r="J1606" s="135">
        <v>46009</v>
      </c>
      <c r="K1606" s="13">
        <f t="shared" si="105"/>
        <v>70.272000000000006</v>
      </c>
    </row>
    <row r="1607" spans="1:15" ht="18" customHeight="1">
      <c r="A1607" s="21" t="s">
        <v>2176</v>
      </c>
      <c r="B1607" s="28" t="s">
        <v>2175</v>
      </c>
      <c r="C1607" s="28" t="s">
        <v>2177</v>
      </c>
      <c r="D1607" s="28" t="s">
        <v>451</v>
      </c>
      <c r="E1607" s="28">
        <v>1.22</v>
      </c>
      <c r="F1607" s="28">
        <v>35.15</v>
      </c>
      <c r="G1607" s="28"/>
      <c r="H1607" s="28">
        <v>1.6</v>
      </c>
      <c r="I1607" s="28"/>
      <c r="J1607" s="133">
        <v>44342</v>
      </c>
      <c r="K1607" s="13">
        <f t="shared" si="105"/>
        <v>68.612799999999993</v>
      </c>
      <c r="L1607" s="13"/>
      <c r="M1607" s="13"/>
      <c r="N1607" s="13">
        <f>G1607*H1607*I1607*E1607</f>
        <v>0</v>
      </c>
      <c r="O1607" s="15">
        <f>K1607*1.6667</f>
        <v>114.35695376</v>
      </c>
    </row>
    <row r="1608" spans="1:15" ht="18" customHeight="1">
      <c r="A1608" s="22" t="s">
        <v>3728</v>
      </c>
      <c r="B1608" s="28" t="s">
        <v>3729</v>
      </c>
      <c r="C1608" s="28">
        <v>12</v>
      </c>
      <c r="D1608" s="28" t="s">
        <v>1905</v>
      </c>
      <c r="E1608" s="28">
        <v>1.22</v>
      </c>
      <c r="F1608" s="28">
        <v>31.15</v>
      </c>
      <c r="G1608" s="81"/>
      <c r="H1608" s="28">
        <v>1.6</v>
      </c>
      <c r="I1608" s="81"/>
      <c r="J1608" s="133">
        <v>45545</v>
      </c>
      <c r="K1608" s="59">
        <f t="shared" si="105"/>
        <v>60.8048</v>
      </c>
      <c r="L1608" s="13"/>
      <c r="M1608" s="13"/>
      <c r="N1608" s="13"/>
      <c r="O1608" s="38"/>
    </row>
    <row r="1609" spans="1:15" ht="18" customHeight="1">
      <c r="A1609" s="16">
        <v>910121</v>
      </c>
      <c r="B1609" s="80" t="s">
        <v>3219</v>
      </c>
      <c r="C1609" s="80">
        <v>0</v>
      </c>
      <c r="D1609" s="28" t="s">
        <v>451</v>
      </c>
      <c r="E1609" s="28">
        <v>1.22</v>
      </c>
      <c r="F1609" s="87">
        <v>3.23</v>
      </c>
      <c r="G1609" s="110"/>
      <c r="H1609" s="28">
        <v>1.4</v>
      </c>
      <c r="I1609" s="28">
        <v>45</v>
      </c>
      <c r="J1609" s="135">
        <v>45227</v>
      </c>
      <c r="K1609" s="13">
        <f>E1609*F1609*H1609*I1609</f>
        <v>248.25779999999997</v>
      </c>
      <c r="L1609" s="13"/>
      <c r="M1609" s="41"/>
      <c r="N1609" s="38"/>
      <c r="O1609" s="38"/>
    </row>
    <row r="1610" spans="1:15" ht="18" customHeight="1">
      <c r="A1610" s="26">
        <v>271</v>
      </c>
      <c r="B1610" s="80" t="s">
        <v>1835</v>
      </c>
      <c r="C1610" s="80"/>
      <c r="D1610" s="28" t="s">
        <v>451</v>
      </c>
      <c r="E1610" s="80">
        <v>1.22</v>
      </c>
      <c r="F1610" s="80">
        <v>91</v>
      </c>
      <c r="G1610" s="80"/>
      <c r="H1610" s="80">
        <v>1.4</v>
      </c>
      <c r="I1610" s="80"/>
      <c r="J1610" s="134">
        <v>44386</v>
      </c>
      <c r="K1610" s="13">
        <f t="shared" ref="K1610:K1622" si="106">E1610*F1610*H1610</f>
        <v>155.428</v>
      </c>
      <c r="L1610" s="13"/>
      <c r="M1610" s="41"/>
      <c r="N1610" s="48"/>
      <c r="O1610" s="48"/>
    </row>
    <row r="1611" spans="1:15" ht="18" customHeight="1">
      <c r="A1611" s="21" t="s">
        <v>3489</v>
      </c>
      <c r="B1611" s="28" t="s">
        <v>3490</v>
      </c>
      <c r="C1611" s="28" t="s">
        <v>3491</v>
      </c>
      <c r="D1611" s="28" t="s">
        <v>1983</v>
      </c>
      <c r="E1611" s="28">
        <v>1.22</v>
      </c>
      <c r="F1611" s="28">
        <v>62</v>
      </c>
      <c r="G1611" s="28"/>
      <c r="H1611" s="28">
        <v>1.6</v>
      </c>
      <c r="I1611" s="28"/>
      <c r="J1611" s="133">
        <v>45427</v>
      </c>
      <c r="K1611" s="13">
        <f t="shared" si="106"/>
        <v>121.024</v>
      </c>
      <c r="L1611" s="13"/>
      <c r="M1611" s="13"/>
      <c r="N1611" s="13">
        <f t="shared" ref="N1611:N1619" si="107">G1611*H1611*I1611*E1611</f>
        <v>0</v>
      </c>
      <c r="O1611" s="15">
        <f t="shared" ref="O1611:O1619" si="108">K1611*1.6667</f>
        <v>201.71070080000001</v>
      </c>
    </row>
    <row r="1612" spans="1:15" ht="18" customHeight="1">
      <c r="A1612" s="21" t="s">
        <v>2543</v>
      </c>
      <c r="B1612" s="28" t="s">
        <v>2542</v>
      </c>
      <c r="C1612" s="28" t="s">
        <v>2541</v>
      </c>
      <c r="D1612" s="28" t="s">
        <v>451</v>
      </c>
      <c r="E1612" s="28">
        <v>1.22</v>
      </c>
      <c r="F1612" s="28">
        <v>29</v>
      </c>
      <c r="G1612" s="28"/>
      <c r="H1612" s="28">
        <v>1.3</v>
      </c>
      <c r="I1612" s="28"/>
      <c r="J1612" s="133">
        <v>44699</v>
      </c>
      <c r="K1612" s="13">
        <f t="shared" si="106"/>
        <v>45.994000000000007</v>
      </c>
      <c r="L1612" s="13"/>
      <c r="M1612" s="13"/>
      <c r="N1612" s="13">
        <f t="shared" si="107"/>
        <v>0</v>
      </c>
      <c r="O1612" s="15">
        <f t="shared" si="108"/>
        <v>76.65819980000002</v>
      </c>
    </row>
    <row r="1613" spans="1:15" ht="18" hidden="1" customHeight="1">
      <c r="A1613" s="21">
        <v>75464</v>
      </c>
      <c r="B1613" s="28" t="s">
        <v>827</v>
      </c>
      <c r="C1613" s="28" t="s">
        <v>15</v>
      </c>
      <c r="D1613" s="28" t="s">
        <v>451</v>
      </c>
      <c r="E1613" s="28">
        <v>1.22</v>
      </c>
      <c r="F1613" s="28">
        <v>85</v>
      </c>
      <c r="G1613" s="28"/>
      <c r="H1613" s="28">
        <v>1.6</v>
      </c>
      <c r="I1613" s="28"/>
      <c r="J1613" s="133">
        <v>43213</v>
      </c>
      <c r="K1613" s="13">
        <f t="shared" si="106"/>
        <v>165.92000000000002</v>
      </c>
      <c r="L1613" s="13"/>
      <c r="M1613" s="13"/>
      <c r="N1613" s="13">
        <f t="shared" si="107"/>
        <v>0</v>
      </c>
      <c r="O1613" s="15">
        <f t="shared" si="108"/>
        <v>276.53886400000005</v>
      </c>
    </row>
    <row r="1614" spans="1:15" ht="18" customHeight="1">
      <c r="A1614" s="21"/>
      <c r="B1614" s="28" t="s">
        <v>1536</v>
      </c>
      <c r="C1614" s="28" t="s">
        <v>1537</v>
      </c>
      <c r="D1614" s="28"/>
      <c r="E1614" s="28">
        <v>1.22</v>
      </c>
      <c r="F1614" s="28">
        <v>79</v>
      </c>
      <c r="G1614" s="28"/>
      <c r="H1614" s="28">
        <v>1.6</v>
      </c>
      <c r="I1614" s="28"/>
      <c r="J1614" s="135">
        <v>43900</v>
      </c>
      <c r="K1614" s="59">
        <f t="shared" si="106"/>
        <v>154.208</v>
      </c>
      <c r="L1614" s="13"/>
      <c r="M1614" s="13"/>
      <c r="N1614" s="13">
        <f t="shared" si="107"/>
        <v>0</v>
      </c>
      <c r="O1614" s="15">
        <f t="shared" si="108"/>
        <v>257.01847359999999</v>
      </c>
    </row>
    <row r="1615" spans="1:15" ht="18" customHeight="1">
      <c r="A1615" s="16"/>
      <c r="B1615" s="87" t="s">
        <v>2098</v>
      </c>
      <c r="C1615" s="110"/>
      <c r="D1615" s="28" t="s">
        <v>3301</v>
      </c>
      <c r="E1615" s="87">
        <v>1.22</v>
      </c>
      <c r="F1615" s="87">
        <v>209</v>
      </c>
      <c r="G1615" s="110"/>
      <c r="H1615" s="87">
        <v>1.6</v>
      </c>
      <c r="I1615" s="110"/>
      <c r="J1615" s="135">
        <v>44267</v>
      </c>
      <c r="K1615" s="41">
        <f t="shared" si="106"/>
        <v>407.96800000000002</v>
      </c>
      <c r="L1615" s="41"/>
      <c r="M1615" s="41"/>
      <c r="N1615" s="13">
        <f t="shared" si="107"/>
        <v>0</v>
      </c>
      <c r="O1615" s="15">
        <f t="shared" si="108"/>
        <v>679.96026560000007</v>
      </c>
    </row>
    <row r="1616" spans="1:15" ht="18" customHeight="1">
      <c r="A1616" s="16"/>
      <c r="B1616" s="28" t="s">
        <v>2099</v>
      </c>
      <c r="C1616" s="110"/>
      <c r="D1616" s="28" t="s">
        <v>3301</v>
      </c>
      <c r="E1616" s="28">
        <v>1.22</v>
      </c>
      <c r="F1616" s="28">
        <v>149</v>
      </c>
      <c r="G1616" s="110"/>
      <c r="H1616" s="28">
        <v>1.6</v>
      </c>
      <c r="I1616" s="110"/>
      <c r="J1616" s="135">
        <v>44267</v>
      </c>
      <c r="K1616" s="41">
        <f t="shared" si="106"/>
        <v>290.84800000000001</v>
      </c>
      <c r="L1616" s="41"/>
      <c r="M1616" s="41"/>
      <c r="N1616" s="13">
        <f t="shared" si="107"/>
        <v>0</v>
      </c>
      <c r="O1616" s="15">
        <f t="shared" si="108"/>
        <v>484.75636160000005</v>
      </c>
    </row>
    <row r="1617" spans="1:15" ht="18" customHeight="1">
      <c r="A1617" s="21" t="s">
        <v>3800</v>
      </c>
      <c r="B1617" s="28" t="s">
        <v>3801</v>
      </c>
      <c r="C1617" s="28">
        <v>0</v>
      </c>
      <c r="D1617" s="28" t="s">
        <v>1292</v>
      </c>
      <c r="E1617" s="28">
        <v>1.22</v>
      </c>
      <c r="F1617" s="28">
        <v>19.899999999999999</v>
      </c>
      <c r="G1617" s="28"/>
      <c r="H1617" s="28">
        <v>2</v>
      </c>
      <c r="I1617" s="28"/>
      <c r="J1617" s="133">
        <v>45572</v>
      </c>
      <c r="K1617" s="13">
        <f t="shared" si="106"/>
        <v>48.555999999999997</v>
      </c>
      <c r="L1617" s="13"/>
      <c r="M1617" s="13"/>
      <c r="N1617" s="13">
        <f t="shared" si="107"/>
        <v>0</v>
      </c>
      <c r="O1617" s="15">
        <f t="shared" si="108"/>
        <v>80.928285200000005</v>
      </c>
    </row>
    <row r="1618" spans="1:15" ht="18" customHeight="1">
      <c r="A1618" s="21" t="s">
        <v>3802</v>
      </c>
      <c r="B1618" s="28" t="s">
        <v>3801</v>
      </c>
      <c r="C1618" s="28">
        <v>0</v>
      </c>
      <c r="D1618" s="28" t="s">
        <v>1292</v>
      </c>
      <c r="E1618" s="28">
        <v>1.22</v>
      </c>
      <c r="F1618" s="28">
        <v>25.9</v>
      </c>
      <c r="G1618" s="28">
        <v>0</v>
      </c>
      <c r="H1618" s="28">
        <v>2</v>
      </c>
      <c r="I1618" s="28">
        <v>45</v>
      </c>
      <c r="J1618" s="133">
        <v>45572</v>
      </c>
      <c r="K1618" s="59">
        <f t="shared" si="106"/>
        <v>63.195999999999998</v>
      </c>
      <c r="L1618" s="9"/>
      <c r="M1618" s="9"/>
      <c r="N1618" s="9">
        <f t="shared" si="107"/>
        <v>0</v>
      </c>
      <c r="O1618" s="3">
        <f t="shared" si="108"/>
        <v>105.3287732</v>
      </c>
    </row>
    <row r="1619" spans="1:15" ht="18" customHeight="1">
      <c r="A1619" s="21"/>
      <c r="B1619" s="28" t="s">
        <v>3914</v>
      </c>
      <c r="C1619" s="28" t="s">
        <v>20</v>
      </c>
      <c r="D1619" s="28" t="s">
        <v>41</v>
      </c>
      <c r="E1619" s="28">
        <v>1.22</v>
      </c>
      <c r="F1619" s="28">
        <v>100</v>
      </c>
      <c r="G1619" s="28"/>
      <c r="H1619" s="28">
        <v>1</v>
      </c>
      <c r="I1619" s="28"/>
      <c r="J1619" s="134">
        <v>45267</v>
      </c>
      <c r="K1619" s="59">
        <f t="shared" si="106"/>
        <v>122</v>
      </c>
      <c r="L1619" s="9"/>
      <c r="M1619" s="9"/>
      <c r="N1619" s="9">
        <f t="shared" si="107"/>
        <v>0</v>
      </c>
      <c r="O1619" s="3">
        <f t="shared" si="108"/>
        <v>203.3374</v>
      </c>
    </row>
    <row r="1620" spans="1:15" ht="18" customHeight="1">
      <c r="A1620" s="20" t="s">
        <v>4230</v>
      </c>
      <c r="B1620" s="158" t="s">
        <v>4231</v>
      </c>
      <c r="C1620" s="165" t="s">
        <v>4232</v>
      </c>
      <c r="D1620" s="85" t="s">
        <v>3297</v>
      </c>
      <c r="E1620" s="158">
        <v>1.22</v>
      </c>
      <c r="F1620" s="158">
        <v>184.05</v>
      </c>
      <c r="G1620" s="120"/>
      <c r="H1620" s="158">
        <v>1.6</v>
      </c>
      <c r="I1620" s="120"/>
      <c r="J1620" s="131">
        <v>45988</v>
      </c>
      <c r="K1620" s="9">
        <f t="shared" si="106"/>
        <v>359.26560000000001</v>
      </c>
      <c r="L1620" s="37"/>
      <c r="M1620" s="17"/>
      <c r="N1620" s="16"/>
      <c r="O1620" s="16"/>
    </row>
    <row r="1621" spans="1:15" ht="18" customHeight="1">
      <c r="A1621" s="21" t="s">
        <v>4556</v>
      </c>
      <c r="B1621" s="28" t="s">
        <v>4557</v>
      </c>
      <c r="C1621" s="28" t="s">
        <v>2236</v>
      </c>
      <c r="D1621" s="28" t="s">
        <v>3297</v>
      </c>
      <c r="E1621" s="28">
        <v>1.22</v>
      </c>
      <c r="F1621" s="28">
        <v>409</v>
      </c>
      <c r="G1621" s="28"/>
      <c r="H1621" s="28">
        <v>1.8</v>
      </c>
      <c r="I1621" s="28"/>
      <c r="J1621" s="134">
        <v>45988</v>
      </c>
      <c r="K1621" s="9">
        <f t="shared" si="106"/>
        <v>898.16399999999999</v>
      </c>
      <c r="L1621" s="9"/>
      <c r="M1621" s="9"/>
      <c r="N1621" s="9">
        <f>G1621*H1621*I1621*E1621</f>
        <v>0</v>
      </c>
      <c r="O1621" s="3">
        <f>K1621*1.6667</f>
        <v>1496.9699388000001</v>
      </c>
    </row>
    <row r="1622" spans="1:15" ht="18" customHeight="1">
      <c r="A1622" s="45" t="s">
        <v>4558</v>
      </c>
      <c r="B1622" s="80" t="s">
        <v>4559</v>
      </c>
      <c r="C1622" s="79" t="s">
        <v>4560</v>
      </c>
      <c r="D1622" s="28" t="s">
        <v>3297</v>
      </c>
      <c r="E1622" s="28">
        <v>1.22</v>
      </c>
      <c r="F1622" s="80">
        <v>216.77</v>
      </c>
      <c r="G1622" s="110"/>
      <c r="H1622" s="80">
        <v>1.7</v>
      </c>
      <c r="I1622" s="110"/>
      <c r="J1622" s="134">
        <v>45988</v>
      </c>
      <c r="K1622" s="37">
        <f t="shared" si="106"/>
        <v>449.58098000000001</v>
      </c>
      <c r="L1622" s="37"/>
      <c r="M1622" s="17"/>
      <c r="N1622" s="16"/>
      <c r="O1622" s="16"/>
    </row>
    <row r="1623" spans="1:15" ht="18" customHeight="1">
      <c r="A1623" s="38"/>
      <c r="B1623" s="101" t="s">
        <v>3561</v>
      </c>
      <c r="C1623" s="121"/>
      <c r="D1623" s="120" t="s">
        <v>23</v>
      </c>
      <c r="E1623" s="103">
        <v>1</v>
      </c>
      <c r="F1623" s="103">
        <v>1</v>
      </c>
      <c r="G1623" s="121">
        <v>1.65</v>
      </c>
      <c r="H1623" s="103">
        <v>1.5</v>
      </c>
      <c r="I1623" s="121">
        <v>43</v>
      </c>
      <c r="J1623" s="135">
        <v>45469</v>
      </c>
      <c r="K1623" s="13">
        <f>+E1623*G1623*H1623*I1623</f>
        <v>106.42499999999998</v>
      </c>
      <c r="L1623" s="64"/>
      <c r="M1623" s="41"/>
      <c r="N1623" s="38"/>
      <c r="O1623" s="38"/>
    </row>
    <row r="1624" spans="1:15" ht="18" customHeight="1">
      <c r="A1624" s="41">
        <v>198</v>
      </c>
      <c r="B1624" s="227" t="s">
        <v>268</v>
      </c>
      <c r="C1624" s="296" t="s">
        <v>3891</v>
      </c>
      <c r="D1624" s="28" t="s">
        <v>17</v>
      </c>
      <c r="E1624" s="298">
        <v>1.22</v>
      </c>
      <c r="F1624" s="99">
        <v>116.74</v>
      </c>
      <c r="G1624" s="237"/>
      <c r="H1624" s="99">
        <v>1.5</v>
      </c>
      <c r="I1624" s="237">
        <v>0</v>
      </c>
      <c r="J1624" s="144">
        <v>45602</v>
      </c>
      <c r="K1624" s="35">
        <f>+F1624*H1624*I1624</f>
        <v>0</v>
      </c>
      <c r="L1624" s="64"/>
      <c r="M1624" s="41"/>
      <c r="N1624" s="13">
        <f>G1624*H1624*I1624*E1624</f>
        <v>0</v>
      </c>
      <c r="O1624" s="38"/>
    </row>
    <row r="1625" spans="1:15" ht="18" customHeight="1">
      <c r="A1625" s="24">
        <v>199</v>
      </c>
      <c r="B1625" s="96" t="s">
        <v>268</v>
      </c>
      <c r="C1625" s="78" t="s">
        <v>1251</v>
      </c>
      <c r="D1625" s="28" t="s">
        <v>17</v>
      </c>
      <c r="E1625" s="78">
        <v>1.22</v>
      </c>
      <c r="F1625" s="78">
        <v>68.67</v>
      </c>
      <c r="G1625" s="78">
        <v>0</v>
      </c>
      <c r="H1625" s="78">
        <v>1.7</v>
      </c>
      <c r="I1625" s="78"/>
      <c r="J1625" s="140">
        <v>45602</v>
      </c>
      <c r="K1625" s="13">
        <f t="shared" ref="K1625:K1634" si="109">E1625*F1625*H1625</f>
        <v>142.42158000000001</v>
      </c>
      <c r="L1625" s="13"/>
      <c r="M1625" s="13"/>
      <c r="N1625" s="13">
        <f>G1625*H1625*I1625*E1625</f>
        <v>0</v>
      </c>
      <c r="O1625" s="15">
        <f>K1625*1.6667</f>
        <v>237.37404738600003</v>
      </c>
    </row>
    <row r="1626" spans="1:15" ht="18" customHeight="1">
      <c r="A1626" s="21">
        <v>0</v>
      </c>
      <c r="B1626" s="28" t="s">
        <v>2610</v>
      </c>
      <c r="C1626" s="28" t="s">
        <v>15</v>
      </c>
      <c r="D1626" s="28" t="s">
        <v>606</v>
      </c>
      <c r="E1626" s="28">
        <v>1</v>
      </c>
      <c r="F1626" s="28">
        <v>45</v>
      </c>
      <c r="G1626" s="28"/>
      <c r="H1626" s="28">
        <v>1.6</v>
      </c>
      <c r="I1626" s="28"/>
      <c r="J1626" s="133">
        <v>44740</v>
      </c>
      <c r="K1626" s="9">
        <f t="shared" si="109"/>
        <v>72</v>
      </c>
      <c r="L1626" s="9"/>
      <c r="M1626" s="13"/>
      <c r="N1626" s="13">
        <f>G1626*H1626*I1626*E1626</f>
        <v>0</v>
      </c>
      <c r="O1626" s="15">
        <f>K1626*1.6667</f>
        <v>120.00240000000001</v>
      </c>
    </row>
    <row r="1627" spans="1:15" ht="18" customHeight="1">
      <c r="A1627" s="26" t="s">
        <v>4127</v>
      </c>
      <c r="B1627" s="80" t="s">
        <v>4130</v>
      </c>
      <c r="C1627" s="80" t="s">
        <v>3285</v>
      </c>
      <c r="D1627" s="28" t="s">
        <v>3304</v>
      </c>
      <c r="E1627" s="80">
        <v>1.22</v>
      </c>
      <c r="F1627" s="80">
        <v>330.87</v>
      </c>
      <c r="G1627" s="80"/>
      <c r="H1627" s="80">
        <v>1.5</v>
      </c>
      <c r="I1627" s="80"/>
      <c r="J1627" s="134">
        <v>45736</v>
      </c>
      <c r="K1627" s="9">
        <f t="shared" si="109"/>
        <v>605.49210000000005</v>
      </c>
      <c r="L1627" s="9"/>
      <c r="M1627" s="41"/>
      <c r="N1627" s="38"/>
      <c r="O1627" s="38"/>
    </row>
    <row r="1628" spans="1:15" ht="18" customHeight="1">
      <c r="A1628" s="22" t="s">
        <v>4131</v>
      </c>
      <c r="B1628" s="28" t="s">
        <v>4132</v>
      </c>
      <c r="C1628" s="28" t="s">
        <v>4133</v>
      </c>
      <c r="D1628" s="28" t="s">
        <v>4134</v>
      </c>
      <c r="E1628" s="28">
        <v>1.22</v>
      </c>
      <c r="F1628" s="28">
        <v>410.1</v>
      </c>
      <c r="G1628" s="28"/>
      <c r="H1628" s="28">
        <v>1.5</v>
      </c>
      <c r="I1628" s="28"/>
      <c r="J1628" s="133">
        <v>45736</v>
      </c>
      <c r="K1628" s="9">
        <f t="shared" si="109"/>
        <v>750.48299999999995</v>
      </c>
      <c r="L1628" s="9"/>
      <c r="M1628" s="13"/>
      <c r="N1628" s="9">
        <f>G1628*H1628*I1628*E1628</f>
        <v>0</v>
      </c>
      <c r="O1628" s="3">
        <f>K1628*1.6667</f>
        <v>1250.8300161</v>
      </c>
    </row>
    <row r="1629" spans="1:15" ht="18" customHeight="1">
      <c r="A1629" s="16" t="s">
        <v>4125</v>
      </c>
      <c r="B1629" s="28" t="s">
        <v>4128</v>
      </c>
      <c r="C1629" s="94" t="s">
        <v>4126</v>
      </c>
      <c r="D1629" s="28" t="s">
        <v>3304</v>
      </c>
      <c r="E1629" s="94">
        <v>1.22</v>
      </c>
      <c r="F1629" s="94">
        <v>243.44</v>
      </c>
      <c r="G1629" s="112">
        <v>0</v>
      </c>
      <c r="H1629" s="94">
        <v>1.5</v>
      </c>
      <c r="I1629" s="112"/>
      <c r="J1629" s="143">
        <v>43909</v>
      </c>
      <c r="K1629" s="9">
        <f t="shared" si="109"/>
        <v>445.49520000000001</v>
      </c>
      <c r="L1629" s="172"/>
      <c r="M1629" s="41"/>
      <c r="N1629" s="16"/>
      <c r="O1629" s="16"/>
    </row>
    <row r="1630" spans="1:15" ht="18" customHeight="1">
      <c r="A1630" s="24" t="s">
        <v>4124</v>
      </c>
      <c r="B1630" s="96" t="s">
        <v>4129</v>
      </c>
      <c r="C1630" s="78" t="s">
        <v>2303</v>
      </c>
      <c r="D1630" s="28" t="s">
        <v>3304</v>
      </c>
      <c r="E1630" s="78">
        <v>1.22</v>
      </c>
      <c r="F1630" s="78">
        <v>212.02</v>
      </c>
      <c r="G1630" s="78"/>
      <c r="H1630" s="78">
        <v>1.5</v>
      </c>
      <c r="I1630" s="78"/>
      <c r="J1630" s="140">
        <v>45736</v>
      </c>
      <c r="K1630" s="13">
        <f t="shared" si="109"/>
        <v>387.9966</v>
      </c>
      <c r="L1630" s="13"/>
      <c r="M1630" s="13"/>
      <c r="N1630" s="13">
        <f>G1630*H1630*I1630*E1630</f>
        <v>0</v>
      </c>
      <c r="O1630" s="15">
        <f>K1630*1.6667</f>
        <v>646.67393321999998</v>
      </c>
    </row>
    <row r="1631" spans="1:15" ht="18" customHeight="1">
      <c r="A1631" s="21">
        <v>1780</v>
      </c>
      <c r="B1631" s="28" t="s">
        <v>2978</v>
      </c>
      <c r="C1631" s="28" t="s">
        <v>1714</v>
      </c>
      <c r="D1631" s="28" t="s">
        <v>451</v>
      </c>
      <c r="E1631" s="28">
        <v>1.22</v>
      </c>
      <c r="F1631" s="28">
        <v>86.45</v>
      </c>
      <c r="G1631" s="28"/>
      <c r="H1631" s="28">
        <v>1.3</v>
      </c>
      <c r="I1631" s="28"/>
      <c r="J1631" s="133">
        <v>45015</v>
      </c>
      <c r="K1631" s="9">
        <f t="shared" si="109"/>
        <v>137.1097</v>
      </c>
      <c r="L1631" s="9"/>
      <c r="M1631" s="13"/>
      <c r="N1631" s="9">
        <f>G1631*H1631*I1631*E1631</f>
        <v>0</v>
      </c>
      <c r="O1631" s="3">
        <f>K1631*1.6667</f>
        <v>228.52073699000002</v>
      </c>
    </row>
    <row r="1632" spans="1:15" ht="18" customHeight="1">
      <c r="A1632" s="24">
        <v>0</v>
      </c>
      <c r="B1632" s="96" t="s">
        <v>1227</v>
      </c>
      <c r="C1632" s="102" t="s">
        <v>2967</v>
      </c>
      <c r="D1632" s="28"/>
      <c r="E1632" s="78">
        <v>1.22</v>
      </c>
      <c r="F1632" s="78">
        <v>1870</v>
      </c>
      <c r="G1632" s="151"/>
      <c r="H1632" s="78">
        <v>1.5</v>
      </c>
      <c r="I1632" s="151"/>
      <c r="J1632" s="144">
        <v>45010</v>
      </c>
      <c r="K1632" s="13">
        <f t="shared" si="109"/>
        <v>3422.1000000000004</v>
      </c>
      <c r="L1632" s="13"/>
      <c r="M1632" s="58"/>
      <c r="N1632" s="49"/>
      <c r="O1632" s="49"/>
    </row>
    <row r="1633" spans="1:15" ht="18" customHeight="1">
      <c r="A1633" s="24">
        <v>0</v>
      </c>
      <c r="B1633" s="96" t="s">
        <v>1227</v>
      </c>
      <c r="C1633" s="102" t="s">
        <v>2968</v>
      </c>
      <c r="D1633" s="93"/>
      <c r="E1633" s="78">
        <v>1.22</v>
      </c>
      <c r="F1633" s="78">
        <v>1220</v>
      </c>
      <c r="G1633" s="151"/>
      <c r="H1633" s="78">
        <v>1.4</v>
      </c>
      <c r="I1633" s="151"/>
      <c r="J1633" s="144">
        <v>45741</v>
      </c>
      <c r="K1633" s="13">
        <f t="shared" si="109"/>
        <v>2083.7599999999998</v>
      </c>
      <c r="L1633" s="13"/>
      <c r="M1633" s="58"/>
      <c r="N1633" s="49"/>
      <c r="O1633" s="49"/>
    </row>
    <row r="1634" spans="1:15" ht="18" customHeight="1">
      <c r="A1634" s="21">
        <v>0</v>
      </c>
      <c r="B1634" s="28" t="s">
        <v>1227</v>
      </c>
      <c r="C1634" s="28" t="s">
        <v>2013</v>
      </c>
      <c r="D1634" s="28"/>
      <c r="E1634" s="28">
        <v>1.22</v>
      </c>
      <c r="F1634" s="28">
        <v>1</v>
      </c>
      <c r="G1634" s="28"/>
      <c r="H1634" s="28">
        <v>1.3</v>
      </c>
      <c r="I1634" s="28"/>
      <c r="J1634" s="133">
        <v>44195</v>
      </c>
      <c r="K1634" s="9">
        <f t="shared" si="109"/>
        <v>1.5860000000000001</v>
      </c>
      <c r="L1634" s="9"/>
      <c r="M1634" s="9"/>
      <c r="N1634" s="9">
        <f>G1634*H1634*I1634*E1634</f>
        <v>0</v>
      </c>
      <c r="O1634" s="3">
        <f>K1634*1.6667</f>
        <v>2.6433862000000001</v>
      </c>
    </row>
    <row r="1635" spans="1:15" ht="18" customHeight="1">
      <c r="A1635" s="156"/>
      <c r="B1635" s="162" t="s">
        <v>1227</v>
      </c>
      <c r="C1635" s="85" t="s">
        <v>2012</v>
      </c>
      <c r="D1635" s="85"/>
      <c r="E1635" s="85">
        <v>1.22</v>
      </c>
      <c r="F1635" s="85">
        <v>1</v>
      </c>
      <c r="G1635" s="120"/>
      <c r="H1635" s="85">
        <v>1.3</v>
      </c>
      <c r="I1635" s="120"/>
      <c r="J1635" s="142">
        <v>44195</v>
      </c>
      <c r="K1635" s="10">
        <f>+G1635*E1635*H1635*I1635</f>
        <v>0</v>
      </c>
      <c r="L1635" s="10"/>
      <c r="M1635" s="56"/>
      <c r="N1635" s="156"/>
      <c r="O1635" s="156"/>
    </row>
    <row r="1636" spans="1:15" ht="18" customHeight="1">
      <c r="A1636" s="38"/>
      <c r="B1636" s="103" t="s">
        <v>1227</v>
      </c>
      <c r="C1636" s="78" t="s">
        <v>2014</v>
      </c>
      <c r="D1636" s="85"/>
      <c r="E1636" s="78">
        <v>1.22</v>
      </c>
      <c r="F1636" s="78">
        <v>1</v>
      </c>
      <c r="G1636" s="121"/>
      <c r="H1636" s="78">
        <v>1.3</v>
      </c>
      <c r="I1636" s="121"/>
      <c r="J1636" s="138">
        <v>44195</v>
      </c>
      <c r="K1636" s="41">
        <f>+G1636*E1636*H1636*I1636</f>
        <v>0</v>
      </c>
      <c r="L1636" s="41"/>
      <c r="M1636" s="41"/>
      <c r="N1636" s="38"/>
      <c r="O1636" s="38"/>
    </row>
    <row r="1637" spans="1:15" ht="18" customHeight="1">
      <c r="A1637" s="39">
        <v>0</v>
      </c>
      <c r="B1637" s="96" t="s">
        <v>1227</v>
      </c>
      <c r="C1637" s="224" t="s">
        <v>2842</v>
      </c>
      <c r="D1637" s="28"/>
      <c r="E1637" s="96">
        <v>1.22</v>
      </c>
      <c r="F1637" s="96">
        <v>0</v>
      </c>
      <c r="G1637" s="121"/>
      <c r="H1637" s="96">
        <v>1.7</v>
      </c>
      <c r="I1637" s="121"/>
      <c r="J1637" s="138">
        <v>44295</v>
      </c>
      <c r="K1637" s="35">
        <f t="shared" ref="K1637:K1671" si="110">E1637*F1637*H1637</f>
        <v>0</v>
      </c>
      <c r="L1637" s="50"/>
      <c r="M1637" s="41"/>
      <c r="N1637" s="38"/>
      <c r="O1637" s="15">
        <f t="shared" ref="O1637:O1643" si="111">K1637*1.6667</f>
        <v>0</v>
      </c>
    </row>
    <row r="1638" spans="1:15" ht="18" customHeight="1">
      <c r="A1638" s="23" t="s">
        <v>1758</v>
      </c>
      <c r="B1638" s="96" t="s">
        <v>1760</v>
      </c>
      <c r="C1638" s="96" t="s">
        <v>1759</v>
      </c>
      <c r="D1638" s="28" t="s">
        <v>3297</v>
      </c>
      <c r="E1638" s="96">
        <v>1.22</v>
      </c>
      <c r="F1638" s="96">
        <v>2940</v>
      </c>
      <c r="G1638" s="78"/>
      <c r="H1638" s="96">
        <v>1.5</v>
      </c>
      <c r="I1638" s="78"/>
      <c r="J1638" s="140">
        <v>44002</v>
      </c>
      <c r="K1638" s="9">
        <f t="shared" si="110"/>
        <v>5380.2</v>
      </c>
      <c r="L1638" s="13"/>
      <c r="M1638" s="13"/>
      <c r="N1638" s="13">
        <f t="shared" ref="N1638:N1643" si="112">G1638*H1638*I1638*E1638</f>
        <v>0</v>
      </c>
      <c r="O1638" s="15">
        <f t="shared" si="111"/>
        <v>8967.1793400000006</v>
      </c>
    </row>
    <row r="1639" spans="1:15" ht="18" hidden="1" customHeight="1">
      <c r="A1639" s="23" t="s">
        <v>1124</v>
      </c>
      <c r="B1639" s="96" t="s">
        <v>1123</v>
      </c>
      <c r="C1639" s="78" t="s">
        <v>1122</v>
      </c>
      <c r="D1639" s="28" t="s">
        <v>3297</v>
      </c>
      <c r="E1639" s="78">
        <v>1.22</v>
      </c>
      <c r="F1639" s="78">
        <v>2650</v>
      </c>
      <c r="G1639" s="78"/>
      <c r="H1639" s="78">
        <v>1.5</v>
      </c>
      <c r="I1639" s="78"/>
      <c r="J1639" s="140">
        <v>43439</v>
      </c>
      <c r="K1639" s="13">
        <f t="shared" si="110"/>
        <v>4849.5</v>
      </c>
      <c r="L1639" s="13"/>
      <c r="M1639" s="13"/>
      <c r="N1639" s="13">
        <f t="shared" si="112"/>
        <v>0</v>
      </c>
      <c r="O1639" s="15">
        <f t="shared" si="111"/>
        <v>8082.66165</v>
      </c>
    </row>
    <row r="1640" spans="1:15" ht="18" hidden="1" customHeight="1">
      <c r="A1640" s="24" t="s">
        <v>1125</v>
      </c>
      <c r="B1640" s="96" t="s">
        <v>1126</v>
      </c>
      <c r="C1640" s="78" t="s">
        <v>1127</v>
      </c>
      <c r="D1640" s="28" t="s">
        <v>3297</v>
      </c>
      <c r="E1640" s="28">
        <v>1.22</v>
      </c>
      <c r="F1640" s="96">
        <v>3410</v>
      </c>
      <c r="G1640" s="78"/>
      <c r="H1640" s="96">
        <v>1.5</v>
      </c>
      <c r="I1640" s="78"/>
      <c r="J1640" s="140">
        <v>43788</v>
      </c>
      <c r="K1640" s="9">
        <f t="shared" si="110"/>
        <v>6240.2999999999993</v>
      </c>
      <c r="L1640" s="13"/>
      <c r="M1640" s="13"/>
      <c r="N1640" s="13">
        <f t="shared" si="112"/>
        <v>0</v>
      </c>
      <c r="O1640" s="15">
        <f t="shared" si="111"/>
        <v>10400.708009999998</v>
      </c>
    </row>
    <row r="1641" spans="1:15" ht="18" customHeight="1">
      <c r="A1641" s="24" t="s">
        <v>1761</v>
      </c>
      <c r="B1641" s="78" t="s">
        <v>1762</v>
      </c>
      <c r="C1641" s="78" t="s">
        <v>1763</v>
      </c>
      <c r="D1641" s="28" t="s">
        <v>3297</v>
      </c>
      <c r="E1641" s="78">
        <v>1.22</v>
      </c>
      <c r="F1641" s="78">
        <v>1553</v>
      </c>
      <c r="G1641" s="78"/>
      <c r="H1641" s="78">
        <v>1.5</v>
      </c>
      <c r="I1641" s="78"/>
      <c r="J1641" s="140">
        <v>44002</v>
      </c>
      <c r="K1641" s="13">
        <f t="shared" si="110"/>
        <v>2841.99</v>
      </c>
      <c r="L1641" s="13"/>
      <c r="M1641" s="13"/>
      <c r="N1641" s="13">
        <f t="shared" si="112"/>
        <v>0</v>
      </c>
      <c r="O1641" s="15">
        <f t="shared" si="111"/>
        <v>4736.7447329999995</v>
      </c>
    </row>
    <row r="1642" spans="1:15" ht="18" customHeight="1">
      <c r="A1642" s="24" t="s">
        <v>2220</v>
      </c>
      <c r="B1642" s="78" t="s">
        <v>2221</v>
      </c>
      <c r="C1642" s="78" t="s">
        <v>1055</v>
      </c>
      <c r="D1642" s="28"/>
      <c r="E1642" s="78">
        <v>1.22</v>
      </c>
      <c r="F1642" s="78">
        <v>153</v>
      </c>
      <c r="G1642" s="78"/>
      <c r="H1642" s="78">
        <v>1.4</v>
      </c>
      <c r="I1642" s="78"/>
      <c r="J1642" s="140">
        <v>44653</v>
      </c>
      <c r="K1642" s="13">
        <f t="shared" si="110"/>
        <v>261.32399999999996</v>
      </c>
      <c r="L1642" s="13"/>
      <c r="M1642" s="13"/>
      <c r="N1642" s="13">
        <f t="shared" si="112"/>
        <v>0</v>
      </c>
      <c r="O1642" s="15">
        <f t="shared" si="111"/>
        <v>435.54871079999992</v>
      </c>
    </row>
    <row r="1643" spans="1:15" ht="18" customHeight="1">
      <c r="A1643" s="24"/>
      <c r="B1643" s="78" t="s">
        <v>1978</v>
      </c>
      <c r="C1643" s="78" t="s">
        <v>107</v>
      </c>
      <c r="D1643" s="28" t="s">
        <v>3324</v>
      </c>
      <c r="E1643" s="78">
        <v>1.22</v>
      </c>
      <c r="F1643" s="78">
        <v>1030.3599999999999</v>
      </c>
      <c r="G1643" s="78"/>
      <c r="H1643" s="78">
        <v>1.25</v>
      </c>
      <c r="I1643" s="78"/>
      <c r="J1643" s="144">
        <v>44998</v>
      </c>
      <c r="K1643" s="13">
        <f t="shared" si="110"/>
        <v>1571.299</v>
      </c>
      <c r="L1643" s="13"/>
      <c r="M1643" s="13"/>
      <c r="N1643" s="13">
        <f t="shared" si="112"/>
        <v>0</v>
      </c>
      <c r="O1643" s="15">
        <f t="shared" si="111"/>
        <v>2618.8840433</v>
      </c>
    </row>
    <row r="1644" spans="1:15" ht="18" customHeight="1">
      <c r="A1644" s="39"/>
      <c r="B1644" s="96" t="s">
        <v>1978</v>
      </c>
      <c r="C1644" s="78" t="s">
        <v>589</v>
      </c>
      <c r="D1644" s="28" t="s">
        <v>3324</v>
      </c>
      <c r="E1644" s="28">
        <v>1.22</v>
      </c>
      <c r="F1644" s="96">
        <v>1935.81</v>
      </c>
      <c r="G1644" s="121"/>
      <c r="H1644" s="28">
        <v>1.25</v>
      </c>
      <c r="I1644" s="121"/>
      <c r="J1644" s="134">
        <v>44662</v>
      </c>
      <c r="K1644" s="35">
        <f t="shared" si="110"/>
        <v>2952.1102500000002</v>
      </c>
      <c r="L1644" s="50"/>
      <c r="M1644" s="41"/>
      <c r="N1644" s="38"/>
      <c r="O1644" s="38"/>
    </row>
    <row r="1645" spans="1:15" ht="18" customHeight="1">
      <c r="A1645" s="24">
        <v>72003</v>
      </c>
      <c r="B1645" s="78" t="s">
        <v>1295</v>
      </c>
      <c r="C1645" s="78" t="s">
        <v>1296</v>
      </c>
      <c r="D1645" s="93" t="s">
        <v>3297</v>
      </c>
      <c r="E1645" s="78">
        <v>1.22</v>
      </c>
      <c r="F1645" s="78">
        <v>24.9</v>
      </c>
      <c r="G1645" s="78"/>
      <c r="H1645" s="78">
        <v>2</v>
      </c>
      <c r="I1645" s="78"/>
      <c r="J1645" s="140">
        <v>44944</v>
      </c>
      <c r="K1645" s="13">
        <f t="shared" si="110"/>
        <v>60.755999999999993</v>
      </c>
      <c r="L1645" s="13"/>
      <c r="M1645" s="13"/>
      <c r="N1645" s="13">
        <f>G1645*H1645*I1645*E1645</f>
        <v>0</v>
      </c>
      <c r="O1645" s="15">
        <f>K1645*1.6667</f>
        <v>101.2620252</v>
      </c>
    </row>
    <row r="1646" spans="1:15" ht="18" customHeight="1">
      <c r="A1646" s="21"/>
      <c r="B1646" s="28" t="s">
        <v>487</v>
      </c>
      <c r="C1646" s="28"/>
      <c r="D1646" s="28"/>
      <c r="E1646" s="28">
        <v>1</v>
      </c>
      <c r="F1646" s="28">
        <v>145</v>
      </c>
      <c r="G1646" s="28"/>
      <c r="H1646" s="28">
        <v>2</v>
      </c>
      <c r="I1646" s="28"/>
      <c r="J1646" s="133"/>
      <c r="K1646" s="9">
        <f t="shared" si="110"/>
        <v>290</v>
      </c>
      <c r="L1646" s="9"/>
      <c r="M1646" s="9"/>
      <c r="N1646" s="9">
        <f>G1646*H1646*I1646*E1646</f>
        <v>0</v>
      </c>
      <c r="O1646" s="3">
        <f>K1646*1.6667</f>
        <v>483.34300000000002</v>
      </c>
    </row>
    <row r="1647" spans="1:15" ht="18" customHeight="1">
      <c r="A1647" s="16" t="s">
        <v>4529</v>
      </c>
      <c r="B1647" s="87" t="s">
        <v>4530</v>
      </c>
      <c r="C1647" s="110" t="s">
        <v>2288</v>
      </c>
      <c r="D1647" s="28" t="s">
        <v>1983</v>
      </c>
      <c r="E1647" s="28">
        <v>1.22</v>
      </c>
      <c r="F1647" s="87">
        <v>54</v>
      </c>
      <c r="G1647" s="110"/>
      <c r="H1647" s="28">
        <v>1.6</v>
      </c>
      <c r="I1647" s="110"/>
      <c r="J1647" s="135">
        <v>45982</v>
      </c>
      <c r="K1647" s="9">
        <f t="shared" si="110"/>
        <v>105.408</v>
      </c>
      <c r="L1647" s="9"/>
      <c r="M1647" s="17"/>
      <c r="N1647" s="16"/>
      <c r="O1647" s="16"/>
    </row>
    <row r="1648" spans="1:15" ht="18" customHeight="1">
      <c r="A1648" s="46" t="s">
        <v>3026</v>
      </c>
      <c r="B1648" s="83" t="s">
        <v>3027</v>
      </c>
      <c r="C1648" s="79" t="s">
        <v>3028</v>
      </c>
      <c r="D1648" s="28" t="s">
        <v>1983</v>
      </c>
      <c r="E1648" s="28">
        <v>1.22</v>
      </c>
      <c r="F1648" s="83">
        <v>66</v>
      </c>
      <c r="G1648" s="110"/>
      <c r="H1648" s="28">
        <v>1.4</v>
      </c>
      <c r="I1648" s="110"/>
      <c r="J1648" s="134">
        <v>45055</v>
      </c>
      <c r="K1648" s="35">
        <f t="shared" si="110"/>
        <v>112.72799999999998</v>
      </c>
      <c r="L1648" s="37"/>
      <c r="M1648" s="17"/>
      <c r="N1648" s="16"/>
      <c r="O1648" s="16"/>
    </row>
    <row r="1649" spans="1:15" ht="18" customHeight="1">
      <c r="A1649" s="38"/>
      <c r="B1649" s="96" t="s">
        <v>2873</v>
      </c>
      <c r="C1649" s="121"/>
      <c r="D1649" s="85"/>
      <c r="E1649" s="96">
        <v>1.22</v>
      </c>
      <c r="F1649" s="96">
        <v>108</v>
      </c>
      <c r="G1649" s="121"/>
      <c r="H1649" s="96">
        <v>1.8</v>
      </c>
      <c r="I1649" s="121"/>
      <c r="J1649" s="138">
        <v>44939</v>
      </c>
      <c r="K1649" s="63">
        <f t="shared" si="110"/>
        <v>237.16799999999998</v>
      </c>
      <c r="L1649" s="64"/>
      <c r="M1649" s="41"/>
      <c r="N1649" s="38"/>
      <c r="O1649" s="38"/>
    </row>
    <row r="1650" spans="1:15" ht="18" customHeight="1">
      <c r="A1650" s="24" t="s">
        <v>3145</v>
      </c>
      <c r="B1650" s="78" t="s">
        <v>4106</v>
      </c>
      <c r="C1650" s="78" t="s">
        <v>4107</v>
      </c>
      <c r="D1650" s="28" t="s">
        <v>1921</v>
      </c>
      <c r="E1650" s="78">
        <v>1.22</v>
      </c>
      <c r="F1650" s="78">
        <v>97</v>
      </c>
      <c r="G1650" s="78"/>
      <c r="H1650" s="78">
        <v>1.5</v>
      </c>
      <c r="I1650" s="78"/>
      <c r="J1650" s="140">
        <v>45819</v>
      </c>
      <c r="K1650" s="13">
        <f t="shared" si="110"/>
        <v>177.51</v>
      </c>
      <c r="L1650" s="13"/>
      <c r="M1650" s="13"/>
      <c r="N1650" s="13">
        <f>G1650*H1650*I1650*E1650</f>
        <v>0</v>
      </c>
      <c r="O1650" s="15">
        <f>K1650*1.6667</f>
        <v>295.85591699999998</v>
      </c>
    </row>
    <row r="1651" spans="1:15" ht="18" customHeight="1">
      <c r="A1651" s="38"/>
      <c r="B1651" s="103" t="s">
        <v>1884</v>
      </c>
      <c r="C1651" s="121"/>
      <c r="D1651" s="28"/>
      <c r="E1651" s="78">
        <v>1.22</v>
      </c>
      <c r="F1651" s="103">
        <v>42.77</v>
      </c>
      <c r="G1651" s="121"/>
      <c r="H1651" s="78">
        <v>1.6</v>
      </c>
      <c r="I1651" s="121"/>
      <c r="J1651" s="138">
        <v>44105</v>
      </c>
      <c r="K1651" s="13">
        <f t="shared" si="110"/>
        <v>83.487040000000007</v>
      </c>
      <c r="L1651" s="13"/>
      <c r="M1651" s="41"/>
      <c r="N1651" s="38"/>
      <c r="O1651" s="38"/>
    </row>
    <row r="1652" spans="1:15" ht="18" customHeight="1">
      <c r="A1652" s="24">
        <v>15990</v>
      </c>
      <c r="B1652" s="78" t="s">
        <v>2950</v>
      </c>
      <c r="C1652" s="78"/>
      <c r="D1652" s="28" t="s">
        <v>451</v>
      </c>
      <c r="E1652" s="78">
        <v>1.22</v>
      </c>
      <c r="F1652" s="78">
        <v>764.15</v>
      </c>
      <c r="G1652" s="78"/>
      <c r="H1652" s="78">
        <v>1.6</v>
      </c>
      <c r="I1652" s="78"/>
      <c r="J1652" s="140">
        <v>45255</v>
      </c>
      <c r="K1652" s="13">
        <f t="shared" si="110"/>
        <v>1491.6207999999999</v>
      </c>
      <c r="L1652" s="13"/>
      <c r="M1652" s="13"/>
      <c r="N1652" s="13"/>
      <c r="O1652" s="15"/>
    </row>
    <row r="1653" spans="1:15" ht="18" customHeight="1">
      <c r="A1653" s="58">
        <v>20033</v>
      </c>
      <c r="B1653" s="78" t="s">
        <v>3265</v>
      </c>
      <c r="C1653" s="121"/>
      <c r="D1653" s="28" t="s">
        <v>451</v>
      </c>
      <c r="E1653" s="78">
        <v>1.22</v>
      </c>
      <c r="F1653" s="78">
        <v>1319.2</v>
      </c>
      <c r="G1653" s="121"/>
      <c r="H1653" s="78">
        <v>1.6</v>
      </c>
      <c r="I1653" s="121"/>
      <c r="J1653" s="144">
        <v>45255</v>
      </c>
      <c r="K1653" s="64">
        <f t="shared" si="110"/>
        <v>2575.0784000000003</v>
      </c>
      <c r="L1653" s="64"/>
      <c r="M1653" s="41"/>
      <c r="N1653" s="38"/>
      <c r="O1653" s="38"/>
    </row>
    <row r="1654" spans="1:15" ht="18" customHeight="1">
      <c r="A1654" s="24">
        <v>15984</v>
      </c>
      <c r="B1654" s="78" t="s">
        <v>2868</v>
      </c>
      <c r="C1654" s="78"/>
      <c r="D1654" s="28" t="s">
        <v>451</v>
      </c>
      <c r="E1654" s="78">
        <v>1.22</v>
      </c>
      <c r="F1654" s="78">
        <v>578</v>
      </c>
      <c r="G1654" s="78"/>
      <c r="H1654" s="78">
        <v>1.6</v>
      </c>
      <c r="I1654" s="78"/>
      <c r="J1654" s="138">
        <v>44944</v>
      </c>
      <c r="K1654" s="13">
        <f t="shared" si="110"/>
        <v>1128.2560000000001</v>
      </c>
      <c r="L1654" s="13"/>
      <c r="M1654" s="13"/>
      <c r="N1654" s="13"/>
      <c r="O1654" s="15"/>
    </row>
    <row r="1655" spans="1:15" ht="18" customHeight="1">
      <c r="A1655" s="23">
        <v>14223</v>
      </c>
      <c r="B1655" s="96" t="s">
        <v>2867</v>
      </c>
      <c r="C1655" s="78" t="s">
        <v>298</v>
      </c>
      <c r="D1655" s="28" t="s">
        <v>451</v>
      </c>
      <c r="E1655" s="28">
        <v>1.22</v>
      </c>
      <c r="F1655" s="96">
        <v>444.56</v>
      </c>
      <c r="G1655" s="78"/>
      <c r="H1655" s="28">
        <v>1.6</v>
      </c>
      <c r="I1655" s="78"/>
      <c r="J1655" s="144">
        <v>45255</v>
      </c>
      <c r="K1655" s="9">
        <f t="shared" si="110"/>
        <v>867.7811200000001</v>
      </c>
      <c r="L1655" s="13"/>
      <c r="M1655" s="13"/>
      <c r="N1655" s="13"/>
      <c r="O1655" s="15"/>
    </row>
    <row r="1656" spans="1:15" ht="18" customHeight="1">
      <c r="A1656" s="38"/>
      <c r="B1656" s="103" t="s">
        <v>3364</v>
      </c>
      <c r="C1656" s="121"/>
      <c r="D1656" s="28" t="s">
        <v>1859</v>
      </c>
      <c r="E1656" s="78">
        <v>1.22</v>
      </c>
      <c r="F1656" s="103">
        <v>9</v>
      </c>
      <c r="G1656" s="121"/>
      <c r="H1656" s="78">
        <v>1.8</v>
      </c>
      <c r="I1656" s="121"/>
      <c r="J1656" s="138">
        <v>45329</v>
      </c>
      <c r="K1656" s="13">
        <f t="shared" si="110"/>
        <v>19.764000000000003</v>
      </c>
      <c r="L1656" s="64"/>
      <c r="M1656" s="41"/>
      <c r="N1656" s="38"/>
      <c r="O1656" s="38"/>
    </row>
    <row r="1657" spans="1:15" ht="18" customHeight="1">
      <c r="A1657" s="38"/>
      <c r="B1657" s="102" t="s">
        <v>511</v>
      </c>
      <c r="C1657" s="78" t="s">
        <v>2336</v>
      </c>
      <c r="D1657" s="28"/>
      <c r="E1657" s="102">
        <v>1.22</v>
      </c>
      <c r="F1657" s="78">
        <v>1805</v>
      </c>
      <c r="G1657" s="121"/>
      <c r="H1657" s="102">
        <v>1.6</v>
      </c>
      <c r="I1657" s="121"/>
      <c r="J1657" s="144">
        <v>44847</v>
      </c>
      <c r="K1657" s="13">
        <f t="shared" si="110"/>
        <v>3523.36</v>
      </c>
      <c r="L1657" s="64"/>
      <c r="M1657" s="41"/>
      <c r="N1657" s="38"/>
      <c r="O1657" s="38"/>
    </row>
    <row r="1658" spans="1:15" ht="18" customHeight="1">
      <c r="A1658" s="38"/>
      <c r="B1658" s="78" t="s">
        <v>511</v>
      </c>
      <c r="C1658" s="78" t="s">
        <v>1444</v>
      </c>
      <c r="D1658" s="28"/>
      <c r="E1658" s="78">
        <v>1.22</v>
      </c>
      <c r="F1658" s="78">
        <v>555</v>
      </c>
      <c r="G1658" s="121"/>
      <c r="H1658" s="78">
        <v>1.6</v>
      </c>
      <c r="I1658" s="121"/>
      <c r="J1658" s="140">
        <v>44769</v>
      </c>
      <c r="K1658" s="50">
        <f t="shared" si="110"/>
        <v>1083.3600000000001</v>
      </c>
      <c r="L1658" s="50"/>
      <c r="M1658" s="50"/>
      <c r="N1658" s="13">
        <f>G1658*H1658*I1658*E1658</f>
        <v>0</v>
      </c>
      <c r="O1658" s="15">
        <f>K1658*1.6667</f>
        <v>1805.6361120000004</v>
      </c>
    </row>
    <row r="1659" spans="1:15" ht="18" customHeight="1">
      <c r="A1659" s="24"/>
      <c r="B1659" s="96" t="s">
        <v>511</v>
      </c>
      <c r="C1659" s="78" t="s">
        <v>553</v>
      </c>
      <c r="D1659" s="28"/>
      <c r="E1659" s="78">
        <v>1.22</v>
      </c>
      <c r="F1659" s="96">
        <v>60</v>
      </c>
      <c r="G1659" s="78"/>
      <c r="H1659" s="78">
        <v>1.6</v>
      </c>
      <c r="I1659" s="78"/>
      <c r="J1659" s="140">
        <v>44769</v>
      </c>
      <c r="K1659" s="57">
        <f t="shared" si="110"/>
        <v>117.12</v>
      </c>
      <c r="L1659" s="50"/>
      <c r="M1659" s="13"/>
      <c r="N1659" s="13">
        <f>G1659*H1659*I1659*E1659</f>
        <v>0</v>
      </c>
      <c r="O1659" s="15"/>
    </row>
    <row r="1660" spans="1:15" ht="18" customHeight="1">
      <c r="A1660" s="38"/>
      <c r="B1660" s="101" t="s">
        <v>511</v>
      </c>
      <c r="C1660" s="125" t="s">
        <v>1037</v>
      </c>
      <c r="D1660" s="28" t="s">
        <v>1030</v>
      </c>
      <c r="E1660" s="80">
        <v>1</v>
      </c>
      <c r="F1660" s="101">
        <v>461</v>
      </c>
      <c r="G1660" s="121"/>
      <c r="H1660" s="103">
        <v>1.9</v>
      </c>
      <c r="I1660" s="121"/>
      <c r="J1660" s="138">
        <v>45768</v>
      </c>
      <c r="K1660" s="37">
        <f t="shared" si="110"/>
        <v>875.9</v>
      </c>
      <c r="L1660" s="64"/>
      <c r="M1660" s="41"/>
      <c r="N1660" s="38"/>
      <c r="O1660" s="38"/>
    </row>
    <row r="1661" spans="1:15" ht="18" customHeight="1">
      <c r="A1661" s="24">
        <v>111507</v>
      </c>
      <c r="B1661" s="96" t="s">
        <v>114</v>
      </c>
      <c r="C1661" s="78" t="s">
        <v>108</v>
      </c>
      <c r="D1661" s="28" t="s">
        <v>3306</v>
      </c>
      <c r="E1661" s="28">
        <v>1</v>
      </c>
      <c r="F1661" s="96">
        <v>250</v>
      </c>
      <c r="G1661" s="78"/>
      <c r="H1661" s="78">
        <v>1.4</v>
      </c>
      <c r="I1661" s="78"/>
      <c r="J1661" s="140">
        <v>45923</v>
      </c>
      <c r="K1661" s="9">
        <f t="shared" si="110"/>
        <v>350</v>
      </c>
      <c r="L1661" s="13"/>
      <c r="M1661" s="13"/>
      <c r="N1661" s="13">
        <f>G1661*H1661*I1661*E1661</f>
        <v>0</v>
      </c>
      <c r="O1661" s="15">
        <f>K1661*1.6667</f>
        <v>583.34500000000003</v>
      </c>
    </row>
    <row r="1662" spans="1:15" ht="18" customHeight="1">
      <c r="A1662" s="24"/>
      <c r="B1662" s="96" t="s">
        <v>114</v>
      </c>
      <c r="C1662" s="78" t="s">
        <v>112</v>
      </c>
      <c r="D1662" s="93" t="s">
        <v>3306</v>
      </c>
      <c r="E1662" s="93">
        <v>1</v>
      </c>
      <c r="F1662" s="96">
        <v>515</v>
      </c>
      <c r="G1662" s="78"/>
      <c r="H1662" s="78">
        <v>1.4</v>
      </c>
      <c r="I1662" s="78"/>
      <c r="J1662" s="140">
        <v>45923</v>
      </c>
      <c r="K1662" s="33">
        <f t="shared" si="110"/>
        <v>721</v>
      </c>
      <c r="L1662" s="13"/>
      <c r="M1662" s="13"/>
      <c r="N1662" s="13">
        <f>G1662*H1662*I1662*E1662</f>
        <v>0</v>
      </c>
      <c r="O1662" s="15">
        <f>K1662*1.6667</f>
        <v>1201.6907000000001</v>
      </c>
    </row>
    <row r="1663" spans="1:15" ht="18" customHeight="1">
      <c r="A1663" s="21">
        <v>1106</v>
      </c>
      <c r="B1663" s="28" t="s">
        <v>114</v>
      </c>
      <c r="C1663" s="28" t="s">
        <v>513</v>
      </c>
      <c r="D1663" s="28" t="s">
        <v>3306</v>
      </c>
      <c r="E1663" s="28">
        <v>1.22</v>
      </c>
      <c r="F1663" s="28">
        <v>265</v>
      </c>
      <c r="G1663" s="28"/>
      <c r="H1663" s="28">
        <v>1.25</v>
      </c>
      <c r="I1663" s="28"/>
      <c r="J1663" s="133">
        <v>45658</v>
      </c>
      <c r="K1663" s="9">
        <f t="shared" si="110"/>
        <v>404.125</v>
      </c>
      <c r="L1663" s="9"/>
      <c r="M1663" s="9"/>
      <c r="N1663" s="9">
        <f>G1663*H1663*I1663*E1663</f>
        <v>0</v>
      </c>
      <c r="O1663" s="3">
        <f>K1663*1.6667</f>
        <v>673.5551375</v>
      </c>
    </row>
    <row r="1664" spans="1:15" ht="18" customHeight="1">
      <c r="A1664" s="247">
        <v>117175</v>
      </c>
      <c r="B1664" s="85" t="s">
        <v>2975</v>
      </c>
      <c r="C1664" s="165" t="s">
        <v>98</v>
      </c>
      <c r="D1664" s="85" t="s">
        <v>1245</v>
      </c>
      <c r="E1664" s="85">
        <v>1.22</v>
      </c>
      <c r="F1664" s="85">
        <v>1442.93</v>
      </c>
      <c r="G1664" s="120"/>
      <c r="H1664" s="85">
        <v>1.25</v>
      </c>
      <c r="I1664" s="120"/>
      <c r="J1664" s="132">
        <v>45687</v>
      </c>
      <c r="K1664" s="63">
        <f t="shared" si="110"/>
        <v>2200.4682499999999</v>
      </c>
      <c r="L1664" s="64"/>
      <c r="M1664" s="41"/>
      <c r="N1664" s="38"/>
      <c r="O1664" s="38"/>
    </row>
    <row r="1665" spans="1:15" ht="18" customHeight="1">
      <c r="A1665" s="58">
        <v>117175</v>
      </c>
      <c r="B1665" s="78" t="s">
        <v>2975</v>
      </c>
      <c r="C1665" s="125" t="s">
        <v>93</v>
      </c>
      <c r="D1665" s="85" t="s">
        <v>1245</v>
      </c>
      <c r="E1665" s="78">
        <v>1.22</v>
      </c>
      <c r="F1665" s="78">
        <v>57</v>
      </c>
      <c r="G1665" s="121"/>
      <c r="H1665" s="78">
        <v>1.25</v>
      </c>
      <c r="I1665" s="121"/>
      <c r="J1665" s="144">
        <v>45687</v>
      </c>
      <c r="K1665" s="64">
        <f t="shared" si="110"/>
        <v>86.924999999999983</v>
      </c>
      <c r="L1665" s="64"/>
      <c r="M1665" s="41"/>
      <c r="N1665" s="38"/>
      <c r="O1665" s="38"/>
    </row>
    <row r="1666" spans="1:15" ht="18" customHeight="1">
      <c r="A1666" s="58">
        <v>117175</v>
      </c>
      <c r="B1666" s="78" t="s">
        <v>2975</v>
      </c>
      <c r="C1666" s="78" t="s">
        <v>98</v>
      </c>
      <c r="D1666" s="28"/>
      <c r="E1666" s="78">
        <v>1.22</v>
      </c>
      <c r="F1666" s="78">
        <v>1360.81</v>
      </c>
      <c r="G1666" s="125"/>
      <c r="H1666" s="78">
        <v>1.2</v>
      </c>
      <c r="I1666" s="125"/>
      <c r="J1666" s="140">
        <v>45365</v>
      </c>
      <c r="K1666" s="13">
        <f t="shared" si="110"/>
        <v>1992.2258399999996</v>
      </c>
      <c r="L1666" s="50"/>
      <c r="M1666" s="58"/>
      <c r="N1666" s="58"/>
      <c r="O1666" s="58"/>
    </row>
    <row r="1667" spans="1:15" ht="18" customHeight="1">
      <c r="A1667" s="24">
        <v>201</v>
      </c>
      <c r="B1667" s="78" t="s">
        <v>512</v>
      </c>
      <c r="C1667" s="78" t="s">
        <v>93</v>
      </c>
      <c r="D1667" s="93" t="s">
        <v>3304</v>
      </c>
      <c r="E1667" s="78">
        <v>1.22</v>
      </c>
      <c r="F1667" s="78">
        <v>108</v>
      </c>
      <c r="G1667" s="78"/>
      <c r="H1667" s="78">
        <v>1.6</v>
      </c>
      <c r="I1667" s="78"/>
      <c r="J1667" s="140">
        <v>45120</v>
      </c>
      <c r="K1667" s="13">
        <f t="shared" si="110"/>
        <v>210.816</v>
      </c>
      <c r="L1667" s="13"/>
      <c r="M1667" s="13"/>
      <c r="N1667" s="13">
        <f>G1667*H1667*I1667*E1667</f>
        <v>0</v>
      </c>
      <c r="O1667" s="15">
        <f>K1667*1.6667</f>
        <v>351.3670272</v>
      </c>
    </row>
    <row r="1668" spans="1:15" ht="18" customHeight="1">
      <c r="A1668" s="21"/>
      <c r="B1668" s="28" t="s">
        <v>512</v>
      </c>
      <c r="C1668" s="28" t="s">
        <v>87</v>
      </c>
      <c r="D1668" s="28"/>
      <c r="E1668" s="28">
        <v>1.22</v>
      </c>
      <c r="F1668" s="28">
        <v>756.51</v>
      </c>
      <c r="G1668" s="28"/>
      <c r="H1668" s="28">
        <v>1.3</v>
      </c>
      <c r="I1668" s="28"/>
      <c r="J1668" s="133">
        <v>45120</v>
      </c>
      <c r="K1668" s="9">
        <f t="shared" si="110"/>
        <v>1199.8248599999999</v>
      </c>
      <c r="L1668" s="9"/>
      <c r="M1668" s="9"/>
      <c r="N1668" s="9">
        <f>G1668*H1668*I1668*E1668</f>
        <v>0</v>
      </c>
      <c r="O1668" s="3">
        <f>K1668*1.6667</f>
        <v>1999.7480941619999</v>
      </c>
    </row>
    <row r="1669" spans="1:15" ht="18" customHeight="1">
      <c r="A1669" s="24" t="s">
        <v>3431</v>
      </c>
      <c r="B1669" s="78" t="s">
        <v>3432</v>
      </c>
      <c r="C1669" s="78" t="s">
        <v>3423</v>
      </c>
      <c r="D1669" s="96" t="s">
        <v>3420</v>
      </c>
      <c r="E1669" s="78">
        <v>1.22</v>
      </c>
      <c r="F1669" s="78">
        <v>139.93</v>
      </c>
      <c r="G1669" s="78"/>
      <c r="H1669" s="78">
        <v>1.4</v>
      </c>
      <c r="I1669" s="78"/>
      <c r="J1669" s="140">
        <v>45390</v>
      </c>
      <c r="K1669" s="13">
        <f t="shared" si="110"/>
        <v>239.00044</v>
      </c>
      <c r="L1669" s="13"/>
      <c r="M1669" s="13"/>
      <c r="N1669" s="13">
        <f>G1669*H1669*I1669*E1669</f>
        <v>0</v>
      </c>
      <c r="O1669" s="15">
        <f>K1669*1.6667</f>
        <v>398.34203334800003</v>
      </c>
    </row>
    <row r="1670" spans="1:15" ht="18" customHeight="1">
      <c r="A1670" s="80" t="s">
        <v>3418</v>
      </c>
      <c r="B1670" s="28" t="s">
        <v>3430</v>
      </c>
      <c r="C1670" s="28" t="s">
        <v>3433</v>
      </c>
      <c r="D1670" s="28" t="s">
        <v>3420</v>
      </c>
      <c r="E1670" s="28">
        <v>1.22</v>
      </c>
      <c r="F1670" s="28">
        <v>927.31</v>
      </c>
      <c r="G1670" s="110"/>
      <c r="H1670" s="80">
        <v>1.4</v>
      </c>
      <c r="I1670" s="79"/>
      <c r="J1670" s="144">
        <v>45390</v>
      </c>
      <c r="K1670" s="9">
        <f t="shared" si="110"/>
        <v>1583.8454799999997</v>
      </c>
      <c r="L1670" s="9"/>
      <c r="M1670" s="17"/>
      <c r="N1670" s="16"/>
      <c r="O1670" s="16"/>
    </row>
    <row r="1671" spans="1:15" ht="18" customHeight="1">
      <c r="A1671" s="24"/>
      <c r="B1671" s="78" t="s">
        <v>514</v>
      </c>
      <c r="C1671" s="78" t="s">
        <v>30</v>
      </c>
      <c r="D1671" s="85"/>
      <c r="E1671" s="78">
        <v>1</v>
      </c>
      <c r="F1671" s="78">
        <v>828</v>
      </c>
      <c r="G1671" s="78"/>
      <c r="H1671" s="78">
        <v>1.3</v>
      </c>
      <c r="I1671" s="78">
        <v>1.2</v>
      </c>
      <c r="J1671" s="140">
        <v>44832</v>
      </c>
      <c r="K1671" s="13">
        <f t="shared" si="110"/>
        <v>1076.4000000000001</v>
      </c>
      <c r="L1671" s="13"/>
      <c r="M1671" s="13"/>
      <c r="N1671" s="13">
        <f t="shared" ref="N1671:N1679" si="113">G1671*H1671*I1671*E1671</f>
        <v>0</v>
      </c>
      <c r="O1671" s="15">
        <f t="shared" ref="O1671:O1687" si="114">K1671*1.6667</f>
        <v>1794.0358800000001</v>
      </c>
    </row>
    <row r="1672" spans="1:15" ht="18" customHeight="1">
      <c r="A1672" s="24"/>
      <c r="B1672" s="78" t="s">
        <v>120</v>
      </c>
      <c r="C1672" s="78" t="s">
        <v>118</v>
      </c>
      <c r="D1672" s="28" t="s">
        <v>119</v>
      </c>
      <c r="E1672" s="78">
        <v>1.22</v>
      </c>
      <c r="F1672" s="78">
        <v>882.75</v>
      </c>
      <c r="G1672" s="78">
        <v>1</v>
      </c>
      <c r="H1672" s="78">
        <v>1.3</v>
      </c>
      <c r="I1672" s="78"/>
      <c r="J1672" s="140">
        <v>45727</v>
      </c>
      <c r="K1672" s="13">
        <f t="shared" ref="K1672:K1677" si="115">E1672*F1672*H1672*G1672</f>
        <v>1400.0415</v>
      </c>
      <c r="L1672" s="13"/>
      <c r="M1672" s="13"/>
      <c r="N1672" s="13">
        <f t="shared" si="113"/>
        <v>0</v>
      </c>
      <c r="O1672" s="15">
        <f t="shared" si="114"/>
        <v>2333.44916805</v>
      </c>
    </row>
    <row r="1673" spans="1:15" ht="18" customHeight="1">
      <c r="A1673" s="24">
        <v>133</v>
      </c>
      <c r="B1673" s="78" t="s">
        <v>120</v>
      </c>
      <c r="C1673" s="78" t="s">
        <v>22</v>
      </c>
      <c r="D1673" s="28" t="s">
        <v>119</v>
      </c>
      <c r="E1673" s="78">
        <v>1.22</v>
      </c>
      <c r="F1673" s="78">
        <v>49.06</v>
      </c>
      <c r="G1673" s="78">
        <v>1</v>
      </c>
      <c r="H1673" s="78">
        <v>1.45</v>
      </c>
      <c r="I1673" s="78">
        <v>0</v>
      </c>
      <c r="J1673" s="140">
        <v>45727</v>
      </c>
      <c r="K1673" s="13">
        <f t="shared" si="115"/>
        <v>86.787139999999994</v>
      </c>
      <c r="L1673" s="13"/>
      <c r="M1673" s="13"/>
      <c r="N1673" s="13">
        <f t="shared" si="113"/>
        <v>0</v>
      </c>
      <c r="O1673" s="15">
        <f t="shared" si="114"/>
        <v>144.648126238</v>
      </c>
    </row>
    <row r="1674" spans="1:15" ht="18" customHeight="1">
      <c r="A1674" s="24">
        <v>108</v>
      </c>
      <c r="B1674" s="78" t="s">
        <v>120</v>
      </c>
      <c r="C1674" s="78" t="s">
        <v>513</v>
      </c>
      <c r="D1674" s="28" t="s">
        <v>119</v>
      </c>
      <c r="E1674" s="78">
        <v>1.22</v>
      </c>
      <c r="F1674" s="78">
        <v>362.3</v>
      </c>
      <c r="G1674" s="78">
        <v>1</v>
      </c>
      <c r="H1674" s="78">
        <v>1.37</v>
      </c>
      <c r="I1674" s="78"/>
      <c r="J1674" s="140">
        <v>45839</v>
      </c>
      <c r="K1674" s="13">
        <f t="shared" si="115"/>
        <v>605.54822000000013</v>
      </c>
      <c r="L1674" s="13"/>
      <c r="M1674" s="13"/>
      <c r="N1674" s="13">
        <f t="shared" si="113"/>
        <v>0</v>
      </c>
      <c r="O1674" s="15">
        <f t="shared" si="114"/>
        <v>1009.2672182740002</v>
      </c>
    </row>
    <row r="1675" spans="1:15" ht="18" customHeight="1">
      <c r="A1675" s="24"/>
      <c r="B1675" s="78" t="s">
        <v>117</v>
      </c>
      <c r="C1675" s="78" t="s">
        <v>118</v>
      </c>
      <c r="D1675" s="28" t="s">
        <v>119</v>
      </c>
      <c r="E1675" s="78">
        <v>1.22</v>
      </c>
      <c r="F1675" s="78">
        <v>980.12</v>
      </c>
      <c r="G1675" s="78">
        <v>1</v>
      </c>
      <c r="H1675" s="78">
        <v>1.3</v>
      </c>
      <c r="I1675" s="78"/>
      <c r="J1675" s="140">
        <v>45727</v>
      </c>
      <c r="K1675" s="13">
        <f t="shared" si="115"/>
        <v>1554.4703200000001</v>
      </c>
      <c r="L1675" s="13"/>
      <c r="M1675" s="13"/>
      <c r="N1675" s="13">
        <f t="shared" si="113"/>
        <v>0</v>
      </c>
      <c r="O1675" s="15">
        <f t="shared" si="114"/>
        <v>2590.8356823440004</v>
      </c>
    </row>
    <row r="1676" spans="1:15" ht="18" customHeight="1">
      <c r="A1676" s="24">
        <v>140</v>
      </c>
      <c r="B1676" s="28" t="s">
        <v>117</v>
      </c>
      <c r="C1676" s="28" t="s">
        <v>22</v>
      </c>
      <c r="D1676" s="28" t="s">
        <v>119</v>
      </c>
      <c r="E1676" s="28">
        <v>1.22</v>
      </c>
      <c r="F1676" s="28">
        <v>54.45</v>
      </c>
      <c r="G1676" s="28">
        <v>1</v>
      </c>
      <c r="H1676" s="28">
        <v>1.45</v>
      </c>
      <c r="I1676" s="28">
        <v>0</v>
      </c>
      <c r="J1676" s="133">
        <v>45727</v>
      </c>
      <c r="K1676" s="9">
        <f t="shared" si="115"/>
        <v>96.322050000000004</v>
      </c>
      <c r="L1676" s="9"/>
      <c r="M1676" s="9"/>
      <c r="N1676" s="13">
        <f t="shared" si="113"/>
        <v>0</v>
      </c>
      <c r="O1676" s="15">
        <f t="shared" si="114"/>
        <v>160.53996073500002</v>
      </c>
    </row>
    <row r="1677" spans="1:15" ht="18" customHeight="1">
      <c r="A1677" s="23">
        <v>140</v>
      </c>
      <c r="B1677" s="93" t="s">
        <v>117</v>
      </c>
      <c r="C1677" s="93" t="s">
        <v>515</v>
      </c>
      <c r="D1677" s="93" t="s">
        <v>119</v>
      </c>
      <c r="E1677" s="93">
        <v>1.22</v>
      </c>
      <c r="F1677" s="93">
        <v>457.1</v>
      </c>
      <c r="G1677" s="93">
        <v>1</v>
      </c>
      <c r="H1677" s="93">
        <v>1.3</v>
      </c>
      <c r="I1677" s="93"/>
      <c r="J1677" s="146">
        <v>45475</v>
      </c>
      <c r="K1677" s="33">
        <f t="shared" si="115"/>
        <v>724.96060000000011</v>
      </c>
      <c r="L1677" s="33"/>
      <c r="M1677" s="33"/>
      <c r="N1677" s="13">
        <f t="shared" si="113"/>
        <v>0</v>
      </c>
      <c r="O1677" s="15">
        <f t="shared" si="114"/>
        <v>1208.2918320200001</v>
      </c>
    </row>
    <row r="1678" spans="1:15" ht="18" customHeight="1">
      <c r="A1678" s="21"/>
      <c r="B1678" s="28" t="s">
        <v>3257</v>
      </c>
      <c r="C1678" s="28" t="s">
        <v>84</v>
      </c>
      <c r="D1678" s="28"/>
      <c r="E1678" s="28">
        <v>1.22</v>
      </c>
      <c r="F1678" s="28">
        <v>1406.17</v>
      </c>
      <c r="G1678" s="28"/>
      <c r="H1678" s="28">
        <v>1.4</v>
      </c>
      <c r="I1678" s="28"/>
      <c r="J1678" s="133">
        <v>45253</v>
      </c>
      <c r="K1678" s="9">
        <f t="shared" ref="K1678:K1692" si="116">E1678*F1678*H1678</f>
        <v>2401.7383599999998</v>
      </c>
      <c r="L1678" s="9"/>
      <c r="M1678" s="9"/>
      <c r="N1678" s="9">
        <f t="shared" si="113"/>
        <v>0</v>
      </c>
      <c r="O1678" s="3">
        <f t="shared" si="114"/>
        <v>4002.9773246119998</v>
      </c>
    </row>
    <row r="1679" spans="1:15" ht="18" customHeight="1">
      <c r="A1679" s="23"/>
      <c r="B1679" s="96" t="s">
        <v>3257</v>
      </c>
      <c r="C1679" s="78" t="s">
        <v>93</v>
      </c>
      <c r="D1679" s="85"/>
      <c r="E1679" s="78">
        <v>1.22</v>
      </c>
      <c r="F1679" s="96">
        <v>63.92</v>
      </c>
      <c r="G1679" s="78"/>
      <c r="H1679" s="96">
        <v>1.8</v>
      </c>
      <c r="I1679" s="78"/>
      <c r="J1679" s="140">
        <v>45253</v>
      </c>
      <c r="K1679" s="13">
        <f t="shared" si="116"/>
        <v>140.36832000000001</v>
      </c>
      <c r="L1679" s="13"/>
      <c r="M1679" s="13"/>
      <c r="N1679" s="13">
        <f t="shared" si="113"/>
        <v>0</v>
      </c>
      <c r="O1679" s="15">
        <f t="shared" si="114"/>
        <v>233.95187894400001</v>
      </c>
    </row>
    <row r="1680" spans="1:15" ht="18" customHeight="1">
      <c r="A1680" s="24" t="s">
        <v>3437</v>
      </c>
      <c r="B1680" s="78" t="s">
        <v>3438</v>
      </c>
      <c r="C1680" s="78" t="s">
        <v>3424</v>
      </c>
      <c r="D1680" s="28" t="s">
        <v>3420</v>
      </c>
      <c r="E1680" s="58">
        <v>1.22</v>
      </c>
      <c r="F1680" s="78">
        <v>719.67</v>
      </c>
      <c r="G1680" s="78"/>
      <c r="H1680" s="78">
        <v>1.4</v>
      </c>
      <c r="I1680" s="78"/>
      <c r="J1680" s="140">
        <v>45390</v>
      </c>
      <c r="K1680" s="13">
        <f t="shared" si="116"/>
        <v>1229.1963599999999</v>
      </c>
      <c r="L1680" s="13"/>
      <c r="M1680" s="13"/>
      <c r="N1680" s="13">
        <f>G1680*H1680*I1680*E1686</f>
        <v>0</v>
      </c>
      <c r="O1680" s="15">
        <f t="shared" si="114"/>
        <v>2048.7015732119999</v>
      </c>
    </row>
    <row r="1681" spans="1:15" ht="18" customHeight="1">
      <c r="A1681" s="24"/>
      <c r="B1681" s="78" t="s">
        <v>83</v>
      </c>
      <c r="C1681" s="78" t="s">
        <v>107</v>
      </c>
      <c r="D1681" s="28"/>
      <c r="E1681" s="78">
        <v>1.22</v>
      </c>
      <c r="F1681" s="78">
        <v>541.66</v>
      </c>
      <c r="G1681" s="78"/>
      <c r="H1681" s="78">
        <v>1.2</v>
      </c>
      <c r="I1681" s="78"/>
      <c r="J1681" s="140">
        <v>44854</v>
      </c>
      <c r="K1681" s="13">
        <f t="shared" si="116"/>
        <v>792.99023999999997</v>
      </c>
      <c r="L1681" s="13"/>
      <c r="M1681" s="13"/>
      <c r="N1681" s="13">
        <f t="shared" ref="N1681:N1687" si="117">G1681*H1681*I1681*E1681</f>
        <v>0</v>
      </c>
      <c r="O1681" s="15">
        <f t="shared" si="114"/>
        <v>1321.6768330079999</v>
      </c>
    </row>
    <row r="1682" spans="1:15" ht="18" customHeight="1">
      <c r="A1682" s="24" t="s">
        <v>3425</v>
      </c>
      <c r="B1682" s="78" t="s">
        <v>3426</v>
      </c>
      <c r="C1682" s="78" t="s">
        <v>3419</v>
      </c>
      <c r="D1682" s="28" t="s">
        <v>3420</v>
      </c>
      <c r="E1682" s="78">
        <v>1.22</v>
      </c>
      <c r="F1682" s="78">
        <v>353.28</v>
      </c>
      <c r="G1682" s="78"/>
      <c r="H1682" s="78">
        <v>1.4</v>
      </c>
      <c r="I1682" s="78"/>
      <c r="J1682" s="140">
        <v>45390</v>
      </c>
      <c r="K1682" s="13">
        <f t="shared" si="116"/>
        <v>603.40223999999989</v>
      </c>
      <c r="L1682" s="13"/>
      <c r="M1682" s="13"/>
      <c r="N1682" s="13">
        <f t="shared" si="117"/>
        <v>0</v>
      </c>
      <c r="O1682" s="15">
        <f t="shared" si="114"/>
        <v>1005.6905134079999</v>
      </c>
    </row>
    <row r="1683" spans="1:15" ht="18" customHeight="1">
      <c r="A1683" s="24"/>
      <c r="B1683" s="78" t="s">
        <v>126</v>
      </c>
      <c r="C1683" s="78" t="s">
        <v>107</v>
      </c>
      <c r="D1683" s="28"/>
      <c r="E1683" s="78">
        <v>1.22</v>
      </c>
      <c r="F1683" s="78">
        <v>928.24</v>
      </c>
      <c r="G1683" s="78"/>
      <c r="H1683" s="78">
        <v>1.3</v>
      </c>
      <c r="I1683" s="78">
        <v>0</v>
      </c>
      <c r="J1683" s="140">
        <v>45014</v>
      </c>
      <c r="K1683" s="13">
        <f t="shared" si="116"/>
        <v>1472.1886400000001</v>
      </c>
      <c r="L1683" s="13"/>
      <c r="M1683" s="13"/>
      <c r="N1683" s="13">
        <f t="shared" si="117"/>
        <v>0</v>
      </c>
      <c r="O1683" s="15">
        <f t="shared" si="114"/>
        <v>2453.6968062880001</v>
      </c>
    </row>
    <row r="1684" spans="1:15" ht="18" customHeight="1">
      <c r="A1684" s="24"/>
      <c r="B1684" s="78" t="s">
        <v>126</v>
      </c>
      <c r="C1684" s="78" t="s">
        <v>2971</v>
      </c>
      <c r="D1684" s="28"/>
      <c r="E1684" s="78">
        <v>1.22</v>
      </c>
      <c r="F1684" s="78">
        <v>2302.31</v>
      </c>
      <c r="G1684" s="78"/>
      <c r="H1684" s="78">
        <v>1.2</v>
      </c>
      <c r="I1684" s="78"/>
      <c r="J1684" s="140">
        <v>45014</v>
      </c>
      <c r="K1684" s="13">
        <f t="shared" si="116"/>
        <v>3370.5818399999994</v>
      </c>
      <c r="L1684" s="13"/>
      <c r="M1684" s="13"/>
      <c r="N1684" s="13">
        <f t="shared" si="117"/>
        <v>0</v>
      </c>
      <c r="O1684" s="15">
        <f t="shared" si="114"/>
        <v>5617.7487527279991</v>
      </c>
    </row>
    <row r="1685" spans="1:15" ht="18" customHeight="1">
      <c r="A1685" s="23"/>
      <c r="B1685" s="96" t="s">
        <v>126</v>
      </c>
      <c r="C1685" s="96" t="s">
        <v>93</v>
      </c>
      <c r="D1685" s="28"/>
      <c r="E1685" s="96">
        <v>1.22</v>
      </c>
      <c r="F1685" s="96">
        <v>95.93</v>
      </c>
      <c r="G1685" s="78"/>
      <c r="H1685" s="96">
        <v>1.5</v>
      </c>
      <c r="I1685" s="78"/>
      <c r="J1685" s="140">
        <v>45014</v>
      </c>
      <c r="K1685" s="9">
        <f t="shared" si="116"/>
        <v>175.55190000000002</v>
      </c>
      <c r="L1685" s="13"/>
      <c r="M1685" s="13"/>
      <c r="N1685" s="13">
        <f t="shared" si="117"/>
        <v>0</v>
      </c>
      <c r="O1685" s="15">
        <f t="shared" si="114"/>
        <v>292.59235173000002</v>
      </c>
    </row>
    <row r="1686" spans="1:15" ht="18" customHeight="1">
      <c r="A1686" s="24">
        <v>9789</v>
      </c>
      <c r="B1686" s="78" t="s">
        <v>590</v>
      </c>
      <c r="C1686" s="78" t="s">
        <v>2971</v>
      </c>
      <c r="D1686" s="28" t="s">
        <v>451</v>
      </c>
      <c r="E1686" s="78">
        <v>1.22</v>
      </c>
      <c r="F1686" s="78">
        <v>1970.98</v>
      </c>
      <c r="G1686" s="78"/>
      <c r="H1686" s="78">
        <v>1.2</v>
      </c>
      <c r="I1686" s="78"/>
      <c r="J1686" s="140">
        <v>45014</v>
      </c>
      <c r="K1686" s="13">
        <f t="shared" si="116"/>
        <v>2885.5147200000001</v>
      </c>
      <c r="L1686" s="13"/>
      <c r="M1686" s="13"/>
      <c r="N1686" s="13">
        <f t="shared" si="117"/>
        <v>0</v>
      </c>
      <c r="O1686" s="15">
        <f t="shared" si="114"/>
        <v>4809.2873838240002</v>
      </c>
    </row>
    <row r="1687" spans="1:15" ht="18" customHeight="1">
      <c r="A1687" s="24"/>
      <c r="B1687" s="78" t="s">
        <v>590</v>
      </c>
      <c r="C1687" s="78" t="s">
        <v>20</v>
      </c>
      <c r="D1687" s="28"/>
      <c r="E1687" s="78">
        <v>1.22</v>
      </c>
      <c r="F1687" s="78">
        <v>82.08</v>
      </c>
      <c r="G1687" s="78"/>
      <c r="H1687" s="78">
        <v>1.5</v>
      </c>
      <c r="I1687" s="78"/>
      <c r="J1687" s="140">
        <v>45014</v>
      </c>
      <c r="K1687" s="13">
        <f t="shared" si="116"/>
        <v>150.20639999999997</v>
      </c>
      <c r="L1687" s="13"/>
      <c r="M1687" s="13"/>
      <c r="N1687" s="13">
        <f t="shared" si="117"/>
        <v>0</v>
      </c>
      <c r="O1687" s="15">
        <f t="shared" si="114"/>
        <v>250.34900687999996</v>
      </c>
    </row>
    <row r="1688" spans="1:15" ht="18" customHeight="1">
      <c r="A1688" s="228" t="s">
        <v>2890</v>
      </c>
      <c r="B1688" s="96" t="s">
        <v>2891</v>
      </c>
      <c r="C1688" s="78" t="s">
        <v>2862</v>
      </c>
      <c r="D1688" s="28" t="s">
        <v>3304</v>
      </c>
      <c r="E1688" s="96">
        <v>1.22</v>
      </c>
      <c r="F1688" s="96">
        <v>1299.18</v>
      </c>
      <c r="G1688" s="121"/>
      <c r="H1688" s="96">
        <v>1.6</v>
      </c>
      <c r="I1688" s="121"/>
      <c r="J1688" s="144">
        <v>45489</v>
      </c>
      <c r="K1688" s="9">
        <f t="shared" si="116"/>
        <v>2535.9993600000003</v>
      </c>
      <c r="L1688" s="41"/>
      <c r="M1688" s="41"/>
      <c r="N1688" s="38"/>
      <c r="O1688" s="38"/>
    </row>
    <row r="1689" spans="1:15" ht="18" customHeight="1">
      <c r="A1689" s="228" t="s">
        <v>2890</v>
      </c>
      <c r="B1689" s="96" t="s">
        <v>2891</v>
      </c>
      <c r="C1689" s="28" t="s">
        <v>93</v>
      </c>
      <c r="D1689" s="28" t="s">
        <v>3304</v>
      </c>
      <c r="E1689" s="80">
        <v>1.22</v>
      </c>
      <c r="F1689" s="80">
        <v>173.22399999999999</v>
      </c>
      <c r="G1689" s="110"/>
      <c r="H1689" s="80">
        <v>1.6</v>
      </c>
      <c r="I1689" s="110"/>
      <c r="J1689" s="144">
        <v>45489</v>
      </c>
      <c r="K1689" s="9">
        <f t="shared" si="116"/>
        <v>338.13324799999998</v>
      </c>
      <c r="L1689" s="26"/>
      <c r="M1689" s="17"/>
      <c r="N1689" s="38">
        <f>G1689*H1689*I1689*E1689</f>
        <v>0</v>
      </c>
      <c r="O1689" s="38"/>
    </row>
    <row r="1690" spans="1:15" ht="18" customHeight="1">
      <c r="A1690" s="24">
        <v>4</v>
      </c>
      <c r="B1690" s="28" t="s">
        <v>536</v>
      </c>
      <c r="C1690" s="28" t="s">
        <v>112</v>
      </c>
      <c r="D1690" s="28"/>
      <c r="E1690" s="28">
        <v>1.22</v>
      </c>
      <c r="F1690" s="28">
        <v>0</v>
      </c>
      <c r="G1690" s="28"/>
      <c r="H1690" s="28">
        <v>1.35</v>
      </c>
      <c r="I1690" s="28"/>
      <c r="J1690" s="140">
        <v>45365</v>
      </c>
      <c r="K1690" s="9">
        <f t="shared" si="116"/>
        <v>0</v>
      </c>
      <c r="L1690" s="9"/>
      <c r="M1690" s="9"/>
      <c r="N1690" s="13">
        <f>G1690*H1690*I1690*E1690</f>
        <v>0</v>
      </c>
      <c r="O1690" s="15">
        <f t="shared" ref="O1690:O1703" si="118">K1690*1.6667</f>
        <v>0</v>
      </c>
    </row>
    <row r="1691" spans="1:15" ht="18" customHeight="1">
      <c r="A1691" s="24"/>
      <c r="B1691" s="28" t="s">
        <v>86</v>
      </c>
      <c r="C1691" s="78" t="s">
        <v>108</v>
      </c>
      <c r="D1691" s="28" t="s">
        <v>3306</v>
      </c>
      <c r="E1691" s="96">
        <v>1</v>
      </c>
      <c r="F1691" s="96">
        <v>229</v>
      </c>
      <c r="G1691" s="78"/>
      <c r="H1691" s="99">
        <v>1.4</v>
      </c>
      <c r="I1691" s="78">
        <v>0</v>
      </c>
      <c r="J1691" s="140">
        <v>45923</v>
      </c>
      <c r="K1691" s="13">
        <f t="shared" si="116"/>
        <v>320.59999999999997</v>
      </c>
      <c r="L1691" s="13"/>
      <c r="M1691" s="13"/>
      <c r="N1691" s="13" t="e">
        <f>G1691*I1691*#REF!*E1691</f>
        <v>#REF!</v>
      </c>
      <c r="O1691" s="15">
        <f t="shared" si="118"/>
        <v>534.34402</v>
      </c>
    </row>
    <row r="1692" spans="1:15" ht="18" customHeight="1">
      <c r="A1692" s="24"/>
      <c r="B1692" s="96" t="s">
        <v>86</v>
      </c>
      <c r="C1692" s="78" t="s">
        <v>116</v>
      </c>
      <c r="D1692" s="28" t="s">
        <v>3306</v>
      </c>
      <c r="E1692" s="78">
        <v>1</v>
      </c>
      <c r="F1692" s="78">
        <v>767</v>
      </c>
      <c r="G1692" s="78"/>
      <c r="H1692" s="78">
        <v>1.4</v>
      </c>
      <c r="I1692" s="78"/>
      <c r="J1692" s="140">
        <v>45923</v>
      </c>
      <c r="K1692" s="13">
        <f t="shared" si="116"/>
        <v>1073.8</v>
      </c>
      <c r="L1692" s="13"/>
      <c r="M1692" s="13"/>
      <c r="N1692" s="13">
        <f t="shared" ref="N1692:N1698" si="119">G1692*H1692*I1692*E1692</f>
        <v>0</v>
      </c>
      <c r="O1692" s="15">
        <f t="shared" si="118"/>
        <v>1789.70246</v>
      </c>
    </row>
    <row r="1693" spans="1:15" ht="18" customHeight="1">
      <c r="A1693" s="24"/>
      <c r="B1693" s="78" t="s">
        <v>852</v>
      </c>
      <c r="C1693" s="78" t="s">
        <v>112</v>
      </c>
      <c r="D1693" s="28" t="s">
        <v>119</v>
      </c>
      <c r="E1693" s="78">
        <v>1.22</v>
      </c>
      <c r="F1693" s="78"/>
      <c r="G1693" s="78">
        <v>1.05</v>
      </c>
      <c r="H1693" s="78">
        <v>1.3</v>
      </c>
      <c r="I1693" s="78"/>
      <c r="J1693" s="140">
        <v>44956</v>
      </c>
      <c r="K1693" s="9">
        <f>E1693*F1693*H1693*G1693</f>
        <v>0</v>
      </c>
      <c r="L1693" s="13"/>
      <c r="M1693" s="13"/>
      <c r="N1693" s="13">
        <f t="shared" si="119"/>
        <v>0</v>
      </c>
      <c r="O1693" s="15">
        <f t="shared" si="118"/>
        <v>0</v>
      </c>
    </row>
    <row r="1694" spans="1:15" ht="18" hidden="1" customHeight="1">
      <c r="A1694" s="24"/>
      <c r="B1694" s="78" t="s">
        <v>1045</v>
      </c>
      <c r="C1694" s="96" t="s">
        <v>84</v>
      </c>
      <c r="D1694" s="28"/>
      <c r="E1694" s="96">
        <v>1.22</v>
      </c>
      <c r="F1694" s="96">
        <v>1200</v>
      </c>
      <c r="G1694" s="78"/>
      <c r="H1694" s="78">
        <v>1.3</v>
      </c>
      <c r="I1694" s="78"/>
      <c r="J1694" s="140">
        <v>43388</v>
      </c>
      <c r="K1694" s="9">
        <f>E1694*F1694*H1694</f>
        <v>1903.2</v>
      </c>
      <c r="L1694" s="13"/>
      <c r="M1694" s="13"/>
      <c r="N1694" s="13">
        <f t="shared" si="119"/>
        <v>0</v>
      </c>
      <c r="O1694" s="15">
        <f t="shared" si="118"/>
        <v>3172.0634400000004</v>
      </c>
    </row>
    <row r="1695" spans="1:15" ht="18" customHeight="1">
      <c r="A1695" s="23" t="s">
        <v>1293</v>
      </c>
      <c r="B1695" s="96" t="s">
        <v>2653</v>
      </c>
      <c r="C1695" s="78" t="s">
        <v>84</v>
      </c>
      <c r="D1695" s="28" t="s">
        <v>451</v>
      </c>
      <c r="E1695" s="96">
        <v>1.22</v>
      </c>
      <c r="F1695" s="96">
        <v>1395</v>
      </c>
      <c r="G1695" s="78"/>
      <c r="H1695" s="96">
        <v>1.3</v>
      </c>
      <c r="I1695" s="78"/>
      <c r="J1695" s="140">
        <v>44771</v>
      </c>
      <c r="K1695" s="33">
        <f>E1695*F1695*H1695</f>
        <v>2212.4699999999998</v>
      </c>
      <c r="L1695" s="13">
        <f>+H1695*G1695</f>
        <v>0</v>
      </c>
      <c r="M1695" s="13"/>
      <c r="N1695" s="13">
        <f t="shared" si="119"/>
        <v>0</v>
      </c>
      <c r="O1695" s="15">
        <f t="shared" si="118"/>
        <v>3687.523749</v>
      </c>
    </row>
    <row r="1696" spans="1:15" ht="15" customHeight="1">
      <c r="A1696" s="24"/>
      <c r="B1696" s="96" t="s">
        <v>2653</v>
      </c>
      <c r="C1696" s="96" t="s">
        <v>842</v>
      </c>
      <c r="D1696" s="28"/>
      <c r="E1696" s="96">
        <v>1.22</v>
      </c>
      <c r="F1696" s="78">
        <v>715.5</v>
      </c>
      <c r="G1696" s="78"/>
      <c r="H1696" s="78">
        <v>1.3</v>
      </c>
      <c r="I1696" s="78"/>
      <c r="J1696" s="140">
        <v>44771</v>
      </c>
      <c r="K1696" s="13">
        <f>E1696*F1696*H1696</f>
        <v>1134.7829999999999</v>
      </c>
      <c r="L1696" s="13">
        <f>+H1696*G1696</f>
        <v>0</v>
      </c>
      <c r="M1696" s="13"/>
      <c r="N1696" s="13">
        <f t="shared" si="119"/>
        <v>0</v>
      </c>
      <c r="O1696" s="15">
        <f t="shared" si="118"/>
        <v>1891.3428260999999</v>
      </c>
    </row>
    <row r="1697" spans="1:15" ht="18" customHeight="1">
      <c r="A1697" s="24"/>
      <c r="B1697" s="96" t="s">
        <v>2653</v>
      </c>
      <c r="C1697" s="96" t="s">
        <v>93</v>
      </c>
      <c r="D1697" s="28"/>
      <c r="E1697" s="96">
        <v>1.22</v>
      </c>
      <c r="F1697" s="78">
        <v>63</v>
      </c>
      <c r="G1697" s="78"/>
      <c r="H1697" s="78">
        <v>1.6</v>
      </c>
      <c r="I1697" s="78"/>
      <c r="J1697" s="140">
        <v>44771</v>
      </c>
      <c r="K1697" s="13">
        <f>E1697*F1697*H1697</f>
        <v>122.976</v>
      </c>
      <c r="L1697" s="13"/>
      <c r="M1697" s="13"/>
      <c r="N1697" s="13">
        <f t="shared" si="119"/>
        <v>0</v>
      </c>
      <c r="O1697" s="15">
        <f t="shared" si="118"/>
        <v>204.96409920000002</v>
      </c>
    </row>
    <row r="1698" spans="1:15" ht="18" customHeight="1">
      <c r="A1698" s="24">
        <v>90</v>
      </c>
      <c r="B1698" s="96" t="s">
        <v>561</v>
      </c>
      <c r="C1698" s="96" t="s">
        <v>589</v>
      </c>
      <c r="D1698" s="28" t="s">
        <v>451</v>
      </c>
      <c r="E1698" s="96">
        <v>1.22</v>
      </c>
      <c r="F1698" s="78">
        <v>1602</v>
      </c>
      <c r="G1698" s="78">
        <v>1</v>
      </c>
      <c r="H1698" s="78">
        <v>1</v>
      </c>
      <c r="I1698" s="78"/>
      <c r="J1698" s="140">
        <v>44956</v>
      </c>
      <c r="K1698" s="13">
        <f>E1698*F1698*H1698*G1698</f>
        <v>1954.44</v>
      </c>
      <c r="L1698" s="13"/>
      <c r="M1698" s="13"/>
      <c r="N1698" s="13">
        <f t="shared" si="119"/>
        <v>0</v>
      </c>
      <c r="O1698" s="15">
        <f t="shared" si="118"/>
        <v>3257.4651480000002</v>
      </c>
    </row>
    <row r="1699" spans="1:15" ht="18" customHeight="1">
      <c r="A1699" s="24"/>
      <c r="B1699" s="96" t="s">
        <v>106</v>
      </c>
      <c r="C1699" s="96" t="s">
        <v>107</v>
      </c>
      <c r="D1699" s="28" t="s">
        <v>3306</v>
      </c>
      <c r="E1699" s="96">
        <v>1</v>
      </c>
      <c r="F1699" s="96">
        <v>285</v>
      </c>
      <c r="G1699" s="78"/>
      <c r="H1699" s="78">
        <v>1.4</v>
      </c>
      <c r="I1699" s="96"/>
      <c r="J1699" s="140">
        <v>45923</v>
      </c>
      <c r="K1699" s="13">
        <f t="shared" ref="K1699:K1707" si="120">E1699*F1699*H1699</f>
        <v>399</v>
      </c>
      <c r="L1699" s="13"/>
      <c r="M1699" s="13"/>
      <c r="N1699" s="13" t="s">
        <v>482</v>
      </c>
      <c r="O1699" s="15">
        <f t="shared" si="118"/>
        <v>665.01330000000007</v>
      </c>
    </row>
    <row r="1700" spans="1:15" ht="18" customHeight="1">
      <c r="A1700" s="24"/>
      <c r="B1700" s="96" t="s">
        <v>106</v>
      </c>
      <c r="C1700" s="96" t="s">
        <v>98</v>
      </c>
      <c r="D1700" s="28" t="s">
        <v>3306</v>
      </c>
      <c r="E1700" s="96">
        <v>1</v>
      </c>
      <c r="F1700" s="96">
        <v>817</v>
      </c>
      <c r="G1700" s="78"/>
      <c r="H1700" s="78">
        <v>1.4</v>
      </c>
      <c r="I1700" s="96"/>
      <c r="J1700" s="140">
        <v>45923</v>
      </c>
      <c r="K1700" s="13">
        <f t="shared" si="120"/>
        <v>1143.8</v>
      </c>
      <c r="L1700" s="13"/>
      <c r="M1700" s="13"/>
      <c r="N1700" s="13">
        <f>G1700*H1700*I1700*E1700</f>
        <v>0</v>
      </c>
      <c r="O1700" s="62">
        <f t="shared" si="118"/>
        <v>1906.3714600000001</v>
      </c>
    </row>
    <row r="1701" spans="1:15" ht="18" customHeight="1">
      <c r="A1701" s="24">
        <v>14.08</v>
      </c>
      <c r="B1701" s="96" t="s">
        <v>837</v>
      </c>
      <c r="C1701" s="96" t="s">
        <v>107</v>
      </c>
      <c r="D1701" s="28" t="s">
        <v>3324</v>
      </c>
      <c r="E1701" s="96">
        <v>1.22</v>
      </c>
      <c r="F1701" s="96">
        <v>1097.33</v>
      </c>
      <c r="G1701" s="78"/>
      <c r="H1701" s="78">
        <v>1.35</v>
      </c>
      <c r="I1701" s="96"/>
      <c r="J1701" s="144">
        <v>45323</v>
      </c>
      <c r="K1701" s="13">
        <f t="shared" si="120"/>
        <v>1807.3025099999998</v>
      </c>
      <c r="L1701" s="13"/>
      <c r="M1701" s="13"/>
      <c r="N1701" s="13">
        <f>G1701*H1701*I1701*E1701</f>
        <v>0</v>
      </c>
      <c r="O1701" s="15">
        <f t="shared" si="118"/>
        <v>3012.2310934169996</v>
      </c>
    </row>
    <row r="1702" spans="1:15" ht="18" customHeight="1">
      <c r="A1702" s="24"/>
      <c r="B1702" s="96" t="s">
        <v>837</v>
      </c>
      <c r="C1702" s="96" t="s">
        <v>589</v>
      </c>
      <c r="D1702" s="28"/>
      <c r="E1702" s="96">
        <v>1.22</v>
      </c>
      <c r="F1702" s="96">
        <v>2013</v>
      </c>
      <c r="G1702" s="78"/>
      <c r="H1702" s="78">
        <v>1.2</v>
      </c>
      <c r="I1702" s="96"/>
      <c r="J1702" s="144">
        <v>44998</v>
      </c>
      <c r="K1702" s="13">
        <f t="shared" si="120"/>
        <v>2947.0320000000002</v>
      </c>
      <c r="L1702" s="13"/>
      <c r="M1702" s="13"/>
      <c r="N1702" s="13">
        <f>G1702*H1702*I1702*E1702</f>
        <v>0</v>
      </c>
      <c r="O1702" s="15">
        <f t="shared" si="118"/>
        <v>4911.8182344000006</v>
      </c>
    </row>
    <row r="1703" spans="1:15" ht="18" customHeight="1">
      <c r="A1703" s="24">
        <v>16.21</v>
      </c>
      <c r="B1703" s="96" t="s">
        <v>756</v>
      </c>
      <c r="C1703" s="96" t="s">
        <v>589</v>
      </c>
      <c r="D1703" s="28" t="s">
        <v>3324</v>
      </c>
      <c r="E1703" s="96">
        <v>1.22</v>
      </c>
      <c r="F1703" s="78">
        <v>2142.86</v>
      </c>
      <c r="G1703" s="78"/>
      <c r="H1703" s="78">
        <v>1.25</v>
      </c>
      <c r="I1703" s="78"/>
      <c r="J1703" s="144">
        <v>45323</v>
      </c>
      <c r="K1703" s="13">
        <f t="shared" si="120"/>
        <v>3267.8615</v>
      </c>
      <c r="L1703" s="13"/>
      <c r="M1703" s="13"/>
      <c r="N1703" s="13">
        <f>G1703*H1703*I1703*E1703</f>
        <v>0</v>
      </c>
      <c r="O1703" s="15">
        <f t="shared" si="118"/>
        <v>5446.5447620499999</v>
      </c>
    </row>
    <row r="1704" spans="1:15" ht="18" customHeight="1">
      <c r="A1704" s="24">
        <v>0</v>
      </c>
      <c r="B1704" s="78" t="s">
        <v>2915</v>
      </c>
      <c r="C1704" s="78" t="s">
        <v>107</v>
      </c>
      <c r="D1704" s="28" t="s">
        <v>3324</v>
      </c>
      <c r="E1704" s="96">
        <v>1.22</v>
      </c>
      <c r="F1704" s="78">
        <v>1035.07</v>
      </c>
      <c r="G1704" s="78"/>
      <c r="H1704" s="78">
        <v>1.25</v>
      </c>
      <c r="I1704" s="78"/>
      <c r="J1704" s="144">
        <v>45323</v>
      </c>
      <c r="K1704" s="13">
        <f t="shared" si="120"/>
        <v>1578.4817499999999</v>
      </c>
      <c r="L1704" s="13"/>
      <c r="M1704" s="13"/>
      <c r="N1704" s="13"/>
      <c r="O1704" s="15"/>
    </row>
    <row r="1705" spans="1:15" ht="18" customHeight="1">
      <c r="A1705" s="24">
        <v>9236</v>
      </c>
      <c r="B1705" s="78" t="s">
        <v>4319</v>
      </c>
      <c r="C1705" s="78" t="s">
        <v>4318</v>
      </c>
      <c r="D1705" s="28" t="s">
        <v>3324</v>
      </c>
      <c r="E1705" s="96">
        <v>1.22</v>
      </c>
      <c r="F1705" s="78">
        <v>101.8</v>
      </c>
      <c r="G1705" s="78"/>
      <c r="H1705" s="78">
        <v>1.4</v>
      </c>
      <c r="I1705" s="78"/>
      <c r="J1705" s="140">
        <v>45850</v>
      </c>
      <c r="K1705" s="13">
        <f t="shared" si="120"/>
        <v>173.87439999999998</v>
      </c>
      <c r="L1705" s="13"/>
      <c r="M1705" s="13"/>
      <c r="N1705" s="13"/>
      <c r="O1705" s="15"/>
    </row>
    <row r="1706" spans="1:15" ht="18" customHeight="1">
      <c r="A1706" s="24">
        <v>0</v>
      </c>
      <c r="B1706" s="78" t="s">
        <v>2917</v>
      </c>
      <c r="C1706" s="78" t="s">
        <v>589</v>
      </c>
      <c r="D1706" s="28" t="s">
        <v>3324</v>
      </c>
      <c r="E1706" s="96">
        <v>1.22</v>
      </c>
      <c r="F1706" s="78">
        <v>2137.14</v>
      </c>
      <c r="G1706" s="78"/>
      <c r="H1706" s="78">
        <v>1.3</v>
      </c>
      <c r="I1706" s="78"/>
      <c r="J1706" s="140">
        <v>45850</v>
      </c>
      <c r="K1706" s="13">
        <f t="shared" si="120"/>
        <v>3389.5040399999998</v>
      </c>
      <c r="L1706" s="13"/>
      <c r="M1706" s="13"/>
      <c r="N1706" s="13">
        <f>G1706*H1706*I1706*E1706</f>
        <v>0</v>
      </c>
      <c r="O1706" s="65">
        <f>K1706*1.6667</f>
        <v>5649.2863834680002</v>
      </c>
    </row>
    <row r="1707" spans="1:15" ht="18" customHeight="1">
      <c r="A1707" s="24"/>
      <c r="B1707" s="78" t="s">
        <v>2917</v>
      </c>
      <c r="C1707" s="78" t="s">
        <v>93</v>
      </c>
      <c r="D1707" s="28" t="s">
        <v>3324</v>
      </c>
      <c r="E1707" s="78">
        <v>1.22</v>
      </c>
      <c r="F1707" s="78">
        <v>121</v>
      </c>
      <c r="G1707" s="78"/>
      <c r="H1707" s="78">
        <v>1.4</v>
      </c>
      <c r="I1707" s="78"/>
      <c r="J1707" s="140">
        <v>42646</v>
      </c>
      <c r="K1707" s="13">
        <f t="shared" si="120"/>
        <v>206.66800000000001</v>
      </c>
      <c r="L1707" s="13"/>
      <c r="M1707" s="13"/>
      <c r="N1707" s="9">
        <f>G1707*H1707*I1707*E1707</f>
        <v>0</v>
      </c>
      <c r="O1707" s="15">
        <f>K1707*1.6667</f>
        <v>344.45355560000002</v>
      </c>
    </row>
    <row r="1708" spans="1:15" ht="18" customHeight="1">
      <c r="A1708" s="265">
        <v>111547</v>
      </c>
      <c r="B1708" s="250" t="s">
        <v>3593</v>
      </c>
      <c r="C1708" s="78" t="s">
        <v>93</v>
      </c>
      <c r="D1708" s="28" t="s">
        <v>1245</v>
      </c>
      <c r="E1708" s="78">
        <v>1.22</v>
      </c>
      <c r="F1708" s="78">
        <v>142.5</v>
      </c>
      <c r="G1708" s="236"/>
      <c r="H1708" s="78">
        <v>1.5</v>
      </c>
      <c r="I1708" s="236"/>
      <c r="J1708" s="140">
        <v>45462</v>
      </c>
      <c r="K1708" s="13">
        <f>+F1708*H1708</f>
        <v>213.75</v>
      </c>
      <c r="L1708" s="212"/>
      <c r="M1708" s="212"/>
      <c r="N1708" s="212">
        <f>G1708*H1708*I1708*E1708</f>
        <v>0</v>
      </c>
      <c r="O1708" s="239">
        <f>K1708*1.6667</f>
        <v>356.25712500000003</v>
      </c>
    </row>
    <row r="1709" spans="1:15" ht="18" customHeight="1">
      <c r="A1709" s="24">
        <v>10040</v>
      </c>
      <c r="B1709" s="78" t="s">
        <v>4057</v>
      </c>
      <c r="C1709" s="78" t="s">
        <v>87</v>
      </c>
      <c r="D1709" s="28" t="s">
        <v>1245</v>
      </c>
      <c r="E1709" s="78">
        <v>1</v>
      </c>
      <c r="F1709" s="78">
        <v>742.5</v>
      </c>
      <c r="G1709" s="78"/>
      <c r="H1709" s="78">
        <v>1.4</v>
      </c>
      <c r="I1709" s="78"/>
      <c r="J1709" s="140">
        <v>45687</v>
      </c>
      <c r="K1709" s="13">
        <f t="shared" ref="K1709:K1726" si="121">E1709*F1709*H1709</f>
        <v>1039.5</v>
      </c>
      <c r="L1709" s="13"/>
      <c r="M1709" s="13"/>
      <c r="N1709" s="13">
        <f>G1709*H1709*I1709*E1709</f>
        <v>0</v>
      </c>
      <c r="O1709" s="15">
        <f>K1709*1.6667</f>
        <v>1732.5346500000001</v>
      </c>
    </row>
    <row r="1710" spans="1:15" ht="18" customHeight="1">
      <c r="A1710" s="58">
        <v>10050</v>
      </c>
      <c r="B1710" s="78" t="s">
        <v>3595</v>
      </c>
      <c r="C1710" s="104">
        <v>20</v>
      </c>
      <c r="D1710" s="28" t="s">
        <v>1245</v>
      </c>
      <c r="E1710" s="104">
        <v>1</v>
      </c>
      <c r="F1710" s="78">
        <v>1945</v>
      </c>
      <c r="G1710" s="187"/>
      <c r="H1710" s="104">
        <v>1.4</v>
      </c>
      <c r="I1710" s="187"/>
      <c r="J1710" s="188">
        <v>46001</v>
      </c>
      <c r="K1710" s="13">
        <f t="shared" si="121"/>
        <v>2723</v>
      </c>
      <c r="L1710" s="191"/>
      <c r="M1710" s="41"/>
      <c r="N1710" s="38"/>
      <c r="O1710" s="38"/>
    </row>
    <row r="1711" spans="1:15" ht="18" customHeight="1">
      <c r="A1711" s="58">
        <v>111655</v>
      </c>
      <c r="B1711" s="96" t="s">
        <v>3595</v>
      </c>
      <c r="C1711" s="104" t="s">
        <v>93</v>
      </c>
      <c r="D1711" s="28" t="s">
        <v>1245</v>
      </c>
      <c r="E1711" s="256">
        <v>1</v>
      </c>
      <c r="F1711" s="256">
        <v>97</v>
      </c>
      <c r="G1711" s="187"/>
      <c r="H1711" s="256">
        <v>1.5</v>
      </c>
      <c r="I1711" s="187"/>
      <c r="J1711" s="188">
        <v>46001</v>
      </c>
      <c r="K1711" s="9">
        <f t="shared" si="121"/>
        <v>145.5</v>
      </c>
      <c r="L1711" s="191"/>
      <c r="M1711" s="41"/>
      <c r="N1711" s="38"/>
      <c r="O1711" s="38"/>
    </row>
    <row r="1712" spans="1:15" ht="18" customHeight="1">
      <c r="A1712" s="58">
        <v>111547</v>
      </c>
      <c r="B1712" s="96" t="s">
        <v>3594</v>
      </c>
      <c r="C1712" s="99" t="s">
        <v>93</v>
      </c>
      <c r="D1712" s="28" t="s">
        <v>1245</v>
      </c>
      <c r="E1712" s="96">
        <v>1</v>
      </c>
      <c r="F1712" s="96">
        <v>145</v>
      </c>
      <c r="G1712" s="102"/>
      <c r="H1712" s="96">
        <v>1.4</v>
      </c>
      <c r="I1712" s="187"/>
      <c r="J1712" s="144">
        <v>45861</v>
      </c>
      <c r="K1712" s="13">
        <f t="shared" si="121"/>
        <v>203</v>
      </c>
      <c r="L1712" s="13"/>
      <c r="M1712" s="41"/>
      <c r="N1712" s="38"/>
      <c r="O1712" s="38"/>
    </row>
    <row r="1713" spans="1:15" ht="18" customHeight="1">
      <c r="A1713" s="24">
        <v>111547</v>
      </c>
      <c r="B1713" s="78" t="s">
        <v>3594</v>
      </c>
      <c r="C1713" s="78" t="s">
        <v>109</v>
      </c>
      <c r="D1713" s="28" t="s">
        <v>1245</v>
      </c>
      <c r="E1713" s="78">
        <v>1</v>
      </c>
      <c r="F1713" s="78">
        <v>2908.75</v>
      </c>
      <c r="G1713" s="78">
        <v>0</v>
      </c>
      <c r="H1713" s="78">
        <v>1.3</v>
      </c>
      <c r="I1713" s="78">
        <v>0</v>
      </c>
      <c r="J1713" s="140">
        <v>45861</v>
      </c>
      <c r="K1713" s="13">
        <f t="shared" si="121"/>
        <v>3781.375</v>
      </c>
      <c r="L1713" s="13"/>
      <c r="M1713" s="13"/>
      <c r="N1713" s="13">
        <f>G1713*H1713*I1713*E1713</f>
        <v>0</v>
      </c>
      <c r="O1713" s="15">
        <f>K1713*1.6667</f>
        <v>6302.4177125000006</v>
      </c>
    </row>
    <row r="1714" spans="1:15" ht="18" customHeight="1">
      <c r="A1714" s="38">
        <v>111547</v>
      </c>
      <c r="B1714" s="78" t="s">
        <v>2416</v>
      </c>
      <c r="C1714" s="78" t="s">
        <v>109</v>
      </c>
      <c r="D1714" s="28" t="s">
        <v>1245</v>
      </c>
      <c r="E1714" s="78">
        <v>1.22</v>
      </c>
      <c r="F1714" s="78">
        <v>2232</v>
      </c>
      <c r="G1714" s="121"/>
      <c r="H1714" s="78">
        <v>1.3</v>
      </c>
      <c r="I1714" s="121">
        <v>0</v>
      </c>
      <c r="J1714" s="140">
        <v>44932</v>
      </c>
      <c r="K1714" s="13">
        <f t="shared" si="121"/>
        <v>3539.9520000000002</v>
      </c>
      <c r="L1714" s="13"/>
      <c r="M1714" s="41"/>
      <c r="N1714" s="38"/>
      <c r="O1714" s="38"/>
    </row>
    <row r="1715" spans="1:15" ht="18" customHeight="1">
      <c r="A1715" s="24"/>
      <c r="B1715" s="78" t="s">
        <v>110</v>
      </c>
      <c r="C1715" s="78" t="s">
        <v>107</v>
      </c>
      <c r="D1715" s="93" t="s">
        <v>3306</v>
      </c>
      <c r="E1715" s="78">
        <v>1.22</v>
      </c>
      <c r="F1715" s="78">
        <v>307.38</v>
      </c>
      <c r="G1715" s="78"/>
      <c r="H1715" s="78">
        <v>1.59</v>
      </c>
      <c r="I1715" s="78"/>
      <c r="J1715" s="140">
        <v>45964</v>
      </c>
      <c r="K1715" s="13">
        <f t="shared" si="121"/>
        <v>596.25572399999999</v>
      </c>
      <c r="L1715" s="13"/>
      <c r="M1715" s="13"/>
      <c r="N1715" s="13">
        <f>G1715*H1715*I1715*E1715</f>
        <v>0</v>
      </c>
      <c r="O1715" s="15">
        <f>K1715*1.6667</f>
        <v>993.77941519080002</v>
      </c>
    </row>
    <row r="1716" spans="1:15" ht="18" customHeight="1">
      <c r="A1716" s="21"/>
      <c r="B1716" s="28" t="s">
        <v>111</v>
      </c>
      <c r="C1716" s="28" t="s">
        <v>112</v>
      </c>
      <c r="D1716" s="28" t="s">
        <v>3306</v>
      </c>
      <c r="E1716" s="28">
        <v>1</v>
      </c>
      <c r="F1716" s="28">
        <v>725</v>
      </c>
      <c r="G1716" s="28"/>
      <c r="H1716" s="28">
        <v>1.5</v>
      </c>
      <c r="I1716" s="28"/>
      <c r="J1716" s="133">
        <v>45970</v>
      </c>
      <c r="K1716" s="9">
        <f t="shared" si="121"/>
        <v>1087.5</v>
      </c>
      <c r="L1716" s="9"/>
      <c r="M1716" s="9"/>
      <c r="N1716" s="9">
        <f>G1716*H1716*I1716*E1716</f>
        <v>0</v>
      </c>
      <c r="O1716" s="3">
        <f>K1716*1.6667</f>
        <v>1812.5362500000001</v>
      </c>
    </row>
    <row r="1717" spans="1:15" ht="18" customHeight="1">
      <c r="A1717" s="24">
        <v>5758</v>
      </c>
      <c r="B1717" s="78" t="s">
        <v>111</v>
      </c>
      <c r="C1717" s="78" t="s">
        <v>98</v>
      </c>
      <c r="D1717" s="85" t="s">
        <v>3306</v>
      </c>
      <c r="E1717" s="78">
        <v>1</v>
      </c>
      <c r="F1717" s="78">
        <v>1165</v>
      </c>
      <c r="G1717" s="78"/>
      <c r="H1717" s="78">
        <v>1.5</v>
      </c>
      <c r="I1717" s="78">
        <v>0</v>
      </c>
      <c r="J1717" s="140">
        <v>45839</v>
      </c>
      <c r="K1717" s="13">
        <f t="shared" si="121"/>
        <v>1747.5</v>
      </c>
      <c r="L1717" s="13"/>
      <c r="M1717" s="13"/>
      <c r="N1717" s="13">
        <f>G1717*H1717*I1717*E1717</f>
        <v>0</v>
      </c>
      <c r="O1717" s="62">
        <f>K1717*1.6667</f>
        <v>2912.55825</v>
      </c>
    </row>
    <row r="1718" spans="1:15" ht="18" customHeight="1">
      <c r="A1718" s="24"/>
      <c r="B1718" s="78" t="s">
        <v>803</v>
      </c>
      <c r="C1718" s="78" t="s">
        <v>305</v>
      </c>
      <c r="D1718" s="28" t="s">
        <v>3306</v>
      </c>
      <c r="E1718" s="78">
        <v>1</v>
      </c>
      <c r="F1718" s="78">
        <v>329</v>
      </c>
      <c r="G1718" s="78"/>
      <c r="H1718" s="78">
        <v>1.5</v>
      </c>
      <c r="I1718" s="78"/>
      <c r="J1718" s="140">
        <v>45839</v>
      </c>
      <c r="K1718" s="13">
        <f t="shared" si="121"/>
        <v>493.5</v>
      </c>
      <c r="L1718" s="13"/>
      <c r="M1718" s="13"/>
      <c r="N1718" s="13">
        <f>G1718*H1718*I1718*E1718</f>
        <v>0</v>
      </c>
      <c r="O1718" s="15">
        <f>K1718*1.6667</f>
        <v>822.51645000000008</v>
      </c>
    </row>
    <row r="1719" spans="1:15" ht="18" customHeight="1">
      <c r="A1719" s="24"/>
      <c r="B1719" s="78" t="s">
        <v>803</v>
      </c>
      <c r="C1719" s="78" t="s">
        <v>112</v>
      </c>
      <c r="D1719" s="28" t="s">
        <v>3306</v>
      </c>
      <c r="E1719" s="78">
        <v>1</v>
      </c>
      <c r="F1719" s="78">
        <v>859</v>
      </c>
      <c r="G1719" s="78"/>
      <c r="H1719" s="78">
        <v>1.5</v>
      </c>
      <c r="I1719" s="78"/>
      <c r="J1719" s="140">
        <v>45839</v>
      </c>
      <c r="K1719" s="13">
        <f t="shared" si="121"/>
        <v>1288.5</v>
      </c>
      <c r="L1719" s="13"/>
      <c r="M1719" s="13"/>
      <c r="N1719" s="13">
        <f>G1719*H1719*I1719*E1719</f>
        <v>0</v>
      </c>
      <c r="O1719" s="15">
        <f>K1719*1.6667</f>
        <v>2147.54295</v>
      </c>
    </row>
    <row r="1720" spans="1:15" ht="18" customHeight="1">
      <c r="A1720" s="58"/>
      <c r="B1720" s="102" t="s">
        <v>3505</v>
      </c>
      <c r="C1720" s="125" t="s">
        <v>98</v>
      </c>
      <c r="D1720" s="251" t="s">
        <v>3306</v>
      </c>
      <c r="E1720" s="102">
        <v>1.22</v>
      </c>
      <c r="F1720" s="102">
        <v>639</v>
      </c>
      <c r="G1720" s="125"/>
      <c r="H1720" s="102">
        <v>1.5</v>
      </c>
      <c r="I1720" s="125"/>
      <c r="J1720" s="140">
        <v>45658</v>
      </c>
      <c r="K1720" s="13">
        <f t="shared" si="121"/>
        <v>1169.3699999999999</v>
      </c>
      <c r="L1720" s="50"/>
      <c r="M1720" s="58"/>
      <c r="N1720" s="58"/>
      <c r="O1720" s="58"/>
    </row>
    <row r="1721" spans="1:15" ht="18" customHeight="1">
      <c r="A1721" s="46"/>
      <c r="B1721" s="80" t="s">
        <v>3505</v>
      </c>
      <c r="C1721" s="79" t="s">
        <v>107</v>
      </c>
      <c r="D1721" s="79" t="s">
        <v>3306</v>
      </c>
      <c r="E1721" s="80">
        <v>1.22</v>
      </c>
      <c r="F1721" s="80">
        <v>289</v>
      </c>
      <c r="G1721" s="79"/>
      <c r="H1721" s="80">
        <v>1.25</v>
      </c>
      <c r="I1721" s="79"/>
      <c r="J1721" s="133">
        <v>45658</v>
      </c>
      <c r="K1721" s="9">
        <f t="shared" si="121"/>
        <v>440.72499999999997</v>
      </c>
      <c r="L1721" s="50"/>
      <c r="M1721" s="58"/>
      <c r="N1721" s="58"/>
      <c r="O1721" s="58"/>
    </row>
    <row r="1722" spans="1:15" ht="18" customHeight="1">
      <c r="A1722" s="24"/>
      <c r="B1722" s="78" t="s">
        <v>2765</v>
      </c>
      <c r="C1722" s="78" t="s">
        <v>107</v>
      </c>
      <c r="D1722" s="85"/>
      <c r="E1722" s="78">
        <v>1.22</v>
      </c>
      <c r="F1722" s="78">
        <v>490</v>
      </c>
      <c r="G1722" s="78"/>
      <c r="H1722" s="78">
        <v>1.2</v>
      </c>
      <c r="I1722" s="78"/>
      <c r="J1722" s="140">
        <v>44854</v>
      </c>
      <c r="K1722" s="13">
        <f t="shared" si="121"/>
        <v>717.3599999999999</v>
      </c>
      <c r="L1722" s="13"/>
      <c r="M1722" s="13"/>
      <c r="N1722" s="13">
        <f>G1722*H1722*I1722*E1722</f>
        <v>0</v>
      </c>
      <c r="O1722" s="15"/>
    </row>
    <row r="1723" spans="1:15" ht="18" customHeight="1">
      <c r="A1723" s="38" t="s">
        <v>4216</v>
      </c>
      <c r="B1723" s="103" t="s">
        <v>4217</v>
      </c>
      <c r="C1723" s="121"/>
      <c r="D1723" s="28" t="s">
        <v>3297</v>
      </c>
      <c r="E1723" s="78">
        <v>1.22</v>
      </c>
      <c r="F1723" s="103">
        <v>158</v>
      </c>
      <c r="G1723" s="121"/>
      <c r="H1723" s="103">
        <v>1.7</v>
      </c>
      <c r="I1723" s="121"/>
      <c r="J1723" s="138">
        <v>45777</v>
      </c>
      <c r="K1723" s="64">
        <f t="shared" si="121"/>
        <v>327.69199999999995</v>
      </c>
      <c r="L1723" s="64"/>
      <c r="M1723" s="41"/>
      <c r="N1723" s="38"/>
      <c r="O1723" s="38"/>
    </row>
    <row r="1724" spans="1:15" ht="18" customHeight="1">
      <c r="A1724" s="38" t="s">
        <v>4218</v>
      </c>
      <c r="B1724" s="108" t="s">
        <v>4543</v>
      </c>
      <c r="D1724" s="28" t="s">
        <v>3297</v>
      </c>
      <c r="E1724" s="78">
        <v>1.22</v>
      </c>
      <c r="F1724" s="108">
        <v>151</v>
      </c>
      <c r="H1724" s="108">
        <v>1.8</v>
      </c>
      <c r="J1724" s="159">
        <v>45981</v>
      </c>
      <c r="K1724" s="60">
        <f t="shared" si="121"/>
        <v>331.596</v>
      </c>
    </row>
    <row r="1725" spans="1:15" ht="18" customHeight="1">
      <c r="A1725" s="38">
        <v>324740</v>
      </c>
      <c r="B1725" s="78" t="s">
        <v>3796</v>
      </c>
      <c r="C1725" s="121" t="s">
        <v>206</v>
      </c>
      <c r="D1725" s="28" t="s">
        <v>23</v>
      </c>
      <c r="E1725" s="78">
        <v>1.22</v>
      </c>
      <c r="F1725" s="78">
        <v>131.6</v>
      </c>
      <c r="G1725" s="121">
        <v>0</v>
      </c>
      <c r="H1725" s="78">
        <v>1.4</v>
      </c>
      <c r="I1725" s="121">
        <v>44</v>
      </c>
      <c r="J1725" s="139">
        <v>45567</v>
      </c>
      <c r="K1725" s="13">
        <f t="shared" si="121"/>
        <v>224.77279999999996</v>
      </c>
      <c r="L1725" s="13"/>
      <c r="M1725" s="41"/>
      <c r="N1725" s="13">
        <f>G1725*H1725*I1725*E1725</f>
        <v>0</v>
      </c>
      <c r="O1725" s="38"/>
    </row>
    <row r="1726" spans="1:15" ht="18" customHeight="1">
      <c r="A1726" s="24" t="s">
        <v>1260</v>
      </c>
      <c r="B1726" s="78" t="s">
        <v>1756</v>
      </c>
      <c r="C1726" s="121"/>
      <c r="D1726" s="28" t="s">
        <v>3297</v>
      </c>
      <c r="E1726" s="78">
        <v>1.22</v>
      </c>
      <c r="F1726" s="78">
        <v>35</v>
      </c>
      <c r="G1726" s="121"/>
      <c r="H1726" s="78">
        <v>2</v>
      </c>
      <c r="I1726" s="121"/>
      <c r="J1726" s="144">
        <v>46021</v>
      </c>
      <c r="K1726" s="50">
        <f t="shared" si="121"/>
        <v>85.399999999999991</v>
      </c>
      <c r="L1726" s="50"/>
      <c r="M1726" s="41"/>
      <c r="N1726" s="38"/>
      <c r="O1726" s="38"/>
    </row>
    <row r="1727" spans="1:15" ht="18" customHeight="1">
      <c r="A1727" s="24"/>
      <c r="B1727" s="236" t="s">
        <v>4312</v>
      </c>
      <c r="C1727" s="125"/>
      <c r="D1727" s="28" t="s">
        <v>3858</v>
      </c>
      <c r="E1727" s="78">
        <v>1.2</v>
      </c>
      <c r="F1727" s="78">
        <v>1200</v>
      </c>
      <c r="G1727" s="78"/>
      <c r="H1727" s="78">
        <v>1.5</v>
      </c>
      <c r="I1727" s="78"/>
      <c r="J1727" s="140">
        <v>45558</v>
      </c>
      <c r="K1727" s="13">
        <v>3950</v>
      </c>
      <c r="L1727" s="13"/>
      <c r="M1727" s="13"/>
      <c r="N1727" s="13"/>
      <c r="O1727" s="15"/>
    </row>
    <row r="1728" spans="1:15" ht="18" customHeight="1">
      <c r="A1728" s="24" t="s">
        <v>2250</v>
      </c>
      <c r="B1728" s="78" t="s">
        <v>2251</v>
      </c>
      <c r="C1728" s="78">
        <v>8</v>
      </c>
      <c r="D1728" s="28" t="s">
        <v>3297</v>
      </c>
      <c r="E1728" s="78">
        <v>1.22</v>
      </c>
      <c r="F1728" s="78">
        <v>70</v>
      </c>
      <c r="G1728" s="78"/>
      <c r="H1728" s="78">
        <v>2</v>
      </c>
      <c r="I1728" s="78"/>
      <c r="J1728" s="140">
        <v>46021</v>
      </c>
      <c r="K1728" s="13">
        <f>E1728*F1728*H1728</f>
        <v>170.79999999999998</v>
      </c>
      <c r="L1728" s="13"/>
      <c r="M1728" s="13"/>
      <c r="N1728" s="13">
        <f>G1728*H1728*I1728*E1728</f>
        <v>0</v>
      </c>
      <c r="O1728" s="15">
        <f>K1728*1.6667</f>
        <v>284.67235999999997</v>
      </c>
    </row>
    <row r="1729" spans="1:15" ht="18" customHeight="1">
      <c r="A1729" s="58" t="s">
        <v>3054</v>
      </c>
      <c r="B1729" s="102" t="s">
        <v>3052</v>
      </c>
      <c r="C1729" s="125" t="s">
        <v>3055</v>
      </c>
      <c r="D1729" s="28" t="s">
        <v>3297</v>
      </c>
      <c r="E1729" s="102">
        <v>1.22</v>
      </c>
      <c r="F1729" s="102">
        <v>138.25</v>
      </c>
      <c r="G1729" s="121"/>
      <c r="H1729" s="102">
        <v>1.3</v>
      </c>
      <c r="I1729" s="121"/>
      <c r="J1729" s="144">
        <v>45071</v>
      </c>
      <c r="K1729" s="13">
        <f>E1731*F1729*H1729</f>
        <v>219.2645</v>
      </c>
      <c r="L1729" s="13"/>
      <c r="M1729" s="41"/>
      <c r="N1729" s="38"/>
      <c r="O1729" s="38"/>
    </row>
    <row r="1730" spans="1:15" ht="18" customHeight="1">
      <c r="A1730" s="24">
        <v>2058</v>
      </c>
      <c r="B1730" s="78" t="s">
        <v>3052</v>
      </c>
      <c r="C1730" s="78" t="s">
        <v>3053</v>
      </c>
      <c r="D1730" s="28" t="s">
        <v>2132</v>
      </c>
      <c r="E1730" s="78">
        <v>1.22</v>
      </c>
      <c r="F1730" s="78">
        <v>18</v>
      </c>
      <c r="G1730" s="78"/>
      <c r="H1730" s="78">
        <v>1.8</v>
      </c>
      <c r="I1730" s="78"/>
      <c r="J1730" s="140">
        <v>45890</v>
      </c>
      <c r="K1730" s="13">
        <f t="shared" ref="K1730:K1747" si="122">E1730*F1730*H1730</f>
        <v>39.528000000000006</v>
      </c>
      <c r="L1730" s="13"/>
      <c r="M1730" s="13"/>
      <c r="N1730" s="13">
        <f>G1730*H1730*I1730*E1730</f>
        <v>0</v>
      </c>
      <c r="O1730" s="15">
        <f>K1730*1.6667</f>
        <v>65.881317600000017</v>
      </c>
    </row>
    <row r="1731" spans="1:15" ht="18" customHeight="1">
      <c r="A1731" s="38"/>
      <c r="B1731" s="103" t="s">
        <v>3173</v>
      </c>
      <c r="C1731" s="121"/>
      <c r="D1731" s="28" t="s">
        <v>3297</v>
      </c>
      <c r="E1731" s="103">
        <v>1.22</v>
      </c>
      <c r="F1731" s="103">
        <v>28</v>
      </c>
      <c r="G1731" s="121"/>
      <c r="H1731" s="103">
        <v>1.8</v>
      </c>
      <c r="I1731" s="121"/>
      <c r="J1731" s="138">
        <v>45190</v>
      </c>
      <c r="K1731" s="64">
        <f t="shared" si="122"/>
        <v>61.487999999999992</v>
      </c>
      <c r="L1731" s="64"/>
      <c r="M1731" s="41"/>
      <c r="N1731" s="38"/>
      <c r="O1731" s="38"/>
    </row>
    <row r="1732" spans="1:15" ht="18" customHeight="1">
      <c r="A1732" s="24" t="s">
        <v>1752</v>
      </c>
      <c r="B1732" s="206" t="s">
        <v>1753</v>
      </c>
      <c r="C1732" s="78" t="s">
        <v>1754</v>
      </c>
      <c r="D1732" s="28" t="s">
        <v>3297</v>
      </c>
      <c r="E1732" s="78">
        <v>1.22</v>
      </c>
      <c r="F1732" s="78">
        <v>84</v>
      </c>
      <c r="G1732" s="121"/>
      <c r="H1732" s="78">
        <v>1.7</v>
      </c>
      <c r="I1732" s="121"/>
      <c r="J1732" s="140">
        <v>45463</v>
      </c>
      <c r="K1732" s="13">
        <f t="shared" si="122"/>
        <v>174.21600000000001</v>
      </c>
      <c r="L1732" s="13"/>
      <c r="M1732" s="13"/>
      <c r="N1732" s="13">
        <f>G1732*H1732*I1732*E1732</f>
        <v>0</v>
      </c>
      <c r="O1732" s="15">
        <f>K1732*1.6667</f>
        <v>290.36580720000001</v>
      </c>
    </row>
    <row r="1733" spans="1:15" ht="18" customHeight="1">
      <c r="A1733" s="24" t="s">
        <v>3553</v>
      </c>
      <c r="B1733" s="206" t="s">
        <v>1753</v>
      </c>
      <c r="C1733" s="121" t="s">
        <v>3554</v>
      </c>
      <c r="D1733" s="110" t="s">
        <v>3297</v>
      </c>
      <c r="E1733" s="103">
        <v>1.22</v>
      </c>
      <c r="F1733" s="103">
        <v>46</v>
      </c>
      <c r="G1733" s="121"/>
      <c r="H1733" s="103">
        <v>2</v>
      </c>
      <c r="I1733" s="121"/>
      <c r="J1733" s="140">
        <v>45463</v>
      </c>
      <c r="K1733" s="64">
        <f t="shared" si="122"/>
        <v>112.24</v>
      </c>
      <c r="L1733" s="64"/>
      <c r="M1733" s="41"/>
      <c r="N1733" s="38"/>
      <c r="O1733" s="38"/>
    </row>
    <row r="1734" spans="1:15" ht="18" customHeight="1">
      <c r="A1734" s="24" t="s">
        <v>3556</v>
      </c>
      <c r="B1734" s="206" t="s">
        <v>1753</v>
      </c>
      <c r="C1734" s="121" t="s">
        <v>3555</v>
      </c>
      <c r="D1734" s="110" t="s">
        <v>3297</v>
      </c>
      <c r="E1734" s="103">
        <v>1.22</v>
      </c>
      <c r="F1734" s="103">
        <v>56</v>
      </c>
      <c r="G1734" s="121"/>
      <c r="H1734" s="103">
        <v>2</v>
      </c>
      <c r="I1734" s="121"/>
      <c r="J1734" s="140">
        <v>46021</v>
      </c>
      <c r="K1734" s="64">
        <f t="shared" si="122"/>
        <v>136.63999999999999</v>
      </c>
      <c r="L1734" s="64"/>
      <c r="M1734" s="41"/>
      <c r="N1734" s="38"/>
      <c r="O1734" s="38"/>
    </row>
    <row r="1735" spans="1:15" ht="18" customHeight="1">
      <c r="A1735" s="24" t="s">
        <v>2254</v>
      </c>
      <c r="B1735" s="78" t="s">
        <v>1755</v>
      </c>
      <c r="C1735" s="78" t="s">
        <v>15</v>
      </c>
      <c r="D1735" s="28" t="s">
        <v>3297</v>
      </c>
      <c r="E1735" s="78">
        <v>1.22</v>
      </c>
      <c r="F1735" s="78">
        <v>16.13</v>
      </c>
      <c r="G1735" s="78"/>
      <c r="H1735" s="78">
        <v>2.5</v>
      </c>
      <c r="I1735" s="78"/>
      <c r="J1735" s="133">
        <v>45886</v>
      </c>
      <c r="K1735" s="13">
        <f t="shared" si="122"/>
        <v>49.1965</v>
      </c>
      <c r="L1735" s="13"/>
      <c r="M1735" s="13"/>
      <c r="N1735" s="13">
        <f t="shared" ref="N1735:N1740" si="123">G1735*H1735*I1735*E1735</f>
        <v>0</v>
      </c>
      <c r="O1735" s="15">
        <f t="shared" ref="O1735:O1740" si="124">K1735*1.6667</f>
        <v>81.995806549999998</v>
      </c>
    </row>
    <row r="1736" spans="1:15" ht="18" customHeight="1">
      <c r="A1736" s="24" t="s">
        <v>2519</v>
      </c>
      <c r="B1736" s="78" t="s">
        <v>2518</v>
      </c>
      <c r="C1736" s="78" t="s">
        <v>1079</v>
      </c>
      <c r="D1736" s="28" t="s">
        <v>1905</v>
      </c>
      <c r="E1736" s="78">
        <v>1.22</v>
      </c>
      <c r="F1736" s="78">
        <v>62.3</v>
      </c>
      <c r="G1736" s="78"/>
      <c r="H1736" s="78">
        <v>1.6</v>
      </c>
      <c r="I1736" s="78"/>
      <c r="J1736" s="140">
        <v>45755</v>
      </c>
      <c r="K1736" s="13">
        <f t="shared" si="122"/>
        <v>121.6096</v>
      </c>
      <c r="L1736" s="13"/>
      <c r="M1736" s="13"/>
      <c r="N1736" s="13">
        <f t="shared" si="123"/>
        <v>0</v>
      </c>
      <c r="O1736" s="15">
        <f t="shared" si="124"/>
        <v>202.68672032000001</v>
      </c>
    </row>
    <row r="1737" spans="1:15" ht="18" customHeight="1">
      <c r="A1737" s="23" t="s">
        <v>2520</v>
      </c>
      <c r="B1737" s="96" t="s">
        <v>2518</v>
      </c>
      <c r="C1737" s="78" t="s">
        <v>481</v>
      </c>
      <c r="D1737" s="28" t="s">
        <v>1905</v>
      </c>
      <c r="E1737" s="28">
        <v>1.22</v>
      </c>
      <c r="F1737" s="96">
        <v>114.75</v>
      </c>
      <c r="G1737" s="78"/>
      <c r="H1737" s="28">
        <v>1.6</v>
      </c>
      <c r="I1737" s="78"/>
      <c r="J1737" s="133">
        <v>45845</v>
      </c>
      <c r="K1737" s="9">
        <f t="shared" si="122"/>
        <v>223.99200000000002</v>
      </c>
      <c r="L1737" s="13"/>
      <c r="M1737" s="13"/>
      <c r="N1737" s="13">
        <f t="shared" si="123"/>
        <v>0</v>
      </c>
      <c r="O1737" s="15">
        <f t="shared" si="124"/>
        <v>373.32746640000005</v>
      </c>
    </row>
    <row r="1738" spans="1:15" ht="18" customHeight="1">
      <c r="A1738" s="24"/>
      <c r="B1738" s="78" t="s">
        <v>1977</v>
      </c>
      <c r="C1738" s="78" t="s">
        <v>1501</v>
      </c>
      <c r="D1738" s="28" t="s">
        <v>3305</v>
      </c>
      <c r="E1738" s="78">
        <v>1.22</v>
      </c>
      <c r="F1738" s="78">
        <v>85</v>
      </c>
      <c r="G1738" s="78"/>
      <c r="H1738" s="78">
        <v>1.6</v>
      </c>
      <c r="I1738" s="78"/>
      <c r="J1738" s="140">
        <v>45446</v>
      </c>
      <c r="K1738" s="13">
        <f t="shared" si="122"/>
        <v>165.92000000000002</v>
      </c>
      <c r="L1738" s="13"/>
      <c r="M1738" s="13"/>
      <c r="N1738" s="13">
        <f t="shared" si="123"/>
        <v>0</v>
      </c>
      <c r="O1738" s="15">
        <f t="shared" si="124"/>
        <v>276.53886400000005</v>
      </c>
    </row>
    <row r="1739" spans="1:15" ht="18" customHeight="1">
      <c r="A1739" s="24"/>
      <c r="B1739" s="78" t="s">
        <v>3069</v>
      </c>
      <c r="C1739" s="78" t="s">
        <v>3070</v>
      </c>
      <c r="D1739" s="28"/>
      <c r="E1739" s="78">
        <v>1.22</v>
      </c>
      <c r="F1739" s="78">
        <v>260</v>
      </c>
      <c r="G1739" s="78"/>
      <c r="H1739" s="78">
        <v>1.2</v>
      </c>
      <c r="I1739" s="78"/>
      <c r="J1739" s="140">
        <v>45091</v>
      </c>
      <c r="K1739" s="13">
        <f t="shared" si="122"/>
        <v>380.64</v>
      </c>
      <c r="L1739" s="13"/>
      <c r="M1739" s="13"/>
      <c r="N1739" s="13">
        <f t="shared" si="123"/>
        <v>0</v>
      </c>
      <c r="O1739" s="15">
        <f t="shared" si="124"/>
        <v>634.412688</v>
      </c>
    </row>
    <row r="1740" spans="1:15" ht="18" customHeight="1">
      <c r="A1740" s="24">
        <v>0</v>
      </c>
      <c r="B1740" s="78" t="s">
        <v>3644</v>
      </c>
      <c r="C1740" s="78" t="s">
        <v>112</v>
      </c>
      <c r="D1740" s="28" t="s">
        <v>1859</v>
      </c>
      <c r="E1740" s="78">
        <v>1.22</v>
      </c>
      <c r="F1740" s="78">
        <v>620</v>
      </c>
      <c r="G1740" s="78"/>
      <c r="H1740" s="78">
        <v>1.6</v>
      </c>
      <c r="I1740" s="78"/>
      <c r="J1740" s="140">
        <v>45518</v>
      </c>
      <c r="K1740" s="13">
        <f t="shared" si="122"/>
        <v>1210.24</v>
      </c>
      <c r="L1740" s="13"/>
      <c r="M1740" s="13"/>
      <c r="N1740" s="13">
        <f t="shared" si="123"/>
        <v>0</v>
      </c>
      <c r="O1740" s="15">
        <f t="shared" si="124"/>
        <v>2017.1070080000002</v>
      </c>
    </row>
    <row r="1741" spans="1:15" ht="18" customHeight="1">
      <c r="A1741" s="24">
        <v>133</v>
      </c>
      <c r="B1741" s="96" t="s">
        <v>3644</v>
      </c>
      <c r="C1741" s="78" t="s">
        <v>93</v>
      </c>
      <c r="D1741" s="28" t="s">
        <v>1859</v>
      </c>
      <c r="E1741" s="96">
        <v>1.22</v>
      </c>
      <c r="F1741" s="96">
        <v>62</v>
      </c>
      <c r="G1741" s="78"/>
      <c r="H1741" s="96">
        <v>2.5</v>
      </c>
      <c r="I1741" s="185"/>
      <c r="J1741" s="140">
        <v>45518</v>
      </c>
      <c r="K1741" s="9">
        <f t="shared" si="122"/>
        <v>189.1</v>
      </c>
      <c r="L1741" s="13"/>
      <c r="M1741" s="13"/>
      <c r="N1741" s="13"/>
      <c r="O1741" s="15"/>
    </row>
    <row r="1742" spans="1:15" ht="18" customHeight="1">
      <c r="A1742" s="24">
        <v>19141</v>
      </c>
      <c r="B1742" s="78" t="s">
        <v>2863</v>
      </c>
      <c r="C1742" s="78" t="s">
        <v>2864</v>
      </c>
      <c r="D1742" s="28" t="s">
        <v>451</v>
      </c>
      <c r="E1742" s="78">
        <v>1.22</v>
      </c>
      <c r="F1742" s="78">
        <v>44.9</v>
      </c>
      <c r="G1742" s="78"/>
      <c r="H1742" s="78">
        <v>2</v>
      </c>
      <c r="I1742" s="28"/>
      <c r="J1742" s="144">
        <v>44944</v>
      </c>
      <c r="K1742" s="9">
        <f t="shared" si="122"/>
        <v>109.556</v>
      </c>
      <c r="L1742" s="13"/>
      <c r="M1742" s="13"/>
      <c r="N1742" s="13">
        <f t="shared" ref="N1742:N1749" si="125">G1742*H1742*I1742*E1742</f>
        <v>0</v>
      </c>
      <c r="O1742" s="15">
        <f t="shared" ref="O1742:O1749" si="126">K1742*1.6667</f>
        <v>182.59698520000001</v>
      </c>
    </row>
    <row r="1743" spans="1:15" ht="18" customHeight="1">
      <c r="A1743" s="24" t="s">
        <v>3492</v>
      </c>
      <c r="B1743" s="78" t="s">
        <v>885</v>
      </c>
      <c r="C1743" s="78" t="s">
        <v>68</v>
      </c>
      <c r="D1743" s="28" t="s">
        <v>1983</v>
      </c>
      <c r="E1743" s="78">
        <v>1.22</v>
      </c>
      <c r="F1743" s="78">
        <v>28</v>
      </c>
      <c r="G1743" s="78"/>
      <c r="H1743" s="78">
        <v>2</v>
      </c>
      <c r="I1743" s="78"/>
      <c r="J1743" s="140">
        <v>45427</v>
      </c>
      <c r="K1743" s="13">
        <f t="shared" si="122"/>
        <v>68.319999999999993</v>
      </c>
      <c r="L1743" s="13"/>
      <c r="M1743" s="13"/>
      <c r="N1743" s="13">
        <f t="shared" si="125"/>
        <v>0</v>
      </c>
      <c r="O1743" s="15">
        <f t="shared" si="126"/>
        <v>113.868944</v>
      </c>
    </row>
    <row r="1744" spans="1:15" ht="18" customHeight="1">
      <c r="A1744" s="24" t="s">
        <v>4453</v>
      </c>
      <c r="B1744" s="78" t="s">
        <v>4454</v>
      </c>
      <c r="C1744" s="78">
        <v>0</v>
      </c>
      <c r="D1744" s="28" t="s">
        <v>3322</v>
      </c>
      <c r="E1744" s="78">
        <v>1.22</v>
      </c>
      <c r="F1744" s="78">
        <v>234</v>
      </c>
      <c r="G1744" s="78"/>
      <c r="H1744" s="78">
        <v>1.8</v>
      </c>
      <c r="I1744" s="78"/>
      <c r="J1744" s="140">
        <v>45960</v>
      </c>
      <c r="K1744" s="13">
        <f t="shared" si="122"/>
        <v>513.86400000000003</v>
      </c>
      <c r="L1744" s="13"/>
      <c r="M1744" s="13"/>
      <c r="N1744" s="13">
        <f t="shared" si="125"/>
        <v>0</v>
      </c>
      <c r="O1744" s="15">
        <f t="shared" si="126"/>
        <v>856.45712880000008</v>
      </c>
    </row>
    <row r="1745" spans="1:15" ht="18" customHeight="1">
      <c r="A1745" s="24" t="s">
        <v>2634</v>
      </c>
      <c r="B1745" s="78" t="s">
        <v>2635</v>
      </c>
      <c r="C1745" s="78" t="s">
        <v>2636</v>
      </c>
      <c r="D1745" s="28" t="s">
        <v>451</v>
      </c>
      <c r="E1745" s="78">
        <v>1.22</v>
      </c>
      <c r="F1745" s="78">
        <v>216</v>
      </c>
      <c r="G1745" s="78"/>
      <c r="H1745" s="78">
        <v>1.6</v>
      </c>
      <c r="I1745" s="78"/>
      <c r="J1745" s="140">
        <v>44755</v>
      </c>
      <c r="K1745" s="13">
        <f t="shared" si="122"/>
        <v>421.63200000000001</v>
      </c>
      <c r="L1745" s="13"/>
      <c r="M1745" s="13"/>
      <c r="N1745" s="13">
        <f t="shared" si="125"/>
        <v>0</v>
      </c>
      <c r="O1745" s="15">
        <f t="shared" si="126"/>
        <v>702.73405439999999</v>
      </c>
    </row>
    <row r="1746" spans="1:15" ht="18" customHeight="1">
      <c r="A1746" s="24">
        <v>6</v>
      </c>
      <c r="B1746" s="78" t="s">
        <v>531</v>
      </c>
      <c r="C1746" s="78" t="s">
        <v>11</v>
      </c>
      <c r="D1746" s="28" t="s">
        <v>451</v>
      </c>
      <c r="E1746" s="78">
        <v>1</v>
      </c>
      <c r="F1746" s="78">
        <v>155</v>
      </c>
      <c r="G1746" s="78"/>
      <c r="H1746" s="78">
        <v>1.4</v>
      </c>
      <c r="I1746" s="78"/>
      <c r="J1746" s="140">
        <v>43881</v>
      </c>
      <c r="K1746" s="13">
        <f t="shared" si="122"/>
        <v>217</v>
      </c>
      <c r="L1746" s="13"/>
      <c r="M1746" s="13"/>
      <c r="N1746" s="13">
        <f t="shared" si="125"/>
        <v>0</v>
      </c>
      <c r="O1746" s="15">
        <f t="shared" si="126"/>
        <v>361.6739</v>
      </c>
    </row>
    <row r="1747" spans="1:15" ht="18" customHeight="1">
      <c r="A1747" s="38"/>
      <c r="B1747" s="103" t="s">
        <v>1986</v>
      </c>
      <c r="C1747" s="121" t="s">
        <v>82</v>
      </c>
      <c r="D1747" s="93"/>
      <c r="E1747" s="103">
        <v>1</v>
      </c>
      <c r="F1747" s="103">
        <v>220</v>
      </c>
      <c r="G1747" s="121"/>
      <c r="H1747" s="103">
        <v>1.35</v>
      </c>
      <c r="I1747" s="121"/>
      <c r="J1747" s="138">
        <v>44293</v>
      </c>
      <c r="K1747" s="41">
        <f t="shared" si="122"/>
        <v>297</v>
      </c>
      <c r="L1747" s="41"/>
      <c r="M1747" s="41"/>
      <c r="N1747" s="38">
        <f t="shared" si="125"/>
        <v>0</v>
      </c>
      <c r="O1747" s="38">
        <f t="shared" si="126"/>
        <v>495.00990000000002</v>
      </c>
    </row>
    <row r="1748" spans="1:15" ht="18" customHeight="1">
      <c r="A1748" s="21" t="s">
        <v>3286</v>
      </c>
      <c r="B1748" s="28" t="s">
        <v>4137</v>
      </c>
      <c r="C1748" s="28" t="s">
        <v>4138</v>
      </c>
      <c r="D1748" s="28" t="s">
        <v>3304</v>
      </c>
      <c r="E1748" s="28">
        <v>1.22</v>
      </c>
      <c r="F1748" s="28">
        <v>134.41999999999999</v>
      </c>
      <c r="G1748" s="28">
        <v>1</v>
      </c>
      <c r="H1748" s="28">
        <v>1.6</v>
      </c>
      <c r="I1748" s="28"/>
      <c r="J1748" s="133">
        <v>45827</v>
      </c>
      <c r="K1748" s="9">
        <f>E1748*F1748*H1748*G1748</f>
        <v>262.38783999999998</v>
      </c>
      <c r="L1748" s="13"/>
      <c r="M1748" s="13"/>
      <c r="N1748" s="13">
        <f t="shared" si="125"/>
        <v>0</v>
      </c>
      <c r="O1748" s="15">
        <f t="shared" si="126"/>
        <v>437.32181292799999</v>
      </c>
    </row>
    <row r="1749" spans="1:15" ht="18" customHeight="1">
      <c r="A1749" s="21" t="s">
        <v>3284</v>
      </c>
      <c r="B1749" s="28" t="s">
        <v>4137</v>
      </c>
      <c r="C1749" s="28" t="s">
        <v>4139</v>
      </c>
      <c r="D1749" s="28" t="s">
        <v>3304</v>
      </c>
      <c r="E1749" s="28">
        <v>1.22</v>
      </c>
      <c r="F1749" s="28">
        <v>119.67</v>
      </c>
      <c r="G1749" s="28"/>
      <c r="H1749" s="28">
        <v>1.6</v>
      </c>
      <c r="I1749" s="28"/>
      <c r="J1749" s="133">
        <v>45736</v>
      </c>
      <c r="K1749" s="9">
        <f t="shared" ref="K1749:K1785" si="127">E1749*F1749*H1749</f>
        <v>233.59584000000001</v>
      </c>
      <c r="L1749" s="13"/>
      <c r="M1749" s="13"/>
      <c r="N1749" s="13">
        <f t="shared" si="125"/>
        <v>0</v>
      </c>
      <c r="O1749" s="15">
        <f t="shared" si="126"/>
        <v>389.33418652800003</v>
      </c>
    </row>
    <row r="1750" spans="1:15" ht="18" customHeight="1">
      <c r="A1750" s="58" t="s">
        <v>4471</v>
      </c>
      <c r="B1750" s="78" t="s">
        <v>4472</v>
      </c>
      <c r="C1750" s="78" t="s">
        <v>4473</v>
      </c>
      <c r="D1750" s="85" t="s">
        <v>3304</v>
      </c>
      <c r="E1750" s="78">
        <v>1.22</v>
      </c>
      <c r="F1750" s="78">
        <v>105.73</v>
      </c>
      <c r="G1750" s="121"/>
      <c r="H1750" s="78">
        <v>1.6</v>
      </c>
      <c r="I1750" s="121"/>
      <c r="J1750" s="144">
        <v>45981</v>
      </c>
      <c r="K1750" s="13">
        <f t="shared" si="127"/>
        <v>206.38496000000001</v>
      </c>
      <c r="L1750" s="64"/>
      <c r="M1750" s="41"/>
      <c r="N1750" s="38"/>
      <c r="O1750" s="38"/>
    </row>
    <row r="1751" spans="1:15" ht="18" customHeight="1">
      <c r="A1751" s="24" t="s">
        <v>4474</v>
      </c>
      <c r="B1751" s="78" t="s">
        <v>4472</v>
      </c>
      <c r="C1751" s="78" t="s">
        <v>4475</v>
      </c>
      <c r="D1751" s="28" t="s">
        <v>3304</v>
      </c>
      <c r="E1751" s="78">
        <v>1.22</v>
      </c>
      <c r="F1751" s="78">
        <v>122.95</v>
      </c>
      <c r="G1751" s="78"/>
      <c r="H1751" s="78">
        <v>1.6</v>
      </c>
      <c r="I1751" s="78"/>
      <c r="J1751" s="140">
        <v>45981</v>
      </c>
      <c r="K1751" s="13">
        <f t="shared" si="127"/>
        <v>239.9984</v>
      </c>
      <c r="L1751" s="13"/>
      <c r="M1751" s="13"/>
      <c r="N1751" s="13">
        <f>G1751*H1751*I1751*E1751</f>
        <v>0</v>
      </c>
      <c r="O1751" s="15">
        <f>K1751*1.6667</f>
        <v>400.00533328</v>
      </c>
    </row>
    <row r="1752" spans="1:15" s="45" customFormat="1" ht="18" customHeight="1">
      <c r="A1752" s="21" t="s">
        <v>3933</v>
      </c>
      <c r="B1752" s="28" t="s">
        <v>3190</v>
      </c>
      <c r="C1752" s="28" t="s">
        <v>3191</v>
      </c>
      <c r="D1752" s="28" t="s">
        <v>3816</v>
      </c>
      <c r="E1752" s="28">
        <v>1.22</v>
      </c>
      <c r="F1752" s="28">
        <v>155.97999999999999</v>
      </c>
      <c r="G1752" s="28"/>
      <c r="H1752" s="28">
        <v>1.6</v>
      </c>
      <c r="I1752" s="28"/>
      <c r="J1752" s="133">
        <v>45636</v>
      </c>
      <c r="K1752" s="13">
        <f t="shared" si="127"/>
        <v>304.47296</v>
      </c>
      <c r="L1752" s="9"/>
      <c r="M1752" s="9"/>
      <c r="N1752" s="9">
        <f>G1752*H1752*I1752*E1752</f>
        <v>0</v>
      </c>
      <c r="O1752" s="3"/>
    </row>
    <row r="1753" spans="1:15" s="45" customFormat="1" ht="18" customHeight="1">
      <c r="A1753" s="21"/>
      <c r="B1753" s="28" t="s">
        <v>3190</v>
      </c>
      <c r="C1753" s="28" t="s">
        <v>3192</v>
      </c>
      <c r="D1753" s="28" t="s">
        <v>3816</v>
      </c>
      <c r="E1753" s="28">
        <v>1.22</v>
      </c>
      <c r="F1753" s="28">
        <v>171.96</v>
      </c>
      <c r="G1753" s="28"/>
      <c r="H1753" s="28">
        <v>1.6</v>
      </c>
      <c r="I1753" s="28"/>
      <c r="J1753" s="133">
        <v>45636</v>
      </c>
      <c r="K1753" s="13">
        <f t="shared" si="127"/>
        <v>335.66592000000003</v>
      </c>
      <c r="L1753" s="9"/>
      <c r="M1753" s="9"/>
      <c r="N1753" s="9">
        <f>G1753*H1753*I1753*E1753</f>
        <v>0</v>
      </c>
      <c r="O1753" s="3">
        <f>K1753*1.6667</f>
        <v>559.45438886400007</v>
      </c>
    </row>
    <row r="1754" spans="1:15" s="45" customFormat="1" ht="18" customHeight="1">
      <c r="A1754" s="42"/>
      <c r="B1754" s="160" t="s">
        <v>3820</v>
      </c>
      <c r="C1754" s="123" t="s">
        <v>3819</v>
      </c>
      <c r="D1754" s="123" t="s">
        <v>3816</v>
      </c>
      <c r="E1754" s="160">
        <v>1.55</v>
      </c>
      <c r="F1754" s="160">
        <v>140.16</v>
      </c>
      <c r="G1754" s="123"/>
      <c r="H1754" s="160">
        <v>1.5</v>
      </c>
      <c r="I1754" s="123"/>
      <c r="J1754" s="146">
        <v>45572</v>
      </c>
      <c r="K1754" s="161">
        <f t="shared" si="127"/>
        <v>325.87199999999996</v>
      </c>
      <c r="L1754" s="37"/>
      <c r="M1754" s="17"/>
      <c r="N1754" s="16"/>
      <c r="O1754" s="16"/>
    </row>
    <row r="1755" spans="1:15" ht="18" customHeight="1">
      <c r="A1755" s="21" t="s">
        <v>3284</v>
      </c>
      <c r="B1755" s="28" t="s">
        <v>3193</v>
      </c>
      <c r="C1755" s="28" t="s">
        <v>3287</v>
      </c>
      <c r="D1755" s="28" t="s">
        <v>3304</v>
      </c>
      <c r="E1755" s="28">
        <v>1.22</v>
      </c>
      <c r="F1755" s="28">
        <v>118.03</v>
      </c>
      <c r="G1755" s="28"/>
      <c r="H1755" s="28">
        <v>1.6</v>
      </c>
      <c r="I1755" s="28"/>
      <c r="J1755" s="133">
        <v>45489</v>
      </c>
      <c r="K1755" s="9">
        <f t="shared" si="127"/>
        <v>230.39456000000001</v>
      </c>
      <c r="L1755" s="13"/>
      <c r="M1755" s="13"/>
      <c r="N1755" s="13">
        <f>G1755*H1755*I1755*E1755</f>
        <v>0</v>
      </c>
      <c r="O1755" s="15">
        <f>K1755*1.6667</f>
        <v>383.99861315200002</v>
      </c>
    </row>
    <row r="1756" spans="1:15" ht="18" customHeight="1">
      <c r="A1756" s="24" t="s">
        <v>3286</v>
      </c>
      <c r="B1756" s="78" t="s">
        <v>3193</v>
      </c>
      <c r="C1756" s="258" t="s">
        <v>3285</v>
      </c>
      <c r="D1756" s="85" t="s">
        <v>1905</v>
      </c>
      <c r="E1756" s="185">
        <v>1.22</v>
      </c>
      <c r="F1756" s="78">
        <v>169.67</v>
      </c>
      <c r="G1756" s="78"/>
      <c r="H1756" s="78">
        <v>1.6</v>
      </c>
      <c r="I1756" s="78"/>
      <c r="J1756" s="140">
        <v>45636</v>
      </c>
      <c r="K1756" s="13">
        <f t="shared" si="127"/>
        <v>331.19583999999998</v>
      </c>
      <c r="L1756" s="13"/>
      <c r="M1756" s="13"/>
      <c r="N1756" s="13">
        <f>G1756*H1756*I1756*E1756</f>
        <v>0</v>
      </c>
      <c r="O1756" s="15">
        <f>K1756*1.6667</f>
        <v>552.00410652799997</v>
      </c>
    </row>
    <row r="1757" spans="1:15" ht="18" customHeight="1">
      <c r="A1757" s="38" t="s">
        <v>3589</v>
      </c>
      <c r="B1757" s="102" t="s">
        <v>3193</v>
      </c>
      <c r="C1757" s="125" t="s">
        <v>3590</v>
      </c>
      <c r="D1757" s="28" t="s">
        <v>1905</v>
      </c>
      <c r="E1757" s="102">
        <v>1.22</v>
      </c>
      <c r="F1757" s="102">
        <v>209.84</v>
      </c>
      <c r="G1757" s="121"/>
      <c r="H1757" s="102">
        <v>1.6</v>
      </c>
      <c r="I1757" s="121"/>
      <c r="J1757" s="144">
        <v>45636</v>
      </c>
      <c r="K1757" s="13">
        <f t="shared" si="127"/>
        <v>409.60768000000002</v>
      </c>
      <c r="L1757" s="41"/>
      <c r="M1757" s="41"/>
      <c r="N1757" s="38"/>
      <c r="O1757" s="38"/>
    </row>
    <row r="1758" spans="1:15" ht="18" customHeight="1">
      <c r="A1758" s="39"/>
      <c r="B1758" s="99" t="s">
        <v>3193</v>
      </c>
      <c r="C1758" s="121" t="s">
        <v>3818</v>
      </c>
      <c r="D1758" s="28" t="s">
        <v>3816</v>
      </c>
      <c r="E1758" s="87">
        <v>1.22</v>
      </c>
      <c r="F1758" s="101">
        <v>130</v>
      </c>
      <c r="G1758" s="121"/>
      <c r="H1758" s="87">
        <v>1.5</v>
      </c>
      <c r="I1758" s="121"/>
      <c r="J1758" s="133">
        <v>45572</v>
      </c>
      <c r="K1758" s="37">
        <f t="shared" si="127"/>
        <v>237.89999999999998</v>
      </c>
      <c r="L1758" s="64"/>
      <c r="M1758" s="41"/>
      <c r="N1758" s="38"/>
      <c r="O1758" s="38"/>
    </row>
    <row r="1759" spans="1:15" ht="18" customHeight="1">
      <c r="A1759" s="39"/>
      <c r="B1759" s="96" t="s">
        <v>4324</v>
      </c>
      <c r="C1759" s="78" t="s">
        <v>4325</v>
      </c>
      <c r="D1759" s="28" t="s">
        <v>1905</v>
      </c>
      <c r="E1759" s="28">
        <v>1.22</v>
      </c>
      <c r="F1759" s="96">
        <v>102.28</v>
      </c>
      <c r="G1759" s="121"/>
      <c r="H1759" s="28">
        <v>1.8</v>
      </c>
      <c r="I1759" s="121"/>
      <c r="J1759" s="134">
        <v>45874</v>
      </c>
      <c r="K1759" s="9">
        <f t="shared" si="127"/>
        <v>224.60687999999999</v>
      </c>
      <c r="L1759" s="50"/>
      <c r="M1759" s="41"/>
      <c r="N1759" s="38"/>
      <c r="O1759" s="38"/>
    </row>
    <row r="1760" spans="1:15" ht="18" customHeight="1">
      <c r="A1760" s="38"/>
      <c r="B1760" s="99" t="s">
        <v>4324</v>
      </c>
      <c r="C1760" s="125" t="s">
        <v>3191</v>
      </c>
      <c r="D1760" s="28" t="s">
        <v>1905</v>
      </c>
      <c r="E1760" s="80">
        <v>1.22</v>
      </c>
      <c r="F1760" s="99">
        <v>93.44</v>
      </c>
      <c r="G1760" s="121"/>
      <c r="H1760" s="80">
        <v>1.8</v>
      </c>
      <c r="I1760" s="121"/>
      <c r="J1760" s="134">
        <v>45874</v>
      </c>
      <c r="K1760" s="9">
        <f t="shared" si="127"/>
        <v>205.19423999999998</v>
      </c>
      <c r="L1760" s="41"/>
      <c r="M1760" s="41"/>
      <c r="N1760" s="38"/>
      <c r="O1760" s="38"/>
    </row>
    <row r="1761" spans="1:15" ht="18" customHeight="1">
      <c r="A1761" s="16"/>
      <c r="B1761" s="28" t="s">
        <v>4303</v>
      </c>
      <c r="C1761" s="28">
        <v>0</v>
      </c>
      <c r="D1761" s="28" t="s">
        <v>3304</v>
      </c>
      <c r="E1761" s="28">
        <v>1</v>
      </c>
      <c r="F1761" s="28">
        <v>111.47</v>
      </c>
      <c r="G1761" s="110"/>
      <c r="H1761" s="28">
        <v>1.6</v>
      </c>
      <c r="I1761" s="110"/>
      <c r="J1761" s="134">
        <v>45827</v>
      </c>
      <c r="K1761" s="9">
        <f t="shared" si="127"/>
        <v>178.352</v>
      </c>
      <c r="L1761" s="9"/>
      <c r="M1761" s="17"/>
      <c r="N1761" s="16"/>
      <c r="O1761" s="16"/>
    </row>
    <row r="1762" spans="1:15" ht="18" customHeight="1">
      <c r="A1762" s="16"/>
      <c r="B1762" s="28" t="s">
        <v>1640</v>
      </c>
      <c r="C1762" s="28" t="s">
        <v>1641</v>
      </c>
      <c r="D1762" s="28" t="s">
        <v>3304</v>
      </c>
      <c r="E1762" s="28">
        <v>1</v>
      </c>
      <c r="F1762" s="28">
        <v>156.55000000000001</v>
      </c>
      <c r="G1762" s="110"/>
      <c r="H1762" s="28">
        <v>1.6</v>
      </c>
      <c r="I1762" s="110"/>
      <c r="J1762" s="135">
        <v>45981</v>
      </c>
      <c r="K1762" s="26">
        <f t="shared" si="127"/>
        <v>250.48000000000002</v>
      </c>
      <c r="L1762" s="26"/>
      <c r="M1762" s="17"/>
      <c r="N1762" s="16"/>
      <c r="O1762" s="16"/>
    </row>
    <row r="1763" spans="1:15" ht="18" customHeight="1">
      <c r="A1763" s="21" t="s">
        <v>4469</v>
      </c>
      <c r="B1763" s="28" t="s">
        <v>4470</v>
      </c>
      <c r="C1763" s="28" t="s">
        <v>4476</v>
      </c>
      <c r="D1763" s="28" t="s">
        <v>3304</v>
      </c>
      <c r="E1763" s="28">
        <v>1.22</v>
      </c>
      <c r="F1763" s="28">
        <v>98.36</v>
      </c>
      <c r="G1763" s="28"/>
      <c r="H1763" s="28">
        <v>1.6</v>
      </c>
      <c r="I1763" s="28"/>
      <c r="J1763" s="133">
        <v>45981</v>
      </c>
      <c r="K1763" s="9">
        <f t="shared" si="127"/>
        <v>191.99872000000002</v>
      </c>
      <c r="L1763" s="9"/>
      <c r="M1763" s="9"/>
      <c r="N1763" s="9">
        <f>G1763*H1763*I1763*E1763</f>
        <v>0</v>
      </c>
      <c r="O1763" s="3">
        <f>K1763*1.6667</f>
        <v>320.00426662400002</v>
      </c>
    </row>
    <row r="1764" spans="1:15" ht="18" customHeight="1">
      <c r="A1764" s="21">
        <v>236</v>
      </c>
      <c r="B1764" s="28" t="s">
        <v>2345</v>
      </c>
      <c r="C1764" s="28">
        <v>3</v>
      </c>
      <c r="D1764" s="28" t="s">
        <v>451</v>
      </c>
      <c r="E1764" s="28">
        <v>1.22</v>
      </c>
      <c r="F1764" s="28">
        <v>285</v>
      </c>
      <c r="G1764" s="28"/>
      <c r="H1764" s="28">
        <v>1.6</v>
      </c>
      <c r="I1764" s="28"/>
      <c r="J1764" s="133">
        <v>44513</v>
      </c>
      <c r="K1764" s="9">
        <f t="shared" si="127"/>
        <v>556.32000000000005</v>
      </c>
      <c r="L1764" s="9"/>
      <c r="M1764" s="9"/>
      <c r="N1764" s="9"/>
      <c r="O1764" s="3"/>
    </row>
    <row r="1765" spans="1:15" ht="18" customHeight="1">
      <c r="A1765" s="21" t="s">
        <v>1717</v>
      </c>
      <c r="B1765" s="28" t="s">
        <v>1454</v>
      </c>
      <c r="C1765" s="28"/>
      <c r="D1765" s="28" t="s">
        <v>3297</v>
      </c>
      <c r="E1765" s="28">
        <v>1.22</v>
      </c>
      <c r="F1765" s="28">
        <v>25</v>
      </c>
      <c r="G1765" s="28"/>
      <c r="H1765" s="28">
        <v>1.6</v>
      </c>
      <c r="I1765" s="28"/>
      <c r="J1765" s="133">
        <v>45341</v>
      </c>
      <c r="K1765" s="9">
        <f t="shared" si="127"/>
        <v>48.800000000000004</v>
      </c>
      <c r="L1765" s="9"/>
      <c r="M1765" s="9"/>
      <c r="N1765" s="9"/>
      <c r="O1765" s="3">
        <f>K1765*1.6667</f>
        <v>81.334960000000009</v>
      </c>
    </row>
    <row r="1766" spans="1:15" ht="18" customHeight="1">
      <c r="A1766" s="16" t="s">
        <v>3690</v>
      </c>
      <c r="B1766" s="87" t="s">
        <v>3691</v>
      </c>
      <c r="C1766" s="110"/>
      <c r="D1766" s="110"/>
      <c r="E1766" s="87">
        <v>1.22</v>
      </c>
      <c r="F1766" s="87">
        <v>649.9</v>
      </c>
      <c r="G1766" s="110"/>
      <c r="H1766" s="87">
        <v>1.9</v>
      </c>
      <c r="I1766" s="110"/>
      <c r="J1766" s="87"/>
      <c r="K1766" s="37">
        <f t="shared" si="127"/>
        <v>1506.4681999999998</v>
      </c>
      <c r="L1766" s="37"/>
      <c r="M1766" s="17"/>
      <c r="N1766" s="16"/>
      <c r="O1766" s="16"/>
    </row>
    <row r="1767" spans="1:15" ht="18" customHeight="1">
      <c r="A1767" s="21" t="s">
        <v>4224</v>
      </c>
      <c r="B1767" s="87" t="s">
        <v>3691</v>
      </c>
      <c r="C1767" s="110" t="s">
        <v>4225</v>
      </c>
      <c r="D1767" s="28" t="s">
        <v>3297</v>
      </c>
      <c r="E1767" s="28">
        <v>1.22</v>
      </c>
      <c r="F1767" s="87">
        <v>141</v>
      </c>
      <c r="G1767" s="110"/>
      <c r="H1767" s="87">
        <v>1.6</v>
      </c>
      <c r="I1767" s="110"/>
      <c r="J1767" s="133">
        <v>45777</v>
      </c>
      <c r="K1767" s="9">
        <f t="shared" si="127"/>
        <v>275.23200000000003</v>
      </c>
      <c r="L1767" s="37"/>
      <c r="M1767" s="17"/>
      <c r="N1767" s="16"/>
      <c r="O1767" s="16"/>
    </row>
    <row r="1768" spans="1:15" ht="18" customHeight="1">
      <c r="A1768" s="21" t="s">
        <v>4226</v>
      </c>
      <c r="B1768" s="87" t="s">
        <v>3691</v>
      </c>
      <c r="C1768" s="110" t="s">
        <v>4227</v>
      </c>
      <c r="D1768" s="28" t="s">
        <v>3297</v>
      </c>
      <c r="E1768" s="28">
        <v>1.22</v>
      </c>
      <c r="F1768" s="87">
        <v>86</v>
      </c>
      <c r="G1768" s="110"/>
      <c r="H1768" s="87">
        <v>1.6</v>
      </c>
      <c r="I1768" s="110"/>
      <c r="J1768" s="133">
        <v>45777</v>
      </c>
      <c r="K1768" s="9">
        <f t="shared" si="127"/>
        <v>167.87200000000001</v>
      </c>
      <c r="L1768" s="37"/>
      <c r="M1768" s="17"/>
      <c r="N1768" s="16"/>
      <c r="O1768" s="16"/>
    </row>
    <row r="1769" spans="1:15" ht="18" customHeight="1">
      <c r="A1769" s="21" t="s">
        <v>4228</v>
      </c>
      <c r="B1769" s="87" t="s">
        <v>3691</v>
      </c>
      <c r="C1769" s="110" t="s">
        <v>4229</v>
      </c>
      <c r="D1769" s="28" t="s">
        <v>3297</v>
      </c>
      <c r="E1769" s="28">
        <v>1.22</v>
      </c>
      <c r="F1769" s="87">
        <v>75</v>
      </c>
      <c r="G1769" s="110"/>
      <c r="H1769" s="87">
        <v>1.6</v>
      </c>
      <c r="I1769" s="110"/>
      <c r="J1769" s="133">
        <v>45777</v>
      </c>
      <c r="K1769" s="9">
        <f t="shared" si="127"/>
        <v>146.4</v>
      </c>
      <c r="L1769" s="37"/>
      <c r="M1769" s="17"/>
      <c r="N1769" s="16"/>
      <c r="O1769" s="16"/>
    </row>
    <row r="1770" spans="1:15" ht="18" customHeight="1">
      <c r="A1770" s="46" t="s">
        <v>3575</v>
      </c>
      <c r="B1770" s="28" t="s">
        <v>3576</v>
      </c>
      <c r="C1770" s="28"/>
      <c r="D1770" s="28" t="s">
        <v>3297</v>
      </c>
      <c r="E1770" s="28">
        <v>1.22</v>
      </c>
      <c r="F1770" s="28">
        <v>121.5</v>
      </c>
      <c r="G1770" s="110"/>
      <c r="H1770" s="28">
        <v>2</v>
      </c>
      <c r="I1770" s="110"/>
      <c r="J1770" s="133">
        <v>45485</v>
      </c>
      <c r="K1770" s="35">
        <f t="shared" si="127"/>
        <v>296.45999999999998</v>
      </c>
      <c r="L1770" s="35"/>
      <c r="M1770" s="17"/>
      <c r="N1770" s="16"/>
      <c r="O1770" s="16"/>
    </row>
    <row r="1771" spans="1:15" ht="18" customHeight="1">
      <c r="A1771" s="24" t="s">
        <v>3579</v>
      </c>
      <c r="B1771" s="78" t="s">
        <v>3580</v>
      </c>
      <c r="C1771" s="78" t="s">
        <v>3581</v>
      </c>
      <c r="D1771" s="85" t="s">
        <v>3297</v>
      </c>
      <c r="E1771" s="78">
        <v>1.22</v>
      </c>
      <c r="F1771" s="78">
        <v>121.5</v>
      </c>
      <c r="G1771" s="78"/>
      <c r="H1771" s="78">
        <v>2</v>
      </c>
      <c r="I1771" s="78"/>
      <c r="J1771" s="140">
        <v>45485</v>
      </c>
      <c r="K1771" s="13">
        <f t="shared" si="127"/>
        <v>296.45999999999998</v>
      </c>
      <c r="L1771" s="13"/>
      <c r="M1771" s="13"/>
      <c r="N1771" s="13"/>
      <c r="O1771" s="15"/>
    </row>
    <row r="1772" spans="1:15" s="16" customFormat="1" ht="18" customHeight="1">
      <c r="A1772" s="21" t="s">
        <v>3573</v>
      </c>
      <c r="B1772" s="93" t="s">
        <v>3574</v>
      </c>
      <c r="C1772" s="93" t="s">
        <v>15</v>
      </c>
      <c r="D1772" s="28" t="s">
        <v>3297</v>
      </c>
      <c r="E1772" s="93">
        <v>1.22</v>
      </c>
      <c r="F1772" s="93">
        <v>121.5</v>
      </c>
      <c r="G1772" s="93"/>
      <c r="H1772" s="93">
        <v>2</v>
      </c>
      <c r="I1772" s="93"/>
      <c r="J1772" s="146">
        <v>38180</v>
      </c>
      <c r="K1772" s="33">
        <f t="shared" si="127"/>
        <v>296.45999999999998</v>
      </c>
      <c r="L1772" s="33"/>
      <c r="M1772" s="33"/>
      <c r="N1772" s="9">
        <f>G1772*H1772*I1772*E1772</f>
        <v>0</v>
      </c>
      <c r="O1772" s="3">
        <f>K1772*1.6667</f>
        <v>494.10988199999997</v>
      </c>
    </row>
    <row r="1773" spans="1:15" ht="18" customHeight="1">
      <c r="A1773" s="24" t="s">
        <v>4479</v>
      </c>
      <c r="B1773" s="28" t="s">
        <v>4480</v>
      </c>
      <c r="C1773" s="28">
        <v>0</v>
      </c>
      <c r="D1773" s="28" t="s">
        <v>1292</v>
      </c>
      <c r="E1773" s="28">
        <v>1.22</v>
      </c>
      <c r="F1773" s="28">
        <v>499.9</v>
      </c>
      <c r="G1773" s="28"/>
      <c r="H1773" s="28">
        <v>1.8</v>
      </c>
      <c r="I1773" s="28"/>
      <c r="J1773" s="133">
        <v>45981</v>
      </c>
      <c r="K1773" s="9">
        <f t="shared" si="127"/>
        <v>1097.7803999999999</v>
      </c>
      <c r="L1773" s="9"/>
      <c r="M1773" s="9"/>
      <c r="N1773" s="13">
        <f>G1773*H1773*I1773*E1773</f>
        <v>0</v>
      </c>
      <c r="O1773" s="15" t="e">
        <f>#REF!*1.6667</f>
        <v>#REF!</v>
      </c>
    </row>
    <row r="1774" spans="1:15" ht="18" customHeight="1">
      <c r="A1774" s="38" t="s">
        <v>1679</v>
      </c>
      <c r="B1774" s="78" t="s">
        <v>1681</v>
      </c>
      <c r="C1774" s="121">
        <v>1221</v>
      </c>
      <c r="D1774" s="28" t="s">
        <v>3297</v>
      </c>
      <c r="E1774" s="78">
        <v>1.22</v>
      </c>
      <c r="F1774" s="78">
        <v>87.62</v>
      </c>
      <c r="G1774" s="121"/>
      <c r="H1774" s="78">
        <v>1.7</v>
      </c>
      <c r="I1774" s="121"/>
      <c r="J1774" s="138">
        <v>43956</v>
      </c>
      <c r="K1774" s="50">
        <f t="shared" si="127"/>
        <v>181.72388000000001</v>
      </c>
      <c r="L1774" s="50"/>
      <c r="M1774" s="41"/>
      <c r="N1774" s="38"/>
      <c r="O1774" s="15">
        <f>K1774*1.6667</f>
        <v>302.87919079600005</v>
      </c>
    </row>
    <row r="1775" spans="1:15" ht="18" customHeight="1">
      <c r="A1775" s="38" t="s">
        <v>1680</v>
      </c>
      <c r="B1775" s="78" t="s">
        <v>1681</v>
      </c>
      <c r="C1775" s="121" t="s">
        <v>1682</v>
      </c>
      <c r="D1775" s="28" t="s">
        <v>3297</v>
      </c>
      <c r="E1775" s="78">
        <v>1.22</v>
      </c>
      <c r="F1775" s="78">
        <v>163.27000000000001</v>
      </c>
      <c r="G1775" s="121"/>
      <c r="H1775" s="78">
        <v>1.7</v>
      </c>
      <c r="I1775" s="121"/>
      <c r="J1775" s="138">
        <v>43956</v>
      </c>
      <c r="K1775" s="50">
        <f t="shared" si="127"/>
        <v>338.62198000000001</v>
      </c>
      <c r="L1775" s="50"/>
      <c r="M1775" s="41"/>
      <c r="N1775" s="38"/>
      <c r="O1775" s="15">
        <f>K1775*1.6667</f>
        <v>564.381254066</v>
      </c>
    </row>
    <row r="1776" spans="1:15" ht="18" customHeight="1">
      <c r="A1776" s="38" t="s">
        <v>813</v>
      </c>
      <c r="B1776" s="78" t="s">
        <v>1681</v>
      </c>
      <c r="C1776" s="121" t="s">
        <v>141</v>
      </c>
      <c r="D1776" s="28" t="s">
        <v>3297</v>
      </c>
      <c r="E1776" s="78">
        <v>1.22</v>
      </c>
      <c r="F1776" s="78">
        <v>60.64</v>
      </c>
      <c r="G1776" s="121"/>
      <c r="H1776" s="78">
        <v>1.7</v>
      </c>
      <c r="I1776" s="121"/>
      <c r="J1776" s="138">
        <v>44295</v>
      </c>
      <c r="K1776" s="50">
        <f t="shared" si="127"/>
        <v>125.76736</v>
      </c>
      <c r="L1776" s="50"/>
      <c r="M1776" s="41"/>
      <c r="N1776" s="38"/>
      <c r="O1776" s="38"/>
    </row>
    <row r="1777" spans="1:15" ht="18" customHeight="1">
      <c r="A1777" s="24" t="s">
        <v>2124</v>
      </c>
      <c r="B1777" s="78" t="s">
        <v>2125</v>
      </c>
      <c r="C1777" s="78"/>
      <c r="D1777" s="28" t="s">
        <v>3297</v>
      </c>
      <c r="E1777" s="78">
        <v>1.22</v>
      </c>
      <c r="F1777" s="78">
        <v>38.67</v>
      </c>
      <c r="G1777" s="78"/>
      <c r="H1777" s="78">
        <v>1.7</v>
      </c>
      <c r="I1777" s="78"/>
      <c r="J1777" s="140">
        <v>45777</v>
      </c>
      <c r="K1777" s="13">
        <f t="shared" si="127"/>
        <v>80.201579999999993</v>
      </c>
      <c r="L1777" s="13"/>
      <c r="M1777" s="13"/>
      <c r="N1777" s="13"/>
      <c r="O1777" s="15"/>
    </row>
    <row r="1778" spans="1:15" ht="18" customHeight="1">
      <c r="A1778" s="24" t="s">
        <v>4496</v>
      </c>
      <c r="B1778" s="78" t="s">
        <v>4497</v>
      </c>
      <c r="C1778" s="78" t="s">
        <v>15</v>
      </c>
      <c r="D1778" s="28" t="s">
        <v>1292</v>
      </c>
      <c r="E1778" s="78">
        <v>1.22</v>
      </c>
      <c r="F1778" s="78">
        <v>79.900000000000006</v>
      </c>
      <c r="G1778" s="78"/>
      <c r="H1778" s="78">
        <v>2</v>
      </c>
      <c r="I1778" s="78"/>
      <c r="J1778" s="140">
        <v>45981</v>
      </c>
      <c r="K1778" s="13">
        <f t="shared" si="127"/>
        <v>194.95600000000002</v>
      </c>
      <c r="L1778" s="13"/>
      <c r="M1778" s="13"/>
      <c r="N1778" s="13">
        <f>G1778*H1778*I1778*E1778</f>
        <v>0</v>
      </c>
      <c r="O1778" s="15">
        <f>K1778*1.6667</f>
        <v>324.93316520000002</v>
      </c>
    </row>
    <row r="1779" spans="1:15" ht="18" customHeight="1">
      <c r="A1779" s="24" t="s">
        <v>4499</v>
      </c>
      <c r="B1779" s="78" t="s">
        <v>4497</v>
      </c>
      <c r="C1779" s="78">
        <v>0</v>
      </c>
      <c r="D1779" s="28" t="s">
        <v>1292</v>
      </c>
      <c r="E1779" s="78">
        <v>1.22</v>
      </c>
      <c r="F1779" s="78">
        <v>69.900000000000006</v>
      </c>
      <c r="G1779" s="78"/>
      <c r="H1779" s="78">
        <v>2</v>
      </c>
      <c r="I1779" s="78"/>
      <c r="J1779" s="140">
        <v>45981</v>
      </c>
      <c r="K1779" s="13">
        <f t="shared" si="127"/>
        <v>170.55600000000001</v>
      </c>
      <c r="L1779" s="13"/>
      <c r="M1779" s="13"/>
      <c r="N1779" s="13">
        <f>G1779*H1779*I1779*E1779</f>
        <v>0</v>
      </c>
      <c r="O1779" s="15">
        <f>K1779*1.6667</f>
        <v>284.26568520000001</v>
      </c>
    </row>
    <row r="1780" spans="1:15" ht="18" customHeight="1">
      <c r="A1780" s="24" t="s">
        <v>1580</v>
      </c>
      <c r="B1780" s="78" t="s">
        <v>1581</v>
      </c>
      <c r="C1780" s="78"/>
      <c r="D1780" s="28" t="s">
        <v>451</v>
      </c>
      <c r="E1780" s="78">
        <v>1.22</v>
      </c>
      <c r="F1780" s="78">
        <v>645</v>
      </c>
      <c r="G1780" s="78"/>
      <c r="H1780" s="78">
        <v>2</v>
      </c>
      <c r="I1780" s="78"/>
      <c r="J1780" s="140">
        <v>43900</v>
      </c>
      <c r="K1780" s="13">
        <f t="shared" si="127"/>
        <v>1573.8</v>
      </c>
      <c r="L1780" s="13"/>
      <c r="M1780" s="13"/>
      <c r="N1780" s="13">
        <f>G1780*H1780*I1780*E1780</f>
        <v>0</v>
      </c>
      <c r="O1780" s="15">
        <f>K1780*1.6667</f>
        <v>2623.0524599999999</v>
      </c>
    </row>
    <row r="1781" spans="1:15" s="16" customFormat="1" ht="18" customHeight="1">
      <c r="A1781" s="168" t="s">
        <v>3828</v>
      </c>
      <c r="B1781" s="87" t="s">
        <v>3844</v>
      </c>
      <c r="C1781" s="110"/>
      <c r="D1781" s="110" t="s">
        <v>3824</v>
      </c>
      <c r="E1781" s="87">
        <v>1.22</v>
      </c>
      <c r="F1781" s="87">
        <v>195</v>
      </c>
      <c r="G1781" s="110"/>
      <c r="H1781" s="87">
        <v>1.8</v>
      </c>
      <c r="I1781" s="110"/>
      <c r="J1781" s="135">
        <v>45567</v>
      </c>
      <c r="K1781" s="9">
        <f t="shared" si="127"/>
        <v>428.22</v>
      </c>
      <c r="L1781" s="37"/>
      <c r="M1781" s="17"/>
    </row>
    <row r="1782" spans="1:15" s="16" customFormat="1" ht="18" customHeight="1">
      <c r="B1782" s="28" t="s">
        <v>1544</v>
      </c>
      <c r="C1782" s="110"/>
      <c r="D1782" s="28"/>
      <c r="E1782" s="28">
        <v>1</v>
      </c>
      <c r="F1782" s="28">
        <v>139</v>
      </c>
      <c r="G1782" s="110"/>
      <c r="H1782" s="28">
        <v>1.8</v>
      </c>
      <c r="I1782" s="110"/>
      <c r="J1782" s="135">
        <v>43900</v>
      </c>
      <c r="K1782" s="35">
        <f t="shared" si="127"/>
        <v>250.20000000000002</v>
      </c>
      <c r="L1782" s="35"/>
      <c r="M1782" s="36">
        <v>1.22</v>
      </c>
      <c r="O1782" s="3">
        <f t="shared" ref="O1782:O1788" si="128">K1782*1.6667</f>
        <v>417.00834000000003</v>
      </c>
    </row>
    <row r="1783" spans="1:15" ht="18" hidden="1" customHeight="1">
      <c r="A1783" s="24" t="s">
        <v>1106</v>
      </c>
      <c r="B1783" s="78" t="s">
        <v>1107</v>
      </c>
      <c r="C1783" s="78" t="s">
        <v>1108</v>
      </c>
      <c r="D1783" s="93" t="s">
        <v>451</v>
      </c>
      <c r="E1783" s="78">
        <v>1.22</v>
      </c>
      <c r="F1783" s="78">
        <v>210</v>
      </c>
      <c r="G1783" s="78"/>
      <c r="H1783" s="78">
        <v>1.6</v>
      </c>
      <c r="I1783" s="78"/>
      <c r="J1783" s="140">
        <v>43439</v>
      </c>
      <c r="K1783" s="13">
        <f t="shared" si="127"/>
        <v>409.92</v>
      </c>
      <c r="L1783" s="13"/>
      <c r="M1783" s="13"/>
      <c r="N1783" s="13">
        <f t="shared" ref="N1783:N1788" si="129">G1783*H1783*I1783*E1783</f>
        <v>0</v>
      </c>
      <c r="O1783" s="15">
        <f t="shared" si="128"/>
        <v>683.21366400000011</v>
      </c>
    </row>
    <row r="1784" spans="1:15" ht="18" hidden="1" customHeight="1">
      <c r="A1784" s="21" t="s">
        <v>1109</v>
      </c>
      <c r="B1784" s="28" t="s">
        <v>1107</v>
      </c>
      <c r="C1784" s="28" t="s">
        <v>1108</v>
      </c>
      <c r="D1784" s="28" t="s">
        <v>451</v>
      </c>
      <c r="E1784" s="28">
        <v>1.22</v>
      </c>
      <c r="F1784" s="28">
        <v>210</v>
      </c>
      <c r="G1784" s="28"/>
      <c r="H1784" s="28">
        <v>1.6</v>
      </c>
      <c r="I1784" s="28"/>
      <c r="J1784" s="133">
        <v>43439</v>
      </c>
      <c r="K1784" s="9">
        <f t="shared" si="127"/>
        <v>409.92</v>
      </c>
      <c r="L1784" s="9"/>
      <c r="M1784" s="9"/>
      <c r="N1784" s="9">
        <f t="shared" si="129"/>
        <v>0</v>
      </c>
      <c r="O1784" s="3">
        <f t="shared" si="128"/>
        <v>683.21366400000011</v>
      </c>
    </row>
    <row r="1785" spans="1:15" ht="18" hidden="1" customHeight="1">
      <c r="A1785" s="21" t="s">
        <v>1111</v>
      </c>
      <c r="B1785" s="28" t="s">
        <v>1107</v>
      </c>
      <c r="C1785" s="28" t="s">
        <v>1110</v>
      </c>
      <c r="D1785" s="28" t="s">
        <v>451</v>
      </c>
      <c r="E1785" s="28">
        <v>1.22</v>
      </c>
      <c r="F1785" s="28">
        <v>210</v>
      </c>
      <c r="G1785" s="28"/>
      <c r="H1785" s="28">
        <v>1.6</v>
      </c>
      <c r="I1785" s="28"/>
      <c r="J1785" s="133">
        <v>43439</v>
      </c>
      <c r="K1785" s="9">
        <f t="shared" si="127"/>
        <v>409.92</v>
      </c>
      <c r="L1785" s="9"/>
      <c r="M1785" s="9"/>
      <c r="N1785" s="9">
        <f t="shared" si="129"/>
        <v>0</v>
      </c>
      <c r="O1785" s="3">
        <f t="shared" si="128"/>
        <v>683.21366400000011</v>
      </c>
    </row>
    <row r="1786" spans="1:15" ht="18" hidden="1" customHeight="1">
      <c r="A1786" s="21" t="s">
        <v>1112</v>
      </c>
      <c r="B1786" s="28" t="s">
        <v>1107</v>
      </c>
      <c r="C1786" s="28" t="s">
        <v>1113</v>
      </c>
      <c r="D1786" s="28" t="s">
        <v>451</v>
      </c>
      <c r="E1786" s="28">
        <v>1.22</v>
      </c>
      <c r="F1786" s="28">
        <v>210</v>
      </c>
      <c r="G1786" s="28"/>
      <c r="H1786" s="28">
        <v>1.6</v>
      </c>
      <c r="I1786" s="28"/>
      <c r="J1786" s="133">
        <v>43439</v>
      </c>
      <c r="K1786" s="9" t="s">
        <v>727</v>
      </c>
      <c r="L1786" s="9"/>
      <c r="M1786" s="9"/>
      <c r="N1786" s="9">
        <f t="shared" si="129"/>
        <v>0</v>
      </c>
      <c r="O1786" s="3" t="e">
        <f t="shared" si="128"/>
        <v>#VALUE!</v>
      </c>
    </row>
    <row r="1787" spans="1:15" ht="18" customHeight="1">
      <c r="A1787" s="21" t="s">
        <v>3582</v>
      </c>
      <c r="B1787" s="28" t="s">
        <v>3583</v>
      </c>
      <c r="C1787" s="28" t="s">
        <v>15</v>
      </c>
      <c r="D1787" s="28" t="s">
        <v>3297</v>
      </c>
      <c r="E1787" s="28">
        <v>1.22</v>
      </c>
      <c r="F1787" s="28">
        <v>145.80000000000001</v>
      </c>
      <c r="G1787" s="28"/>
      <c r="H1787" s="28">
        <v>1.6</v>
      </c>
      <c r="I1787" s="28"/>
      <c r="J1787" s="134">
        <v>45485</v>
      </c>
      <c r="K1787" s="9">
        <f t="shared" ref="K1787:K1817" si="130">E1787*F1787*H1787</f>
        <v>284.60160000000002</v>
      </c>
      <c r="L1787" s="9"/>
      <c r="M1787" s="9"/>
      <c r="N1787" s="9">
        <f t="shared" si="129"/>
        <v>0</v>
      </c>
      <c r="O1787" s="3">
        <f t="shared" si="128"/>
        <v>474.34548672000005</v>
      </c>
    </row>
    <row r="1788" spans="1:15" ht="18" customHeight="1">
      <c r="A1788" s="24" t="s">
        <v>3572</v>
      </c>
      <c r="B1788" s="78" t="s">
        <v>814</v>
      </c>
      <c r="C1788" s="78" t="s">
        <v>3319</v>
      </c>
      <c r="D1788" s="85" t="s">
        <v>3297</v>
      </c>
      <c r="E1788" s="78">
        <v>1.22</v>
      </c>
      <c r="F1788" s="78">
        <v>59</v>
      </c>
      <c r="G1788" s="78"/>
      <c r="H1788" s="78">
        <v>2</v>
      </c>
      <c r="I1788" s="78"/>
      <c r="J1788" s="140">
        <v>45886</v>
      </c>
      <c r="K1788" s="13">
        <f t="shared" si="130"/>
        <v>143.96</v>
      </c>
      <c r="L1788" s="13"/>
      <c r="M1788" s="13"/>
      <c r="N1788" s="13">
        <f t="shared" si="129"/>
        <v>0</v>
      </c>
      <c r="O1788" s="15">
        <f t="shared" si="128"/>
        <v>239.93813200000002</v>
      </c>
    </row>
    <row r="1789" spans="1:15" ht="18" customHeight="1">
      <c r="A1789" s="24" t="s">
        <v>813</v>
      </c>
      <c r="B1789" s="78" t="s">
        <v>814</v>
      </c>
      <c r="C1789" s="78" t="s">
        <v>141</v>
      </c>
      <c r="D1789" s="28" t="s">
        <v>3297</v>
      </c>
      <c r="E1789" s="78">
        <v>1.22</v>
      </c>
      <c r="F1789" s="78">
        <v>64</v>
      </c>
      <c r="G1789" s="78"/>
      <c r="H1789" s="78">
        <v>2</v>
      </c>
      <c r="I1789" s="78"/>
      <c r="J1789" s="140">
        <v>45886</v>
      </c>
      <c r="K1789" s="13">
        <f t="shared" si="130"/>
        <v>156.16</v>
      </c>
      <c r="L1789" s="13"/>
      <c r="M1789" s="13"/>
      <c r="N1789" s="13"/>
      <c r="O1789" s="15"/>
    </row>
    <row r="1790" spans="1:15" ht="18" customHeight="1">
      <c r="A1790" s="24" t="s">
        <v>3318</v>
      </c>
      <c r="B1790" s="78" t="s">
        <v>814</v>
      </c>
      <c r="C1790" s="78" t="s">
        <v>539</v>
      </c>
      <c r="D1790" s="28" t="s">
        <v>3297</v>
      </c>
      <c r="E1790" s="78">
        <v>1.22</v>
      </c>
      <c r="F1790" s="78">
        <v>81</v>
      </c>
      <c r="G1790" s="78"/>
      <c r="H1790" s="78">
        <v>2</v>
      </c>
      <c r="I1790" s="78"/>
      <c r="J1790" s="140">
        <v>45485</v>
      </c>
      <c r="K1790" s="13">
        <f t="shared" si="130"/>
        <v>197.64</v>
      </c>
      <c r="L1790" s="13"/>
      <c r="M1790" s="13"/>
      <c r="N1790" s="13"/>
      <c r="O1790" s="15"/>
    </row>
    <row r="1791" spans="1:15" ht="18" customHeight="1">
      <c r="A1791" s="24" t="s">
        <v>815</v>
      </c>
      <c r="B1791" s="78" t="s">
        <v>1131</v>
      </c>
      <c r="C1791" s="78"/>
      <c r="D1791" s="28" t="s">
        <v>3297</v>
      </c>
      <c r="E1791" s="78">
        <v>1.22</v>
      </c>
      <c r="F1791" s="78">
        <v>29</v>
      </c>
      <c r="G1791" s="78"/>
      <c r="H1791" s="78">
        <v>2</v>
      </c>
      <c r="I1791" s="78"/>
      <c r="J1791" s="140">
        <v>45777</v>
      </c>
      <c r="K1791" s="13">
        <f t="shared" si="130"/>
        <v>70.760000000000005</v>
      </c>
      <c r="L1791" s="13"/>
      <c r="M1791" s="13"/>
      <c r="N1791" s="13">
        <f>G1791*H1791*I1791*E1791</f>
        <v>0</v>
      </c>
      <c r="O1791" s="15">
        <f>K1791*1.6667</f>
        <v>117.93569200000002</v>
      </c>
    </row>
    <row r="1792" spans="1:15" ht="18" customHeight="1">
      <c r="A1792" s="38"/>
      <c r="B1792" s="87" t="s">
        <v>3938</v>
      </c>
      <c r="C1792" s="110" t="s">
        <v>3939</v>
      </c>
      <c r="D1792" s="28" t="s">
        <v>3932</v>
      </c>
      <c r="E1792" s="28">
        <v>1.22</v>
      </c>
      <c r="F1792" s="87">
        <v>238</v>
      </c>
      <c r="G1792" s="110"/>
      <c r="H1792" s="87">
        <v>1.5</v>
      </c>
      <c r="I1792" s="110"/>
      <c r="J1792" s="140">
        <v>45635</v>
      </c>
      <c r="K1792" s="13">
        <f t="shared" si="130"/>
        <v>435.54</v>
      </c>
      <c r="L1792" s="64"/>
      <c r="M1792" s="41"/>
      <c r="N1792" s="38"/>
      <c r="O1792" s="38"/>
    </row>
    <row r="1793" spans="1:15" ht="18" customHeight="1">
      <c r="A1793" s="287">
        <v>14</v>
      </c>
      <c r="B1793" s="80" t="s">
        <v>1833</v>
      </c>
      <c r="C1793" s="80" t="s">
        <v>1834</v>
      </c>
      <c r="D1793" s="28" t="s">
        <v>14</v>
      </c>
      <c r="E1793" s="80">
        <v>1</v>
      </c>
      <c r="F1793" s="80">
        <v>212</v>
      </c>
      <c r="G1793" s="80"/>
      <c r="H1793" s="80">
        <v>1.6</v>
      </c>
      <c r="I1793" s="80"/>
      <c r="J1793" s="144">
        <v>44648</v>
      </c>
      <c r="K1793" s="9">
        <f t="shared" si="130"/>
        <v>339.20000000000005</v>
      </c>
      <c r="L1793" s="13"/>
      <c r="M1793" s="41"/>
      <c r="N1793" s="48"/>
      <c r="O1793" s="48"/>
    </row>
    <row r="1794" spans="1:15" ht="18" customHeight="1">
      <c r="A1794" s="24">
        <v>139</v>
      </c>
      <c r="B1794" s="28" t="s">
        <v>781</v>
      </c>
      <c r="C1794" s="28" t="s">
        <v>780</v>
      </c>
      <c r="D1794" s="28" t="s">
        <v>34</v>
      </c>
      <c r="E1794" s="28">
        <v>1</v>
      </c>
      <c r="F1794" s="28">
        <v>185</v>
      </c>
      <c r="G1794" s="28">
        <v>0</v>
      </c>
      <c r="H1794" s="28">
        <v>1.35</v>
      </c>
      <c r="I1794" s="28">
        <v>0</v>
      </c>
      <c r="J1794" s="140">
        <v>45943</v>
      </c>
      <c r="K1794" s="9">
        <f t="shared" si="130"/>
        <v>249.75000000000003</v>
      </c>
      <c r="L1794" s="13"/>
      <c r="M1794" s="13"/>
      <c r="N1794" s="13">
        <f>G1794*H1794*I1794*E1794</f>
        <v>0</v>
      </c>
      <c r="O1794" s="15">
        <f>K1794*1.6667</f>
        <v>416.25832500000007</v>
      </c>
    </row>
    <row r="1795" spans="1:15" ht="18" customHeight="1">
      <c r="A1795" s="38"/>
      <c r="B1795" s="87" t="s">
        <v>3236</v>
      </c>
      <c r="C1795" s="110">
        <v>20</v>
      </c>
      <c r="D1795" s="28" t="s">
        <v>451</v>
      </c>
      <c r="E1795" s="28">
        <v>1.22</v>
      </c>
      <c r="F1795" s="87">
        <v>46.72</v>
      </c>
      <c r="G1795" s="110"/>
      <c r="H1795" s="87">
        <v>1.7</v>
      </c>
      <c r="I1795" s="110"/>
      <c r="J1795" s="138">
        <v>45244</v>
      </c>
      <c r="K1795" s="9">
        <f t="shared" si="130"/>
        <v>96.897279999999995</v>
      </c>
      <c r="L1795" s="64"/>
      <c r="M1795" s="41"/>
      <c r="N1795" s="38"/>
      <c r="O1795" s="38"/>
    </row>
    <row r="1796" spans="1:15" ht="18" customHeight="1">
      <c r="A1796" s="38"/>
      <c r="B1796" s="101" t="s">
        <v>3236</v>
      </c>
      <c r="C1796" s="122">
        <v>25</v>
      </c>
      <c r="D1796" s="28" t="s">
        <v>451</v>
      </c>
      <c r="E1796" s="96">
        <v>1.22</v>
      </c>
      <c r="F1796" s="101">
        <v>68.849999999999994</v>
      </c>
      <c r="G1796" s="121"/>
      <c r="H1796" s="101">
        <v>1.7</v>
      </c>
      <c r="I1796" s="121"/>
      <c r="J1796" s="138">
        <v>45244</v>
      </c>
      <c r="K1796" s="12">
        <f t="shared" si="130"/>
        <v>142.79489999999998</v>
      </c>
      <c r="L1796" s="64"/>
      <c r="M1796" s="41"/>
      <c r="N1796" s="38"/>
      <c r="O1796" s="38"/>
    </row>
    <row r="1797" spans="1:15" s="45" customFormat="1" ht="18" customHeight="1">
      <c r="A1797" s="16"/>
      <c r="B1797" s="87" t="s">
        <v>3236</v>
      </c>
      <c r="C1797" s="110">
        <v>30</v>
      </c>
      <c r="D1797" s="28" t="s">
        <v>451</v>
      </c>
      <c r="E1797" s="28">
        <v>1.22</v>
      </c>
      <c r="F1797" s="87">
        <v>100</v>
      </c>
      <c r="G1797" s="110"/>
      <c r="H1797" s="87">
        <v>1.7</v>
      </c>
      <c r="I1797" s="110"/>
      <c r="J1797" s="138">
        <v>45244</v>
      </c>
      <c r="K1797" s="9">
        <f t="shared" si="130"/>
        <v>207.4</v>
      </c>
      <c r="L1797" s="37"/>
      <c r="M1797" s="17"/>
      <c r="N1797" s="16"/>
      <c r="O1797" s="16"/>
    </row>
    <row r="1798" spans="1:15" s="45" customFormat="1" ht="18" customHeight="1">
      <c r="A1798" s="16" t="s">
        <v>3109</v>
      </c>
      <c r="B1798" s="28" t="s">
        <v>2373</v>
      </c>
      <c r="C1798" s="28" t="s">
        <v>2374</v>
      </c>
      <c r="D1798" s="28" t="s">
        <v>451</v>
      </c>
      <c r="E1798" s="104">
        <v>1.22</v>
      </c>
      <c r="F1798" s="28">
        <v>25</v>
      </c>
      <c r="G1798" s="110"/>
      <c r="H1798" s="28">
        <v>1.2</v>
      </c>
      <c r="I1798" s="110"/>
      <c r="J1798" s="144">
        <v>45134</v>
      </c>
      <c r="K1798" s="13">
        <f t="shared" si="130"/>
        <v>36.6</v>
      </c>
      <c r="L1798" s="9"/>
      <c r="M1798" s="17"/>
      <c r="N1798" s="16"/>
      <c r="O1798" s="16"/>
    </row>
    <row r="1799" spans="1:15" s="45" customFormat="1" ht="18" customHeight="1">
      <c r="A1799" s="16" t="s">
        <v>3110</v>
      </c>
      <c r="B1799" s="28" t="s">
        <v>2373</v>
      </c>
      <c r="C1799" s="28" t="s">
        <v>2375</v>
      </c>
      <c r="D1799" s="28" t="s">
        <v>451</v>
      </c>
      <c r="E1799" s="94">
        <v>1.22</v>
      </c>
      <c r="F1799" s="28">
        <v>35</v>
      </c>
      <c r="G1799" s="110"/>
      <c r="H1799" s="28">
        <v>1.2</v>
      </c>
      <c r="I1799" s="110"/>
      <c r="J1799" s="144">
        <v>45134</v>
      </c>
      <c r="K1799" s="9">
        <f t="shared" si="130"/>
        <v>51.239999999999995</v>
      </c>
      <c r="L1799" s="9"/>
      <c r="M1799" s="17"/>
      <c r="N1799" s="16"/>
      <c r="O1799" s="16"/>
    </row>
    <row r="1800" spans="1:15" s="45" customFormat="1" ht="18" customHeight="1">
      <c r="A1800" s="16"/>
      <c r="B1800" s="28" t="s">
        <v>2373</v>
      </c>
      <c r="C1800" s="28" t="s">
        <v>2376</v>
      </c>
      <c r="D1800" s="28" t="s">
        <v>451</v>
      </c>
      <c r="E1800" s="94">
        <v>1.22</v>
      </c>
      <c r="F1800" s="28">
        <v>90</v>
      </c>
      <c r="G1800" s="110"/>
      <c r="H1800" s="28">
        <v>1.2</v>
      </c>
      <c r="I1800" s="110"/>
      <c r="J1800" s="144">
        <v>44537</v>
      </c>
      <c r="K1800" s="9">
        <f t="shared" si="130"/>
        <v>131.76</v>
      </c>
      <c r="L1800" s="9"/>
      <c r="M1800" s="17"/>
      <c r="N1800" s="16"/>
      <c r="O1800" s="16"/>
    </row>
    <row r="1801" spans="1:15" s="44" customFormat="1" ht="18" customHeight="1">
      <c r="A1801" s="21"/>
      <c r="B1801" s="28" t="s">
        <v>2625</v>
      </c>
      <c r="C1801" s="28" t="s">
        <v>2626</v>
      </c>
      <c r="D1801" s="28" t="s">
        <v>451</v>
      </c>
      <c r="E1801" s="28">
        <v>1.22</v>
      </c>
      <c r="F1801" s="28">
        <v>222</v>
      </c>
      <c r="G1801" s="28"/>
      <c r="H1801" s="28">
        <v>1.3</v>
      </c>
      <c r="I1801" s="28"/>
      <c r="J1801" s="140">
        <v>44749</v>
      </c>
      <c r="K1801" s="9">
        <f t="shared" si="130"/>
        <v>352.09199999999998</v>
      </c>
      <c r="L1801" s="9"/>
      <c r="M1801" s="9"/>
      <c r="N1801" s="9">
        <f t="shared" ref="N1801:N1817" si="131">G1801*H1801*I1801*E1801</f>
        <v>0</v>
      </c>
      <c r="O1801" s="3">
        <f>K1801*1.6667</f>
        <v>586.83173639999995</v>
      </c>
    </row>
    <row r="1802" spans="1:15" s="44" customFormat="1" ht="18" customHeight="1">
      <c r="A1802" s="32"/>
      <c r="B1802" s="93" t="s">
        <v>2625</v>
      </c>
      <c r="C1802" s="93" t="s">
        <v>2627</v>
      </c>
      <c r="D1802" s="93" t="s">
        <v>451</v>
      </c>
      <c r="E1802" s="93">
        <v>1.22</v>
      </c>
      <c r="F1802" s="93">
        <v>318</v>
      </c>
      <c r="G1802" s="93"/>
      <c r="H1802" s="93">
        <v>1.3</v>
      </c>
      <c r="I1802" s="93"/>
      <c r="J1802" s="140">
        <v>44749</v>
      </c>
      <c r="K1802" s="33">
        <f t="shared" si="130"/>
        <v>504.34800000000001</v>
      </c>
      <c r="L1802" s="33"/>
      <c r="M1802" s="33"/>
      <c r="N1802" s="9">
        <f t="shared" si="131"/>
        <v>0</v>
      </c>
      <c r="O1802" s="3">
        <f>K1802*1.6667</f>
        <v>840.59681160000002</v>
      </c>
    </row>
    <row r="1803" spans="1:15" s="44" customFormat="1" ht="18" customHeight="1">
      <c r="A1803" s="21"/>
      <c r="B1803" s="28" t="s">
        <v>2349</v>
      </c>
      <c r="C1803" s="28" t="s">
        <v>15</v>
      </c>
      <c r="D1803" s="28" t="s">
        <v>451</v>
      </c>
      <c r="E1803" s="28">
        <v>1.22</v>
      </c>
      <c r="F1803" s="28">
        <v>82</v>
      </c>
      <c r="G1803" s="28"/>
      <c r="H1803" s="28">
        <v>1.6</v>
      </c>
      <c r="I1803" s="28"/>
      <c r="J1803" s="133">
        <v>44517</v>
      </c>
      <c r="K1803" s="9">
        <f t="shared" si="130"/>
        <v>160.06399999999999</v>
      </c>
      <c r="L1803" s="9"/>
      <c r="M1803" s="9"/>
      <c r="N1803" s="59">
        <f t="shared" si="131"/>
        <v>0</v>
      </c>
      <c r="O1803" s="3"/>
    </row>
    <row r="1804" spans="1:15" s="44" customFormat="1" ht="18" customHeight="1">
      <c r="A1804" s="20"/>
      <c r="B1804" s="85" t="s">
        <v>1149</v>
      </c>
      <c r="C1804" s="85">
        <v>12</v>
      </c>
      <c r="D1804" s="85" t="s">
        <v>451</v>
      </c>
      <c r="E1804" s="85">
        <v>1.22</v>
      </c>
      <c r="F1804" s="85">
        <v>14</v>
      </c>
      <c r="G1804" s="85"/>
      <c r="H1804" s="85">
        <v>1.6</v>
      </c>
      <c r="I1804" s="85"/>
      <c r="J1804" s="131">
        <v>45961</v>
      </c>
      <c r="K1804" s="10">
        <f t="shared" si="130"/>
        <v>27.327999999999999</v>
      </c>
      <c r="L1804" s="10"/>
      <c r="M1804" s="10"/>
      <c r="N1804" s="9">
        <f t="shared" si="131"/>
        <v>0</v>
      </c>
      <c r="O1804" s="3">
        <f t="shared" ref="O1804:O1817" si="132">K1804*1.6667</f>
        <v>45.547577600000004</v>
      </c>
    </row>
    <row r="1805" spans="1:15" s="44" customFormat="1" ht="18" customHeight="1">
      <c r="A1805" s="21"/>
      <c r="B1805" s="28" t="s">
        <v>1018</v>
      </c>
      <c r="C1805" s="28">
        <v>14</v>
      </c>
      <c r="D1805" s="28" t="s">
        <v>451</v>
      </c>
      <c r="E1805" s="28">
        <v>1.22</v>
      </c>
      <c r="F1805" s="28">
        <v>15</v>
      </c>
      <c r="G1805" s="28"/>
      <c r="H1805" s="28">
        <v>1.6</v>
      </c>
      <c r="I1805" s="28"/>
      <c r="J1805" s="133">
        <v>45961</v>
      </c>
      <c r="K1805" s="9">
        <f t="shared" si="130"/>
        <v>29.28</v>
      </c>
      <c r="L1805" s="9"/>
      <c r="M1805" s="9"/>
      <c r="N1805" s="9">
        <f t="shared" si="131"/>
        <v>0</v>
      </c>
      <c r="O1805" s="3">
        <f t="shared" si="132"/>
        <v>48.800976000000006</v>
      </c>
    </row>
    <row r="1806" spans="1:15" s="44" customFormat="1" ht="18" customHeight="1">
      <c r="A1806" s="21"/>
      <c r="B1806" s="28" t="s">
        <v>456</v>
      </c>
      <c r="C1806" s="28">
        <v>16</v>
      </c>
      <c r="D1806" s="28" t="s">
        <v>451</v>
      </c>
      <c r="E1806" s="28">
        <v>1.22</v>
      </c>
      <c r="F1806" s="28">
        <v>17</v>
      </c>
      <c r="G1806" s="28"/>
      <c r="H1806" s="28">
        <v>1.6</v>
      </c>
      <c r="I1806" s="28"/>
      <c r="J1806" s="133">
        <v>45961</v>
      </c>
      <c r="K1806" s="13">
        <f t="shared" si="130"/>
        <v>33.183999999999997</v>
      </c>
      <c r="L1806" s="9"/>
      <c r="M1806" s="9"/>
      <c r="N1806" s="9">
        <f t="shared" si="131"/>
        <v>0</v>
      </c>
      <c r="O1806" s="3">
        <f t="shared" si="132"/>
        <v>55.307772799999995</v>
      </c>
    </row>
    <row r="1807" spans="1:15" s="44" customFormat="1" ht="18" customHeight="1">
      <c r="A1807" s="21"/>
      <c r="B1807" s="28" t="s">
        <v>457</v>
      </c>
      <c r="C1807" s="28">
        <v>18</v>
      </c>
      <c r="D1807" s="28" t="s">
        <v>451</v>
      </c>
      <c r="E1807" s="28">
        <v>1.22</v>
      </c>
      <c r="F1807" s="28">
        <v>22</v>
      </c>
      <c r="G1807" s="28"/>
      <c r="H1807" s="28">
        <v>1.8</v>
      </c>
      <c r="I1807" s="28"/>
      <c r="J1807" s="133">
        <v>45961</v>
      </c>
      <c r="K1807" s="9">
        <f t="shared" si="130"/>
        <v>48.311999999999998</v>
      </c>
      <c r="L1807" s="9"/>
      <c r="M1807" s="9"/>
      <c r="N1807" s="9">
        <f t="shared" si="131"/>
        <v>0</v>
      </c>
      <c r="O1807" s="3">
        <f t="shared" si="132"/>
        <v>80.5216104</v>
      </c>
    </row>
    <row r="1808" spans="1:15" s="44" customFormat="1" ht="18" customHeight="1">
      <c r="A1808" s="21"/>
      <c r="B1808" s="28" t="s">
        <v>458</v>
      </c>
      <c r="C1808" s="28">
        <v>20</v>
      </c>
      <c r="D1808" s="28" t="s">
        <v>451</v>
      </c>
      <c r="E1808" s="28">
        <v>1.22</v>
      </c>
      <c r="F1808" s="28">
        <v>29</v>
      </c>
      <c r="G1808" s="28"/>
      <c r="H1808" s="28">
        <v>1.6</v>
      </c>
      <c r="I1808" s="28"/>
      <c r="J1808" s="133">
        <v>45961</v>
      </c>
      <c r="K1808" s="13">
        <f t="shared" si="130"/>
        <v>56.608000000000004</v>
      </c>
      <c r="L1808" s="9"/>
      <c r="M1808" s="9"/>
      <c r="N1808" s="9">
        <f t="shared" si="131"/>
        <v>0</v>
      </c>
      <c r="O1808" s="3">
        <f t="shared" si="132"/>
        <v>94.348553600000017</v>
      </c>
    </row>
    <row r="1809" spans="1:15" s="44" customFormat="1" ht="18" customHeight="1">
      <c r="A1809" s="21"/>
      <c r="B1809" s="28" t="s">
        <v>459</v>
      </c>
      <c r="C1809" s="28">
        <v>22</v>
      </c>
      <c r="D1809" s="28" t="s">
        <v>451</v>
      </c>
      <c r="E1809" s="28">
        <v>1.22</v>
      </c>
      <c r="F1809" s="28">
        <v>34</v>
      </c>
      <c r="G1809" s="28"/>
      <c r="H1809" s="28">
        <v>1.6</v>
      </c>
      <c r="I1809" s="28"/>
      <c r="J1809" s="133">
        <v>45961</v>
      </c>
      <c r="K1809" s="13">
        <f t="shared" si="130"/>
        <v>66.367999999999995</v>
      </c>
      <c r="L1809" s="9"/>
      <c r="M1809" s="9"/>
      <c r="N1809" s="9">
        <f t="shared" si="131"/>
        <v>0</v>
      </c>
      <c r="O1809" s="3">
        <f t="shared" si="132"/>
        <v>110.61554559999999</v>
      </c>
    </row>
    <row r="1810" spans="1:15" s="44" customFormat="1" ht="18" customHeight="1">
      <c r="A1810" s="21"/>
      <c r="B1810" s="28" t="s">
        <v>1019</v>
      </c>
      <c r="C1810" s="28">
        <v>24</v>
      </c>
      <c r="D1810" s="28" t="s">
        <v>451</v>
      </c>
      <c r="E1810" s="28">
        <v>1.22</v>
      </c>
      <c r="F1810" s="28">
        <v>50</v>
      </c>
      <c r="G1810" s="28"/>
      <c r="H1810" s="28">
        <v>1.6</v>
      </c>
      <c r="I1810" s="28"/>
      <c r="J1810" s="133">
        <v>45961</v>
      </c>
      <c r="K1810" s="9">
        <f t="shared" si="130"/>
        <v>97.600000000000009</v>
      </c>
      <c r="L1810" s="9"/>
      <c r="M1810" s="9"/>
      <c r="N1810" s="9">
        <f t="shared" si="131"/>
        <v>0</v>
      </c>
      <c r="O1810" s="3">
        <f t="shared" si="132"/>
        <v>162.66992000000002</v>
      </c>
    </row>
    <row r="1811" spans="1:15" s="44" customFormat="1" ht="18" customHeight="1">
      <c r="A1811" s="21"/>
      <c r="B1811" s="28" t="s">
        <v>460</v>
      </c>
      <c r="C1811" s="28">
        <v>26</v>
      </c>
      <c r="D1811" s="28" t="s">
        <v>451</v>
      </c>
      <c r="E1811" s="28">
        <v>1.22</v>
      </c>
      <c r="F1811" s="28">
        <v>62</v>
      </c>
      <c r="G1811" s="28"/>
      <c r="H1811" s="28">
        <v>1.6</v>
      </c>
      <c r="I1811" s="28"/>
      <c r="J1811" s="133">
        <v>45961</v>
      </c>
      <c r="K1811" s="9">
        <f t="shared" si="130"/>
        <v>121.024</v>
      </c>
      <c r="L1811" s="9"/>
      <c r="M1811" s="9"/>
      <c r="N1811" s="9">
        <f t="shared" si="131"/>
        <v>0</v>
      </c>
      <c r="O1811" s="3">
        <f t="shared" si="132"/>
        <v>201.71070080000001</v>
      </c>
    </row>
    <row r="1812" spans="1:15" s="44" customFormat="1" ht="18" customHeight="1">
      <c r="A1812" s="21"/>
      <c r="B1812" s="28" t="s">
        <v>461</v>
      </c>
      <c r="C1812" s="28">
        <v>28</v>
      </c>
      <c r="D1812" s="28" t="s">
        <v>451</v>
      </c>
      <c r="E1812" s="28">
        <v>1.22</v>
      </c>
      <c r="F1812" s="28">
        <v>70</v>
      </c>
      <c r="G1812" s="28"/>
      <c r="H1812" s="28">
        <v>1.6</v>
      </c>
      <c r="I1812" s="28"/>
      <c r="J1812" s="133">
        <v>45961</v>
      </c>
      <c r="K1812" s="9">
        <f t="shared" si="130"/>
        <v>136.63999999999999</v>
      </c>
      <c r="L1812" s="9"/>
      <c r="M1812" s="9"/>
      <c r="N1812" s="9">
        <f t="shared" si="131"/>
        <v>0</v>
      </c>
      <c r="O1812" s="3">
        <f t="shared" si="132"/>
        <v>227.737888</v>
      </c>
    </row>
    <row r="1813" spans="1:15" s="44" customFormat="1" ht="18" customHeight="1">
      <c r="A1813" s="21"/>
      <c r="B1813" s="28" t="s">
        <v>1818</v>
      </c>
      <c r="C1813" s="28">
        <v>30</v>
      </c>
      <c r="D1813" s="28" t="s">
        <v>451</v>
      </c>
      <c r="E1813" s="28">
        <v>1.22</v>
      </c>
      <c r="F1813" s="28">
        <v>71</v>
      </c>
      <c r="G1813" s="28"/>
      <c r="H1813" s="28">
        <v>1.6</v>
      </c>
      <c r="I1813" s="28"/>
      <c r="J1813" s="133">
        <v>45961</v>
      </c>
      <c r="K1813" s="13">
        <f t="shared" si="130"/>
        <v>138.59200000000001</v>
      </c>
      <c r="L1813" s="9"/>
      <c r="M1813" s="9"/>
      <c r="N1813" s="9">
        <f t="shared" si="131"/>
        <v>0</v>
      </c>
      <c r="O1813" s="3">
        <f t="shared" si="132"/>
        <v>230.99128640000004</v>
      </c>
    </row>
    <row r="1814" spans="1:15" s="44" customFormat="1" ht="18" customHeight="1">
      <c r="A1814" s="21"/>
      <c r="B1814" s="28" t="s">
        <v>462</v>
      </c>
      <c r="C1814" s="28">
        <v>32</v>
      </c>
      <c r="D1814" s="28" t="s">
        <v>451</v>
      </c>
      <c r="E1814" s="28">
        <v>1.22</v>
      </c>
      <c r="F1814" s="28">
        <v>72</v>
      </c>
      <c r="G1814" s="28"/>
      <c r="H1814" s="28">
        <v>1.6</v>
      </c>
      <c r="I1814" s="28"/>
      <c r="J1814" s="133">
        <v>45961</v>
      </c>
      <c r="K1814" s="13">
        <f t="shared" si="130"/>
        <v>140.54400000000001</v>
      </c>
      <c r="L1814" s="9"/>
      <c r="M1814" s="9"/>
      <c r="N1814" s="9">
        <f t="shared" si="131"/>
        <v>0</v>
      </c>
      <c r="O1814" s="3">
        <f t="shared" si="132"/>
        <v>234.24468480000002</v>
      </c>
    </row>
    <row r="1815" spans="1:15" s="44" customFormat="1" ht="18" customHeight="1">
      <c r="A1815" s="21"/>
      <c r="B1815" s="28" t="s">
        <v>2096</v>
      </c>
      <c r="C1815" s="28">
        <v>36</v>
      </c>
      <c r="D1815" s="28" t="s">
        <v>451</v>
      </c>
      <c r="E1815" s="28">
        <v>1.22</v>
      </c>
      <c r="F1815" s="28">
        <v>104</v>
      </c>
      <c r="G1815" s="28"/>
      <c r="H1815" s="28">
        <v>1.6</v>
      </c>
      <c r="I1815" s="28"/>
      <c r="J1815" s="133">
        <v>45961</v>
      </c>
      <c r="K1815" s="9">
        <f t="shared" si="130"/>
        <v>203.00800000000001</v>
      </c>
      <c r="L1815" s="9"/>
      <c r="M1815" s="9"/>
      <c r="N1815" s="9">
        <f t="shared" si="131"/>
        <v>0</v>
      </c>
      <c r="O1815" s="3">
        <f t="shared" si="132"/>
        <v>338.35343360000002</v>
      </c>
    </row>
    <row r="1816" spans="1:15" s="44" customFormat="1" ht="18" customHeight="1">
      <c r="A1816" s="21"/>
      <c r="B1816" s="28" t="s">
        <v>463</v>
      </c>
      <c r="C1816" s="28">
        <v>40</v>
      </c>
      <c r="D1816" s="28" t="s">
        <v>451</v>
      </c>
      <c r="E1816" s="28">
        <v>1.22</v>
      </c>
      <c r="F1816" s="28">
        <v>144</v>
      </c>
      <c r="G1816" s="28"/>
      <c r="H1816" s="28">
        <v>1.6</v>
      </c>
      <c r="I1816" s="28"/>
      <c r="J1816" s="133">
        <v>45961</v>
      </c>
      <c r="K1816" s="9">
        <f t="shared" si="130"/>
        <v>281.08800000000002</v>
      </c>
      <c r="L1816" s="9"/>
      <c r="M1816" s="9"/>
      <c r="N1816" s="9">
        <f t="shared" si="131"/>
        <v>0</v>
      </c>
      <c r="O1816" s="3">
        <f t="shared" si="132"/>
        <v>468.48936960000003</v>
      </c>
    </row>
    <row r="1817" spans="1:15" s="44" customFormat="1" ht="18" customHeight="1">
      <c r="A1817" s="21"/>
      <c r="B1817" s="28" t="s">
        <v>1819</v>
      </c>
      <c r="C1817" s="28">
        <v>42</v>
      </c>
      <c r="D1817" s="28" t="s">
        <v>451</v>
      </c>
      <c r="E1817" s="28">
        <v>1.22</v>
      </c>
      <c r="F1817" s="28">
        <v>172</v>
      </c>
      <c r="G1817" s="28"/>
      <c r="H1817" s="28">
        <v>1.6</v>
      </c>
      <c r="I1817" s="28"/>
      <c r="J1817" s="133">
        <v>45961</v>
      </c>
      <c r="K1817" s="9">
        <f t="shared" si="130"/>
        <v>335.74400000000003</v>
      </c>
      <c r="L1817" s="9"/>
      <c r="M1817" s="9"/>
      <c r="N1817" s="9">
        <f t="shared" si="131"/>
        <v>0</v>
      </c>
      <c r="O1817" s="3">
        <f t="shared" si="132"/>
        <v>559.58452480000005</v>
      </c>
    </row>
    <row r="1818" spans="1:15" s="44" customFormat="1" ht="18" customHeight="1">
      <c r="A1818" s="16"/>
      <c r="B1818" s="28" t="s">
        <v>3452</v>
      </c>
      <c r="C1818" s="28" t="s">
        <v>4191</v>
      </c>
      <c r="D1818" s="28" t="s">
        <v>4294</v>
      </c>
      <c r="E1818" s="28">
        <v>1.22</v>
      </c>
      <c r="F1818" s="87">
        <v>10</v>
      </c>
      <c r="G1818" s="110"/>
      <c r="H1818" s="87">
        <v>1.6</v>
      </c>
      <c r="I1818" s="110"/>
      <c r="J1818" s="135">
        <v>45772</v>
      </c>
      <c r="K1818" s="64">
        <f t="shared" ref="K1818:K1828" si="133">+E1818*F1818*H1818</f>
        <v>19.52</v>
      </c>
      <c r="L1818" s="37"/>
      <c r="M1818" s="17"/>
      <c r="N1818" s="16"/>
      <c r="O1818" s="16"/>
    </row>
    <row r="1819" spans="1:15" s="44" customFormat="1" ht="18" customHeight="1">
      <c r="A1819" s="21"/>
      <c r="B1819" s="28" t="s">
        <v>3452</v>
      </c>
      <c r="C1819" s="28" t="s">
        <v>4192</v>
      </c>
      <c r="D1819" s="28" t="s">
        <v>4294</v>
      </c>
      <c r="E1819" s="28">
        <v>1.22</v>
      </c>
      <c r="F1819" s="28">
        <v>12</v>
      </c>
      <c r="G1819" s="28"/>
      <c r="H1819" s="87">
        <v>1.6</v>
      </c>
      <c r="I1819" s="28"/>
      <c r="J1819" s="135">
        <v>45772</v>
      </c>
      <c r="K1819" s="37">
        <f t="shared" si="133"/>
        <v>23.424000000000003</v>
      </c>
      <c r="L1819" s="9"/>
      <c r="M1819" s="9"/>
      <c r="N1819" s="9">
        <f>G1819*H1819*I1819*E1819</f>
        <v>0</v>
      </c>
      <c r="O1819" s="3">
        <f>K1819*1.6667</f>
        <v>39.040780800000007</v>
      </c>
    </row>
    <row r="1820" spans="1:15" s="44" customFormat="1" ht="18" customHeight="1">
      <c r="A1820" s="21"/>
      <c r="B1820" s="28" t="s">
        <v>3452</v>
      </c>
      <c r="C1820" s="28" t="s">
        <v>4193</v>
      </c>
      <c r="D1820" s="28" t="s">
        <v>4294</v>
      </c>
      <c r="E1820" s="28">
        <v>1.22</v>
      </c>
      <c r="F1820" s="28">
        <v>20</v>
      </c>
      <c r="G1820" s="28"/>
      <c r="H1820" s="87">
        <v>1.6</v>
      </c>
      <c r="I1820" s="28"/>
      <c r="J1820" s="135">
        <v>45772</v>
      </c>
      <c r="K1820" s="37">
        <f t="shared" si="133"/>
        <v>39.04</v>
      </c>
      <c r="L1820" s="9"/>
      <c r="M1820" s="9"/>
      <c r="N1820" s="9">
        <f>G1820*H1820*I1820*E1820</f>
        <v>0</v>
      </c>
      <c r="O1820" s="3">
        <f>K1820*1.6667</f>
        <v>65.067968000000008</v>
      </c>
    </row>
    <row r="1821" spans="1:15" s="44" customFormat="1" ht="18" customHeight="1">
      <c r="A1821" s="16"/>
      <c r="B1821" s="28" t="s">
        <v>3452</v>
      </c>
      <c r="C1821" s="28" t="s">
        <v>2141</v>
      </c>
      <c r="D1821" s="28" t="s">
        <v>4294</v>
      </c>
      <c r="E1821" s="28">
        <v>1.22</v>
      </c>
      <c r="F1821" s="28">
        <v>30</v>
      </c>
      <c r="G1821" s="110"/>
      <c r="H1821" s="87">
        <v>1.6</v>
      </c>
      <c r="I1821" s="110"/>
      <c r="J1821" s="135">
        <v>45772</v>
      </c>
      <c r="K1821" s="37">
        <f t="shared" si="133"/>
        <v>58.56</v>
      </c>
      <c r="L1821" s="37"/>
      <c r="M1821" s="17"/>
      <c r="N1821" s="16"/>
      <c r="O1821" s="16"/>
    </row>
    <row r="1822" spans="1:15" s="44" customFormat="1" ht="18" customHeight="1">
      <c r="A1822" s="42"/>
      <c r="B1822" s="93" t="s">
        <v>3452</v>
      </c>
      <c r="C1822" s="93" t="s">
        <v>4194</v>
      </c>
      <c r="D1822" s="93" t="s">
        <v>4294</v>
      </c>
      <c r="E1822" s="93">
        <v>1.22</v>
      </c>
      <c r="F1822" s="93">
        <v>38</v>
      </c>
      <c r="G1822" s="123"/>
      <c r="H1822" s="160">
        <v>1.6</v>
      </c>
      <c r="I1822" s="123"/>
      <c r="J1822" s="150">
        <v>45772</v>
      </c>
      <c r="K1822" s="161">
        <f t="shared" si="133"/>
        <v>74.176000000000002</v>
      </c>
      <c r="L1822" s="161"/>
      <c r="M1822" s="51"/>
      <c r="N1822" s="42"/>
      <c r="O1822" s="42"/>
    </row>
    <row r="1823" spans="1:15" s="44" customFormat="1" ht="18" customHeight="1">
      <c r="A1823" s="16"/>
      <c r="B1823" s="28" t="s">
        <v>3452</v>
      </c>
      <c r="C1823" s="28" t="s">
        <v>3851</v>
      </c>
      <c r="D1823" s="28" t="s">
        <v>4294</v>
      </c>
      <c r="E1823" s="28">
        <v>1.22</v>
      </c>
      <c r="F1823" s="28">
        <v>50</v>
      </c>
      <c r="G1823" s="110"/>
      <c r="H1823" s="87">
        <v>1.6</v>
      </c>
      <c r="I1823" s="110"/>
      <c r="J1823" s="135">
        <v>45772</v>
      </c>
      <c r="K1823" s="37">
        <f t="shared" si="133"/>
        <v>97.600000000000009</v>
      </c>
      <c r="L1823" s="37"/>
      <c r="M1823" s="17"/>
      <c r="N1823" s="16"/>
      <c r="O1823" s="16"/>
    </row>
    <row r="1824" spans="1:15" s="44" customFormat="1" ht="18" customHeight="1">
      <c r="A1824" s="156"/>
      <c r="B1824" s="85" t="s">
        <v>3452</v>
      </c>
      <c r="C1824" s="295" t="s">
        <v>4195</v>
      </c>
      <c r="D1824" s="85" t="s">
        <v>4294</v>
      </c>
      <c r="E1824" s="85">
        <v>1.22</v>
      </c>
      <c r="F1824" s="85">
        <v>56</v>
      </c>
      <c r="G1824" s="120"/>
      <c r="H1824" s="162">
        <v>1.6</v>
      </c>
      <c r="I1824" s="120"/>
      <c r="J1824" s="138">
        <v>45772</v>
      </c>
      <c r="K1824" s="37">
        <f t="shared" si="133"/>
        <v>109.312</v>
      </c>
      <c r="L1824" s="63"/>
      <c r="M1824" s="56"/>
      <c r="N1824" s="156"/>
      <c r="O1824" s="156"/>
    </row>
    <row r="1825" spans="1:15" s="44" customFormat="1" ht="18" customHeight="1">
      <c r="A1825" s="16"/>
      <c r="B1825" s="96" t="s">
        <v>3452</v>
      </c>
      <c r="C1825" s="148" t="s">
        <v>2067</v>
      </c>
      <c r="D1825" s="28" t="s">
        <v>4294</v>
      </c>
      <c r="E1825" s="28">
        <v>1.22</v>
      </c>
      <c r="F1825" s="28">
        <v>70</v>
      </c>
      <c r="G1825" s="110"/>
      <c r="H1825" s="87">
        <v>1.6</v>
      </c>
      <c r="I1825" s="110"/>
      <c r="J1825" s="138">
        <v>45772</v>
      </c>
      <c r="K1825" s="37">
        <f t="shared" si="133"/>
        <v>136.63999999999999</v>
      </c>
      <c r="L1825" s="37"/>
      <c r="M1825" s="17"/>
      <c r="N1825" s="16"/>
      <c r="O1825" s="16"/>
    </row>
    <row r="1826" spans="1:15" s="44" customFormat="1" ht="18" customHeight="1">
      <c r="A1826" s="16"/>
      <c r="B1826" s="28" t="s">
        <v>3452</v>
      </c>
      <c r="C1826" s="148" t="s">
        <v>4196</v>
      </c>
      <c r="D1826" s="28" t="s">
        <v>4294</v>
      </c>
      <c r="E1826" s="28">
        <v>1.22</v>
      </c>
      <c r="F1826" s="28">
        <v>78</v>
      </c>
      <c r="G1826" s="110"/>
      <c r="H1826" s="87">
        <v>1.6</v>
      </c>
      <c r="I1826" s="110"/>
      <c r="J1826" s="138">
        <v>45772</v>
      </c>
      <c r="K1826" s="37">
        <f t="shared" si="133"/>
        <v>152.256</v>
      </c>
      <c r="L1826" s="37"/>
      <c r="M1826" s="17"/>
      <c r="N1826" s="16"/>
      <c r="O1826" s="16"/>
    </row>
    <row r="1827" spans="1:15" s="44" customFormat="1" ht="18" customHeight="1">
      <c r="A1827" s="16"/>
      <c r="B1827" s="28" t="s">
        <v>3452</v>
      </c>
      <c r="C1827" s="148" t="s">
        <v>4197</v>
      </c>
      <c r="D1827" s="28" t="s">
        <v>4294</v>
      </c>
      <c r="E1827" s="28">
        <v>1.22</v>
      </c>
      <c r="F1827" s="28">
        <v>80</v>
      </c>
      <c r="G1827" s="110"/>
      <c r="H1827" s="87">
        <v>1.6</v>
      </c>
      <c r="I1827" s="110"/>
      <c r="J1827" s="138">
        <v>45772</v>
      </c>
      <c r="K1827" s="37">
        <f t="shared" si="133"/>
        <v>156.16</v>
      </c>
      <c r="L1827" s="37"/>
      <c r="M1827" s="17"/>
      <c r="N1827" s="16"/>
      <c r="O1827" s="16"/>
    </row>
    <row r="1828" spans="1:15" s="44" customFormat="1" ht="18" customHeight="1">
      <c r="A1828" s="16"/>
      <c r="B1828" s="28" t="s">
        <v>3452</v>
      </c>
      <c r="C1828" s="148" t="s">
        <v>4198</v>
      </c>
      <c r="D1828" s="28" t="s">
        <v>4294</v>
      </c>
      <c r="E1828" s="28">
        <v>1.22</v>
      </c>
      <c r="F1828" s="28">
        <v>110</v>
      </c>
      <c r="G1828" s="110"/>
      <c r="H1828" s="87">
        <v>1.6</v>
      </c>
      <c r="I1828" s="110"/>
      <c r="J1828" s="138">
        <v>45772</v>
      </c>
      <c r="K1828" s="37">
        <f t="shared" si="133"/>
        <v>214.72</v>
      </c>
      <c r="L1828" s="37"/>
      <c r="M1828" s="17"/>
      <c r="N1828" s="16"/>
      <c r="O1828" s="16"/>
    </row>
    <row r="1829" spans="1:15" s="44" customFormat="1" ht="18" customHeight="1">
      <c r="A1829" s="21"/>
      <c r="B1829" s="28" t="s">
        <v>3091</v>
      </c>
      <c r="C1829" s="28">
        <v>30</v>
      </c>
      <c r="D1829" s="28" t="s">
        <v>451</v>
      </c>
      <c r="E1829" s="28">
        <v>1.22</v>
      </c>
      <c r="F1829" s="28">
        <v>122</v>
      </c>
      <c r="G1829" s="28"/>
      <c r="H1829" s="28">
        <v>1.6</v>
      </c>
      <c r="I1829" s="28"/>
      <c r="J1829" s="140">
        <v>45122</v>
      </c>
      <c r="K1829" s="9">
        <f t="shared" ref="K1829:K1860" si="134">E1829*F1829*H1829</f>
        <v>238.14400000000001</v>
      </c>
      <c r="L1829" s="9"/>
      <c r="M1829" s="9"/>
      <c r="N1829" s="9">
        <f t="shared" ref="N1829:N1841" si="135">G1829*H1829*I1829*E1829</f>
        <v>0</v>
      </c>
      <c r="O1829" s="3">
        <f t="shared" ref="O1829:O1841" si="136">K1829*1.6667</f>
        <v>396.91460480000001</v>
      </c>
    </row>
    <row r="1830" spans="1:15" s="44" customFormat="1" ht="18" customHeight="1">
      <c r="A1830" s="21"/>
      <c r="B1830" s="28" t="s">
        <v>3090</v>
      </c>
      <c r="C1830" s="28">
        <v>25</v>
      </c>
      <c r="D1830" s="28" t="s">
        <v>451</v>
      </c>
      <c r="E1830" s="28">
        <v>1.22</v>
      </c>
      <c r="F1830" s="28">
        <v>84</v>
      </c>
      <c r="G1830" s="28"/>
      <c r="H1830" s="28">
        <v>1.6</v>
      </c>
      <c r="I1830" s="28"/>
      <c r="J1830" s="140">
        <v>45122</v>
      </c>
      <c r="K1830" s="9">
        <f t="shared" si="134"/>
        <v>163.96800000000002</v>
      </c>
      <c r="L1830" s="9"/>
      <c r="M1830" s="9"/>
      <c r="N1830" s="9">
        <f t="shared" si="135"/>
        <v>0</v>
      </c>
      <c r="O1830" s="3">
        <f t="shared" si="136"/>
        <v>273.28546560000007</v>
      </c>
    </row>
    <row r="1831" spans="1:15" s="44" customFormat="1" ht="18" customHeight="1">
      <c r="A1831" s="21"/>
      <c r="B1831" s="28" t="s">
        <v>3089</v>
      </c>
      <c r="C1831" s="28">
        <v>20</v>
      </c>
      <c r="D1831" s="28" t="s">
        <v>451</v>
      </c>
      <c r="E1831" s="28">
        <v>1.22</v>
      </c>
      <c r="F1831" s="28">
        <v>52</v>
      </c>
      <c r="G1831" s="28"/>
      <c r="H1831" s="28">
        <v>1.6</v>
      </c>
      <c r="I1831" s="28"/>
      <c r="J1831" s="133">
        <v>45122</v>
      </c>
      <c r="K1831" s="9">
        <f t="shared" si="134"/>
        <v>101.504</v>
      </c>
      <c r="L1831" s="9"/>
      <c r="M1831" s="9"/>
      <c r="N1831" s="9">
        <f t="shared" si="135"/>
        <v>0</v>
      </c>
      <c r="O1831" s="3">
        <f t="shared" si="136"/>
        <v>169.17671680000001</v>
      </c>
    </row>
    <row r="1832" spans="1:15" ht="18" customHeight="1">
      <c r="A1832" s="24"/>
      <c r="B1832" s="78" t="s">
        <v>1528</v>
      </c>
      <c r="C1832" s="78">
        <v>22</v>
      </c>
      <c r="D1832" s="28" t="s">
        <v>451</v>
      </c>
      <c r="E1832" s="78">
        <v>1.22</v>
      </c>
      <c r="F1832" s="78">
        <v>25</v>
      </c>
      <c r="G1832" s="78"/>
      <c r="H1832" s="78">
        <v>1.6</v>
      </c>
      <c r="I1832" s="78"/>
      <c r="J1832" s="140">
        <v>43893</v>
      </c>
      <c r="K1832" s="9">
        <f t="shared" si="134"/>
        <v>48.800000000000004</v>
      </c>
      <c r="L1832" s="13"/>
      <c r="M1832" s="13"/>
      <c r="N1832" s="13">
        <f t="shared" si="135"/>
        <v>0</v>
      </c>
      <c r="O1832" s="15">
        <f t="shared" si="136"/>
        <v>81.334960000000009</v>
      </c>
    </row>
    <row r="1833" spans="1:15" ht="18" customHeight="1">
      <c r="A1833" s="24"/>
      <c r="B1833" s="78" t="s">
        <v>1528</v>
      </c>
      <c r="C1833" s="78">
        <v>28</v>
      </c>
      <c r="D1833" s="28" t="s">
        <v>451</v>
      </c>
      <c r="E1833" s="78">
        <v>1.22</v>
      </c>
      <c r="F1833" s="78">
        <v>42</v>
      </c>
      <c r="G1833" s="78"/>
      <c r="H1833" s="78">
        <v>1.6</v>
      </c>
      <c r="I1833" s="78">
        <v>0</v>
      </c>
      <c r="J1833" s="140">
        <v>43893</v>
      </c>
      <c r="K1833" s="13">
        <f t="shared" si="134"/>
        <v>81.984000000000009</v>
      </c>
      <c r="L1833" s="13"/>
      <c r="M1833" s="13"/>
      <c r="N1833" s="13">
        <f t="shared" si="135"/>
        <v>0</v>
      </c>
      <c r="O1833" s="15">
        <f t="shared" si="136"/>
        <v>136.64273280000003</v>
      </c>
    </row>
    <row r="1834" spans="1:15" ht="15" customHeight="1">
      <c r="A1834" s="24">
        <v>0</v>
      </c>
      <c r="B1834" s="78" t="s">
        <v>4317</v>
      </c>
      <c r="C1834" s="78">
        <v>12</v>
      </c>
      <c r="D1834" s="28" t="s">
        <v>451</v>
      </c>
      <c r="E1834" s="78">
        <v>1.22</v>
      </c>
      <c r="F1834" s="78">
        <v>14</v>
      </c>
      <c r="G1834" s="78">
        <v>0</v>
      </c>
      <c r="H1834" s="78">
        <v>1.6</v>
      </c>
      <c r="I1834" s="78">
        <v>0</v>
      </c>
      <c r="J1834" s="140">
        <v>45849</v>
      </c>
      <c r="K1834" s="13">
        <f t="shared" si="134"/>
        <v>27.327999999999999</v>
      </c>
      <c r="L1834" s="13"/>
      <c r="M1834" s="13"/>
      <c r="N1834" s="13">
        <f t="shared" si="135"/>
        <v>0</v>
      </c>
      <c r="O1834" s="15">
        <f t="shared" si="136"/>
        <v>45.547577600000004</v>
      </c>
    </row>
    <row r="1835" spans="1:15" ht="15" customHeight="1">
      <c r="A1835" s="58">
        <v>0</v>
      </c>
      <c r="B1835" s="78" t="s">
        <v>4317</v>
      </c>
      <c r="C1835" s="78">
        <v>14</v>
      </c>
      <c r="D1835" s="28" t="s">
        <v>451</v>
      </c>
      <c r="E1835" s="78">
        <v>1.22</v>
      </c>
      <c r="F1835" s="78">
        <v>15</v>
      </c>
      <c r="G1835" s="125">
        <v>0</v>
      </c>
      <c r="H1835" s="78">
        <v>1.6</v>
      </c>
      <c r="I1835" s="125">
        <v>0</v>
      </c>
      <c r="J1835" s="144">
        <v>45849</v>
      </c>
      <c r="K1835" s="13">
        <f t="shared" si="134"/>
        <v>29.28</v>
      </c>
      <c r="L1835" s="13"/>
      <c r="M1835" s="41"/>
      <c r="N1835" s="58">
        <f t="shared" si="135"/>
        <v>0</v>
      </c>
      <c r="O1835" s="15">
        <f t="shared" si="136"/>
        <v>48.800976000000006</v>
      </c>
    </row>
    <row r="1836" spans="1:15" ht="18" customHeight="1">
      <c r="A1836" s="24"/>
      <c r="B1836" s="78" t="s">
        <v>4317</v>
      </c>
      <c r="C1836" s="78">
        <v>16</v>
      </c>
      <c r="D1836" s="28" t="s">
        <v>451</v>
      </c>
      <c r="E1836" s="78">
        <v>1.22</v>
      </c>
      <c r="F1836" s="78">
        <v>17</v>
      </c>
      <c r="G1836" s="78"/>
      <c r="H1836" s="78">
        <v>1.6</v>
      </c>
      <c r="I1836" s="78"/>
      <c r="J1836" s="140">
        <v>45849</v>
      </c>
      <c r="K1836" s="13">
        <f t="shared" si="134"/>
        <v>33.183999999999997</v>
      </c>
      <c r="L1836" s="13"/>
      <c r="M1836" s="13"/>
      <c r="N1836" s="13">
        <f t="shared" si="135"/>
        <v>0</v>
      </c>
      <c r="O1836" s="15">
        <f t="shared" si="136"/>
        <v>55.307772799999995</v>
      </c>
    </row>
    <row r="1837" spans="1:15" ht="18" customHeight="1">
      <c r="A1837" s="24">
        <v>0</v>
      </c>
      <c r="B1837" s="78" t="s">
        <v>4317</v>
      </c>
      <c r="C1837" s="78">
        <v>18</v>
      </c>
      <c r="D1837" s="28" t="s">
        <v>451</v>
      </c>
      <c r="E1837" s="78">
        <v>1.22</v>
      </c>
      <c r="F1837" s="78">
        <v>21</v>
      </c>
      <c r="G1837" s="78"/>
      <c r="H1837" s="78">
        <v>1.6</v>
      </c>
      <c r="I1837" s="78"/>
      <c r="J1837" s="140">
        <v>45849</v>
      </c>
      <c r="K1837" s="13">
        <f t="shared" si="134"/>
        <v>40.992000000000004</v>
      </c>
      <c r="L1837" s="13"/>
      <c r="M1837" s="13"/>
      <c r="N1837" s="13">
        <f t="shared" si="135"/>
        <v>0</v>
      </c>
      <c r="O1837" s="15">
        <f t="shared" si="136"/>
        <v>68.321366400000016</v>
      </c>
    </row>
    <row r="1838" spans="1:15" ht="18" customHeight="1">
      <c r="A1838" s="24">
        <v>0</v>
      </c>
      <c r="B1838" s="78" t="s">
        <v>4317</v>
      </c>
      <c r="C1838" s="78">
        <v>20</v>
      </c>
      <c r="D1838" s="28" t="s">
        <v>451</v>
      </c>
      <c r="E1838" s="78">
        <v>1.22</v>
      </c>
      <c r="F1838" s="78">
        <v>29</v>
      </c>
      <c r="G1838" s="78"/>
      <c r="H1838" s="78">
        <v>1.6</v>
      </c>
      <c r="I1838" s="78"/>
      <c r="J1838" s="140">
        <v>45241</v>
      </c>
      <c r="K1838" s="13">
        <f t="shared" si="134"/>
        <v>56.608000000000004</v>
      </c>
      <c r="L1838" s="13"/>
      <c r="M1838" s="13"/>
      <c r="N1838" s="13">
        <f t="shared" si="135"/>
        <v>0</v>
      </c>
      <c r="O1838" s="15">
        <f t="shared" si="136"/>
        <v>94.348553600000017</v>
      </c>
    </row>
    <row r="1839" spans="1:15" ht="18" customHeight="1">
      <c r="A1839" s="24"/>
      <c r="B1839" s="78" t="s">
        <v>4317</v>
      </c>
      <c r="C1839" s="78">
        <v>22</v>
      </c>
      <c r="D1839" s="93" t="s">
        <v>4316</v>
      </c>
      <c r="E1839" s="78">
        <v>1.22</v>
      </c>
      <c r="F1839" s="78">
        <v>34</v>
      </c>
      <c r="G1839" s="78">
        <v>0</v>
      </c>
      <c r="H1839" s="78">
        <v>1.6</v>
      </c>
      <c r="I1839" s="78"/>
      <c r="J1839" s="140">
        <v>45849</v>
      </c>
      <c r="K1839" s="13">
        <f t="shared" si="134"/>
        <v>66.367999999999995</v>
      </c>
      <c r="L1839" s="13"/>
      <c r="M1839" s="13"/>
      <c r="N1839" s="13">
        <f t="shared" si="135"/>
        <v>0</v>
      </c>
      <c r="O1839" s="15">
        <f t="shared" si="136"/>
        <v>110.61554559999999</v>
      </c>
    </row>
    <row r="1840" spans="1:15" ht="18" customHeight="1">
      <c r="A1840" s="21"/>
      <c r="B1840" s="28" t="s">
        <v>4317</v>
      </c>
      <c r="C1840" s="28">
        <v>24</v>
      </c>
      <c r="D1840" s="28" t="s">
        <v>451</v>
      </c>
      <c r="E1840" s="28">
        <v>1.22</v>
      </c>
      <c r="F1840" s="28">
        <v>44</v>
      </c>
      <c r="G1840" s="28">
        <v>0</v>
      </c>
      <c r="H1840" s="28">
        <v>1.6</v>
      </c>
      <c r="I1840" s="28">
        <v>0</v>
      </c>
      <c r="J1840" s="133">
        <v>45849</v>
      </c>
      <c r="K1840" s="9">
        <f t="shared" si="134"/>
        <v>85.888000000000005</v>
      </c>
      <c r="L1840" s="9"/>
      <c r="M1840" s="9"/>
      <c r="N1840" s="9">
        <f t="shared" si="135"/>
        <v>0</v>
      </c>
      <c r="O1840" s="3">
        <f t="shared" si="136"/>
        <v>143.14952960000002</v>
      </c>
    </row>
    <row r="1841" spans="1:15" ht="19.5" customHeight="1">
      <c r="A1841" s="21">
        <v>502900</v>
      </c>
      <c r="B1841" s="28" t="s">
        <v>306</v>
      </c>
      <c r="C1841" s="115" t="s">
        <v>15</v>
      </c>
      <c r="D1841" s="28" t="s">
        <v>23</v>
      </c>
      <c r="E1841" s="28">
        <v>1</v>
      </c>
      <c r="F1841" s="28">
        <v>320</v>
      </c>
      <c r="G1841" s="28"/>
      <c r="H1841" s="28">
        <v>1.6</v>
      </c>
      <c r="I1841" s="28"/>
      <c r="J1841" s="133">
        <v>45342</v>
      </c>
      <c r="K1841" s="9">
        <f t="shared" si="134"/>
        <v>512</v>
      </c>
      <c r="L1841" s="9"/>
      <c r="M1841" s="9"/>
      <c r="N1841" s="9">
        <f t="shared" si="135"/>
        <v>0</v>
      </c>
      <c r="O1841" s="3">
        <f t="shared" si="136"/>
        <v>853.35040000000004</v>
      </c>
    </row>
    <row r="1842" spans="1:15" ht="15" customHeight="1">
      <c r="A1842" s="48">
        <v>781</v>
      </c>
      <c r="B1842" s="100" t="s">
        <v>1655</v>
      </c>
      <c r="C1842" s="124" t="s">
        <v>538</v>
      </c>
      <c r="D1842" s="78" t="s">
        <v>451</v>
      </c>
      <c r="E1842" s="85">
        <v>1.22</v>
      </c>
      <c r="F1842" s="100">
        <v>136.59</v>
      </c>
      <c r="G1842" s="124"/>
      <c r="H1842" s="78">
        <v>1.4</v>
      </c>
      <c r="I1842" s="124"/>
      <c r="J1842" s="139">
        <v>43956</v>
      </c>
      <c r="K1842" s="13">
        <f t="shared" si="134"/>
        <v>233.29571999999999</v>
      </c>
      <c r="L1842" s="13"/>
      <c r="M1842" s="41"/>
      <c r="N1842" s="48"/>
      <c r="O1842" s="48"/>
    </row>
    <row r="1843" spans="1:15" ht="15" customHeight="1">
      <c r="A1843" s="286">
        <v>787</v>
      </c>
      <c r="B1843" s="92" t="s">
        <v>1655</v>
      </c>
      <c r="C1843" s="294" t="s">
        <v>77</v>
      </c>
      <c r="D1843" s="85" t="s">
        <v>451</v>
      </c>
      <c r="E1843" s="85">
        <v>1.22</v>
      </c>
      <c r="F1843" s="300">
        <v>263.2</v>
      </c>
      <c r="G1843" s="294"/>
      <c r="H1843" s="85">
        <v>1.4</v>
      </c>
      <c r="I1843" s="294"/>
      <c r="J1843" s="283">
        <v>43956</v>
      </c>
      <c r="K1843" s="13">
        <f t="shared" si="134"/>
        <v>449.54559999999992</v>
      </c>
      <c r="L1843" s="10"/>
      <c r="M1843" s="41"/>
      <c r="N1843" s="286"/>
      <c r="O1843" s="286"/>
    </row>
    <row r="1844" spans="1:15" ht="15" customHeight="1">
      <c r="A1844" s="229">
        <v>793</v>
      </c>
      <c r="B1844" s="230" t="s">
        <v>1655</v>
      </c>
      <c r="C1844" s="124" t="s">
        <v>1656</v>
      </c>
      <c r="D1844" s="78" t="s">
        <v>451</v>
      </c>
      <c r="E1844" s="78">
        <v>1.22</v>
      </c>
      <c r="F1844" s="100">
        <v>420.06</v>
      </c>
      <c r="G1844" s="124"/>
      <c r="H1844" s="78">
        <v>1.4</v>
      </c>
      <c r="I1844" s="124"/>
      <c r="J1844" s="139">
        <v>43956</v>
      </c>
      <c r="K1844" s="13">
        <f t="shared" si="134"/>
        <v>717.46248000000003</v>
      </c>
      <c r="L1844" s="13"/>
      <c r="M1844" s="41"/>
      <c r="N1844" s="48"/>
      <c r="O1844" s="48"/>
    </row>
    <row r="1845" spans="1:15" ht="15" customHeight="1">
      <c r="A1845" s="21">
        <v>0</v>
      </c>
      <c r="B1845" s="28" t="s">
        <v>2609</v>
      </c>
      <c r="C1845" s="28" t="s">
        <v>15</v>
      </c>
      <c r="D1845" s="28" t="s">
        <v>606</v>
      </c>
      <c r="E1845" s="28">
        <v>1</v>
      </c>
      <c r="F1845" s="28">
        <v>0</v>
      </c>
      <c r="G1845" s="28"/>
      <c r="H1845" s="28">
        <v>1.6</v>
      </c>
      <c r="I1845" s="28"/>
      <c r="J1845" s="133">
        <v>44740</v>
      </c>
      <c r="K1845" s="9">
        <f t="shared" si="134"/>
        <v>0</v>
      </c>
      <c r="L1845" s="13"/>
      <c r="M1845" s="13"/>
      <c r="N1845" s="13">
        <f>G1845*H1845*I1845*E1845</f>
        <v>0</v>
      </c>
      <c r="O1845" s="15">
        <f>K1845*1.6667</f>
        <v>0</v>
      </c>
    </row>
    <row r="1846" spans="1:15" ht="15" customHeight="1">
      <c r="A1846" s="21"/>
      <c r="B1846" s="28" t="s">
        <v>484</v>
      </c>
      <c r="C1846" s="28"/>
      <c r="D1846" s="28"/>
      <c r="E1846" s="28">
        <v>1</v>
      </c>
      <c r="F1846" s="28">
        <v>330</v>
      </c>
      <c r="G1846" s="28"/>
      <c r="H1846" s="28">
        <v>1.37</v>
      </c>
      <c r="I1846" s="28"/>
      <c r="J1846" s="133"/>
      <c r="K1846" s="9">
        <f t="shared" si="134"/>
        <v>452.1</v>
      </c>
      <c r="L1846" s="13"/>
      <c r="M1846" s="13"/>
      <c r="N1846" s="13">
        <f>G1846*H1846*I1846*E1846</f>
        <v>0</v>
      </c>
      <c r="O1846" s="15">
        <f>K1846*1.6667</f>
        <v>753.51507000000004</v>
      </c>
    </row>
    <row r="1847" spans="1:15" ht="15" customHeight="1">
      <c r="A1847" s="24">
        <v>200200</v>
      </c>
      <c r="B1847" s="85" t="s">
        <v>3349</v>
      </c>
      <c r="C1847" s="78" t="s">
        <v>15</v>
      </c>
      <c r="D1847" s="78" t="s">
        <v>23</v>
      </c>
      <c r="E1847" s="78">
        <v>1.22</v>
      </c>
      <c r="F1847" s="78">
        <v>126</v>
      </c>
      <c r="G1847" s="78">
        <v>0</v>
      </c>
      <c r="H1847" s="78">
        <v>1.4</v>
      </c>
      <c r="I1847" s="78">
        <v>0</v>
      </c>
      <c r="J1847" s="140">
        <v>45936</v>
      </c>
      <c r="K1847" s="10">
        <f t="shared" si="134"/>
        <v>215.208</v>
      </c>
      <c r="L1847" s="13"/>
      <c r="M1847" s="13"/>
      <c r="N1847" s="13">
        <f>G1847*H1847*I1847*E1847</f>
        <v>0</v>
      </c>
      <c r="O1847" s="15">
        <f>K1847*1.6667</f>
        <v>358.68717359999999</v>
      </c>
    </row>
    <row r="1848" spans="1:15" ht="15" customHeight="1">
      <c r="A1848" s="31">
        <v>1030</v>
      </c>
      <c r="B1848" s="78" t="s">
        <v>1328</v>
      </c>
      <c r="C1848" s="82" t="s">
        <v>15</v>
      </c>
      <c r="D1848" s="78" t="s">
        <v>17</v>
      </c>
      <c r="E1848" s="78">
        <v>1.22</v>
      </c>
      <c r="F1848" s="78">
        <v>236.88</v>
      </c>
      <c r="G1848" s="78">
        <v>0</v>
      </c>
      <c r="H1848" s="78">
        <v>1.6</v>
      </c>
      <c r="I1848" s="82"/>
      <c r="J1848" s="140">
        <v>45315</v>
      </c>
      <c r="K1848" s="9">
        <f t="shared" si="134"/>
        <v>462.38976000000002</v>
      </c>
      <c r="L1848" s="13"/>
      <c r="M1848" s="13"/>
      <c r="N1848" s="38"/>
      <c r="O1848" s="38"/>
    </row>
    <row r="1849" spans="1:15" ht="15" customHeight="1">
      <c r="A1849" s="49" t="s">
        <v>3968</v>
      </c>
      <c r="B1849" s="147" t="s">
        <v>3969</v>
      </c>
      <c r="C1849" s="151"/>
      <c r="D1849" s="78" t="s">
        <v>1921</v>
      </c>
      <c r="E1849" s="78">
        <v>1.22</v>
      </c>
      <c r="F1849" s="147">
        <v>107</v>
      </c>
      <c r="G1849" s="151"/>
      <c r="H1849" s="147">
        <v>1.5</v>
      </c>
      <c r="I1849" s="151"/>
      <c r="J1849" s="139">
        <v>45636</v>
      </c>
      <c r="K1849" s="50">
        <f t="shared" si="134"/>
        <v>195.81</v>
      </c>
      <c r="L1849" s="64"/>
      <c r="M1849" s="41"/>
      <c r="N1849" s="38"/>
      <c r="O1849" s="38"/>
    </row>
    <row r="1850" spans="1:15" ht="15" customHeight="1">
      <c r="A1850" s="45" t="s">
        <v>4179</v>
      </c>
      <c r="B1850" s="88" t="s">
        <v>3969</v>
      </c>
      <c r="C1850" s="151"/>
      <c r="D1850" s="78" t="s">
        <v>1921</v>
      </c>
      <c r="E1850" s="78">
        <v>1.22</v>
      </c>
      <c r="F1850" s="147">
        <v>67</v>
      </c>
      <c r="G1850" s="151"/>
      <c r="H1850" s="147">
        <v>1.5</v>
      </c>
      <c r="I1850" s="151"/>
      <c r="J1850" s="139">
        <v>45636</v>
      </c>
      <c r="K1850" s="50">
        <f t="shared" si="134"/>
        <v>122.60999999999999</v>
      </c>
      <c r="L1850" s="64"/>
      <c r="M1850" s="41"/>
      <c r="N1850" s="38"/>
      <c r="O1850" s="38"/>
    </row>
    <row r="1851" spans="1:15" ht="15" customHeight="1">
      <c r="A1851" s="25" t="s">
        <v>2138</v>
      </c>
      <c r="B1851" s="87" t="s">
        <v>2136</v>
      </c>
      <c r="C1851" s="121" t="s">
        <v>2137</v>
      </c>
      <c r="D1851" s="78" t="s">
        <v>451</v>
      </c>
      <c r="E1851" s="78">
        <v>1.22</v>
      </c>
      <c r="F1851" s="103">
        <v>139</v>
      </c>
      <c r="G1851" s="121"/>
      <c r="H1851" s="103">
        <v>1.5</v>
      </c>
      <c r="I1851" s="121"/>
      <c r="J1851" s="135">
        <v>44310</v>
      </c>
      <c r="K1851" s="50">
        <f t="shared" si="134"/>
        <v>254.36999999999998</v>
      </c>
      <c r="L1851" s="64"/>
      <c r="M1851" s="41"/>
      <c r="N1851" s="38"/>
      <c r="O1851" s="38"/>
    </row>
    <row r="1852" spans="1:15" ht="15" customHeight="1">
      <c r="A1852" s="24" t="s">
        <v>3376</v>
      </c>
      <c r="B1852" s="93" t="s">
        <v>3377</v>
      </c>
      <c r="C1852" s="78" t="s">
        <v>3378</v>
      </c>
      <c r="D1852" s="78" t="s">
        <v>41</v>
      </c>
      <c r="E1852" s="78">
        <v>1.22</v>
      </c>
      <c r="F1852" s="78">
        <v>450</v>
      </c>
      <c r="G1852" s="78"/>
      <c r="H1852" s="78">
        <v>1.6</v>
      </c>
      <c r="I1852" s="78"/>
      <c r="J1852" s="146">
        <v>44508</v>
      </c>
      <c r="K1852" s="33">
        <f t="shared" si="134"/>
        <v>878.40000000000009</v>
      </c>
      <c r="L1852" s="13"/>
      <c r="M1852" s="13"/>
      <c r="N1852" s="13">
        <f>G1852*H1852*I1852*E1852</f>
        <v>0</v>
      </c>
      <c r="O1852" s="15">
        <f>K1852*1.6667</f>
        <v>1464.0292800000002</v>
      </c>
    </row>
    <row r="1853" spans="1:15" ht="15" customHeight="1">
      <c r="A1853" s="21" t="s">
        <v>2581</v>
      </c>
      <c r="B1853" s="28" t="s">
        <v>1042</v>
      </c>
      <c r="C1853" s="28" t="s">
        <v>1043</v>
      </c>
      <c r="D1853" s="28" t="s">
        <v>1030</v>
      </c>
      <c r="E1853" s="28">
        <v>1.22</v>
      </c>
      <c r="F1853" s="28">
        <v>127</v>
      </c>
      <c r="G1853" s="28"/>
      <c r="H1853" s="28">
        <v>1.6</v>
      </c>
      <c r="I1853" s="28"/>
      <c r="J1853" s="133">
        <v>45287</v>
      </c>
      <c r="K1853" s="9">
        <f t="shared" si="134"/>
        <v>247.904</v>
      </c>
      <c r="L1853" s="13"/>
      <c r="M1853" s="13"/>
      <c r="N1853" s="13">
        <f>G1853*H1853*I1853*E1853</f>
        <v>0</v>
      </c>
      <c r="O1853" s="15">
        <f>K1853*1.6667</f>
        <v>413.18159680000002</v>
      </c>
    </row>
    <row r="1854" spans="1:15" ht="15" customHeight="1">
      <c r="A1854" s="46" t="s">
        <v>2582</v>
      </c>
      <c r="B1854" s="28" t="s">
        <v>1042</v>
      </c>
      <c r="C1854" s="28" t="s">
        <v>1688</v>
      </c>
      <c r="D1854" s="28" t="s">
        <v>1030</v>
      </c>
      <c r="E1854" s="28">
        <v>1.22</v>
      </c>
      <c r="F1854" s="28">
        <v>275</v>
      </c>
      <c r="G1854" s="110"/>
      <c r="H1854" s="28">
        <v>1.6</v>
      </c>
      <c r="I1854" s="110"/>
      <c r="J1854" s="133">
        <v>45925</v>
      </c>
      <c r="K1854" s="35">
        <f t="shared" si="134"/>
        <v>536.80000000000007</v>
      </c>
      <c r="L1854" s="50"/>
      <c r="M1854" s="41"/>
      <c r="N1854" s="38"/>
      <c r="O1854" s="38"/>
    </row>
    <row r="1855" spans="1:15" ht="15" customHeight="1">
      <c r="A1855" s="16"/>
      <c r="B1855" s="28" t="s">
        <v>1042</v>
      </c>
      <c r="C1855" s="110" t="s">
        <v>215</v>
      </c>
      <c r="D1855" s="28" t="s">
        <v>1030</v>
      </c>
      <c r="E1855" s="28">
        <v>1</v>
      </c>
      <c r="F1855" s="87">
        <v>20</v>
      </c>
      <c r="G1855" s="110"/>
      <c r="H1855" s="87">
        <v>2.5</v>
      </c>
      <c r="I1855" s="110"/>
      <c r="J1855" s="135">
        <v>45925</v>
      </c>
      <c r="K1855" s="9">
        <f t="shared" si="134"/>
        <v>50</v>
      </c>
      <c r="L1855" s="64"/>
      <c r="M1855" s="41"/>
      <c r="N1855" s="38"/>
      <c r="O1855" s="38"/>
    </row>
    <row r="1856" spans="1:15" ht="15" customHeight="1">
      <c r="A1856" s="38">
        <v>1311</v>
      </c>
      <c r="B1856" s="103" t="s">
        <v>3158</v>
      </c>
      <c r="C1856" s="121"/>
      <c r="D1856" s="78" t="s">
        <v>451</v>
      </c>
      <c r="E1856" s="78">
        <v>1.22</v>
      </c>
      <c r="F1856" s="103">
        <v>280</v>
      </c>
      <c r="G1856" s="125"/>
      <c r="H1856" s="103">
        <v>1.45</v>
      </c>
      <c r="I1856" s="121"/>
      <c r="J1856" s="138">
        <v>45190</v>
      </c>
      <c r="K1856" s="13">
        <f t="shared" si="134"/>
        <v>495.31999999999994</v>
      </c>
      <c r="L1856" s="64"/>
      <c r="M1856" s="41"/>
      <c r="N1856" s="38"/>
      <c r="O1856" s="38"/>
    </row>
    <row r="1857" spans="1:15" ht="15" customHeight="1">
      <c r="A1857" s="38">
        <v>1305</v>
      </c>
      <c r="B1857" s="103" t="s">
        <v>3156</v>
      </c>
      <c r="C1857" s="121"/>
      <c r="D1857" s="78" t="s">
        <v>451</v>
      </c>
      <c r="E1857" s="78">
        <v>1.22</v>
      </c>
      <c r="F1857" s="103">
        <v>150</v>
      </c>
      <c r="G1857" s="121"/>
      <c r="H1857" s="103">
        <v>1.45</v>
      </c>
      <c r="I1857" s="121"/>
      <c r="J1857" s="138">
        <v>45190</v>
      </c>
      <c r="K1857" s="13">
        <f t="shared" si="134"/>
        <v>265.34999999999997</v>
      </c>
      <c r="L1857" s="64"/>
      <c r="M1857" s="41"/>
      <c r="N1857" s="38"/>
      <c r="O1857" s="38"/>
    </row>
    <row r="1858" spans="1:15" ht="15" customHeight="1">
      <c r="A1858" s="16">
        <v>1307</v>
      </c>
      <c r="B1858" s="87" t="s">
        <v>3157</v>
      </c>
      <c r="C1858" s="110"/>
      <c r="D1858" s="28" t="s">
        <v>451</v>
      </c>
      <c r="E1858" s="28">
        <v>1.22</v>
      </c>
      <c r="F1858" s="87">
        <v>192</v>
      </c>
      <c r="G1858" s="110"/>
      <c r="H1858" s="87">
        <v>1.45</v>
      </c>
      <c r="I1858" s="110"/>
      <c r="J1858" s="135">
        <v>45190</v>
      </c>
      <c r="K1858" s="9">
        <f t="shared" si="134"/>
        <v>339.64800000000002</v>
      </c>
      <c r="L1858" s="64"/>
      <c r="M1858" s="41"/>
      <c r="N1858" s="38"/>
      <c r="O1858" s="38"/>
    </row>
    <row r="1859" spans="1:15" ht="15" customHeight="1">
      <c r="A1859" s="38">
        <v>1302</v>
      </c>
      <c r="B1859" s="103" t="s">
        <v>3776</v>
      </c>
      <c r="C1859" s="121"/>
      <c r="D1859" s="78" t="s">
        <v>1983</v>
      </c>
      <c r="E1859" s="78">
        <v>1.22</v>
      </c>
      <c r="F1859" s="103">
        <v>96</v>
      </c>
      <c r="G1859" s="121"/>
      <c r="H1859" s="78">
        <v>1.6</v>
      </c>
      <c r="I1859" s="121"/>
      <c r="J1859" s="138">
        <v>45565</v>
      </c>
      <c r="K1859" s="13">
        <f t="shared" si="134"/>
        <v>187.39200000000002</v>
      </c>
      <c r="L1859" s="64"/>
      <c r="M1859" s="41"/>
      <c r="N1859" s="38"/>
      <c r="O1859" s="38"/>
    </row>
    <row r="1860" spans="1:15" ht="15" customHeight="1">
      <c r="A1860" s="38">
        <v>1303</v>
      </c>
      <c r="B1860" s="103" t="s">
        <v>3777</v>
      </c>
      <c r="C1860" s="121"/>
      <c r="D1860" s="78" t="s">
        <v>1983</v>
      </c>
      <c r="E1860" s="78">
        <v>1.22</v>
      </c>
      <c r="F1860" s="103">
        <v>102</v>
      </c>
      <c r="G1860" s="121"/>
      <c r="H1860" s="78">
        <v>1.6</v>
      </c>
      <c r="I1860" s="121"/>
      <c r="J1860" s="138">
        <v>45565</v>
      </c>
      <c r="K1860" s="13">
        <f t="shared" si="134"/>
        <v>199.10400000000001</v>
      </c>
      <c r="L1860" s="64"/>
      <c r="M1860" s="41"/>
      <c r="N1860" s="38"/>
      <c r="O1860" s="38"/>
    </row>
    <row r="1861" spans="1:15" ht="15" customHeight="1">
      <c r="A1861" s="38">
        <v>1306</v>
      </c>
      <c r="B1861" s="103" t="s">
        <v>3778</v>
      </c>
      <c r="C1861" s="121"/>
      <c r="D1861" s="78" t="s">
        <v>1983</v>
      </c>
      <c r="E1861" s="78">
        <v>1.22</v>
      </c>
      <c r="F1861" s="103">
        <v>174</v>
      </c>
      <c r="G1861" s="121"/>
      <c r="H1861" s="78">
        <v>1.6</v>
      </c>
      <c r="I1861" s="121"/>
      <c r="J1861" s="138">
        <v>45565</v>
      </c>
      <c r="K1861" s="13">
        <f t="shared" ref="K1861:K1885" si="137">E1861*F1861*H1861</f>
        <v>339.64800000000002</v>
      </c>
      <c r="L1861" s="64"/>
      <c r="M1861" s="41"/>
      <c r="N1861" s="38"/>
      <c r="O1861" s="38"/>
    </row>
    <row r="1862" spans="1:15" ht="15" customHeight="1">
      <c r="A1862" s="38">
        <v>1307</v>
      </c>
      <c r="B1862" s="103" t="s">
        <v>3779</v>
      </c>
      <c r="C1862" s="121"/>
      <c r="D1862" s="78" t="s">
        <v>1983</v>
      </c>
      <c r="E1862" s="78">
        <v>1.22</v>
      </c>
      <c r="F1862" s="103">
        <v>215</v>
      </c>
      <c r="G1862" s="121"/>
      <c r="H1862" s="78">
        <v>1.6</v>
      </c>
      <c r="I1862" s="121"/>
      <c r="J1862" s="138">
        <v>45565</v>
      </c>
      <c r="K1862" s="13">
        <f t="shared" si="137"/>
        <v>419.68000000000006</v>
      </c>
      <c r="L1862" s="64"/>
      <c r="M1862" s="41"/>
      <c r="N1862" s="38"/>
      <c r="O1862" s="38"/>
    </row>
    <row r="1863" spans="1:15" ht="15" customHeight="1">
      <c r="A1863" s="24" t="s">
        <v>4531</v>
      </c>
      <c r="B1863" s="78" t="s">
        <v>4532</v>
      </c>
      <c r="C1863" s="78" t="s">
        <v>4533</v>
      </c>
      <c r="D1863" s="78" t="s">
        <v>1983</v>
      </c>
      <c r="E1863" s="78">
        <v>1.22</v>
      </c>
      <c r="F1863" s="78">
        <v>393</v>
      </c>
      <c r="G1863" s="78"/>
      <c r="H1863" s="78">
        <v>1.6</v>
      </c>
      <c r="I1863" s="78"/>
      <c r="J1863" s="140">
        <v>45982</v>
      </c>
      <c r="K1863" s="13">
        <f t="shared" si="137"/>
        <v>767.13599999999997</v>
      </c>
      <c r="L1863" s="13"/>
      <c r="M1863" s="13"/>
      <c r="N1863" s="13">
        <f>G1863*H1863*I1863*E1863</f>
        <v>0</v>
      </c>
      <c r="O1863" s="15">
        <f>K1863*1.6667</f>
        <v>1278.5855712</v>
      </c>
    </row>
    <row r="1864" spans="1:15" ht="15" customHeight="1">
      <c r="A1864" s="21" t="s">
        <v>2456</v>
      </c>
      <c r="B1864" s="28" t="s">
        <v>2457</v>
      </c>
      <c r="C1864" s="28" t="s">
        <v>15</v>
      </c>
      <c r="D1864" s="28" t="s">
        <v>451</v>
      </c>
      <c r="E1864" s="28">
        <v>1.22</v>
      </c>
      <c r="F1864" s="28">
        <v>230</v>
      </c>
      <c r="G1864" s="28"/>
      <c r="H1864" s="28">
        <v>1.6</v>
      </c>
      <c r="I1864" s="28"/>
      <c r="J1864" s="133">
        <v>45026</v>
      </c>
      <c r="K1864" s="9">
        <f t="shared" si="137"/>
        <v>448.96</v>
      </c>
      <c r="L1864" s="13"/>
      <c r="M1864" s="13"/>
      <c r="N1864" s="13"/>
      <c r="O1864" s="15"/>
    </row>
    <row r="1865" spans="1:15" ht="15" customHeight="1">
      <c r="A1865" s="16" t="s">
        <v>2068</v>
      </c>
      <c r="B1865" s="80" t="s">
        <v>2069</v>
      </c>
      <c r="C1865" s="110" t="s">
        <v>2070</v>
      </c>
      <c r="D1865" s="28" t="s">
        <v>451</v>
      </c>
      <c r="E1865" s="28">
        <v>1.22</v>
      </c>
      <c r="F1865" s="80">
        <v>220</v>
      </c>
      <c r="G1865" s="110"/>
      <c r="H1865" s="28">
        <v>1.4</v>
      </c>
      <c r="I1865" s="110"/>
      <c r="J1865" s="135">
        <v>44498</v>
      </c>
      <c r="K1865" s="9">
        <f t="shared" si="137"/>
        <v>375.75999999999993</v>
      </c>
      <c r="L1865" s="13"/>
      <c r="M1865" s="41"/>
      <c r="N1865" s="38"/>
      <c r="O1865" s="38"/>
    </row>
    <row r="1866" spans="1:15" ht="15" customHeight="1">
      <c r="A1866" s="58" t="s">
        <v>2297</v>
      </c>
      <c r="B1866" s="106" t="s">
        <v>2130</v>
      </c>
      <c r="C1866" s="127" t="s">
        <v>2131</v>
      </c>
      <c r="D1866" s="78" t="s">
        <v>451</v>
      </c>
      <c r="E1866" s="78">
        <v>1.22</v>
      </c>
      <c r="F1866" s="106">
        <v>118</v>
      </c>
      <c r="G1866" s="121"/>
      <c r="H1866" s="78">
        <v>1.4</v>
      </c>
      <c r="I1866" s="121"/>
      <c r="J1866" s="138">
        <v>44310</v>
      </c>
      <c r="K1866" s="13">
        <f t="shared" si="137"/>
        <v>201.54400000000001</v>
      </c>
      <c r="L1866" s="64"/>
      <c r="M1866" s="41"/>
      <c r="N1866" s="38"/>
      <c r="O1866" s="38"/>
    </row>
    <row r="1867" spans="1:15" ht="15" customHeight="1">
      <c r="A1867" s="21" t="s">
        <v>2456</v>
      </c>
      <c r="B1867" s="28" t="s">
        <v>4536</v>
      </c>
      <c r="C1867" s="28" t="s">
        <v>15</v>
      </c>
      <c r="D1867" s="28" t="s">
        <v>1983</v>
      </c>
      <c r="E1867" s="28">
        <v>1.22</v>
      </c>
      <c r="F1867" s="28">
        <v>243</v>
      </c>
      <c r="G1867" s="28"/>
      <c r="H1867" s="28">
        <v>1.6</v>
      </c>
      <c r="I1867" s="28"/>
      <c r="J1867" s="133">
        <v>45982</v>
      </c>
      <c r="K1867" s="9">
        <f t="shared" si="137"/>
        <v>474.33600000000001</v>
      </c>
      <c r="L1867" s="13"/>
      <c r="M1867" s="13"/>
      <c r="N1867" s="13">
        <f>G1867*H1867*I1867*E1867</f>
        <v>0</v>
      </c>
      <c r="O1867" s="15">
        <f>K1867*1.6667</f>
        <v>790.57581120000009</v>
      </c>
    </row>
    <row r="1868" spans="1:15" ht="15" customHeight="1">
      <c r="A1868" s="21">
        <v>111547</v>
      </c>
      <c r="B1868" s="28" t="s">
        <v>2128</v>
      </c>
      <c r="C1868" s="28" t="s">
        <v>109</v>
      </c>
      <c r="D1868" s="28" t="s">
        <v>1245</v>
      </c>
      <c r="E1868" s="28">
        <v>1</v>
      </c>
      <c r="F1868" s="28">
        <v>2790</v>
      </c>
      <c r="G1868" s="28"/>
      <c r="H1868" s="28">
        <v>1.5</v>
      </c>
      <c r="I1868" s="28"/>
      <c r="J1868" s="133">
        <v>45355</v>
      </c>
      <c r="K1868" s="9">
        <f t="shared" si="137"/>
        <v>4185</v>
      </c>
      <c r="L1868" s="13"/>
      <c r="M1868" s="13"/>
      <c r="N1868" s="13"/>
      <c r="O1868" s="15"/>
    </row>
    <row r="1869" spans="1:15" ht="15" customHeight="1">
      <c r="A1869" s="21"/>
      <c r="B1869" s="28" t="s">
        <v>2128</v>
      </c>
      <c r="C1869" s="28" t="s">
        <v>93</v>
      </c>
      <c r="D1869" s="28" t="s">
        <v>1245</v>
      </c>
      <c r="E1869" s="28">
        <v>1</v>
      </c>
      <c r="F1869" s="28">
        <v>139</v>
      </c>
      <c r="G1869" s="28"/>
      <c r="H1869" s="28">
        <v>1.5</v>
      </c>
      <c r="I1869" s="28"/>
      <c r="J1869" s="133">
        <v>45355</v>
      </c>
      <c r="K1869" s="9">
        <f t="shared" si="137"/>
        <v>208.5</v>
      </c>
      <c r="L1869" s="13"/>
      <c r="M1869" s="13"/>
      <c r="N1869" s="13"/>
      <c r="O1869" s="15"/>
    </row>
    <row r="1870" spans="1:15" ht="15" customHeight="1">
      <c r="A1870" s="21"/>
      <c r="B1870" s="28" t="s">
        <v>4429</v>
      </c>
      <c r="C1870" s="28" t="s">
        <v>305</v>
      </c>
      <c r="D1870" s="28" t="s">
        <v>3306</v>
      </c>
      <c r="E1870" s="28">
        <v>1</v>
      </c>
      <c r="F1870" s="28">
        <v>483</v>
      </c>
      <c r="G1870" s="28"/>
      <c r="H1870" s="28">
        <v>1.5</v>
      </c>
      <c r="I1870" s="28"/>
      <c r="J1870" s="133">
        <v>45962</v>
      </c>
      <c r="K1870" s="9">
        <f t="shared" si="137"/>
        <v>724.5</v>
      </c>
      <c r="L1870" s="13"/>
      <c r="M1870" s="13"/>
      <c r="N1870" s="13"/>
      <c r="O1870" s="15">
        <f>K1870*1.6667</f>
        <v>1207.52415</v>
      </c>
    </row>
    <row r="1871" spans="1:15" ht="15" customHeight="1">
      <c r="A1871" s="24"/>
      <c r="B1871" s="78" t="s">
        <v>4429</v>
      </c>
      <c r="C1871" s="78" t="s">
        <v>112</v>
      </c>
      <c r="D1871" s="78" t="s">
        <v>3306</v>
      </c>
      <c r="E1871" s="78">
        <v>1</v>
      </c>
      <c r="F1871" s="78">
        <v>1399</v>
      </c>
      <c r="G1871" s="78"/>
      <c r="H1871" s="78">
        <v>1.5</v>
      </c>
      <c r="I1871" s="78"/>
      <c r="J1871" s="140">
        <v>45962</v>
      </c>
      <c r="K1871" s="10">
        <f t="shared" si="137"/>
        <v>2098.5</v>
      </c>
      <c r="L1871" s="13"/>
      <c r="M1871" s="13"/>
      <c r="N1871" s="13"/>
      <c r="O1871" s="15">
        <f>K1871*1.6667</f>
        <v>3497.5699500000001</v>
      </c>
    </row>
    <row r="1872" spans="1:15" ht="15" customHeight="1">
      <c r="A1872" s="38"/>
      <c r="B1872" s="102" t="s">
        <v>4428</v>
      </c>
      <c r="C1872" s="121" t="s">
        <v>305</v>
      </c>
      <c r="D1872" s="125" t="s">
        <v>3306</v>
      </c>
      <c r="E1872" s="103">
        <v>1</v>
      </c>
      <c r="F1872" s="103">
        <v>423</v>
      </c>
      <c r="G1872" s="121"/>
      <c r="H1872" s="103">
        <v>1.5</v>
      </c>
      <c r="I1872" s="121"/>
      <c r="J1872" s="138">
        <v>45962</v>
      </c>
      <c r="K1872" s="33">
        <f t="shared" si="137"/>
        <v>634.5</v>
      </c>
      <c r="L1872" s="64"/>
      <c r="M1872" s="41"/>
      <c r="N1872" s="38"/>
      <c r="O1872" s="38"/>
    </row>
    <row r="1873" spans="1:15" ht="15" customHeight="1">
      <c r="A1873" s="16" t="s">
        <v>4214</v>
      </c>
      <c r="B1873" s="87" t="s">
        <v>4215</v>
      </c>
      <c r="C1873" s="110"/>
      <c r="D1873" s="28" t="s">
        <v>3297</v>
      </c>
      <c r="E1873" s="28">
        <v>1.22</v>
      </c>
      <c r="F1873" s="87">
        <v>107</v>
      </c>
      <c r="G1873" s="110"/>
      <c r="H1873" s="87">
        <v>1.6</v>
      </c>
      <c r="I1873" s="110"/>
      <c r="J1873" s="138">
        <v>45777</v>
      </c>
      <c r="K1873" s="37">
        <f t="shared" si="137"/>
        <v>208.864</v>
      </c>
      <c r="L1873" s="37"/>
      <c r="M1873" s="17"/>
      <c r="N1873" s="16"/>
      <c r="O1873" s="16"/>
    </row>
    <row r="1874" spans="1:15" ht="15" customHeight="1">
      <c r="A1874" s="38"/>
      <c r="B1874" s="160" t="s">
        <v>3936</v>
      </c>
      <c r="C1874" s="121" t="s">
        <v>60</v>
      </c>
      <c r="D1874" s="93" t="s">
        <v>3932</v>
      </c>
      <c r="E1874" s="78">
        <v>1.22</v>
      </c>
      <c r="F1874" s="103">
        <v>127</v>
      </c>
      <c r="G1874" s="121"/>
      <c r="H1874" s="103">
        <v>1.5</v>
      </c>
      <c r="I1874" s="121"/>
      <c r="J1874" s="140">
        <v>45635</v>
      </c>
      <c r="K1874" s="12">
        <f t="shared" si="137"/>
        <v>232.41</v>
      </c>
      <c r="L1874" s="64"/>
      <c r="M1874" s="41"/>
      <c r="N1874" s="38"/>
      <c r="O1874" s="38"/>
    </row>
    <row r="1875" spans="1:15" ht="15" customHeight="1">
      <c r="A1875" s="21"/>
      <c r="B1875" s="28" t="s">
        <v>665</v>
      </c>
      <c r="C1875" s="28" t="s">
        <v>60</v>
      </c>
      <c r="D1875" s="28" t="s">
        <v>14</v>
      </c>
      <c r="E1875" s="28">
        <v>1.22</v>
      </c>
      <c r="F1875" s="28">
        <v>127</v>
      </c>
      <c r="G1875" s="28"/>
      <c r="H1875" s="28">
        <v>1.6</v>
      </c>
      <c r="I1875" s="28"/>
      <c r="J1875" s="133">
        <v>45272</v>
      </c>
      <c r="K1875" s="9">
        <f t="shared" si="137"/>
        <v>247.904</v>
      </c>
      <c r="L1875" s="9"/>
      <c r="M1875" s="9"/>
      <c r="N1875" s="9">
        <f>G1875*H1875*I1875*E1875</f>
        <v>0</v>
      </c>
      <c r="O1875" s="3">
        <f>K1875*1.6667</f>
        <v>413.18159680000002</v>
      </c>
    </row>
    <row r="1876" spans="1:15" ht="15" customHeight="1">
      <c r="A1876" s="22" t="s">
        <v>3926</v>
      </c>
      <c r="B1876" s="28" t="s">
        <v>479</v>
      </c>
      <c r="C1876" s="28" t="s">
        <v>3927</v>
      </c>
      <c r="D1876" s="28" t="s">
        <v>1292</v>
      </c>
      <c r="E1876" s="28">
        <v>1.22</v>
      </c>
      <c r="F1876" s="28">
        <v>99.9</v>
      </c>
      <c r="G1876" s="81"/>
      <c r="H1876" s="28">
        <v>1.6</v>
      </c>
      <c r="I1876" s="81"/>
      <c r="J1876" s="133">
        <v>45631</v>
      </c>
      <c r="K1876" s="9">
        <f t="shared" si="137"/>
        <v>195.00480000000002</v>
      </c>
      <c r="L1876" s="9"/>
      <c r="M1876" s="9"/>
      <c r="N1876" s="9">
        <f>G1876*H1876*I1876*E1876</f>
        <v>0</v>
      </c>
      <c r="O1876" s="16"/>
    </row>
    <row r="1877" spans="1:15" ht="15" customHeight="1">
      <c r="A1877" s="31" t="s">
        <v>3928</v>
      </c>
      <c r="B1877" s="78" t="s">
        <v>479</v>
      </c>
      <c r="C1877" s="78" t="s">
        <v>3189</v>
      </c>
      <c r="D1877" s="85" t="s">
        <v>1292</v>
      </c>
      <c r="E1877" s="78">
        <v>1.22</v>
      </c>
      <c r="F1877" s="78">
        <v>129.9</v>
      </c>
      <c r="G1877" s="82"/>
      <c r="H1877" s="78">
        <v>1.6</v>
      </c>
      <c r="I1877" s="82"/>
      <c r="J1877" s="140">
        <v>45631</v>
      </c>
      <c r="K1877" s="13">
        <f t="shared" si="137"/>
        <v>253.56480000000002</v>
      </c>
      <c r="L1877" s="13"/>
      <c r="M1877" s="13"/>
      <c r="N1877" s="13"/>
      <c r="O1877" s="38"/>
    </row>
    <row r="1878" spans="1:15" ht="15" customHeight="1">
      <c r="A1878" s="24" t="s">
        <v>4241</v>
      </c>
      <c r="B1878" s="78" t="s">
        <v>479</v>
      </c>
      <c r="C1878" s="78" t="s">
        <v>3929</v>
      </c>
      <c r="D1878" s="28" t="s">
        <v>1292</v>
      </c>
      <c r="E1878" s="28">
        <v>1.22</v>
      </c>
      <c r="F1878" s="78">
        <v>129.9</v>
      </c>
      <c r="G1878" s="78"/>
      <c r="H1878" s="78">
        <v>1.6</v>
      </c>
      <c r="I1878" s="78"/>
      <c r="J1878" s="140">
        <v>45937</v>
      </c>
      <c r="K1878" s="50">
        <f t="shared" si="137"/>
        <v>253.56480000000002</v>
      </c>
      <c r="L1878" s="50"/>
      <c r="M1878" s="13"/>
      <c r="N1878" s="13"/>
      <c r="O1878" s="15"/>
    </row>
    <row r="1879" spans="1:15" ht="15" customHeight="1">
      <c r="A1879" s="24">
        <v>563</v>
      </c>
      <c r="B1879" s="78" t="s">
        <v>479</v>
      </c>
      <c r="C1879" s="78" t="s">
        <v>91</v>
      </c>
      <c r="D1879" s="28" t="s">
        <v>451</v>
      </c>
      <c r="E1879" s="28">
        <v>1.22</v>
      </c>
      <c r="F1879" s="78">
        <v>55</v>
      </c>
      <c r="G1879" s="78"/>
      <c r="H1879" s="78">
        <v>1.6</v>
      </c>
      <c r="I1879" s="78"/>
      <c r="J1879" s="140">
        <v>45981</v>
      </c>
      <c r="K1879" s="13">
        <f t="shared" si="137"/>
        <v>107.36</v>
      </c>
      <c r="L1879" s="13"/>
      <c r="M1879" s="13"/>
      <c r="N1879" s="13">
        <f>G1879*H1879*I1879*E1879</f>
        <v>0</v>
      </c>
      <c r="O1879" s="15">
        <f>K1879*1.6667</f>
        <v>178.93691200000001</v>
      </c>
    </row>
    <row r="1880" spans="1:15" ht="15" customHeight="1">
      <c r="A1880" s="24">
        <v>562</v>
      </c>
      <c r="B1880" s="78" t="s">
        <v>479</v>
      </c>
      <c r="C1880" s="78" t="s">
        <v>587</v>
      </c>
      <c r="D1880" s="28" t="s">
        <v>451</v>
      </c>
      <c r="E1880" s="28">
        <v>1.22</v>
      </c>
      <c r="F1880" s="78">
        <v>50</v>
      </c>
      <c r="G1880" s="78"/>
      <c r="H1880" s="78">
        <v>1.6</v>
      </c>
      <c r="I1880" s="78"/>
      <c r="J1880" s="140">
        <v>45981</v>
      </c>
      <c r="K1880" s="13">
        <f t="shared" si="137"/>
        <v>97.600000000000009</v>
      </c>
      <c r="L1880" s="13"/>
      <c r="M1880" s="13"/>
      <c r="N1880" s="13">
        <f>G1880*H1880*I1880*E1880</f>
        <v>0</v>
      </c>
      <c r="O1880" s="15">
        <f>K1880*1.6667</f>
        <v>162.66992000000002</v>
      </c>
    </row>
    <row r="1881" spans="1:15" ht="15" customHeight="1">
      <c r="A1881" s="24">
        <v>28763</v>
      </c>
      <c r="B1881" s="78" t="s">
        <v>479</v>
      </c>
      <c r="C1881" s="78" t="s">
        <v>2693</v>
      </c>
      <c r="D1881" s="28" t="s">
        <v>37</v>
      </c>
      <c r="E1881" s="78">
        <v>1.22</v>
      </c>
      <c r="F1881" s="78">
        <v>179.9</v>
      </c>
      <c r="G1881" s="78"/>
      <c r="H1881" s="78">
        <v>1.6</v>
      </c>
      <c r="I1881" s="78"/>
      <c r="J1881" s="140">
        <v>45364</v>
      </c>
      <c r="K1881" s="13">
        <f t="shared" si="137"/>
        <v>351.16480000000001</v>
      </c>
      <c r="L1881" s="13"/>
      <c r="M1881" s="13"/>
      <c r="N1881" s="13">
        <f>G1881*H1881*I1881*E1881</f>
        <v>0</v>
      </c>
      <c r="O1881" s="15">
        <f>K1881*1.6667</f>
        <v>585.28637216000004</v>
      </c>
    </row>
    <row r="1882" spans="1:15" ht="15" customHeight="1">
      <c r="A1882" s="24">
        <v>568</v>
      </c>
      <c r="B1882" s="103" t="s">
        <v>2111</v>
      </c>
      <c r="C1882" s="78" t="s">
        <v>690</v>
      </c>
      <c r="D1882" s="93" t="s">
        <v>451</v>
      </c>
      <c r="E1882" s="78">
        <v>1.22</v>
      </c>
      <c r="F1882" s="78">
        <v>259</v>
      </c>
      <c r="G1882" s="121"/>
      <c r="H1882" s="78">
        <v>1.5</v>
      </c>
      <c r="I1882" s="121"/>
      <c r="J1882" s="138">
        <v>44889</v>
      </c>
      <c r="K1882" s="13">
        <f t="shared" si="137"/>
        <v>473.97</v>
      </c>
      <c r="L1882" s="41"/>
      <c r="M1882" s="41"/>
      <c r="N1882" s="38"/>
      <c r="O1882" s="38"/>
    </row>
    <row r="1883" spans="1:15" ht="15" customHeight="1">
      <c r="A1883" s="45" t="s">
        <v>3545</v>
      </c>
      <c r="B1883" s="88" t="s">
        <v>3546</v>
      </c>
      <c r="C1883" s="136" t="s">
        <v>3547</v>
      </c>
      <c r="D1883" s="28" t="s">
        <v>1921</v>
      </c>
      <c r="E1883" s="28">
        <v>1.22</v>
      </c>
      <c r="F1883" s="88">
        <v>0</v>
      </c>
      <c r="G1883" s="136"/>
      <c r="H1883" s="88">
        <v>1.65</v>
      </c>
      <c r="I1883" s="136"/>
      <c r="J1883" s="137">
        <v>45449</v>
      </c>
      <c r="K1883" s="35">
        <f t="shared" si="137"/>
        <v>0</v>
      </c>
      <c r="L1883" s="37"/>
      <c r="M1883" s="17"/>
      <c r="N1883" s="16"/>
      <c r="O1883" s="16"/>
    </row>
    <row r="1884" spans="1:15" ht="15" customHeight="1">
      <c r="A1884" s="68" t="s">
        <v>3548</v>
      </c>
      <c r="B1884" s="80" t="s">
        <v>3546</v>
      </c>
      <c r="C1884" s="136" t="s">
        <v>3549</v>
      </c>
      <c r="D1884" s="28" t="s">
        <v>1921</v>
      </c>
      <c r="E1884" s="28">
        <v>1.22</v>
      </c>
      <c r="F1884" s="80">
        <v>179</v>
      </c>
      <c r="G1884" s="136"/>
      <c r="H1884" s="80">
        <v>1.6</v>
      </c>
      <c r="I1884" s="136">
        <v>0</v>
      </c>
      <c r="J1884" s="134">
        <v>45612</v>
      </c>
      <c r="K1884" s="35">
        <f t="shared" si="137"/>
        <v>349.40800000000002</v>
      </c>
      <c r="L1884" s="37"/>
      <c r="M1884" s="17"/>
      <c r="N1884" s="16"/>
      <c r="O1884" s="16"/>
    </row>
    <row r="1885" spans="1:15" ht="15" customHeight="1">
      <c r="A1885" s="21" t="s">
        <v>2750</v>
      </c>
      <c r="B1885" s="28" t="s">
        <v>2480</v>
      </c>
      <c r="C1885" s="28" t="s">
        <v>15</v>
      </c>
      <c r="D1885" s="28" t="s">
        <v>451</v>
      </c>
      <c r="E1885" s="28">
        <v>1.22</v>
      </c>
      <c r="F1885" s="28">
        <v>207</v>
      </c>
      <c r="G1885" s="28"/>
      <c r="H1885" s="28">
        <v>1.6</v>
      </c>
      <c r="I1885" s="28"/>
      <c r="J1885" s="133">
        <v>45134</v>
      </c>
      <c r="K1885" s="9">
        <f t="shared" si="137"/>
        <v>404.06400000000002</v>
      </c>
      <c r="L1885" s="9"/>
      <c r="M1885" s="9"/>
      <c r="N1885" s="9">
        <f>G1885*H1885*I1885*E1885</f>
        <v>0</v>
      </c>
      <c r="O1885" s="3">
        <f>K1885*1.6667</f>
        <v>673.45346880000011</v>
      </c>
    </row>
    <row r="1886" spans="1:15" ht="15" customHeight="1">
      <c r="A1886" s="24" t="s">
        <v>2476</v>
      </c>
      <c r="B1886" s="78" t="s">
        <v>1987</v>
      </c>
      <c r="C1886" s="78" t="s">
        <v>1378</v>
      </c>
      <c r="D1886" s="85" t="s">
        <v>451</v>
      </c>
      <c r="E1886" s="78">
        <v>1</v>
      </c>
      <c r="F1886" s="78"/>
      <c r="G1886" s="78">
        <v>22.83</v>
      </c>
      <c r="H1886" s="78">
        <v>1.3</v>
      </c>
      <c r="I1886" s="78">
        <v>45</v>
      </c>
      <c r="J1886" s="140">
        <v>44658</v>
      </c>
      <c r="K1886" s="13">
        <f>+I1886*H1886*G1886</f>
        <v>1335.5549999999998</v>
      </c>
      <c r="L1886" s="13">
        <f>+H1886*G1886</f>
        <v>29.678999999999998</v>
      </c>
      <c r="M1886" s="13"/>
      <c r="N1886" s="13">
        <f>G1886*H1886*I1886*E1886</f>
        <v>1335.5549999999998</v>
      </c>
      <c r="O1886" s="15">
        <f>K1886*1.6667</f>
        <v>2225.9695184999996</v>
      </c>
    </row>
    <row r="1887" spans="1:15" ht="15" customHeight="1">
      <c r="A1887" s="47" t="s">
        <v>2750</v>
      </c>
      <c r="B1887" s="102" t="s">
        <v>2314</v>
      </c>
      <c r="C1887" s="102"/>
      <c r="D1887" s="78" t="s">
        <v>451</v>
      </c>
      <c r="E1887" s="102">
        <v>1.22</v>
      </c>
      <c r="F1887" s="102">
        <v>49.9</v>
      </c>
      <c r="G1887" s="102"/>
      <c r="H1887" s="102">
        <v>2</v>
      </c>
      <c r="I1887" s="102"/>
      <c r="J1887" s="144">
        <v>45133</v>
      </c>
      <c r="K1887" s="13">
        <f>E1887*F1887*H1887</f>
        <v>121.756</v>
      </c>
      <c r="L1887" s="13"/>
      <c r="M1887" s="41"/>
      <c r="N1887" s="48"/>
      <c r="O1887" s="48"/>
    </row>
    <row r="1888" spans="1:15" ht="15" customHeight="1">
      <c r="A1888" s="46">
        <v>428.01</v>
      </c>
      <c r="B1888" s="28" t="s">
        <v>2477</v>
      </c>
      <c r="C1888" s="28" t="s">
        <v>90</v>
      </c>
      <c r="D1888" s="28" t="s">
        <v>451</v>
      </c>
      <c r="E1888" s="28">
        <v>1</v>
      </c>
      <c r="F1888" s="28"/>
      <c r="G1888" s="79">
        <v>75</v>
      </c>
      <c r="H1888" s="28">
        <v>1.3</v>
      </c>
      <c r="I1888" s="79">
        <v>45</v>
      </c>
      <c r="J1888" s="134">
        <v>44658</v>
      </c>
      <c r="K1888" s="35">
        <f>+I1888*H1888*G1888*E1888</f>
        <v>4387.5</v>
      </c>
      <c r="L1888" s="37"/>
      <c r="M1888" s="17"/>
      <c r="N1888" s="16"/>
      <c r="O1888" s="16"/>
    </row>
    <row r="1889" spans="1:15" ht="15" customHeight="1">
      <c r="A1889" t="s">
        <v>4573</v>
      </c>
      <c r="B1889" s="254" t="s">
        <v>4574</v>
      </c>
      <c r="C1889" s="126" t="s">
        <v>4575</v>
      </c>
      <c r="D1889" s="126" t="s">
        <v>1921</v>
      </c>
      <c r="E1889" s="108">
        <v>1.22</v>
      </c>
      <c r="F1889" s="108">
        <v>178</v>
      </c>
      <c r="H1889" s="108">
        <v>1.8</v>
      </c>
      <c r="J1889" s="159">
        <v>46009</v>
      </c>
      <c r="K1889" s="13">
        <f t="shared" ref="K1889:K1919" si="138">E1889*F1889*H1889</f>
        <v>390.88799999999998</v>
      </c>
    </row>
    <row r="1890" spans="1:15" ht="15" customHeight="1">
      <c r="A1890" s="49" t="s">
        <v>3972</v>
      </c>
      <c r="B1890" s="147" t="s">
        <v>3973</v>
      </c>
      <c r="C1890" s="151"/>
      <c r="D1890" s="78" t="s">
        <v>1921</v>
      </c>
      <c r="E1890" s="78">
        <v>1.22</v>
      </c>
      <c r="F1890" s="147">
        <v>74</v>
      </c>
      <c r="G1890" s="151"/>
      <c r="H1890" s="147">
        <v>1.8</v>
      </c>
      <c r="I1890" s="151"/>
      <c r="J1890" s="139">
        <v>45636</v>
      </c>
      <c r="K1890" s="13">
        <f t="shared" si="138"/>
        <v>162.50400000000002</v>
      </c>
      <c r="L1890" s="64"/>
      <c r="M1890" s="41"/>
      <c r="N1890" s="38"/>
      <c r="O1890" s="38"/>
    </row>
    <row r="1891" spans="1:15" ht="15" customHeight="1">
      <c r="A1891" s="24" t="s">
        <v>2259</v>
      </c>
      <c r="B1891" s="78" t="s">
        <v>2260</v>
      </c>
      <c r="C1891" s="78"/>
      <c r="D1891" s="78" t="s">
        <v>451</v>
      </c>
      <c r="E1891" s="78">
        <v>1.22</v>
      </c>
      <c r="F1891" s="78">
        <v>250</v>
      </c>
      <c r="G1891" s="78"/>
      <c r="H1891" s="78">
        <v>1.6</v>
      </c>
      <c r="I1891" s="78"/>
      <c r="J1891" s="140">
        <v>44657</v>
      </c>
      <c r="K1891" s="13">
        <f t="shared" si="138"/>
        <v>488</v>
      </c>
      <c r="L1891" s="13"/>
      <c r="M1891" s="13"/>
      <c r="N1891" s="13">
        <f>G1891*H1891*I1891*E1891</f>
        <v>0</v>
      </c>
      <c r="O1891" s="15">
        <f>K1891*1.6667</f>
        <v>813.34960000000001</v>
      </c>
    </row>
    <row r="1892" spans="1:15" ht="15" customHeight="1">
      <c r="A1892" t="s">
        <v>4569</v>
      </c>
      <c r="B1892" s="108" t="s">
        <v>4570</v>
      </c>
      <c r="D1892" s="126" t="s">
        <v>1921</v>
      </c>
      <c r="E1892" s="108">
        <v>1.22</v>
      </c>
      <c r="F1892" s="108">
        <v>38</v>
      </c>
      <c r="H1892" s="108">
        <v>1.8</v>
      </c>
      <c r="J1892" s="159">
        <v>46009</v>
      </c>
      <c r="K1892" s="37">
        <f t="shared" si="138"/>
        <v>83.448000000000008</v>
      </c>
    </row>
    <row r="1893" spans="1:15" ht="15" customHeight="1">
      <c r="A1893" s="47" t="s">
        <v>2321</v>
      </c>
      <c r="B1893" s="102" t="s">
        <v>2322</v>
      </c>
      <c r="C1893" s="102" t="s">
        <v>2323</v>
      </c>
      <c r="D1893" s="93" t="s">
        <v>451</v>
      </c>
      <c r="E1893" s="152">
        <v>1.22</v>
      </c>
      <c r="F1893" s="102">
        <v>107</v>
      </c>
      <c r="G1893" s="102"/>
      <c r="H1893" s="152">
        <v>1.6</v>
      </c>
      <c r="I1893" s="102"/>
      <c r="J1893" s="144">
        <v>44881</v>
      </c>
      <c r="K1893" s="33">
        <f t="shared" si="138"/>
        <v>208.864</v>
      </c>
      <c r="L1893" s="13"/>
      <c r="M1893" s="41"/>
      <c r="N1893" s="48"/>
      <c r="O1893" s="48"/>
    </row>
    <row r="1894" spans="1:15" ht="15" customHeight="1">
      <c r="A1894" s="68">
        <v>0</v>
      </c>
      <c r="B1894" s="28" t="s">
        <v>3127</v>
      </c>
      <c r="C1894" s="79" t="s">
        <v>91</v>
      </c>
      <c r="D1894" s="28" t="s">
        <v>451</v>
      </c>
      <c r="E1894" s="299">
        <v>1.22</v>
      </c>
      <c r="F1894" s="284">
        <v>332</v>
      </c>
      <c r="G1894" s="301"/>
      <c r="H1894" s="299">
        <v>1.6</v>
      </c>
      <c r="I1894" s="110"/>
      <c r="J1894" s="134">
        <v>45155</v>
      </c>
      <c r="K1894" s="9">
        <f t="shared" si="138"/>
        <v>648.06399999999996</v>
      </c>
      <c r="L1894" s="9"/>
      <c r="M1894" s="17"/>
      <c r="N1894" s="16"/>
      <c r="O1894" s="16"/>
    </row>
    <row r="1895" spans="1:15" ht="15" customHeight="1">
      <c r="A1895" s="21"/>
      <c r="B1895" s="28" t="s">
        <v>2712</v>
      </c>
      <c r="C1895" s="28" t="s">
        <v>93</v>
      </c>
      <c r="D1895" s="28" t="s">
        <v>3303</v>
      </c>
      <c r="E1895" s="28">
        <v>1</v>
      </c>
      <c r="F1895" s="28">
        <v>26</v>
      </c>
      <c r="G1895" s="28"/>
      <c r="H1895" s="28">
        <v>1.7</v>
      </c>
      <c r="I1895" s="28"/>
      <c r="J1895" s="133">
        <v>46017</v>
      </c>
      <c r="K1895" s="9">
        <f t="shared" si="138"/>
        <v>44.199999999999996</v>
      </c>
      <c r="L1895" s="9"/>
      <c r="M1895" s="9"/>
      <c r="N1895" s="9">
        <f>G1895*H1895*I1895*E1895</f>
        <v>0</v>
      </c>
      <c r="O1895" s="3">
        <f>K1895*1.6667</f>
        <v>73.668139999999994</v>
      </c>
    </row>
    <row r="1896" spans="1:15" ht="15" customHeight="1">
      <c r="A1896" s="23"/>
      <c r="B1896" s="96" t="s">
        <v>2711</v>
      </c>
      <c r="C1896" s="96" t="s">
        <v>98</v>
      </c>
      <c r="D1896" s="96" t="s">
        <v>3303</v>
      </c>
      <c r="E1896" s="96">
        <v>1</v>
      </c>
      <c r="F1896" s="96">
        <v>650</v>
      </c>
      <c r="G1896" s="96"/>
      <c r="H1896" s="96">
        <v>1.4</v>
      </c>
      <c r="I1896" s="96"/>
      <c r="J1896" s="164">
        <v>46013</v>
      </c>
      <c r="K1896" s="12">
        <f t="shared" si="138"/>
        <v>909.99999999999989</v>
      </c>
      <c r="L1896" s="13"/>
      <c r="M1896" s="13"/>
      <c r="N1896" s="13">
        <f>G1896*H1896*I1896*E1896</f>
        <v>0</v>
      </c>
      <c r="O1896" s="62">
        <f>K1896*1.6667</f>
        <v>1516.6969999999999</v>
      </c>
    </row>
    <row r="1897" spans="1:15" ht="15" customHeight="1">
      <c r="A1897" s="45"/>
      <c r="B1897" s="28" t="s">
        <v>2893</v>
      </c>
      <c r="C1897" s="28" t="s">
        <v>98</v>
      </c>
      <c r="D1897" s="28" t="s">
        <v>19</v>
      </c>
      <c r="E1897" s="28">
        <v>1</v>
      </c>
      <c r="F1897" s="28">
        <v>453</v>
      </c>
      <c r="G1897" s="136">
        <v>0</v>
      </c>
      <c r="H1897" s="28">
        <v>1.3</v>
      </c>
      <c r="I1897" s="136">
        <v>39.75</v>
      </c>
      <c r="J1897" s="134">
        <v>46015</v>
      </c>
      <c r="K1897" s="9">
        <f t="shared" si="138"/>
        <v>588.9</v>
      </c>
      <c r="L1897" s="35"/>
      <c r="M1897" s="46"/>
      <c r="N1897" s="9">
        <f>G1897*H1897*I1897*E1897</f>
        <v>0</v>
      </c>
      <c r="O1897" s="45"/>
    </row>
    <row r="1898" spans="1:15" ht="15" customHeight="1">
      <c r="A1898" s="46"/>
      <c r="B1898" s="28" t="s">
        <v>2893</v>
      </c>
      <c r="C1898" s="80" t="s">
        <v>93</v>
      </c>
      <c r="D1898" s="28" t="s">
        <v>19</v>
      </c>
      <c r="E1898" s="28">
        <v>1</v>
      </c>
      <c r="F1898" s="28">
        <v>18.11</v>
      </c>
      <c r="G1898" s="79">
        <v>0.505</v>
      </c>
      <c r="H1898" s="28">
        <v>1.6</v>
      </c>
      <c r="I1898" s="79"/>
      <c r="J1898" s="134">
        <v>46015</v>
      </c>
      <c r="K1898" s="9">
        <f t="shared" si="138"/>
        <v>28.975999999999999</v>
      </c>
      <c r="L1898" s="35"/>
      <c r="M1898" s="46"/>
      <c r="N1898" s="9">
        <f>G1898*H1898*I1898*E1898</f>
        <v>0</v>
      </c>
      <c r="O1898" s="46"/>
    </row>
    <row r="1899" spans="1:15" ht="15" customHeight="1">
      <c r="A1899" s="46"/>
      <c r="B1899" s="28" t="s">
        <v>2893</v>
      </c>
      <c r="C1899" s="80" t="s">
        <v>93</v>
      </c>
      <c r="D1899" s="28" t="s">
        <v>119</v>
      </c>
      <c r="E1899" s="28">
        <v>1</v>
      </c>
      <c r="F1899" s="28">
        <v>24.05</v>
      </c>
      <c r="G1899" s="79"/>
      <c r="H1899" s="28">
        <v>1.35</v>
      </c>
      <c r="I1899" s="79"/>
      <c r="J1899" s="134">
        <v>45839</v>
      </c>
      <c r="K1899" s="9">
        <f t="shared" si="138"/>
        <v>32.467500000000001</v>
      </c>
      <c r="L1899" s="35"/>
      <c r="M1899" s="46"/>
      <c r="N1899" s="9"/>
      <c r="O1899" s="46"/>
    </row>
    <row r="1900" spans="1:15" ht="15" customHeight="1">
      <c r="A1900" s="46"/>
      <c r="B1900" s="28" t="s">
        <v>4153</v>
      </c>
      <c r="C1900" s="80" t="s">
        <v>98</v>
      </c>
      <c r="D1900" s="28" t="s">
        <v>119</v>
      </c>
      <c r="E1900" s="28">
        <v>1</v>
      </c>
      <c r="F1900" s="28">
        <v>600.41999999999996</v>
      </c>
      <c r="G1900" s="79"/>
      <c r="H1900" s="28">
        <v>1.3</v>
      </c>
      <c r="I1900" s="79"/>
      <c r="J1900" s="134">
        <v>45839</v>
      </c>
      <c r="K1900" s="9">
        <f t="shared" si="138"/>
        <v>780.54599999999994</v>
      </c>
      <c r="L1900" s="35"/>
      <c r="M1900" s="46"/>
      <c r="N1900" s="9"/>
      <c r="O1900" s="46"/>
    </row>
    <row r="1901" spans="1:15" ht="15" customHeight="1">
      <c r="A1901" s="58">
        <v>0</v>
      </c>
      <c r="B1901" s="78" t="s">
        <v>810</v>
      </c>
      <c r="C1901" s="125" t="s">
        <v>98</v>
      </c>
      <c r="D1901" s="78" t="s">
        <v>3303</v>
      </c>
      <c r="E1901" s="78">
        <v>1</v>
      </c>
      <c r="F1901" s="78">
        <v>1790</v>
      </c>
      <c r="G1901" s="125"/>
      <c r="H1901" s="78">
        <v>1.4</v>
      </c>
      <c r="I1901" s="125"/>
      <c r="J1901" s="140">
        <v>46013</v>
      </c>
      <c r="K1901" s="10">
        <f t="shared" si="138"/>
        <v>2506</v>
      </c>
      <c r="L1901" s="58"/>
      <c r="M1901" s="58"/>
      <c r="N1901" s="13">
        <f t="shared" ref="N1901:N1906" si="139">G1901*H1901*I1901*E1901</f>
        <v>0</v>
      </c>
      <c r="O1901" s="62">
        <f>K1901*1.6667</f>
        <v>4176.7502000000004</v>
      </c>
    </row>
    <row r="1902" spans="1:15" ht="15" customHeight="1">
      <c r="A1902" s="24"/>
      <c r="B1902" s="78" t="s">
        <v>810</v>
      </c>
      <c r="C1902" s="78" t="s">
        <v>93</v>
      </c>
      <c r="D1902" s="78" t="s">
        <v>3303</v>
      </c>
      <c r="E1902" s="78">
        <v>1</v>
      </c>
      <c r="F1902" s="78">
        <v>76</v>
      </c>
      <c r="G1902" s="78"/>
      <c r="H1902" s="78">
        <v>1.8</v>
      </c>
      <c r="I1902" s="78"/>
      <c r="J1902" s="140">
        <v>46013</v>
      </c>
      <c r="K1902" s="33">
        <f t="shared" si="138"/>
        <v>136.80000000000001</v>
      </c>
      <c r="L1902" s="13"/>
      <c r="M1902" s="13"/>
      <c r="N1902" s="13">
        <f t="shared" si="139"/>
        <v>0</v>
      </c>
      <c r="O1902" s="15">
        <f>K1902*1.6667</f>
        <v>228.00456000000003</v>
      </c>
    </row>
    <row r="1903" spans="1:15" ht="15.75" customHeight="1">
      <c r="A1903" s="32"/>
      <c r="B1903" s="93" t="s">
        <v>4309</v>
      </c>
      <c r="C1903" s="93" t="s">
        <v>98</v>
      </c>
      <c r="D1903" s="93" t="s">
        <v>3303</v>
      </c>
      <c r="E1903" s="93">
        <v>1</v>
      </c>
      <c r="F1903" s="93">
        <v>1650</v>
      </c>
      <c r="G1903" s="93"/>
      <c r="H1903" s="93">
        <v>1.4</v>
      </c>
      <c r="I1903" s="93"/>
      <c r="J1903" s="146">
        <v>46013</v>
      </c>
      <c r="K1903" s="33">
        <f t="shared" si="138"/>
        <v>2310</v>
      </c>
      <c r="L1903" s="33"/>
      <c r="M1903" s="33"/>
      <c r="N1903" s="9">
        <f t="shared" si="139"/>
        <v>0</v>
      </c>
      <c r="O1903" s="36">
        <f>K1903*1.6667</f>
        <v>3850.0770000000002</v>
      </c>
    </row>
    <row r="1904" spans="1:15" ht="15" customHeight="1">
      <c r="A1904" s="22"/>
      <c r="B1904" s="28" t="s">
        <v>4309</v>
      </c>
      <c r="C1904" s="28" t="s">
        <v>93</v>
      </c>
      <c r="D1904" s="28" t="s">
        <v>3303</v>
      </c>
      <c r="E1904" s="28">
        <v>1</v>
      </c>
      <c r="F1904" s="28">
        <v>66</v>
      </c>
      <c r="G1904" s="28"/>
      <c r="H1904" s="28">
        <v>1.8</v>
      </c>
      <c r="I1904" s="28"/>
      <c r="J1904" s="146">
        <v>46013</v>
      </c>
      <c r="K1904" s="9">
        <f t="shared" si="138"/>
        <v>118.8</v>
      </c>
      <c r="L1904" s="9"/>
      <c r="M1904" s="9"/>
      <c r="N1904" s="243">
        <f t="shared" si="139"/>
        <v>0</v>
      </c>
      <c r="O1904" s="14">
        <f>K1904*1.6667</f>
        <v>198.00396000000001</v>
      </c>
    </row>
    <row r="1905" spans="1:15" ht="15" customHeight="1">
      <c r="A1905" s="45"/>
      <c r="B1905" s="80" t="s">
        <v>3231</v>
      </c>
      <c r="C1905" s="80" t="s">
        <v>93</v>
      </c>
      <c r="D1905" s="28" t="s">
        <v>19</v>
      </c>
      <c r="E1905" s="28">
        <v>1</v>
      </c>
      <c r="F1905" s="80">
        <v>0</v>
      </c>
      <c r="G1905" s="79"/>
      <c r="H1905" s="80">
        <v>1.6</v>
      </c>
      <c r="I1905" s="79"/>
      <c r="J1905" s="134" t="s">
        <v>4356</v>
      </c>
      <c r="K1905" s="9">
        <f t="shared" si="138"/>
        <v>0</v>
      </c>
      <c r="L1905" s="35"/>
      <c r="M1905" s="46"/>
      <c r="N1905" s="59">
        <f t="shared" si="139"/>
        <v>0</v>
      </c>
      <c r="O1905" s="45"/>
    </row>
    <row r="1906" spans="1:15" ht="15" customHeight="1">
      <c r="A1906" s="21"/>
      <c r="B1906" s="28" t="s">
        <v>4160</v>
      </c>
      <c r="C1906" s="28" t="s">
        <v>98</v>
      </c>
      <c r="D1906" s="28" t="s">
        <v>19</v>
      </c>
      <c r="E1906" s="28">
        <v>1</v>
      </c>
      <c r="F1906" s="28">
        <v>0</v>
      </c>
      <c r="G1906" s="28"/>
      <c r="H1906" s="28">
        <v>1.3</v>
      </c>
      <c r="I1906" s="28"/>
      <c r="J1906" s="183">
        <v>45771</v>
      </c>
      <c r="K1906" s="9">
        <f t="shared" si="138"/>
        <v>0</v>
      </c>
      <c r="L1906" s="9"/>
      <c r="M1906" s="9"/>
      <c r="N1906" s="59">
        <f t="shared" si="139"/>
        <v>0</v>
      </c>
      <c r="O1906" s="3"/>
    </row>
    <row r="1907" spans="1:15" ht="15" customHeight="1">
      <c r="A1907" s="46"/>
      <c r="B1907" s="80" t="s">
        <v>4159</v>
      </c>
      <c r="C1907" s="80" t="s">
        <v>98</v>
      </c>
      <c r="D1907" s="28" t="s">
        <v>19</v>
      </c>
      <c r="E1907" s="28">
        <v>1</v>
      </c>
      <c r="F1907" s="80">
        <v>0</v>
      </c>
      <c r="G1907" s="79"/>
      <c r="H1907" s="80">
        <v>1.3</v>
      </c>
      <c r="I1907" s="79"/>
      <c r="J1907" s="183">
        <v>45771</v>
      </c>
      <c r="K1907" s="9">
        <f t="shared" si="138"/>
        <v>0</v>
      </c>
      <c r="L1907" s="35"/>
      <c r="M1907" s="46"/>
      <c r="N1907" s="59"/>
      <c r="O1907" s="46"/>
    </row>
    <row r="1908" spans="1:15" ht="15" customHeight="1">
      <c r="A1908" s="21"/>
      <c r="B1908" s="28" t="s">
        <v>2613</v>
      </c>
      <c r="C1908" s="28" t="s">
        <v>93</v>
      </c>
      <c r="D1908" s="28" t="s">
        <v>119</v>
      </c>
      <c r="E1908" s="28">
        <v>1</v>
      </c>
      <c r="F1908" s="28">
        <v>22.48</v>
      </c>
      <c r="G1908" s="28">
        <v>0</v>
      </c>
      <c r="H1908" s="28">
        <v>1.4</v>
      </c>
      <c r="I1908" s="28">
        <v>41.35</v>
      </c>
      <c r="J1908" s="133">
        <v>45727</v>
      </c>
      <c r="K1908" s="9">
        <f t="shared" si="138"/>
        <v>31.471999999999998</v>
      </c>
      <c r="L1908" s="9"/>
      <c r="M1908" s="9"/>
      <c r="N1908" s="59">
        <f t="shared" ref="N1908:N1922" si="140">G1908*H1908*I1908*E1908</f>
        <v>0</v>
      </c>
      <c r="O1908" s="3">
        <f>K1908*1.6667</f>
        <v>52.4543824</v>
      </c>
    </row>
    <row r="1909" spans="1:15" ht="15" customHeight="1">
      <c r="A1909" s="21">
        <v>5764</v>
      </c>
      <c r="B1909" s="28" t="s">
        <v>2929</v>
      </c>
      <c r="C1909" s="28" t="s">
        <v>98</v>
      </c>
      <c r="D1909" s="28" t="s">
        <v>119</v>
      </c>
      <c r="E1909" s="28">
        <v>1</v>
      </c>
      <c r="F1909" s="28">
        <v>562</v>
      </c>
      <c r="G1909" s="28">
        <v>0.51500000000000001</v>
      </c>
      <c r="H1909" s="28">
        <v>1.3</v>
      </c>
      <c r="I1909" s="28">
        <v>41.35</v>
      </c>
      <c r="J1909" s="133">
        <v>45727</v>
      </c>
      <c r="K1909" s="9">
        <f t="shared" si="138"/>
        <v>730.6</v>
      </c>
      <c r="L1909" s="9"/>
      <c r="M1909" s="9"/>
      <c r="N1909" s="59">
        <f t="shared" si="140"/>
        <v>27.683825000000006</v>
      </c>
      <c r="O1909" s="36">
        <f>K1909*1.6667</f>
        <v>1217.69102</v>
      </c>
    </row>
    <row r="1910" spans="1:15" ht="15" customHeight="1">
      <c r="A1910" s="21"/>
      <c r="B1910" s="28" t="s">
        <v>4161</v>
      </c>
      <c r="C1910" s="28" t="s">
        <v>93</v>
      </c>
      <c r="D1910" s="28" t="s">
        <v>19</v>
      </c>
      <c r="E1910" s="28">
        <v>1</v>
      </c>
      <c r="F1910" s="28">
        <v>16</v>
      </c>
      <c r="G1910" s="28"/>
      <c r="H1910" s="28">
        <v>1.6</v>
      </c>
      <c r="I1910" s="28"/>
      <c r="J1910" s="134">
        <v>45771</v>
      </c>
      <c r="K1910" s="9">
        <f t="shared" si="138"/>
        <v>25.6</v>
      </c>
      <c r="L1910" s="9"/>
      <c r="M1910" s="9"/>
      <c r="N1910" s="59">
        <f t="shared" si="140"/>
        <v>0</v>
      </c>
      <c r="O1910" s="3"/>
    </row>
    <row r="1911" spans="1:15" ht="15" customHeight="1">
      <c r="A1911" s="20"/>
      <c r="B1911" s="85" t="s">
        <v>823</v>
      </c>
      <c r="C1911" s="85" t="s">
        <v>20</v>
      </c>
      <c r="D1911" s="85" t="s">
        <v>3303</v>
      </c>
      <c r="E1911" s="85">
        <v>1</v>
      </c>
      <c r="F1911" s="85">
        <v>34</v>
      </c>
      <c r="G1911" s="85"/>
      <c r="H1911" s="85">
        <v>1.8</v>
      </c>
      <c r="I1911" s="85"/>
      <c r="J1911" s="131">
        <v>46013</v>
      </c>
      <c r="K1911" s="10">
        <f t="shared" si="138"/>
        <v>61.2</v>
      </c>
      <c r="L1911" s="10"/>
      <c r="M1911" s="10"/>
      <c r="N1911" s="9">
        <f t="shared" si="140"/>
        <v>0</v>
      </c>
      <c r="O1911" s="3">
        <f>K1911*1.6667</f>
        <v>102.00204000000001</v>
      </c>
    </row>
    <row r="1912" spans="1:15" ht="15" customHeight="1">
      <c r="A1912" s="21"/>
      <c r="B1912" s="28" t="s">
        <v>823</v>
      </c>
      <c r="C1912" s="28" t="s">
        <v>98</v>
      </c>
      <c r="D1912" s="28" t="s">
        <v>3303</v>
      </c>
      <c r="E1912" s="28">
        <v>1</v>
      </c>
      <c r="F1912" s="28">
        <v>850</v>
      </c>
      <c r="G1912" s="28"/>
      <c r="H1912" s="28">
        <v>1.4</v>
      </c>
      <c r="I1912" s="28"/>
      <c r="J1912" s="133">
        <v>46013</v>
      </c>
      <c r="K1912" s="9">
        <f t="shared" si="138"/>
        <v>1190</v>
      </c>
      <c r="L1912" s="9"/>
      <c r="M1912" s="9"/>
      <c r="N1912" s="9">
        <f t="shared" si="140"/>
        <v>0</v>
      </c>
      <c r="O1912" s="36">
        <f>K1912*1.6667</f>
        <v>1983.373</v>
      </c>
    </row>
    <row r="1913" spans="1:15" ht="15" customHeight="1">
      <c r="A1913" s="22">
        <v>0</v>
      </c>
      <c r="B1913" s="28" t="s">
        <v>2655</v>
      </c>
      <c r="C1913" s="81" t="s">
        <v>98</v>
      </c>
      <c r="D1913" s="28" t="s">
        <v>119</v>
      </c>
      <c r="E1913" s="28">
        <v>1</v>
      </c>
      <c r="F1913" s="28">
        <v>0</v>
      </c>
      <c r="G1913" s="81">
        <v>0</v>
      </c>
      <c r="H1913" s="28">
        <v>1.35</v>
      </c>
      <c r="I1913" s="81"/>
      <c r="J1913" s="133">
        <v>44776</v>
      </c>
      <c r="K1913" s="9">
        <f t="shared" si="138"/>
        <v>0</v>
      </c>
      <c r="L1913" s="9"/>
      <c r="M1913" s="9"/>
      <c r="N1913" s="9">
        <f t="shared" si="140"/>
        <v>0</v>
      </c>
      <c r="O1913" s="36">
        <f>K1913*1.6667</f>
        <v>0</v>
      </c>
    </row>
    <row r="1914" spans="1:15" ht="15" customHeight="1">
      <c r="A1914" s="21">
        <v>2</v>
      </c>
      <c r="B1914" s="28" t="s">
        <v>537</v>
      </c>
      <c r="C1914" s="28" t="s">
        <v>518</v>
      </c>
      <c r="D1914" s="28" t="s">
        <v>119</v>
      </c>
      <c r="E1914" s="28">
        <v>1</v>
      </c>
      <c r="F1914" s="28">
        <v>0</v>
      </c>
      <c r="G1914" s="28">
        <v>0</v>
      </c>
      <c r="H1914" s="28">
        <v>1.3</v>
      </c>
      <c r="I1914" s="28">
        <v>45</v>
      </c>
      <c r="J1914" s="133">
        <v>44410</v>
      </c>
      <c r="K1914" s="9">
        <f t="shared" si="138"/>
        <v>0</v>
      </c>
      <c r="L1914" s="9"/>
      <c r="M1914" s="9"/>
      <c r="N1914" s="9">
        <f t="shared" si="140"/>
        <v>0</v>
      </c>
      <c r="O1914" s="3">
        <f>K1914*1.6667</f>
        <v>0</v>
      </c>
    </row>
    <row r="1915" spans="1:15" ht="15" customHeight="1">
      <c r="A1915" s="21">
        <v>2</v>
      </c>
      <c r="B1915" s="28" t="s">
        <v>537</v>
      </c>
      <c r="C1915" s="28" t="s">
        <v>93</v>
      </c>
      <c r="D1915" s="28" t="s">
        <v>119</v>
      </c>
      <c r="E1915" s="28">
        <v>1</v>
      </c>
      <c r="F1915" s="28">
        <v>0</v>
      </c>
      <c r="G1915" s="28">
        <v>0</v>
      </c>
      <c r="H1915" s="28">
        <v>1.7</v>
      </c>
      <c r="I1915" s="28">
        <v>44</v>
      </c>
      <c r="J1915" s="133">
        <v>44410</v>
      </c>
      <c r="K1915" s="9">
        <f t="shared" si="138"/>
        <v>0</v>
      </c>
      <c r="L1915" s="9"/>
      <c r="M1915" s="9"/>
      <c r="N1915" s="9">
        <f t="shared" si="140"/>
        <v>0</v>
      </c>
      <c r="O1915" s="16"/>
    </row>
    <row r="1916" spans="1:15" ht="15" customHeight="1">
      <c r="A1916" s="46"/>
      <c r="B1916" s="28" t="s">
        <v>537</v>
      </c>
      <c r="C1916" s="80" t="s">
        <v>98</v>
      </c>
      <c r="D1916" s="28" t="s">
        <v>19</v>
      </c>
      <c r="E1916" s="80">
        <v>1</v>
      </c>
      <c r="F1916" s="80">
        <v>433</v>
      </c>
      <c r="G1916" s="79">
        <v>11.88</v>
      </c>
      <c r="H1916" s="80">
        <v>1.3</v>
      </c>
      <c r="I1916" s="79"/>
      <c r="J1916" s="133">
        <v>46015</v>
      </c>
      <c r="K1916" s="9">
        <f t="shared" si="138"/>
        <v>562.9</v>
      </c>
      <c r="L1916" s="35"/>
      <c r="M1916" s="46"/>
      <c r="N1916" s="9">
        <f t="shared" si="140"/>
        <v>0</v>
      </c>
      <c r="O1916" s="46"/>
    </row>
    <row r="1917" spans="1:15" ht="15" customHeight="1">
      <c r="A1917" s="21"/>
      <c r="B1917" s="28" t="s">
        <v>537</v>
      </c>
      <c r="C1917" s="28" t="s">
        <v>93</v>
      </c>
      <c r="D1917" s="28" t="s">
        <v>19</v>
      </c>
      <c r="E1917" s="28">
        <v>1</v>
      </c>
      <c r="F1917" s="28">
        <v>17.32</v>
      </c>
      <c r="G1917" s="28">
        <v>0.49</v>
      </c>
      <c r="H1917" s="28">
        <v>1.6</v>
      </c>
      <c r="I1917" s="28"/>
      <c r="J1917" s="133">
        <v>46015</v>
      </c>
      <c r="K1917" s="13">
        <f t="shared" si="138"/>
        <v>27.712000000000003</v>
      </c>
      <c r="L1917" s="9">
        <f>+H1917*G1917</f>
        <v>0.78400000000000003</v>
      </c>
      <c r="M1917" s="9"/>
      <c r="N1917" s="9">
        <f t="shared" si="140"/>
        <v>0</v>
      </c>
      <c r="O1917" s="244" t="e">
        <f>#REF!*1.6667</f>
        <v>#REF!</v>
      </c>
    </row>
    <row r="1918" spans="1:15" ht="21" customHeight="1">
      <c r="A1918" s="21">
        <v>5764</v>
      </c>
      <c r="B1918" s="28" t="s">
        <v>519</v>
      </c>
      <c r="C1918" s="28" t="s">
        <v>93</v>
      </c>
      <c r="D1918" s="28" t="s">
        <v>119</v>
      </c>
      <c r="E1918" s="28">
        <v>1</v>
      </c>
      <c r="F1918" s="28">
        <v>0</v>
      </c>
      <c r="G1918" s="28">
        <v>0</v>
      </c>
      <c r="H1918" s="28">
        <v>1.7</v>
      </c>
      <c r="I1918" s="28">
        <v>44</v>
      </c>
      <c r="J1918" s="133">
        <v>44410</v>
      </c>
      <c r="K1918" s="9">
        <f t="shared" si="138"/>
        <v>0</v>
      </c>
      <c r="L1918" s="9"/>
      <c r="M1918" s="9"/>
      <c r="N1918" s="9">
        <f t="shared" si="140"/>
        <v>0</v>
      </c>
      <c r="O1918" s="3">
        <f>K1918*1.6667</f>
        <v>0</v>
      </c>
    </row>
    <row r="1919" spans="1:15" ht="22.5" customHeight="1">
      <c r="A1919" s="21">
        <v>5764</v>
      </c>
      <c r="B1919" s="28" t="s">
        <v>519</v>
      </c>
      <c r="C1919" s="28" t="s">
        <v>93</v>
      </c>
      <c r="D1919" s="28" t="s">
        <v>19</v>
      </c>
      <c r="E1919" s="28">
        <v>1</v>
      </c>
      <c r="F1919" s="28">
        <v>16.77</v>
      </c>
      <c r="G1919" s="28">
        <v>0.44519999999999998</v>
      </c>
      <c r="H1919" s="28">
        <v>1.7</v>
      </c>
      <c r="I1919" s="28"/>
      <c r="J1919" s="133">
        <v>45972</v>
      </c>
      <c r="K1919" s="9">
        <f t="shared" si="138"/>
        <v>28.508999999999997</v>
      </c>
      <c r="L1919" s="9"/>
      <c r="M1919" s="9"/>
      <c r="N1919" s="9">
        <f t="shared" si="140"/>
        <v>0</v>
      </c>
      <c r="O1919" s="244">
        <f>K1919*1.6667</f>
        <v>47.5159503</v>
      </c>
    </row>
    <row r="1920" spans="1:15" ht="21.75" customHeight="1">
      <c r="A1920" s="46">
        <v>5764</v>
      </c>
      <c r="B1920" s="28" t="s">
        <v>519</v>
      </c>
      <c r="C1920" s="80" t="s">
        <v>2794</v>
      </c>
      <c r="D1920" s="28" t="s">
        <v>19</v>
      </c>
      <c r="E1920" s="80">
        <v>1</v>
      </c>
      <c r="F1920" s="80">
        <v>419.23</v>
      </c>
      <c r="G1920" s="80">
        <v>10.875</v>
      </c>
      <c r="H1920" s="80">
        <v>1.3</v>
      </c>
      <c r="I1920" s="80"/>
      <c r="J1920" s="133">
        <v>45972</v>
      </c>
      <c r="K1920" s="35">
        <f>+H1920*F1920</f>
        <v>544.99900000000002</v>
      </c>
      <c r="L1920" s="35"/>
      <c r="M1920" s="46"/>
      <c r="N1920" s="9">
        <f t="shared" si="140"/>
        <v>0</v>
      </c>
      <c r="O1920" s="46"/>
    </row>
    <row r="1921" spans="1:15" ht="15" customHeight="1">
      <c r="A1921" s="32"/>
      <c r="B1921" s="93" t="s">
        <v>770</v>
      </c>
      <c r="C1921" s="93" t="s">
        <v>93</v>
      </c>
      <c r="D1921" s="93" t="s">
        <v>19</v>
      </c>
      <c r="E1921" s="93">
        <v>1</v>
      </c>
      <c r="F1921" s="93">
        <v>16.2</v>
      </c>
      <c r="G1921" s="93">
        <v>0.44</v>
      </c>
      <c r="H1921" s="93">
        <v>1.65</v>
      </c>
      <c r="I1921" s="93"/>
      <c r="J1921" s="183">
        <v>45939</v>
      </c>
      <c r="K1921" s="173">
        <f>+H1921*F1921</f>
        <v>26.729999999999997</v>
      </c>
      <c r="L1921" s="9"/>
      <c r="M1921" s="9"/>
      <c r="N1921" s="9">
        <f t="shared" si="140"/>
        <v>0</v>
      </c>
      <c r="O1921" s="244">
        <f>K1921*1.6667</f>
        <v>44.550891</v>
      </c>
    </row>
    <row r="1922" spans="1:15" ht="15" customHeight="1">
      <c r="A1922" s="46"/>
      <c r="B1922" s="28" t="s">
        <v>770</v>
      </c>
      <c r="C1922" s="80" t="s">
        <v>2794</v>
      </c>
      <c r="D1922" s="28" t="s">
        <v>19</v>
      </c>
      <c r="E1922" s="80">
        <v>1</v>
      </c>
      <c r="F1922" s="80">
        <v>405</v>
      </c>
      <c r="G1922" s="80">
        <v>10.63</v>
      </c>
      <c r="H1922" s="80">
        <v>1.3</v>
      </c>
      <c r="I1922" s="80"/>
      <c r="J1922" s="134">
        <v>45939</v>
      </c>
      <c r="K1922" s="9">
        <f>E1922*F1922*H1922</f>
        <v>526.5</v>
      </c>
      <c r="L1922" s="277"/>
      <c r="M1922" s="46"/>
      <c r="N1922" s="9">
        <f t="shared" si="140"/>
        <v>0</v>
      </c>
      <c r="O1922" s="46"/>
    </row>
    <row r="1923" spans="1:15" ht="15" customHeight="1">
      <c r="A1923" s="70"/>
      <c r="B1923" s="91" t="s">
        <v>2079</v>
      </c>
      <c r="C1923" s="117" t="s">
        <v>1852</v>
      </c>
      <c r="D1923" s="129"/>
      <c r="E1923" s="91">
        <v>1</v>
      </c>
      <c r="F1923" s="91">
        <v>228.38</v>
      </c>
      <c r="G1923" s="117"/>
      <c r="H1923" s="91">
        <v>1.4</v>
      </c>
      <c r="I1923" s="117"/>
      <c r="J1923" s="169">
        <v>44257</v>
      </c>
      <c r="K1923" s="238">
        <f>E1923*F1923*H1923</f>
        <v>319.73199999999997</v>
      </c>
      <c r="L1923" s="231"/>
      <c r="M1923" s="17"/>
      <c r="N1923" s="16"/>
      <c r="O1923" s="16"/>
    </row>
    <row r="1924" spans="1:15" ht="15" customHeight="1">
      <c r="A1924" s="291"/>
      <c r="B1924" s="267" t="s">
        <v>2077</v>
      </c>
      <c r="C1924" s="297" t="s">
        <v>2078</v>
      </c>
      <c r="D1924" s="223"/>
      <c r="E1924" s="267">
        <v>1</v>
      </c>
      <c r="F1924" s="267">
        <v>156.62</v>
      </c>
      <c r="G1924" s="297"/>
      <c r="H1924" s="267">
        <v>1.4</v>
      </c>
      <c r="I1924" s="297"/>
      <c r="J1924" s="305">
        <v>44257</v>
      </c>
      <c r="K1924" s="307">
        <f>E1924*F1924*H1924</f>
        <v>219.268</v>
      </c>
      <c r="L1924" s="9"/>
      <c r="M1924" s="17"/>
      <c r="N1924" s="16"/>
      <c r="O1924" s="16"/>
    </row>
    <row r="1925" spans="1:15" ht="15" customHeight="1">
      <c r="A1925" s="21"/>
      <c r="B1925" s="28" t="s">
        <v>1141</v>
      </c>
      <c r="C1925" s="28"/>
      <c r="D1925" s="28"/>
      <c r="E1925" s="28"/>
      <c r="F1925" s="28"/>
      <c r="G1925" s="28"/>
      <c r="H1925" s="28"/>
      <c r="I1925" s="28"/>
      <c r="J1925" s="133"/>
      <c r="K1925" s="9"/>
      <c r="L1925" s="9"/>
      <c r="M1925" s="9"/>
      <c r="N1925" s="9"/>
      <c r="O1925" s="3"/>
    </row>
    <row r="1926" spans="1:15" ht="15" customHeight="1">
      <c r="A1926" s="1">
        <v>304835</v>
      </c>
      <c r="B1926" s="28" t="s">
        <v>2045</v>
      </c>
      <c r="C1926" s="121"/>
      <c r="D1926" s="28" t="s">
        <v>451</v>
      </c>
      <c r="E1926" s="28">
        <v>1.22</v>
      </c>
      <c r="F1926" s="78">
        <v>148.97999999999999</v>
      </c>
      <c r="G1926" s="121"/>
      <c r="H1926" s="87">
        <v>1.3</v>
      </c>
      <c r="I1926" s="121"/>
      <c r="J1926" s="135">
        <v>44231</v>
      </c>
      <c r="K1926" s="9">
        <f>E1926*F1926*H1926</f>
        <v>236.28227999999999</v>
      </c>
      <c r="L1926" s="13"/>
      <c r="M1926" s="41"/>
      <c r="N1926" s="38"/>
      <c r="O1926" s="38"/>
    </row>
    <row r="1927" spans="1:15" ht="15" customHeight="1">
      <c r="A1927" s="24">
        <v>301892</v>
      </c>
      <c r="B1927" s="78" t="s">
        <v>1964</v>
      </c>
      <c r="C1927" s="78" t="s">
        <v>15</v>
      </c>
      <c r="D1927" s="28" t="s">
        <v>451</v>
      </c>
      <c r="E1927" s="28">
        <v>1</v>
      </c>
      <c r="F1927" s="78">
        <v>148.01</v>
      </c>
      <c r="G1927" s="78"/>
      <c r="H1927" s="28">
        <v>1.6</v>
      </c>
      <c r="I1927" s="78"/>
      <c r="J1927" s="140">
        <v>44148</v>
      </c>
      <c r="K1927" s="9">
        <f>E1927*F1927*H1927</f>
        <v>236.816</v>
      </c>
      <c r="L1927" s="13"/>
      <c r="M1927" s="13"/>
      <c r="N1927" s="13">
        <f>G1927*H1927*I1927*E1927</f>
        <v>0</v>
      </c>
      <c r="O1927" s="15">
        <f>K1927*1.6667</f>
        <v>394.70122720000001</v>
      </c>
    </row>
    <row r="1928" spans="1:15" ht="15" customHeight="1">
      <c r="A1928" s="38"/>
      <c r="B1928" s="103" t="s">
        <v>3340</v>
      </c>
      <c r="C1928" s="121"/>
      <c r="D1928" s="110" t="s">
        <v>3301</v>
      </c>
      <c r="E1928" s="87">
        <v>1.22</v>
      </c>
      <c r="F1928" s="103">
        <v>69</v>
      </c>
      <c r="G1928" s="121"/>
      <c r="H1928" s="87">
        <v>1.8</v>
      </c>
      <c r="I1928" s="121"/>
      <c r="J1928" s="138">
        <v>45301</v>
      </c>
      <c r="K1928" s="37">
        <f>E1928*F1928*H1928</f>
        <v>151.524</v>
      </c>
      <c r="L1928" s="64"/>
      <c r="M1928" s="41"/>
      <c r="N1928" s="38"/>
      <c r="O1928" s="38"/>
    </row>
    <row r="1929" spans="1:15" ht="15" customHeight="1">
      <c r="A1929" s="24" t="s">
        <v>1578</v>
      </c>
      <c r="B1929" s="78" t="s">
        <v>1579</v>
      </c>
      <c r="C1929" s="78"/>
      <c r="D1929" s="28" t="s">
        <v>451</v>
      </c>
      <c r="E1929" s="28">
        <v>1.22</v>
      </c>
      <c r="F1929" s="78">
        <v>25</v>
      </c>
      <c r="G1929" s="78"/>
      <c r="H1929" s="28">
        <v>2</v>
      </c>
      <c r="I1929" s="78"/>
      <c r="J1929" s="140">
        <v>43900</v>
      </c>
      <c r="K1929" s="9">
        <f>E1929*F1929*H1929</f>
        <v>61</v>
      </c>
      <c r="L1929" s="13"/>
      <c r="M1929" s="13"/>
      <c r="N1929" s="13">
        <f>G1929*H1929*I1929*E1929</f>
        <v>0</v>
      </c>
      <c r="O1929" s="15">
        <f>K1929*1.6667</f>
        <v>101.6687</v>
      </c>
    </row>
    <row r="1930" spans="1:15" ht="15" customHeight="1">
      <c r="A1930" s="38"/>
      <c r="B1930" s="78" t="s">
        <v>2882</v>
      </c>
      <c r="C1930" s="121"/>
      <c r="D1930" s="28" t="s">
        <v>3301</v>
      </c>
      <c r="E1930" s="87"/>
      <c r="F1930" s="103"/>
      <c r="G1930" s="121"/>
      <c r="H1930" s="87"/>
      <c r="I1930" s="121"/>
      <c r="J1930" s="103"/>
      <c r="K1930" s="37"/>
      <c r="L1930" s="64"/>
      <c r="M1930" s="41"/>
      <c r="N1930" s="38"/>
      <c r="O1930" s="38"/>
    </row>
    <row r="1931" spans="1:15" ht="15" customHeight="1">
      <c r="A1931" s="38"/>
      <c r="B1931" s="78" t="s">
        <v>2958</v>
      </c>
      <c r="C1931" s="121"/>
      <c r="D1931" s="28" t="s">
        <v>3301</v>
      </c>
      <c r="E1931" s="87">
        <v>1.22</v>
      </c>
      <c r="F1931" s="78">
        <v>49</v>
      </c>
      <c r="G1931" s="121"/>
      <c r="H1931" s="103">
        <v>1.8</v>
      </c>
      <c r="I1931" s="121"/>
      <c r="J1931" s="138">
        <v>45005</v>
      </c>
      <c r="K1931" s="41">
        <f>E1931*F1931*H1931</f>
        <v>107.604</v>
      </c>
      <c r="L1931" s="64"/>
      <c r="M1931" s="41"/>
      <c r="N1931" s="38"/>
      <c r="O1931" s="38"/>
    </row>
    <row r="1932" spans="1:15" ht="15" customHeight="1">
      <c r="A1932" s="38"/>
      <c r="B1932" s="78" t="s">
        <v>3280</v>
      </c>
      <c r="C1932" s="121"/>
      <c r="D1932" s="28" t="s">
        <v>3301</v>
      </c>
      <c r="E1932" s="87">
        <v>1.22</v>
      </c>
      <c r="F1932" s="103">
        <v>199</v>
      </c>
      <c r="G1932" s="121"/>
      <c r="H1932" s="103">
        <v>1.7</v>
      </c>
      <c r="I1932" s="121"/>
      <c r="J1932" s="138">
        <v>45265</v>
      </c>
      <c r="K1932" s="41">
        <f>E1932*F1932*H1932</f>
        <v>412.726</v>
      </c>
      <c r="L1932" s="64"/>
      <c r="M1932" s="41"/>
      <c r="N1932" s="38"/>
      <c r="O1932" s="38"/>
    </row>
    <row r="1933" spans="1:15" ht="15" customHeight="1">
      <c r="A1933" s="38"/>
      <c r="B1933" s="78" t="s">
        <v>2881</v>
      </c>
      <c r="C1933" s="121"/>
      <c r="D1933" s="28" t="s">
        <v>3301</v>
      </c>
      <c r="E1933" s="87"/>
      <c r="F1933" s="103"/>
      <c r="G1933" s="121"/>
      <c r="H1933" s="103"/>
      <c r="I1933" s="121"/>
      <c r="J1933" s="103"/>
      <c r="K1933" s="64"/>
      <c r="L1933" s="64"/>
      <c r="M1933" s="41"/>
      <c r="N1933" s="38"/>
      <c r="O1933" s="38"/>
    </row>
    <row r="1934" spans="1:15" ht="15" customHeight="1">
      <c r="A1934" s="38"/>
      <c r="B1934" s="103" t="s">
        <v>3342</v>
      </c>
      <c r="C1934" s="121"/>
      <c r="D1934" s="110" t="s">
        <v>3301</v>
      </c>
      <c r="E1934" s="87">
        <v>1.22</v>
      </c>
      <c r="F1934" s="103">
        <v>49</v>
      </c>
      <c r="G1934" s="121"/>
      <c r="H1934" s="103">
        <v>2</v>
      </c>
      <c r="I1934" s="121"/>
      <c r="J1934" s="138">
        <v>45301</v>
      </c>
      <c r="K1934" s="64">
        <f t="shared" ref="K1934:K1972" si="141">E1934*F1934*H1934</f>
        <v>119.56</v>
      </c>
      <c r="L1934" s="64"/>
      <c r="M1934" s="41"/>
      <c r="N1934" s="38"/>
      <c r="O1934" s="38"/>
    </row>
    <row r="1935" spans="1:15" ht="15" customHeight="1">
      <c r="A1935" s="38"/>
      <c r="B1935" s="103" t="s">
        <v>3344</v>
      </c>
      <c r="C1935" s="121"/>
      <c r="D1935" s="110" t="s">
        <v>3301</v>
      </c>
      <c r="E1935" s="87">
        <v>1.22</v>
      </c>
      <c r="F1935" s="103">
        <v>49</v>
      </c>
      <c r="G1935" s="121"/>
      <c r="H1935" s="103">
        <v>2</v>
      </c>
      <c r="I1935" s="121"/>
      <c r="J1935" s="138">
        <v>45301</v>
      </c>
      <c r="K1935" s="64">
        <f t="shared" si="141"/>
        <v>119.56</v>
      </c>
      <c r="L1935" s="64"/>
      <c r="M1935" s="41"/>
      <c r="N1935" s="38"/>
      <c r="O1935" s="38"/>
    </row>
    <row r="1936" spans="1:15" ht="15" customHeight="1">
      <c r="A1936" s="38"/>
      <c r="B1936" s="103" t="s">
        <v>3346</v>
      </c>
      <c r="C1936" s="121"/>
      <c r="D1936" s="123" t="s">
        <v>3301</v>
      </c>
      <c r="E1936" s="160">
        <v>1.22</v>
      </c>
      <c r="F1936" s="103">
        <v>59</v>
      </c>
      <c r="G1936" s="121"/>
      <c r="H1936" s="103">
        <v>2</v>
      </c>
      <c r="I1936" s="121"/>
      <c r="J1936" s="138">
        <v>45301</v>
      </c>
      <c r="K1936" s="64">
        <f t="shared" si="141"/>
        <v>143.96</v>
      </c>
      <c r="L1936" s="64"/>
      <c r="M1936" s="41"/>
      <c r="N1936" s="38"/>
      <c r="O1936" s="38"/>
    </row>
    <row r="1937" spans="1:15" ht="34.5" customHeight="1">
      <c r="A1937" s="16"/>
      <c r="B1937" s="28" t="s">
        <v>2959</v>
      </c>
      <c r="C1937" s="110"/>
      <c r="D1937" s="28" t="s">
        <v>3301</v>
      </c>
      <c r="E1937" s="87">
        <v>1.22</v>
      </c>
      <c r="F1937" s="28">
        <v>69</v>
      </c>
      <c r="G1937" s="110"/>
      <c r="H1937" s="87">
        <v>1.8</v>
      </c>
      <c r="I1937" s="110"/>
      <c r="J1937" s="135">
        <v>45005</v>
      </c>
      <c r="K1937" s="17">
        <f t="shared" si="141"/>
        <v>151.524</v>
      </c>
      <c r="L1937" s="64"/>
      <c r="M1937" s="41"/>
      <c r="N1937" s="38"/>
      <c r="O1937" s="38"/>
    </row>
    <row r="1938" spans="1:15" ht="15" customHeight="1">
      <c r="A1938" s="38"/>
      <c r="B1938" s="103" t="s">
        <v>3343</v>
      </c>
      <c r="C1938" s="121"/>
      <c r="D1938" s="120" t="s">
        <v>3301</v>
      </c>
      <c r="E1938" s="162">
        <v>1.22</v>
      </c>
      <c r="F1938" s="103">
        <v>89</v>
      </c>
      <c r="G1938" s="121"/>
      <c r="H1938" s="103">
        <v>2</v>
      </c>
      <c r="I1938" s="121"/>
      <c r="J1938" s="138">
        <v>45301</v>
      </c>
      <c r="K1938" s="64">
        <f t="shared" si="141"/>
        <v>217.16</v>
      </c>
      <c r="L1938" s="64"/>
      <c r="M1938" s="41"/>
      <c r="N1938" s="38"/>
      <c r="O1938" s="38"/>
    </row>
    <row r="1939" spans="1:15" ht="15" customHeight="1">
      <c r="A1939" s="24" t="s">
        <v>1564</v>
      </c>
      <c r="B1939" s="78" t="s">
        <v>1565</v>
      </c>
      <c r="C1939" s="78"/>
      <c r="D1939" s="28" t="s">
        <v>451</v>
      </c>
      <c r="E1939" s="28">
        <v>1.22</v>
      </c>
      <c r="F1939" s="78">
        <v>119</v>
      </c>
      <c r="G1939" s="78"/>
      <c r="H1939" s="78">
        <v>2</v>
      </c>
      <c r="I1939" s="78"/>
      <c r="J1939" s="140">
        <v>43900</v>
      </c>
      <c r="K1939" s="9">
        <f t="shared" si="141"/>
        <v>290.36</v>
      </c>
      <c r="L1939" s="13"/>
      <c r="M1939" s="13"/>
      <c r="N1939" s="13">
        <f>G1939*H1939*I1939*E1939</f>
        <v>0</v>
      </c>
      <c r="O1939" s="15">
        <f>K1939*1.6667</f>
        <v>483.94301200000007</v>
      </c>
    </row>
    <row r="1940" spans="1:15" ht="15" customHeight="1">
      <c r="A1940" s="38"/>
      <c r="B1940" s="103" t="s">
        <v>3337</v>
      </c>
      <c r="C1940" s="121"/>
      <c r="D1940" s="121" t="s">
        <v>3301</v>
      </c>
      <c r="E1940" s="103">
        <v>1.22</v>
      </c>
      <c r="F1940" s="103">
        <v>249</v>
      </c>
      <c r="G1940" s="121"/>
      <c r="H1940" s="103">
        <v>2</v>
      </c>
      <c r="I1940" s="121"/>
      <c r="J1940" s="138">
        <v>45301</v>
      </c>
      <c r="K1940" s="64">
        <f t="shared" si="141"/>
        <v>607.55999999999995</v>
      </c>
      <c r="L1940" s="64"/>
      <c r="M1940" s="41"/>
      <c r="N1940" s="38"/>
      <c r="O1940" s="38"/>
    </row>
    <row r="1941" spans="1:15" ht="15" customHeight="1">
      <c r="A1941" s="38"/>
      <c r="B1941" s="78" t="s">
        <v>1545</v>
      </c>
      <c r="C1941" s="121"/>
      <c r="D1941" s="78" t="s">
        <v>3301</v>
      </c>
      <c r="E1941" s="78">
        <v>1</v>
      </c>
      <c r="F1941" s="78">
        <v>119</v>
      </c>
      <c r="G1941" s="121"/>
      <c r="H1941" s="78">
        <v>1.8</v>
      </c>
      <c r="I1941" s="121"/>
      <c r="J1941" s="138">
        <v>45301</v>
      </c>
      <c r="K1941" s="184">
        <f t="shared" si="141"/>
        <v>214.20000000000002</v>
      </c>
      <c r="L1941" s="184"/>
      <c r="M1941" s="62">
        <v>1.22</v>
      </c>
      <c r="N1941" s="38"/>
      <c r="O1941" s="15">
        <f>K1941*1.6667</f>
        <v>357.00714000000005</v>
      </c>
    </row>
    <row r="1942" spans="1:15" ht="11.25" customHeight="1">
      <c r="A1942" s="38"/>
      <c r="B1942" s="103" t="s">
        <v>3336</v>
      </c>
      <c r="C1942" s="121"/>
      <c r="D1942" s="110" t="s">
        <v>3301</v>
      </c>
      <c r="E1942" s="87">
        <v>1.22</v>
      </c>
      <c r="F1942" s="103">
        <v>259</v>
      </c>
      <c r="G1942" s="121"/>
      <c r="H1942" s="103">
        <v>1.8</v>
      </c>
      <c r="I1942" s="121"/>
      <c r="J1942" s="138">
        <v>45301</v>
      </c>
      <c r="K1942" s="64">
        <f t="shared" si="141"/>
        <v>568.76400000000001</v>
      </c>
      <c r="L1942" s="64"/>
      <c r="M1942" s="41"/>
      <c r="N1942" s="38"/>
      <c r="O1942" s="38"/>
    </row>
    <row r="1943" spans="1:15" ht="31.5" customHeight="1">
      <c r="A1943" s="24"/>
      <c r="B1943" s="78" t="s">
        <v>1543</v>
      </c>
      <c r="C1943" s="78"/>
      <c r="D1943" s="28" t="s">
        <v>3301</v>
      </c>
      <c r="E1943" s="28">
        <v>1</v>
      </c>
      <c r="F1943" s="78">
        <v>109</v>
      </c>
      <c r="G1943" s="78"/>
      <c r="H1943" s="78">
        <v>1.8</v>
      </c>
      <c r="I1943" s="78"/>
      <c r="J1943" s="138">
        <v>43900</v>
      </c>
      <c r="K1943" s="13">
        <f t="shared" si="141"/>
        <v>196.20000000000002</v>
      </c>
      <c r="L1943" s="13"/>
      <c r="M1943" s="62">
        <v>1.22</v>
      </c>
      <c r="N1943" s="13">
        <f>G1943*H1943*I1943*E1943</f>
        <v>0</v>
      </c>
      <c r="O1943" s="15">
        <f>K1943*1.6667</f>
        <v>327.00654000000003</v>
      </c>
    </row>
    <row r="1944" spans="1:15" ht="31.5" customHeight="1">
      <c r="A1944" s="38"/>
      <c r="B1944" s="87" t="s">
        <v>3331</v>
      </c>
      <c r="C1944" s="121"/>
      <c r="D1944" s="110" t="s">
        <v>3301</v>
      </c>
      <c r="E1944" s="87">
        <v>1.22</v>
      </c>
      <c r="F1944" s="103">
        <v>99</v>
      </c>
      <c r="G1944" s="121"/>
      <c r="H1944" s="103">
        <v>2</v>
      </c>
      <c r="I1944" s="121"/>
      <c r="J1944" s="138">
        <v>45301</v>
      </c>
      <c r="K1944" s="13">
        <f t="shared" si="141"/>
        <v>241.56</v>
      </c>
      <c r="L1944" s="64"/>
      <c r="M1944" s="41"/>
      <c r="N1944" s="38"/>
      <c r="O1944" s="38"/>
    </row>
    <row r="1945" spans="1:15" ht="27.75" customHeight="1">
      <c r="A1945" s="38" t="s">
        <v>3522</v>
      </c>
      <c r="B1945" s="101" t="s">
        <v>3523</v>
      </c>
      <c r="C1945" s="121" t="s">
        <v>3524</v>
      </c>
      <c r="D1945" s="78" t="s">
        <v>1983</v>
      </c>
      <c r="E1945" s="78">
        <v>1.22</v>
      </c>
      <c r="F1945" s="103">
        <v>598</v>
      </c>
      <c r="G1945" s="121"/>
      <c r="H1945" s="103">
        <v>1.6</v>
      </c>
      <c r="I1945" s="121"/>
      <c r="J1945" s="138">
        <v>45450</v>
      </c>
      <c r="K1945" s="64">
        <f t="shared" si="141"/>
        <v>1167.296</v>
      </c>
      <c r="L1945" s="64"/>
      <c r="M1945" s="41"/>
      <c r="N1945" s="38"/>
      <c r="O1945" s="38"/>
    </row>
    <row r="1946" spans="1:15" ht="27.75" customHeight="1">
      <c r="A1946" s="24" t="s">
        <v>3525</v>
      </c>
      <c r="B1946" s="101" t="s">
        <v>3526</v>
      </c>
      <c r="C1946" s="121" t="s">
        <v>3527</v>
      </c>
      <c r="D1946" s="78" t="s">
        <v>1983</v>
      </c>
      <c r="E1946" s="78">
        <v>1.22</v>
      </c>
      <c r="F1946" s="103">
        <v>184</v>
      </c>
      <c r="G1946" s="121"/>
      <c r="H1946" s="103">
        <v>1.8</v>
      </c>
      <c r="I1946" s="121"/>
      <c r="J1946" s="138">
        <v>45450</v>
      </c>
      <c r="K1946" s="64">
        <f t="shared" si="141"/>
        <v>404.06399999999996</v>
      </c>
      <c r="L1946" s="64"/>
      <c r="M1946" s="41"/>
      <c r="N1946" s="38"/>
      <c r="O1946" s="38"/>
    </row>
    <row r="1947" spans="1:15" ht="25.5" customHeight="1">
      <c r="A1947" s="31" t="s">
        <v>3638</v>
      </c>
      <c r="B1947" s="78" t="s">
        <v>3632</v>
      </c>
      <c r="C1947" s="82" t="s">
        <v>3629</v>
      </c>
      <c r="D1947" s="78" t="s">
        <v>1905</v>
      </c>
      <c r="E1947" s="78">
        <v>1.22</v>
      </c>
      <c r="F1947" s="78">
        <v>54.92</v>
      </c>
      <c r="G1947" s="82"/>
      <c r="H1947" s="78">
        <v>1.8</v>
      </c>
      <c r="I1947" s="82"/>
      <c r="J1947" s="140">
        <v>45507</v>
      </c>
      <c r="K1947" s="13">
        <f t="shared" si="141"/>
        <v>120.60431999999999</v>
      </c>
      <c r="L1947" s="13"/>
      <c r="M1947" s="13"/>
      <c r="N1947" s="13">
        <f>G1947*H1947*I1947*E1947</f>
        <v>0</v>
      </c>
      <c r="O1947" s="15">
        <f>K1947*1.6667</f>
        <v>201.01122014399999</v>
      </c>
    </row>
    <row r="1948" spans="1:15" ht="18.75" customHeight="1">
      <c r="A1948" s="24" t="s">
        <v>3637</v>
      </c>
      <c r="B1948" s="78" t="s">
        <v>3631</v>
      </c>
      <c r="C1948" s="78" t="s">
        <v>3630</v>
      </c>
      <c r="D1948" s="78" t="s">
        <v>1905</v>
      </c>
      <c r="E1948" s="78">
        <v>1.22</v>
      </c>
      <c r="F1948" s="78">
        <v>96.72</v>
      </c>
      <c r="G1948" s="78">
        <v>0</v>
      </c>
      <c r="H1948" s="78">
        <v>1.8</v>
      </c>
      <c r="I1948" s="78"/>
      <c r="J1948" s="140">
        <v>45507</v>
      </c>
      <c r="K1948" s="10">
        <f t="shared" si="141"/>
        <v>212.39711999999997</v>
      </c>
      <c r="L1948" s="13"/>
      <c r="M1948" s="13"/>
      <c r="N1948" s="13">
        <f>G1948*H1948*I1948*E1948</f>
        <v>0</v>
      </c>
      <c r="O1948" s="65">
        <f>K1948*1.6667</f>
        <v>354.00227990399998</v>
      </c>
    </row>
    <row r="1949" spans="1:15" ht="15" customHeight="1">
      <c r="A1949" s="21" t="s">
        <v>3635</v>
      </c>
      <c r="B1949" s="28" t="s">
        <v>3633</v>
      </c>
      <c r="C1949" s="111" t="s">
        <v>3630</v>
      </c>
      <c r="D1949" s="28" t="s">
        <v>1905</v>
      </c>
      <c r="E1949" s="28">
        <v>1.22</v>
      </c>
      <c r="F1949" s="28">
        <v>117.21</v>
      </c>
      <c r="G1949" s="28">
        <v>0</v>
      </c>
      <c r="H1949" s="28">
        <v>1.6</v>
      </c>
      <c r="I1949" s="28"/>
      <c r="J1949" s="140">
        <v>45507</v>
      </c>
      <c r="K1949" s="9">
        <f t="shared" si="141"/>
        <v>228.79391999999999</v>
      </c>
      <c r="L1949" s="13"/>
      <c r="M1949" s="13"/>
      <c r="N1949" s="13">
        <f>G1949*H1949*I1949*E1949</f>
        <v>0</v>
      </c>
      <c r="O1949" s="15">
        <f>K1949*1.6667</f>
        <v>381.33082646399998</v>
      </c>
    </row>
    <row r="1950" spans="1:15" ht="15" customHeight="1">
      <c r="A1950" s="24" t="s">
        <v>3636</v>
      </c>
      <c r="B1950" s="78" t="s">
        <v>3634</v>
      </c>
      <c r="C1950" s="78" t="s">
        <v>3630</v>
      </c>
      <c r="D1950" s="78" t="s">
        <v>1905</v>
      </c>
      <c r="E1950" s="78">
        <v>1.22</v>
      </c>
      <c r="F1950" s="78">
        <v>117.2</v>
      </c>
      <c r="G1950" s="78">
        <v>0</v>
      </c>
      <c r="H1950" s="78">
        <v>1.6</v>
      </c>
      <c r="I1950" s="78"/>
      <c r="J1950" s="140">
        <v>45507</v>
      </c>
      <c r="K1950" s="9">
        <f t="shared" si="141"/>
        <v>228.77440000000001</v>
      </c>
      <c r="L1950" s="13"/>
      <c r="M1950" s="13"/>
      <c r="N1950" s="13">
        <f>G1950*H1950*I1950*E1950</f>
        <v>0</v>
      </c>
      <c r="O1950" s="15">
        <f>K1950*1.6667</f>
        <v>381.29829248000004</v>
      </c>
    </row>
    <row r="1951" spans="1:15" ht="15" customHeight="1">
      <c r="A1951" s="38"/>
      <c r="B1951" s="78" t="s">
        <v>1616</v>
      </c>
      <c r="C1951" s="78"/>
      <c r="D1951" s="78"/>
      <c r="E1951" s="78">
        <v>1.22</v>
      </c>
      <c r="F1951" s="78">
        <v>510</v>
      </c>
      <c r="G1951" s="121"/>
      <c r="H1951" s="78">
        <v>1.8</v>
      </c>
      <c r="I1951" s="121"/>
      <c r="J1951" s="138">
        <v>43937</v>
      </c>
      <c r="K1951" s="13">
        <f t="shared" si="141"/>
        <v>1119.9599999999998</v>
      </c>
      <c r="L1951" s="13"/>
      <c r="M1951" s="13"/>
      <c r="N1951" s="13">
        <f>G1951*H1951*I1951*E1951</f>
        <v>0</v>
      </c>
      <c r="O1951" s="15">
        <f>K1951*1.6667</f>
        <v>1866.6373319999998</v>
      </c>
    </row>
    <row r="1952" spans="1:15" ht="15" customHeight="1">
      <c r="A1952" s="21" t="s">
        <v>3528</v>
      </c>
      <c r="B1952" s="87" t="s">
        <v>3529</v>
      </c>
      <c r="C1952" s="110" t="s">
        <v>3530</v>
      </c>
      <c r="D1952" s="28" t="s">
        <v>1983</v>
      </c>
      <c r="E1952" s="28">
        <v>1.22</v>
      </c>
      <c r="F1952" s="87">
        <v>198</v>
      </c>
      <c r="G1952" s="110"/>
      <c r="H1952" s="87">
        <v>1.8</v>
      </c>
      <c r="I1952" s="110"/>
      <c r="J1952" s="135">
        <v>45450</v>
      </c>
      <c r="K1952" s="37">
        <f t="shared" si="141"/>
        <v>434.80799999999999</v>
      </c>
      <c r="L1952" s="37"/>
      <c r="M1952" s="17"/>
      <c r="N1952" s="16"/>
      <c r="O1952" s="16"/>
    </row>
    <row r="1953" spans="1:15" ht="15" customHeight="1">
      <c r="A1953" s="16"/>
      <c r="B1953" s="28" t="s">
        <v>1618</v>
      </c>
      <c r="C1953" s="110" t="s">
        <v>1619</v>
      </c>
      <c r="D1953" s="28"/>
      <c r="E1953" s="28">
        <v>1.22</v>
      </c>
      <c r="F1953" s="28">
        <v>168</v>
      </c>
      <c r="G1953" s="110"/>
      <c r="H1953" s="28">
        <v>1.8</v>
      </c>
      <c r="I1953" s="110"/>
      <c r="J1953" s="135">
        <v>43937</v>
      </c>
      <c r="K1953" s="35">
        <f t="shared" si="141"/>
        <v>368.928</v>
      </c>
      <c r="L1953" s="35"/>
      <c r="M1953" s="17"/>
      <c r="N1953" s="9">
        <f>G1953*H1953*I1953*E1953</f>
        <v>0</v>
      </c>
      <c r="O1953" s="3">
        <f>K1953*1.6667</f>
        <v>614.89229760000001</v>
      </c>
    </row>
    <row r="1954" spans="1:15" ht="15" customHeight="1">
      <c r="A1954" s="38"/>
      <c r="B1954" s="78" t="s">
        <v>1617</v>
      </c>
      <c r="C1954" s="121"/>
      <c r="D1954" s="85"/>
      <c r="E1954" s="78">
        <v>1.22</v>
      </c>
      <c r="F1954" s="78">
        <v>180</v>
      </c>
      <c r="G1954" s="121"/>
      <c r="H1954" s="78">
        <v>1.8</v>
      </c>
      <c r="I1954" s="121"/>
      <c r="J1954" s="138">
        <v>43937</v>
      </c>
      <c r="K1954" s="57">
        <f t="shared" si="141"/>
        <v>395.28</v>
      </c>
      <c r="L1954" s="50"/>
      <c r="M1954" s="41"/>
      <c r="N1954" s="13">
        <f>G1954*H1954*I1954*E1954</f>
        <v>0</v>
      </c>
      <c r="O1954" s="15">
        <f>K1954*1.6667</f>
        <v>658.813176</v>
      </c>
    </row>
    <row r="1955" spans="1:15" ht="15" customHeight="1">
      <c r="A1955" s="24">
        <v>247</v>
      </c>
      <c r="B1955" s="78" t="s">
        <v>2346</v>
      </c>
      <c r="C1955" s="78">
        <v>3</v>
      </c>
      <c r="D1955" s="78" t="s">
        <v>451</v>
      </c>
      <c r="E1955" s="28">
        <v>1.22</v>
      </c>
      <c r="F1955" s="78">
        <v>123</v>
      </c>
      <c r="G1955" s="78"/>
      <c r="H1955" s="78">
        <v>1.6</v>
      </c>
      <c r="I1955" s="78"/>
      <c r="J1955" s="140">
        <v>44698</v>
      </c>
      <c r="K1955" s="59">
        <f t="shared" si="141"/>
        <v>240.096</v>
      </c>
      <c r="L1955" s="13"/>
      <c r="M1955" s="13"/>
      <c r="N1955" s="13"/>
      <c r="O1955" s="15"/>
    </row>
    <row r="1956" spans="1:15" ht="15" customHeight="1">
      <c r="A1956" s="24">
        <v>100200</v>
      </c>
      <c r="B1956" s="78" t="s">
        <v>4422</v>
      </c>
      <c r="C1956" s="78" t="s">
        <v>15</v>
      </c>
      <c r="D1956" s="78" t="s">
        <v>1859</v>
      </c>
      <c r="E1956" s="28">
        <v>1.22</v>
      </c>
      <c r="F1956" s="78">
        <v>84.05</v>
      </c>
      <c r="G1956" s="78"/>
      <c r="H1956" s="78">
        <v>1.8</v>
      </c>
      <c r="I1956" s="78"/>
      <c r="J1956" s="140">
        <v>45945</v>
      </c>
      <c r="K1956" s="59">
        <f t="shared" si="141"/>
        <v>184.57380000000001</v>
      </c>
      <c r="L1956" s="13"/>
      <c r="M1956" s="13"/>
      <c r="N1956" s="13">
        <f>G1956*H1956*I1956*E1956</f>
        <v>0</v>
      </c>
      <c r="O1956" s="15">
        <f>K1956*1.6667</f>
        <v>307.62915246</v>
      </c>
    </row>
    <row r="1957" spans="1:15" ht="15" customHeight="1">
      <c r="A1957" s="24">
        <v>1025</v>
      </c>
      <c r="B1957" s="78" t="s">
        <v>550</v>
      </c>
      <c r="C1957" s="78" t="s">
        <v>133</v>
      </c>
      <c r="D1957" s="78" t="s">
        <v>17</v>
      </c>
      <c r="E1957" s="28">
        <v>1.22</v>
      </c>
      <c r="F1957" s="78">
        <v>134.15</v>
      </c>
      <c r="G1957" s="78">
        <v>0</v>
      </c>
      <c r="H1957" s="78">
        <v>1.4</v>
      </c>
      <c r="I1957" s="78"/>
      <c r="J1957" s="140">
        <v>45797</v>
      </c>
      <c r="K1957" s="59">
        <f t="shared" si="141"/>
        <v>229.12819999999999</v>
      </c>
      <c r="L1957" s="13"/>
      <c r="M1957" s="13"/>
      <c r="N1957" s="13">
        <f>G1957*H1957*I1957*E1957</f>
        <v>0</v>
      </c>
      <c r="O1957" s="15">
        <f>K1957*1.6667</f>
        <v>381.88797094</v>
      </c>
    </row>
    <row r="1958" spans="1:15" ht="15" customHeight="1">
      <c r="A1958" s="24">
        <v>1021</v>
      </c>
      <c r="B1958" s="78" t="s">
        <v>550</v>
      </c>
      <c r="C1958" s="78" t="s">
        <v>553</v>
      </c>
      <c r="D1958" s="78" t="s">
        <v>17</v>
      </c>
      <c r="E1958" s="93">
        <v>1.22</v>
      </c>
      <c r="F1958" s="78">
        <v>204.95</v>
      </c>
      <c r="G1958" s="78">
        <v>0</v>
      </c>
      <c r="H1958" s="78">
        <v>1.45</v>
      </c>
      <c r="I1958" s="78"/>
      <c r="J1958" s="140">
        <v>45601</v>
      </c>
      <c r="K1958" s="242">
        <f t="shared" si="141"/>
        <v>362.55654999999996</v>
      </c>
      <c r="L1958" s="13"/>
      <c r="M1958" s="13"/>
      <c r="N1958" s="13">
        <f>G1958*H1958*I1958*E1958</f>
        <v>0</v>
      </c>
      <c r="O1958" s="65">
        <f>K1958*1.6667</f>
        <v>604.27300188499999</v>
      </c>
    </row>
    <row r="1959" spans="1:15" ht="15" customHeight="1">
      <c r="A1959" s="21">
        <v>1023</v>
      </c>
      <c r="B1959" s="28" t="s">
        <v>566</v>
      </c>
      <c r="C1959" s="28" t="s">
        <v>79</v>
      </c>
      <c r="D1959" s="28" t="s">
        <v>17</v>
      </c>
      <c r="E1959" s="28">
        <v>1.22</v>
      </c>
      <c r="F1959" s="28">
        <v>533</v>
      </c>
      <c r="G1959" s="28">
        <v>0</v>
      </c>
      <c r="H1959" s="28">
        <v>1.25</v>
      </c>
      <c r="I1959" s="28"/>
      <c r="J1959" s="133">
        <v>45904</v>
      </c>
      <c r="K1959" s="9">
        <f t="shared" si="141"/>
        <v>812.82500000000005</v>
      </c>
      <c r="L1959" s="13"/>
      <c r="M1959" s="13"/>
      <c r="N1959" s="13">
        <f>G1959*H1959*I1959*E1959</f>
        <v>0</v>
      </c>
      <c r="O1959" s="15">
        <f>K1959*1.6667</f>
        <v>1354.7354275000002</v>
      </c>
    </row>
    <row r="1960" spans="1:15" ht="15" customHeight="1">
      <c r="A1960" s="24">
        <v>1026</v>
      </c>
      <c r="B1960" s="235" t="s">
        <v>4203</v>
      </c>
      <c r="C1960" s="78" t="s">
        <v>133</v>
      </c>
      <c r="D1960" s="85" t="s">
        <v>17</v>
      </c>
      <c r="E1960" s="78">
        <v>1.22</v>
      </c>
      <c r="F1960" s="235">
        <v>130</v>
      </c>
      <c r="G1960" s="237"/>
      <c r="H1960" s="235">
        <v>1.45</v>
      </c>
      <c r="I1960" s="237"/>
      <c r="J1960" s="188">
        <v>45769</v>
      </c>
      <c r="K1960" s="64">
        <f t="shared" si="141"/>
        <v>229.97</v>
      </c>
      <c r="L1960" s="64"/>
      <c r="M1960" s="41"/>
      <c r="N1960" s="38"/>
      <c r="O1960" s="38"/>
    </row>
    <row r="1961" spans="1:15" ht="15" customHeight="1">
      <c r="A1961" s="24">
        <v>1035</v>
      </c>
      <c r="B1961" s="28" t="s">
        <v>2350</v>
      </c>
      <c r="C1961" s="78" t="s">
        <v>60</v>
      </c>
      <c r="D1961" s="28" t="s">
        <v>17</v>
      </c>
      <c r="E1961" s="28">
        <v>1.22</v>
      </c>
      <c r="F1961" s="78">
        <v>222</v>
      </c>
      <c r="G1961" s="78">
        <v>0</v>
      </c>
      <c r="H1961" s="28">
        <v>1.45</v>
      </c>
      <c r="I1961" s="78"/>
      <c r="J1961" s="133">
        <v>45953</v>
      </c>
      <c r="K1961" s="10">
        <f t="shared" si="141"/>
        <v>392.71799999999996</v>
      </c>
      <c r="L1961" s="13"/>
      <c r="M1961" s="13"/>
      <c r="N1961" s="13">
        <f>G1961*H1961*I1961*E1961</f>
        <v>0</v>
      </c>
      <c r="O1961" s="15">
        <f>K1961*1.6667</f>
        <v>654.54309059999991</v>
      </c>
    </row>
    <row r="1962" spans="1:15" ht="15" customHeight="1">
      <c r="A1962" s="24">
        <v>1051</v>
      </c>
      <c r="B1962" s="28" t="s">
        <v>567</v>
      </c>
      <c r="C1962" s="78" t="s">
        <v>206</v>
      </c>
      <c r="D1962" s="28" t="s">
        <v>17</v>
      </c>
      <c r="E1962" s="28">
        <v>1.22</v>
      </c>
      <c r="F1962" s="78">
        <v>100.18</v>
      </c>
      <c r="G1962" s="78">
        <v>0</v>
      </c>
      <c r="H1962" s="28">
        <v>1.45</v>
      </c>
      <c r="I1962" s="78"/>
      <c r="J1962" s="146">
        <v>45734</v>
      </c>
      <c r="K1962" s="10">
        <f t="shared" si="141"/>
        <v>177.21841999999998</v>
      </c>
      <c r="L1962" s="13"/>
      <c r="M1962" s="13"/>
      <c r="N1962" s="13">
        <f>G1962*H1962*I1962*E1962</f>
        <v>0</v>
      </c>
      <c r="O1962" s="15">
        <f>K1962*1.6667</f>
        <v>295.36994061399997</v>
      </c>
    </row>
    <row r="1963" spans="1:15" ht="15" customHeight="1">
      <c r="A1963" s="24">
        <v>1052</v>
      </c>
      <c r="B1963" s="78" t="s">
        <v>2966</v>
      </c>
      <c r="C1963" s="78" t="s">
        <v>133</v>
      </c>
      <c r="D1963" s="28" t="s">
        <v>17</v>
      </c>
      <c r="E1963" s="28">
        <v>1.22</v>
      </c>
      <c r="F1963" s="78">
        <v>157.47999999999999</v>
      </c>
      <c r="G1963" s="78"/>
      <c r="H1963" s="28">
        <v>1.45</v>
      </c>
      <c r="I1963" s="78"/>
      <c r="J1963" s="183">
        <v>45979</v>
      </c>
      <c r="K1963" s="10">
        <f t="shared" si="141"/>
        <v>278.58211999999997</v>
      </c>
      <c r="L1963" s="13"/>
      <c r="M1963" s="13"/>
      <c r="N1963" s="13">
        <f>G1963*H1963*I1963*E1963</f>
        <v>0</v>
      </c>
      <c r="O1963" s="15">
        <f>K1963*1.6667</f>
        <v>464.31281940399998</v>
      </c>
    </row>
    <row r="1964" spans="1:15" ht="15" customHeight="1">
      <c r="A1964" s="24"/>
      <c r="B1964" s="78" t="s">
        <v>3266</v>
      </c>
      <c r="C1964" s="78" t="s">
        <v>643</v>
      </c>
      <c r="D1964" s="78" t="s">
        <v>4158</v>
      </c>
      <c r="E1964" s="78">
        <v>1.22</v>
      </c>
      <c r="F1964" s="78">
        <v>24.43</v>
      </c>
      <c r="G1964" s="78"/>
      <c r="H1964" s="78">
        <v>1.45</v>
      </c>
      <c r="I1964" s="78"/>
      <c r="J1964" s="140">
        <v>45770</v>
      </c>
      <c r="K1964" s="13">
        <f t="shared" si="141"/>
        <v>43.216670000000001</v>
      </c>
      <c r="L1964" s="13"/>
      <c r="M1964" s="13"/>
      <c r="N1964" s="13">
        <f>G1964*H1964*I1964*E1964</f>
        <v>0</v>
      </c>
      <c r="O1964" s="15"/>
    </row>
    <row r="1965" spans="1:15" ht="15" customHeight="1">
      <c r="A1965" s="38"/>
      <c r="B1965" s="78" t="s">
        <v>3266</v>
      </c>
      <c r="C1965" s="125" t="s">
        <v>3057</v>
      </c>
      <c r="D1965" s="78" t="s">
        <v>3326</v>
      </c>
      <c r="E1965" s="78">
        <v>1</v>
      </c>
      <c r="F1965" s="78">
        <v>1056.8900000000001</v>
      </c>
      <c r="G1965" s="121"/>
      <c r="H1965" s="78">
        <v>1.3</v>
      </c>
      <c r="I1965" s="121"/>
      <c r="J1965" s="144">
        <v>45084</v>
      </c>
      <c r="K1965" s="41">
        <f t="shared" si="141"/>
        <v>1373.9570000000001</v>
      </c>
      <c r="L1965" s="41"/>
      <c r="M1965" s="41"/>
      <c r="N1965" s="38"/>
      <c r="O1965" s="38"/>
    </row>
    <row r="1966" spans="1:15" ht="15" customHeight="1">
      <c r="A1966" s="24"/>
      <c r="B1966" s="78" t="s">
        <v>576</v>
      </c>
      <c r="C1966" s="78" t="s">
        <v>60</v>
      </c>
      <c r="D1966" s="78" t="s">
        <v>3365</v>
      </c>
      <c r="E1966" s="78">
        <v>1.22</v>
      </c>
      <c r="F1966" s="78">
        <v>244.73</v>
      </c>
      <c r="G1966" s="78"/>
      <c r="H1966" s="78">
        <v>1.35</v>
      </c>
      <c r="I1966" s="78"/>
      <c r="J1966" s="140">
        <v>45975</v>
      </c>
      <c r="K1966" s="13">
        <f t="shared" si="141"/>
        <v>403.07030999999995</v>
      </c>
      <c r="L1966" s="13"/>
      <c r="M1966" s="13"/>
      <c r="N1966" s="13">
        <f>G1966*H1966*I1966*E1966</f>
        <v>0</v>
      </c>
      <c r="O1966" s="15">
        <f>K1966*1.6667</f>
        <v>671.79728567699999</v>
      </c>
    </row>
    <row r="1967" spans="1:15" ht="15" customHeight="1">
      <c r="A1967" s="24"/>
      <c r="B1967" s="78" t="s">
        <v>1906</v>
      </c>
      <c r="C1967" s="78" t="s">
        <v>60</v>
      </c>
      <c r="D1967" s="78"/>
      <c r="E1967" s="78">
        <v>1.22</v>
      </c>
      <c r="F1967" s="78">
        <v>185</v>
      </c>
      <c r="G1967" s="78"/>
      <c r="H1967" s="78">
        <v>1.45</v>
      </c>
      <c r="I1967" s="78"/>
      <c r="J1967" s="140">
        <v>44754</v>
      </c>
      <c r="K1967" s="13">
        <f t="shared" si="141"/>
        <v>327.26499999999999</v>
      </c>
      <c r="L1967" s="13"/>
      <c r="M1967" s="13"/>
      <c r="N1967" s="13">
        <f>G1967*H1967*I1967*E1967</f>
        <v>0</v>
      </c>
      <c r="O1967" s="15">
        <f>K1967*1.6667</f>
        <v>545.45257549999997</v>
      </c>
    </row>
    <row r="1968" spans="1:15" ht="15" customHeight="1">
      <c r="A1968" s="38"/>
      <c r="B1968" s="102" t="s">
        <v>2171</v>
      </c>
      <c r="C1968" s="125" t="s">
        <v>206</v>
      </c>
      <c r="D1968" s="78"/>
      <c r="E1968" s="102">
        <v>1.22</v>
      </c>
      <c r="F1968" s="102">
        <v>55</v>
      </c>
      <c r="G1968" s="121"/>
      <c r="H1968" s="102">
        <v>1.4</v>
      </c>
      <c r="I1968" s="121"/>
      <c r="J1968" s="144">
        <v>44678</v>
      </c>
      <c r="K1968" s="13">
        <f t="shared" si="141"/>
        <v>93.939999999999984</v>
      </c>
      <c r="L1968" s="64"/>
      <c r="M1968" s="41"/>
      <c r="N1968" s="38"/>
      <c r="O1968" s="38"/>
    </row>
    <row r="1969" spans="1:15" ht="15" customHeight="1">
      <c r="A1969" s="24">
        <v>201</v>
      </c>
      <c r="B1969" s="78" t="s">
        <v>1694</v>
      </c>
      <c r="C1969" s="78" t="s">
        <v>206</v>
      </c>
      <c r="D1969" s="78" t="s">
        <v>34</v>
      </c>
      <c r="E1969" s="78">
        <v>1.22</v>
      </c>
      <c r="F1969" s="78">
        <v>58.5</v>
      </c>
      <c r="G1969" s="78"/>
      <c r="H1969" s="78">
        <v>1.3</v>
      </c>
      <c r="I1969" s="78"/>
      <c r="J1969" s="140">
        <v>45356</v>
      </c>
      <c r="K1969" s="13">
        <f t="shared" si="141"/>
        <v>92.781000000000006</v>
      </c>
      <c r="L1969" s="13"/>
      <c r="M1969" s="13"/>
      <c r="N1969" s="13">
        <f>G1969*H1969*I1969*E1969</f>
        <v>0</v>
      </c>
      <c r="O1969" s="15">
        <f>K1969*1.6667</f>
        <v>154.63809270000002</v>
      </c>
    </row>
    <row r="1970" spans="1:15" ht="15" customHeight="1">
      <c r="A1970" s="24"/>
      <c r="B1970" s="78" t="s">
        <v>811</v>
      </c>
      <c r="C1970" s="78" t="s">
        <v>2899</v>
      </c>
      <c r="D1970" s="78" t="s">
        <v>34</v>
      </c>
      <c r="E1970" s="78">
        <v>1.22</v>
      </c>
      <c r="F1970" s="78">
        <v>303</v>
      </c>
      <c r="G1970" s="78"/>
      <c r="H1970" s="78">
        <v>1.35</v>
      </c>
      <c r="I1970" s="78"/>
      <c r="J1970" s="140">
        <v>45299</v>
      </c>
      <c r="K1970" s="13">
        <f t="shared" si="141"/>
        <v>499.041</v>
      </c>
      <c r="L1970" s="13"/>
      <c r="M1970" s="13"/>
      <c r="N1970" s="13"/>
      <c r="O1970" s="15">
        <f>K1970*1.6667</f>
        <v>831.75163470000007</v>
      </c>
    </row>
    <row r="1971" spans="1:15" ht="15" customHeight="1">
      <c r="A1971" s="24">
        <v>453</v>
      </c>
      <c r="B1971" s="78" t="s">
        <v>1240</v>
      </c>
      <c r="C1971" s="78" t="s">
        <v>643</v>
      </c>
      <c r="D1971" s="78" t="s">
        <v>34</v>
      </c>
      <c r="E1971" s="78">
        <v>1.22</v>
      </c>
      <c r="F1971" s="78">
        <v>34.799999999999997</v>
      </c>
      <c r="G1971" s="78"/>
      <c r="H1971" s="78">
        <v>1.3</v>
      </c>
      <c r="I1971" s="78">
        <v>1.5</v>
      </c>
      <c r="J1971" s="140">
        <v>45437</v>
      </c>
      <c r="K1971" s="13">
        <f t="shared" si="141"/>
        <v>55.192799999999998</v>
      </c>
      <c r="L1971" s="13"/>
      <c r="M1971" s="13"/>
      <c r="N1971" s="13">
        <f>G1971*H1971*I1971*E1971</f>
        <v>0</v>
      </c>
      <c r="O1971" s="15">
        <f>K1971*1.6667</f>
        <v>91.989839759999995</v>
      </c>
    </row>
    <row r="1972" spans="1:15" ht="15" customHeight="1">
      <c r="A1972" s="24">
        <v>491</v>
      </c>
      <c r="B1972" s="78" t="s">
        <v>2465</v>
      </c>
      <c r="C1972" s="78" t="s">
        <v>15</v>
      </c>
      <c r="D1972" s="78" t="s">
        <v>451</v>
      </c>
      <c r="E1972" s="78">
        <v>1.22</v>
      </c>
      <c r="F1972" s="78">
        <v>81</v>
      </c>
      <c r="G1972" s="78"/>
      <c r="H1972" s="78">
        <v>1.6</v>
      </c>
      <c r="I1972" s="78"/>
      <c r="J1972" s="140">
        <v>44636</v>
      </c>
      <c r="K1972" s="13">
        <f t="shared" si="141"/>
        <v>158.11199999999999</v>
      </c>
      <c r="L1972" s="13"/>
      <c r="M1972" s="13"/>
      <c r="N1972" s="13">
        <f>G1972*H1972*I1972*E1972</f>
        <v>0</v>
      </c>
      <c r="O1972" s="15">
        <f>K1972*1.6667</f>
        <v>263.52527040000001</v>
      </c>
    </row>
    <row r="1973" spans="1:15" ht="15" customHeight="1">
      <c r="A1973" s="48">
        <v>3048</v>
      </c>
      <c r="B1973" s="100" t="s">
        <v>1657</v>
      </c>
      <c r="C1973" s="124"/>
      <c r="D1973" s="78" t="s">
        <v>451</v>
      </c>
      <c r="E1973" s="78">
        <v>1.22</v>
      </c>
      <c r="F1973" s="100">
        <v>112.47</v>
      </c>
      <c r="G1973" s="124"/>
      <c r="H1973" s="78">
        <v>1.4</v>
      </c>
      <c r="I1973" s="124"/>
      <c r="J1973" s="139">
        <v>43956</v>
      </c>
      <c r="K1973" s="13">
        <v>50</v>
      </c>
      <c r="L1973" s="13"/>
      <c r="M1973" s="41"/>
      <c r="N1973" s="48"/>
      <c r="O1973" s="48"/>
    </row>
    <row r="1974" spans="1:15" ht="15" customHeight="1">
      <c r="A1974" s="24"/>
      <c r="B1974" s="78" t="s">
        <v>3118</v>
      </c>
      <c r="C1974" s="78" t="s">
        <v>3119</v>
      </c>
      <c r="D1974" s="78"/>
      <c r="E1974" s="78">
        <v>1.22</v>
      </c>
      <c r="F1974" s="78">
        <v>34.200000000000003</v>
      </c>
      <c r="G1974" s="78"/>
      <c r="H1974" s="78">
        <v>1.4</v>
      </c>
      <c r="I1974" s="78"/>
      <c r="J1974" s="140">
        <v>45146</v>
      </c>
      <c r="K1974" s="13">
        <f t="shared" ref="K1974:K1983" si="142">E1974*F1974*H1974</f>
        <v>58.413600000000002</v>
      </c>
      <c r="L1974" s="13"/>
      <c r="M1974" s="13"/>
      <c r="N1974" s="13"/>
      <c r="O1974" s="15"/>
    </row>
    <row r="1975" spans="1:15" ht="15" customHeight="1">
      <c r="A1975" s="24">
        <v>21464</v>
      </c>
      <c r="B1975" s="78" t="s">
        <v>2239</v>
      </c>
      <c r="C1975" s="78" t="s">
        <v>98</v>
      </c>
      <c r="D1975" s="78" t="s">
        <v>19</v>
      </c>
      <c r="E1975" s="78">
        <v>1</v>
      </c>
      <c r="F1975" s="78">
        <v>400</v>
      </c>
      <c r="G1975" s="78">
        <v>10.63</v>
      </c>
      <c r="H1975" s="78">
        <v>1.3</v>
      </c>
      <c r="I1975" s="78"/>
      <c r="J1975" s="140">
        <v>46015</v>
      </c>
      <c r="K1975" s="13">
        <f t="shared" si="142"/>
        <v>520</v>
      </c>
      <c r="L1975" s="13"/>
      <c r="M1975" s="13"/>
      <c r="N1975" s="13">
        <f>G1975*H1975*I1975*E1975</f>
        <v>0</v>
      </c>
      <c r="O1975" s="62">
        <f>K1975*1.6667</f>
        <v>866.68400000000008</v>
      </c>
    </row>
    <row r="1976" spans="1:15" ht="15" customHeight="1">
      <c r="A1976" s="31">
        <v>21464</v>
      </c>
      <c r="B1976" s="78" t="s">
        <v>2239</v>
      </c>
      <c r="C1976" s="78" t="s">
        <v>93</v>
      </c>
      <c r="D1976" s="78" t="s">
        <v>19</v>
      </c>
      <c r="E1976" s="78">
        <v>1</v>
      </c>
      <c r="F1976" s="78">
        <v>16</v>
      </c>
      <c r="G1976" s="78">
        <v>0.43</v>
      </c>
      <c r="H1976" s="78">
        <v>1.6</v>
      </c>
      <c r="I1976" s="78"/>
      <c r="J1976" s="140">
        <v>46015</v>
      </c>
      <c r="K1976" s="9">
        <f t="shared" si="142"/>
        <v>25.6</v>
      </c>
      <c r="L1976" s="50"/>
      <c r="M1976" s="13"/>
      <c r="N1976" s="13">
        <f>G1976*H1976*I1976*E1976</f>
        <v>0</v>
      </c>
      <c r="O1976" s="245">
        <f>K1976*1.6667</f>
        <v>42.667520000000003</v>
      </c>
    </row>
    <row r="1977" spans="1:15" ht="15" customHeight="1">
      <c r="A1977" s="58" t="s">
        <v>1911</v>
      </c>
      <c r="B1977" s="78" t="s">
        <v>1912</v>
      </c>
      <c r="C1977" s="125" t="s">
        <v>15</v>
      </c>
      <c r="D1977" s="78" t="s">
        <v>3297</v>
      </c>
      <c r="E1977" s="78">
        <v>1.22</v>
      </c>
      <c r="F1977" s="78">
        <v>33.512999999999998</v>
      </c>
      <c r="G1977" s="121"/>
      <c r="H1977" s="78">
        <v>1.6</v>
      </c>
      <c r="I1977" s="121"/>
      <c r="J1977" s="144">
        <v>45393</v>
      </c>
      <c r="K1977" s="10">
        <f t="shared" si="142"/>
        <v>65.41737599999999</v>
      </c>
      <c r="L1977" s="13"/>
      <c r="M1977" s="41"/>
      <c r="N1977" s="13">
        <f>G1977*H1977*I1977*E1977</f>
        <v>0</v>
      </c>
      <c r="O1977" s="15">
        <f>K1977*1.6667</f>
        <v>109.03114057919998</v>
      </c>
    </row>
    <row r="1978" spans="1:15" ht="15" customHeight="1">
      <c r="A1978" s="24"/>
      <c r="B1978" s="78" t="s">
        <v>2104</v>
      </c>
      <c r="C1978" s="78"/>
      <c r="D1978" s="78" t="s">
        <v>3297</v>
      </c>
      <c r="E1978" s="78">
        <v>1.22</v>
      </c>
      <c r="F1978" s="78">
        <v>41.86</v>
      </c>
      <c r="G1978" s="78"/>
      <c r="H1978" s="78">
        <v>1.8</v>
      </c>
      <c r="I1978" s="78"/>
      <c r="J1978" s="140">
        <v>44907</v>
      </c>
      <c r="K1978" s="13">
        <f t="shared" si="142"/>
        <v>91.92456</v>
      </c>
      <c r="L1978" s="13"/>
      <c r="M1978" s="13"/>
      <c r="N1978" s="13">
        <f>G1978*H1978*I1978*E1978</f>
        <v>0</v>
      </c>
      <c r="O1978" s="15">
        <f>K1978*1.6667</f>
        <v>153.21066415199999</v>
      </c>
    </row>
    <row r="1979" spans="1:15" ht="15" customHeight="1">
      <c r="A1979" s="38" t="s">
        <v>3557</v>
      </c>
      <c r="B1979" s="103" t="s">
        <v>3558</v>
      </c>
      <c r="C1979" s="121"/>
      <c r="D1979" s="121" t="s">
        <v>3297</v>
      </c>
      <c r="E1979" s="103">
        <v>1.22</v>
      </c>
      <c r="F1979" s="103">
        <v>40</v>
      </c>
      <c r="G1979" s="121"/>
      <c r="H1979" s="103">
        <v>1.8</v>
      </c>
      <c r="I1979" s="121"/>
      <c r="J1979" s="138">
        <v>45463</v>
      </c>
      <c r="K1979" s="13">
        <f t="shared" si="142"/>
        <v>87.84</v>
      </c>
      <c r="L1979" s="64"/>
      <c r="M1979" s="41"/>
      <c r="N1979" s="16"/>
      <c r="O1979" s="38"/>
    </row>
    <row r="1980" spans="1:15" ht="24.75" customHeight="1">
      <c r="A1980" s="21" t="s">
        <v>853</v>
      </c>
      <c r="B1980" s="28" t="s">
        <v>854</v>
      </c>
      <c r="C1980" s="28"/>
      <c r="D1980" s="28" t="s">
        <v>3297</v>
      </c>
      <c r="E1980" s="28">
        <v>1.22</v>
      </c>
      <c r="F1980" s="28">
        <v>51.2</v>
      </c>
      <c r="G1980" s="28"/>
      <c r="H1980" s="28">
        <v>1.8</v>
      </c>
      <c r="I1980" s="28"/>
      <c r="J1980" s="133">
        <v>45463</v>
      </c>
      <c r="K1980" s="9">
        <f t="shared" si="142"/>
        <v>112.43519999999999</v>
      </c>
      <c r="L1980" s="13"/>
      <c r="M1980" s="13"/>
      <c r="N1980" s="9">
        <f>G1980*H1980*I1980*E1980</f>
        <v>0</v>
      </c>
      <c r="O1980" s="15">
        <f>K1980*1.6667</f>
        <v>187.39574784000001</v>
      </c>
    </row>
    <row r="1981" spans="1:15" ht="15" customHeight="1">
      <c r="A1981" s="24"/>
      <c r="B1981" s="78" t="s">
        <v>2812</v>
      </c>
      <c r="C1981" s="78"/>
      <c r="D1981" s="28" t="s">
        <v>3297</v>
      </c>
      <c r="E1981" s="78">
        <v>1.22</v>
      </c>
      <c r="F1981" s="78">
        <v>57.33</v>
      </c>
      <c r="G1981" s="78"/>
      <c r="H1981" s="78">
        <v>1.8</v>
      </c>
      <c r="I1981" s="78"/>
      <c r="J1981" s="133">
        <v>44907</v>
      </c>
      <c r="K1981" s="9">
        <f t="shared" si="142"/>
        <v>125.89668</v>
      </c>
      <c r="L1981" s="13"/>
      <c r="M1981" s="13"/>
      <c r="N1981" s="13">
        <f>G1981*H1981*I1981*E1981</f>
        <v>0</v>
      </c>
      <c r="O1981" s="15">
        <f>K1981*1.6667</f>
        <v>209.83199655600001</v>
      </c>
    </row>
    <row r="1982" spans="1:15" ht="15" customHeight="1">
      <c r="A1982" s="47">
        <v>10722</v>
      </c>
      <c r="B1982" s="102" t="s">
        <v>1847</v>
      </c>
      <c r="C1982" s="102" t="s">
        <v>3189</v>
      </c>
      <c r="D1982" s="28" t="s">
        <v>3300</v>
      </c>
      <c r="E1982" s="102">
        <v>1.22</v>
      </c>
      <c r="F1982" s="102">
        <v>245.65</v>
      </c>
      <c r="G1982" s="102"/>
      <c r="H1982" s="102">
        <v>1.3</v>
      </c>
      <c r="I1982" s="102"/>
      <c r="J1982" s="134">
        <v>45602</v>
      </c>
      <c r="K1982" s="9">
        <f t="shared" si="142"/>
        <v>389.60089999999997</v>
      </c>
      <c r="L1982" s="13"/>
      <c r="M1982" s="41"/>
      <c r="N1982" s="38"/>
      <c r="O1982" s="38"/>
    </row>
    <row r="1983" spans="1:15" ht="15" customHeight="1">
      <c r="A1983" s="24">
        <v>3702</v>
      </c>
      <c r="B1983" s="78" t="s">
        <v>1847</v>
      </c>
      <c r="C1983" s="78" t="s">
        <v>3912</v>
      </c>
      <c r="D1983" s="28" t="s">
        <v>716</v>
      </c>
      <c r="E1983" s="78">
        <v>1.22</v>
      </c>
      <c r="F1983" s="78">
        <v>154</v>
      </c>
      <c r="G1983" s="78"/>
      <c r="H1983" s="78">
        <v>1.6</v>
      </c>
      <c r="I1983" s="78"/>
      <c r="J1983" s="133">
        <v>45616</v>
      </c>
      <c r="K1983" s="9">
        <f t="shared" si="142"/>
        <v>300.608</v>
      </c>
      <c r="L1983" s="13"/>
      <c r="M1983" s="13"/>
      <c r="N1983" s="13">
        <f>G1983*H1983*I1983*E1983</f>
        <v>0</v>
      </c>
      <c r="O1983" s="15">
        <f>K1983*1.6667</f>
        <v>501.02335360000001</v>
      </c>
    </row>
    <row r="1984" spans="1:15" ht="15" customHeight="1">
      <c r="B1984" s="254" t="s">
        <v>4435</v>
      </c>
      <c r="C1984" s="255" t="s">
        <v>4436</v>
      </c>
      <c r="D1984" s="78" t="s">
        <v>451</v>
      </c>
      <c r="E1984" s="78">
        <v>1.22</v>
      </c>
      <c r="F1984" s="254">
        <v>250</v>
      </c>
      <c r="H1984" s="254">
        <v>1.6</v>
      </c>
      <c r="J1984" s="140">
        <v>45981</v>
      </c>
      <c r="K1984" s="64">
        <f>+H1984*F1984</f>
        <v>400</v>
      </c>
    </row>
    <row r="1985" spans="1:15" ht="15" customHeight="1">
      <c r="A1985" s="38">
        <v>0</v>
      </c>
      <c r="B1985" s="106" t="s">
        <v>2841</v>
      </c>
      <c r="C1985" s="102" t="s">
        <v>1896</v>
      </c>
      <c r="D1985" s="78" t="s">
        <v>451</v>
      </c>
      <c r="E1985" s="78">
        <v>1.22</v>
      </c>
      <c r="F1985" s="106">
        <v>399</v>
      </c>
      <c r="G1985" s="121"/>
      <c r="H1985" s="78">
        <v>1.6</v>
      </c>
      <c r="I1985" s="78">
        <v>1</v>
      </c>
      <c r="J1985" s="144">
        <v>45981</v>
      </c>
      <c r="K1985" s="13">
        <f>E1985*F1985*H1985*I1985</f>
        <v>778.84799999999996</v>
      </c>
      <c r="L1985" s="13"/>
      <c r="M1985" s="41"/>
      <c r="N1985" s="38"/>
      <c r="O1985" s="38"/>
    </row>
    <row r="1986" spans="1:15" ht="15" customHeight="1">
      <c r="A1986" s="24"/>
      <c r="B1986" s="78" t="s">
        <v>2377</v>
      </c>
      <c r="C1986" s="78"/>
      <c r="D1986" s="78" t="s">
        <v>3747</v>
      </c>
      <c r="E1986" s="78">
        <v>1.22</v>
      </c>
      <c r="F1986" s="78">
        <v>410</v>
      </c>
      <c r="G1986" s="78"/>
      <c r="H1986" s="78">
        <v>1.5</v>
      </c>
      <c r="I1986" s="78"/>
      <c r="J1986" s="140">
        <v>45541</v>
      </c>
      <c r="K1986" s="64">
        <f t="shared" ref="K1986:K2002" si="143">E1986*F1986*H1986</f>
        <v>750.3</v>
      </c>
      <c r="L1986" s="13"/>
      <c r="M1986" s="13"/>
      <c r="N1986" s="13"/>
      <c r="O1986" s="15"/>
    </row>
    <row r="1987" spans="1:15" ht="15" customHeight="1">
      <c r="A1987" s="71" t="s">
        <v>3876</v>
      </c>
      <c r="B1987" s="147" t="s">
        <v>3877</v>
      </c>
      <c r="C1987" s="151" t="s">
        <v>3878</v>
      </c>
      <c r="D1987" s="78" t="s">
        <v>1921</v>
      </c>
      <c r="E1987" s="78">
        <v>1.22</v>
      </c>
      <c r="F1987" s="147">
        <v>217</v>
      </c>
      <c r="G1987" s="151"/>
      <c r="H1987" s="147">
        <v>1.65</v>
      </c>
      <c r="I1987" s="151"/>
      <c r="J1987" s="139">
        <v>45636</v>
      </c>
      <c r="K1987" s="50">
        <f t="shared" si="143"/>
        <v>436.82099999999997</v>
      </c>
      <c r="L1987" s="64"/>
      <c r="M1987" s="41"/>
      <c r="N1987" s="38"/>
      <c r="O1987" s="38"/>
    </row>
    <row r="1988" spans="1:15" ht="15" customHeight="1">
      <c r="A1988" s="24">
        <v>316</v>
      </c>
      <c r="B1988" s="78" t="s">
        <v>2210</v>
      </c>
      <c r="C1988" s="78"/>
      <c r="D1988" s="78" t="s">
        <v>451</v>
      </c>
      <c r="E1988" s="78">
        <v>1.22</v>
      </c>
      <c r="F1988" s="78">
        <v>123</v>
      </c>
      <c r="G1988" s="121"/>
      <c r="H1988" s="78">
        <v>1.6</v>
      </c>
      <c r="I1988" s="121"/>
      <c r="J1988" s="138">
        <v>44386</v>
      </c>
      <c r="K1988" s="13">
        <f t="shared" si="143"/>
        <v>240.096</v>
      </c>
      <c r="L1988" s="13"/>
      <c r="M1988" s="41"/>
      <c r="N1988" s="38"/>
      <c r="O1988" s="38"/>
    </row>
    <row r="1989" spans="1:15" ht="15" customHeight="1">
      <c r="A1989" s="24" t="s">
        <v>2430</v>
      </c>
      <c r="B1989" s="78" t="s">
        <v>2431</v>
      </c>
      <c r="C1989" s="78" t="s">
        <v>15</v>
      </c>
      <c r="D1989" s="78" t="s">
        <v>451</v>
      </c>
      <c r="E1989" s="78">
        <v>1.22</v>
      </c>
      <c r="F1989" s="78">
        <v>79</v>
      </c>
      <c r="G1989" s="78"/>
      <c r="H1989" s="78">
        <v>1.6</v>
      </c>
      <c r="I1989" s="78"/>
      <c r="J1989" s="140">
        <v>44608</v>
      </c>
      <c r="K1989" s="13">
        <f t="shared" si="143"/>
        <v>154.208</v>
      </c>
      <c r="L1989" s="13"/>
      <c r="M1989" s="13"/>
      <c r="N1989" s="13">
        <f>G1989*H1989*I1989*E1989</f>
        <v>0</v>
      </c>
      <c r="O1989" s="15">
        <f>K1989*1.6667</f>
        <v>257.01847359999999</v>
      </c>
    </row>
    <row r="1990" spans="1:15" ht="15" customHeight="1">
      <c r="A1990" s="24" t="s">
        <v>4483</v>
      </c>
      <c r="B1990" s="78" t="s">
        <v>4484</v>
      </c>
      <c r="C1990" s="78">
        <v>0</v>
      </c>
      <c r="D1990" s="78" t="s">
        <v>1292</v>
      </c>
      <c r="E1990" s="78">
        <v>1.22</v>
      </c>
      <c r="F1990" s="78">
        <v>149.9</v>
      </c>
      <c r="G1990" s="78"/>
      <c r="H1990" s="78">
        <v>1.8</v>
      </c>
      <c r="I1990" s="78"/>
      <c r="J1990" s="140">
        <v>45981</v>
      </c>
      <c r="K1990" s="13">
        <f t="shared" si="143"/>
        <v>329.18040000000002</v>
      </c>
      <c r="L1990" s="13"/>
      <c r="M1990" s="13"/>
      <c r="N1990" s="13">
        <f>G1990*H1990*I1990*E1990</f>
        <v>0</v>
      </c>
      <c r="O1990" s="15">
        <f>K1990*1.6667</f>
        <v>548.64497268000002</v>
      </c>
    </row>
    <row r="1991" spans="1:15" ht="15" customHeight="1">
      <c r="A1991" s="38">
        <v>2320</v>
      </c>
      <c r="B1991" s="103" t="s">
        <v>4119</v>
      </c>
      <c r="C1991" s="121" t="s">
        <v>1846</v>
      </c>
      <c r="D1991" s="78" t="s">
        <v>716</v>
      </c>
      <c r="E1991" s="78">
        <v>1.22</v>
      </c>
      <c r="F1991" s="103">
        <v>246</v>
      </c>
      <c r="G1991" s="121"/>
      <c r="H1991" s="103">
        <v>1.4</v>
      </c>
      <c r="I1991" s="121"/>
      <c r="J1991" s="138">
        <v>45728</v>
      </c>
      <c r="K1991" s="13">
        <f t="shared" si="143"/>
        <v>420.16800000000001</v>
      </c>
      <c r="L1991" s="64"/>
      <c r="M1991" s="41"/>
      <c r="N1991" s="38"/>
      <c r="O1991" s="38"/>
    </row>
    <row r="1992" spans="1:15" ht="15" customHeight="1">
      <c r="A1992" s="24" t="s">
        <v>3640</v>
      </c>
      <c r="B1992" s="78" t="s">
        <v>3639</v>
      </c>
      <c r="C1992" s="78" t="s">
        <v>644</v>
      </c>
      <c r="D1992" s="78" t="s">
        <v>1030</v>
      </c>
      <c r="E1992" s="78">
        <v>1.22</v>
      </c>
      <c r="F1992" s="78">
        <v>45</v>
      </c>
      <c r="G1992" s="78"/>
      <c r="H1992" s="78">
        <v>1.6</v>
      </c>
      <c r="I1992" s="78"/>
      <c r="J1992" s="140">
        <v>45517</v>
      </c>
      <c r="K1992" s="13">
        <f t="shared" si="143"/>
        <v>87.84</v>
      </c>
      <c r="L1992" s="13"/>
      <c r="M1992" s="13"/>
      <c r="N1992" s="13">
        <f>G1992*H1992*I1992*E1992</f>
        <v>0</v>
      </c>
      <c r="O1992" s="15">
        <f>K1992*1.6667</f>
        <v>146.402928</v>
      </c>
    </row>
    <row r="1993" spans="1:15" ht="15" customHeight="1">
      <c r="A1993" s="24">
        <v>801</v>
      </c>
      <c r="B1993" s="78" t="s">
        <v>4152</v>
      </c>
      <c r="C1993" s="78" t="s">
        <v>644</v>
      </c>
      <c r="D1993" s="78" t="s">
        <v>34</v>
      </c>
      <c r="E1993" s="78">
        <v>1.22</v>
      </c>
      <c r="F1993" s="78">
        <v>334</v>
      </c>
      <c r="G1993" s="78"/>
      <c r="H1993" s="78">
        <v>1.3</v>
      </c>
      <c r="I1993" s="78"/>
      <c r="J1993" s="140">
        <v>45608</v>
      </c>
      <c r="K1993" s="13">
        <f t="shared" si="143"/>
        <v>529.72400000000005</v>
      </c>
      <c r="L1993" s="13"/>
      <c r="M1993" s="13"/>
      <c r="N1993" s="13">
        <f>G1993*H1993*I1993*E1993</f>
        <v>0</v>
      </c>
      <c r="O1993" s="15">
        <f>K1993*1.6667</f>
        <v>882.89099080000017</v>
      </c>
    </row>
    <row r="1994" spans="1:15" ht="15" customHeight="1">
      <c r="A1994" s="16"/>
      <c r="B1994" s="80" t="s">
        <v>2779</v>
      </c>
      <c r="C1994" s="79" t="s">
        <v>644</v>
      </c>
      <c r="D1994" s="28" t="s">
        <v>1030</v>
      </c>
      <c r="E1994" s="80">
        <v>1.22</v>
      </c>
      <c r="F1994" s="80">
        <v>364</v>
      </c>
      <c r="G1994" s="110"/>
      <c r="H1994" s="80">
        <v>1.2</v>
      </c>
      <c r="I1994" s="110"/>
      <c r="J1994" s="134">
        <v>45148</v>
      </c>
      <c r="K1994" s="9">
        <f t="shared" si="143"/>
        <v>532.89599999999996</v>
      </c>
      <c r="L1994" s="41"/>
      <c r="M1994" s="41"/>
      <c r="N1994" s="38"/>
      <c r="O1994" s="38"/>
    </row>
    <row r="1995" spans="1:15" ht="15" customHeight="1">
      <c r="A1995" s="16"/>
      <c r="B1995" s="87" t="s">
        <v>3252</v>
      </c>
      <c r="C1995" s="110" t="s">
        <v>3253</v>
      </c>
      <c r="D1995" s="28" t="s">
        <v>3297</v>
      </c>
      <c r="E1995" s="87">
        <v>1.22</v>
      </c>
      <c r="F1995" s="87">
        <v>103.61</v>
      </c>
      <c r="G1995" s="110"/>
      <c r="H1995" s="87">
        <v>1.5</v>
      </c>
      <c r="I1995" s="110"/>
      <c r="J1995" s="135">
        <v>45241</v>
      </c>
      <c r="K1995" s="9">
        <f t="shared" si="143"/>
        <v>189.6063</v>
      </c>
      <c r="L1995" s="64"/>
      <c r="M1995" s="41"/>
      <c r="N1995" s="38"/>
      <c r="O1995" s="38"/>
    </row>
    <row r="1996" spans="1:15" ht="15" customHeight="1">
      <c r="A1996" s="24" t="s">
        <v>4408</v>
      </c>
      <c r="B1996" s="78" t="s">
        <v>4409</v>
      </c>
      <c r="C1996" s="78">
        <v>0</v>
      </c>
      <c r="D1996" s="78" t="s">
        <v>1983</v>
      </c>
      <c r="E1996" s="78">
        <v>1.22</v>
      </c>
      <c r="F1996" s="78">
        <v>156.81</v>
      </c>
      <c r="G1996" s="78"/>
      <c r="H1996" s="78">
        <v>1.6</v>
      </c>
      <c r="I1996" s="78"/>
      <c r="J1996" s="140">
        <v>44105</v>
      </c>
      <c r="K1996" s="13">
        <f t="shared" si="143"/>
        <v>306.09312</v>
      </c>
      <c r="L1996" s="13"/>
      <c r="M1996" s="13"/>
      <c r="N1996" s="13">
        <f>G1996*H1996*I1996*E1996</f>
        <v>0</v>
      </c>
      <c r="O1996" s="15">
        <f>K1996*1.6667</f>
        <v>510.16540310400001</v>
      </c>
    </row>
    <row r="1997" spans="1:15" ht="15" customHeight="1">
      <c r="A1997" s="24" t="s">
        <v>3658</v>
      </c>
      <c r="B1997" s="78" t="s">
        <v>3659</v>
      </c>
      <c r="C1997" s="78" t="s">
        <v>3660</v>
      </c>
      <c r="D1997" s="78" t="s">
        <v>1983</v>
      </c>
      <c r="E1997" s="78">
        <v>1.22</v>
      </c>
      <c r="F1997" s="78">
        <v>203</v>
      </c>
      <c r="G1997" s="78"/>
      <c r="H1997" s="78">
        <v>1.6</v>
      </c>
      <c r="I1997" s="78"/>
      <c r="J1997" s="140">
        <v>45929</v>
      </c>
      <c r="K1997" s="13">
        <f t="shared" si="143"/>
        <v>396.25600000000003</v>
      </c>
      <c r="L1997" s="13"/>
      <c r="M1997" s="13"/>
      <c r="N1997" s="13">
        <f>G1997*H1997*I1997*E1997</f>
        <v>0</v>
      </c>
      <c r="O1997" s="15">
        <f>K1997*1.6667</f>
        <v>660.43987520000007</v>
      </c>
    </row>
    <row r="1998" spans="1:15" ht="15" customHeight="1">
      <c r="A1998" s="24" t="s">
        <v>1911</v>
      </c>
      <c r="B1998" s="78" t="s">
        <v>3232</v>
      </c>
      <c r="C1998" s="78" t="s">
        <v>15</v>
      </c>
      <c r="D1998" s="78" t="s">
        <v>451</v>
      </c>
      <c r="E1998" s="78">
        <v>1.22</v>
      </c>
      <c r="F1998" s="78">
        <v>35.74</v>
      </c>
      <c r="G1998" s="78"/>
      <c r="H1998" s="78">
        <v>1.6</v>
      </c>
      <c r="I1998" s="78"/>
      <c r="J1998" s="140">
        <v>44117</v>
      </c>
      <c r="K1998" s="13">
        <f t="shared" si="143"/>
        <v>69.764480000000006</v>
      </c>
      <c r="L1998" s="13"/>
      <c r="M1998" s="13"/>
      <c r="N1998" s="13">
        <f>G1998*H1998*I1998*E1998</f>
        <v>0</v>
      </c>
      <c r="O1998" s="15">
        <f>K1998*1.6667</f>
        <v>116.27645881600002</v>
      </c>
    </row>
    <row r="1999" spans="1:15" ht="15" customHeight="1">
      <c r="A1999" s="24"/>
      <c r="B1999" s="78" t="s">
        <v>4389</v>
      </c>
      <c r="C1999" s="78" t="s">
        <v>79</v>
      </c>
      <c r="D1999" s="78" t="s">
        <v>1030</v>
      </c>
      <c r="E1999" s="78">
        <v>1.22</v>
      </c>
      <c r="F1999" s="78">
        <v>56</v>
      </c>
      <c r="G1999" s="78"/>
      <c r="H1999" s="78">
        <v>2.5</v>
      </c>
      <c r="I1999" s="78"/>
      <c r="J1999" s="138">
        <v>45925</v>
      </c>
      <c r="K1999" s="13">
        <f t="shared" si="143"/>
        <v>170.79999999999998</v>
      </c>
      <c r="L1999" s="13"/>
      <c r="M1999" s="13"/>
      <c r="N1999" s="13">
        <f>G1999*H1999*I1999*E1999</f>
        <v>0</v>
      </c>
      <c r="O1999" s="15">
        <f>K1999*1.6667</f>
        <v>284.67235999999997</v>
      </c>
    </row>
    <row r="2000" spans="1:15" ht="15" customHeight="1">
      <c r="A2000" s="58" t="s">
        <v>2702</v>
      </c>
      <c r="B2000" s="102" t="s">
        <v>1924</v>
      </c>
      <c r="C2000" s="78" t="s">
        <v>94</v>
      </c>
      <c r="D2000" s="78" t="s">
        <v>451</v>
      </c>
      <c r="E2000" s="102">
        <v>1.22</v>
      </c>
      <c r="F2000" s="102">
        <v>160</v>
      </c>
      <c r="G2000" s="125"/>
      <c r="H2000" s="102">
        <v>1.6</v>
      </c>
      <c r="I2000" s="125"/>
      <c r="J2000" s="144">
        <v>44992</v>
      </c>
      <c r="K2000" s="13">
        <f t="shared" si="143"/>
        <v>312.32</v>
      </c>
      <c r="L2000" s="13"/>
      <c r="M2000" s="41"/>
      <c r="N2000" s="48"/>
      <c r="O2000" s="48"/>
    </row>
    <row r="2001" spans="1:15" ht="15" customHeight="1">
      <c r="A2001" s="1" t="s">
        <v>4544</v>
      </c>
      <c r="B2001" s="103" t="s">
        <v>4545</v>
      </c>
      <c r="C2001" s="121"/>
      <c r="D2001" s="78" t="s">
        <v>3297</v>
      </c>
      <c r="E2001" s="78">
        <v>1.22</v>
      </c>
      <c r="F2001" s="103">
        <v>241</v>
      </c>
      <c r="G2001" s="121"/>
      <c r="H2001" s="103">
        <v>1.8</v>
      </c>
      <c r="I2001" s="121"/>
      <c r="J2001" s="138">
        <v>45981</v>
      </c>
      <c r="K2001" s="64">
        <f t="shared" si="143"/>
        <v>529.23599999999999</v>
      </c>
    </row>
    <row r="2002" spans="1:15" ht="15" customHeight="1">
      <c r="A2002" s="38" t="s">
        <v>3672</v>
      </c>
      <c r="B2002" s="103" t="s">
        <v>3671</v>
      </c>
      <c r="C2002" s="121"/>
      <c r="D2002" s="121"/>
      <c r="E2002" s="103">
        <v>1.22</v>
      </c>
      <c r="F2002" s="103">
        <v>79.900000000000006</v>
      </c>
      <c r="G2002" s="121"/>
      <c r="H2002" s="103">
        <v>2</v>
      </c>
      <c r="I2002" s="121"/>
      <c r="J2002" s="103"/>
      <c r="K2002" s="37">
        <f t="shared" si="143"/>
        <v>194.95600000000002</v>
      </c>
      <c r="L2002" s="64"/>
      <c r="M2002" s="41"/>
      <c r="N2002" s="38"/>
      <c r="O2002" s="38"/>
    </row>
    <row r="2003" spans="1:15" ht="15" hidden="1" customHeight="1">
      <c r="A2003" s="24"/>
      <c r="B2003" s="78" t="s">
        <v>3997</v>
      </c>
      <c r="C2003" s="78" t="s">
        <v>3998</v>
      </c>
      <c r="D2003" s="28" t="s">
        <v>41</v>
      </c>
      <c r="E2003" s="78">
        <v>1</v>
      </c>
      <c r="F2003" s="78">
        <v>60</v>
      </c>
      <c r="G2003" s="78"/>
      <c r="H2003" s="78">
        <v>2</v>
      </c>
      <c r="I2003" s="78"/>
      <c r="J2003" s="140">
        <v>43826</v>
      </c>
      <c r="K2003" s="13">
        <f>+H2003*E2003*F2003</f>
        <v>120</v>
      </c>
      <c r="L2003" s="13"/>
      <c r="M2003" s="13"/>
      <c r="N2003" s="13">
        <f>G2003*H2003*I2003*E2003</f>
        <v>0</v>
      </c>
      <c r="O2003" s="15">
        <f>K2003*1.6667</f>
        <v>200.00400000000002</v>
      </c>
    </row>
    <row r="2004" spans="1:15" ht="15" customHeight="1">
      <c r="A2004" s="38"/>
      <c r="B2004" s="103" t="s">
        <v>3333</v>
      </c>
      <c r="C2004" s="121"/>
      <c r="D2004" s="110" t="s">
        <v>3301</v>
      </c>
      <c r="E2004" s="103">
        <v>1.22</v>
      </c>
      <c r="F2004" s="103">
        <v>69</v>
      </c>
      <c r="G2004" s="121"/>
      <c r="H2004" s="103">
        <v>2</v>
      </c>
      <c r="I2004" s="121"/>
      <c r="J2004" s="138">
        <v>45301</v>
      </c>
      <c r="K2004" s="64">
        <f t="shared" ref="K2004:K2012" si="144">E2004*F2004*H2004</f>
        <v>168.35999999999999</v>
      </c>
      <c r="L2004" s="64"/>
      <c r="M2004" s="41"/>
      <c r="N2004" s="38"/>
      <c r="O2004" s="38"/>
    </row>
    <row r="2005" spans="1:15" ht="15" customHeight="1">
      <c r="A2005" s="38"/>
      <c r="B2005" s="78" t="s">
        <v>1623</v>
      </c>
      <c r="C2005" s="121" t="s">
        <v>1624</v>
      </c>
      <c r="D2005" s="78" t="s">
        <v>3297</v>
      </c>
      <c r="E2005" s="78">
        <v>1.22</v>
      </c>
      <c r="F2005" s="78">
        <v>32</v>
      </c>
      <c r="G2005" s="121"/>
      <c r="H2005" s="78">
        <v>1.8</v>
      </c>
      <c r="I2005" s="121"/>
      <c r="J2005" s="138">
        <v>45251</v>
      </c>
      <c r="K2005" s="50">
        <f t="shared" si="144"/>
        <v>70.272000000000006</v>
      </c>
      <c r="L2005" s="50"/>
      <c r="M2005" s="41"/>
      <c r="N2005" s="13">
        <f>G2005*H2005*I2005*E2005</f>
        <v>0</v>
      </c>
      <c r="O2005" s="15">
        <f>K2005*1.6667</f>
        <v>117.12234240000001</v>
      </c>
    </row>
    <row r="2006" spans="1:15" ht="15" customHeight="1">
      <c r="A2006" s="23" t="s">
        <v>2255</v>
      </c>
      <c r="B2006" s="28" t="s">
        <v>1073</v>
      </c>
      <c r="C2006" s="78" t="s">
        <v>1074</v>
      </c>
      <c r="D2006" s="85" t="s">
        <v>451</v>
      </c>
      <c r="E2006" s="85">
        <v>1.22</v>
      </c>
      <c r="F2006" s="78">
        <v>21</v>
      </c>
      <c r="G2006" s="78"/>
      <c r="H2006" s="85">
        <v>1.8</v>
      </c>
      <c r="I2006" s="78"/>
      <c r="J2006" s="140">
        <v>45119</v>
      </c>
      <c r="K2006" s="9">
        <f t="shared" si="144"/>
        <v>46.116</v>
      </c>
      <c r="L2006" s="13"/>
      <c r="M2006" s="13"/>
      <c r="N2006" s="13">
        <f>G2006*H2006*I2006*E2006</f>
        <v>0</v>
      </c>
      <c r="O2006" s="15">
        <f>K2006*1.6667</f>
        <v>76.861537200000001</v>
      </c>
    </row>
    <row r="2007" spans="1:15" ht="15" customHeight="1">
      <c r="A2007" s="39"/>
      <c r="B2007" s="28" t="s">
        <v>807</v>
      </c>
      <c r="C2007" s="121"/>
      <c r="D2007" s="85" t="s">
        <v>3322</v>
      </c>
      <c r="E2007" s="85">
        <v>1.22</v>
      </c>
      <c r="F2007" s="78">
        <v>20.010000000000002</v>
      </c>
      <c r="G2007" s="121"/>
      <c r="H2007" s="85">
        <v>1.8</v>
      </c>
      <c r="I2007" s="121"/>
      <c r="J2007" s="138">
        <v>43937</v>
      </c>
      <c r="K2007" s="35">
        <f t="shared" si="144"/>
        <v>43.941960000000002</v>
      </c>
      <c r="L2007" s="50"/>
      <c r="M2007" s="41"/>
      <c r="N2007" s="38"/>
      <c r="O2007" s="15">
        <f>K2007*1.6667</f>
        <v>73.238064732000012</v>
      </c>
    </row>
    <row r="2008" spans="1:15" ht="15" customHeight="1">
      <c r="A2008" s="39"/>
      <c r="B2008" s="80" t="s">
        <v>3264</v>
      </c>
      <c r="C2008" s="125" t="s">
        <v>2976</v>
      </c>
      <c r="D2008" s="85"/>
      <c r="E2008" s="158">
        <v>1.22</v>
      </c>
      <c r="F2008" s="102">
        <v>30.81</v>
      </c>
      <c r="G2008" s="121"/>
      <c r="H2008" s="85">
        <v>1.6</v>
      </c>
      <c r="I2008" s="121"/>
      <c r="J2008" s="144">
        <v>45251</v>
      </c>
      <c r="K2008" s="9">
        <f t="shared" si="144"/>
        <v>60.141120000000001</v>
      </c>
      <c r="L2008" s="64"/>
      <c r="M2008" s="41"/>
      <c r="N2008" s="38"/>
      <c r="O2008" s="38"/>
    </row>
    <row r="2009" spans="1:15" ht="15" customHeight="1">
      <c r="A2009" s="24">
        <v>1886</v>
      </c>
      <c r="B2009" s="78" t="s">
        <v>2977</v>
      </c>
      <c r="C2009" s="78" t="s">
        <v>2976</v>
      </c>
      <c r="D2009" s="78" t="s">
        <v>3324</v>
      </c>
      <c r="E2009" s="78">
        <v>1.22</v>
      </c>
      <c r="F2009" s="78">
        <v>32.92</v>
      </c>
      <c r="G2009" s="78"/>
      <c r="H2009" s="78">
        <v>1.6</v>
      </c>
      <c r="I2009" s="78"/>
      <c r="J2009" s="140">
        <v>45422</v>
      </c>
      <c r="K2009" s="13">
        <f t="shared" si="144"/>
        <v>64.259839999999997</v>
      </c>
      <c r="L2009" s="13"/>
      <c r="M2009" s="13"/>
      <c r="N2009" s="13">
        <f>G2009*H2009*I2009*E2009</f>
        <v>0</v>
      </c>
      <c r="O2009" s="15">
        <f>K2009*1.6667</f>
        <v>107.10187532800001</v>
      </c>
    </row>
    <row r="2010" spans="1:15" ht="15" customHeight="1">
      <c r="A2010" s="24"/>
      <c r="B2010" s="78" t="s">
        <v>2857</v>
      </c>
      <c r="C2010" s="78" t="s">
        <v>1309</v>
      </c>
      <c r="D2010" s="78"/>
      <c r="E2010" s="78">
        <v>1.22</v>
      </c>
      <c r="F2010" s="78">
        <v>29.62</v>
      </c>
      <c r="G2010" s="78"/>
      <c r="H2010" s="78">
        <v>1.6</v>
      </c>
      <c r="I2010" s="78"/>
      <c r="J2010" s="138">
        <v>44964</v>
      </c>
      <c r="K2010" s="13">
        <f t="shared" si="144"/>
        <v>57.818240000000003</v>
      </c>
      <c r="L2010" s="13"/>
      <c r="M2010" s="13"/>
      <c r="N2010" s="13"/>
      <c r="O2010" s="15"/>
    </row>
    <row r="2011" spans="1:15" ht="15" customHeight="1">
      <c r="A2011" s="24">
        <v>2154</v>
      </c>
      <c r="B2011" s="78" t="s">
        <v>2914</v>
      </c>
      <c r="C2011" s="78" t="s">
        <v>2913</v>
      </c>
      <c r="D2011" s="78" t="s">
        <v>3324</v>
      </c>
      <c r="E2011" s="78">
        <v>1.22</v>
      </c>
      <c r="F2011" s="78">
        <v>32.92</v>
      </c>
      <c r="G2011" s="78"/>
      <c r="H2011" s="78">
        <v>1.6</v>
      </c>
      <c r="I2011" s="78"/>
      <c r="J2011" s="140">
        <v>45344</v>
      </c>
      <c r="K2011" s="13">
        <f t="shared" si="144"/>
        <v>64.259839999999997</v>
      </c>
      <c r="L2011" s="13"/>
      <c r="M2011" s="13"/>
      <c r="N2011" s="13">
        <f>G2011*H2011*I2011*E2011</f>
        <v>0</v>
      </c>
      <c r="O2011" s="15">
        <f>K2011*1.6667</f>
        <v>107.10187532800001</v>
      </c>
    </row>
    <row r="2012" spans="1:15" ht="15" customHeight="1">
      <c r="A2012" s="24">
        <v>13</v>
      </c>
      <c r="B2012" s="78" t="s">
        <v>2912</v>
      </c>
      <c r="C2012" s="78" t="s">
        <v>2913</v>
      </c>
      <c r="D2012" s="78" t="s">
        <v>3324</v>
      </c>
      <c r="E2012" s="78">
        <v>1.22</v>
      </c>
      <c r="F2012" s="78">
        <v>32.92</v>
      </c>
      <c r="G2012" s="78"/>
      <c r="H2012" s="78">
        <v>1.6</v>
      </c>
      <c r="I2012" s="78"/>
      <c r="J2012" s="138">
        <v>45706</v>
      </c>
      <c r="K2012" s="13">
        <f t="shared" si="144"/>
        <v>64.259839999999997</v>
      </c>
      <c r="L2012" s="13"/>
      <c r="M2012" s="13"/>
      <c r="N2012" s="13">
        <f>G2012*H2012*I2012*E2012</f>
        <v>0</v>
      </c>
      <c r="O2012" s="15">
        <f>K2012*1.6667</f>
        <v>107.10187532800001</v>
      </c>
    </row>
    <row r="2013" spans="1:15" ht="15" customHeight="1">
      <c r="A2013" s="58"/>
      <c r="B2013" s="78" t="s">
        <v>1383</v>
      </c>
      <c r="C2013" s="78" t="s">
        <v>98</v>
      </c>
      <c r="D2013" s="78"/>
      <c r="E2013" s="78">
        <v>1</v>
      </c>
      <c r="F2013" s="78">
        <v>175</v>
      </c>
      <c r="G2013" s="125"/>
      <c r="H2013" s="78">
        <v>1.3</v>
      </c>
      <c r="I2013" s="125">
        <v>37</v>
      </c>
      <c r="J2013" s="102"/>
      <c r="K2013" s="58">
        <f>E2013*F2013*I2013*H2013</f>
        <v>8417.5</v>
      </c>
      <c r="L2013" s="58"/>
      <c r="M2013" s="58"/>
      <c r="N2013" s="58"/>
      <c r="O2013" s="62">
        <f>K2013*1.6667</f>
        <v>14029.447250000001</v>
      </c>
    </row>
    <row r="2014" spans="1:15" ht="15" customHeight="1">
      <c r="A2014" s="24"/>
      <c r="B2014" s="78" t="s">
        <v>2577</v>
      </c>
      <c r="C2014" s="28" t="s">
        <v>93</v>
      </c>
      <c r="D2014" s="28"/>
      <c r="E2014" s="28">
        <v>1</v>
      </c>
      <c r="F2014" s="78">
        <v>337</v>
      </c>
      <c r="G2014" s="78"/>
      <c r="H2014" s="28">
        <v>1.1000000000000001</v>
      </c>
      <c r="I2014" s="78"/>
      <c r="J2014" s="140">
        <v>44473</v>
      </c>
      <c r="K2014" s="9">
        <f>E2014*F2014*H2014</f>
        <v>370.70000000000005</v>
      </c>
      <c r="L2014" s="13"/>
      <c r="M2014" s="13"/>
      <c r="N2014" s="13">
        <f>G2014*H2014*I2014*E2014</f>
        <v>0</v>
      </c>
      <c r="O2014" s="15">
        <f>K2014*1.6667</f>
        <v>617.8456900000001</v>
      </c>
    </row>
    <row r="2015" spans="1:15" ht="15" customHeight="1">
      <c r="A2015" s="24"/>
      <c r="B2015" s="78" t="s">
        <v>134</v>
      </c>
      <c r="C2015" s="28" t="s">
        <v>1025</v>
      </c>
      <c r="D2015" s="28" t="s">
        <v>23</v>
      </c>
      <c r="E2015" s="28">
        <v>1</v>
      </c>
      <c r="F2015" s="78">
        <v>1</v>
      </c>
      <c r="G2015" s="78">
        <v>2.25</v>
      </c>
      <c r="H2015" s="28">
        <v>1.5</v>
      </c>
      <c r="I2015" s="78">
        <v>45</v>
      </c>
      <c r="J2015" s="140">
        <v>45567</v>
      </c>
      <c r="K2015" s="9">
        <f>+G2015*H2015*I2015</f>
        <v>151.875</v>
      </c>
      <c r="L2015" s="13"/>
      <c r="M2015" s="13"/>
      <c r="N2015" s="13">
        <f>G2015*H2015*I2015*E2015</f>
        <v>151.875</v>
      </c>
      <c r="O2015" s="15">
        <f>K2015*1.6667</f>
        <v>253.13006250000001</v>
      </c>
    </row>
    <row r="2016" spans="1:15" ht="15" customHeight="1">
      <c r="B2016" s="160" t="s">
        <v>4411</v>
      </c>
      <c r="C2016" s="126" t="s">
        <v>4410</v>
      </c>
      <c r="D2016" s="28" t="s">
        <v>23</v>
      </c>
      <c r="E2016" s="28">
        <v>1</v>
      </c>
      <c r="F2016" s="108">
        <v>1010</v>
      </c>
      <c r="H2016" s="108">
        <v>1.1000000000000001</v>
      </c>
      <c r="J2016" s="140">
        <v>45930</v>
      </c>
      <c r="K2016" s="13">
        <f>E2016*F2016*H2016</f>
        <v>1111</v>
      </c>
    </row>
    <row r="2017" spans="1:15" ht="15" customHeight="1">
      <c r="A2017" s="38"/>
      <c r="B2017" s="103" t="s">
        <v>4149</v>
      </c>
      <c r="C2017" s="121" t="s">
        <v>133</v>
      </c>
      <c r="D2017" s="110" t="s">
        <v>23</v>
      </c>
      <c r="E2017" s="87">
        <v>1</v>
      </c>
      <c r="F2017" s="103"/>
      <c r="G2017" s="121">
        <v>1.1000000000000001</v>
      </c>
      <c r="H2017" s="103">
        <v>2</v>
      </c>
      <c r="I2017" s="121">
        <v>45</v>
      </c>
      <c r="J2017" s="138">
        <v>45743</v>
      </c>
      <c r="K2017" s="13">
        <f>+G2017*H2017*I2017</f>
        <v>99.000000000000014</v>
      </c>
    </row>
    <row r="2018" spans="1:15" ht="15" customHeight="1">
      <c r="A2018" s="38"/>
      <c r="B2018" s="103" t="s">
        <v>4149</v>
      </c>
      <c r="C2018" s="121" t="s">
        <v>93</v>
      </c>
      <c r="D2018" s="110" t="s">
        <v>23</v>
      </c>
      <c r="E2018" s="87">
        <v>1</v>
      </c>
      <c r="F2018" s="103"/>
      <c r="G2018" s="121">
        <v>11</v>
      </c>
      <c r="H2018" s="103">
        <v>1.6</v>
      </c>
      <c r="I2018" s="121">
        <v>45</v>
      </c>
      <c r="J2018" s="138">
        <v>45743</v>
      </c>
      <c r="K2018" s="13">
        <f>+G2018*H2018*I2018</f>
        <v>792.00000000000011</v>
      </c>
    </row>
    <row r="2019" spans="1:15" ht="15" customHeight="1">
      <c r="A2019" s="48"/>
      <c r="B2019" s="102" t="s">
        <v>2114</v>
      </c>
      <c r="C2019" s="124"/>
      <c r="D2019" s="93" t="s">
        <v>23</v>
      </c>
      <c r="E2019" s="152">
        <v>1</v>
      </c>
      <c r="F2019" s="100"/>
      <c r="G2019" s="125">
        <v>1.65</v>
      </c>
      <c r="H2019" s="102">
        <v>1.6</v>
      </c>
      <c r="I2019" s="125">
        <v>45</v>
      </c>
      <c r="J2019" s="140">
        <v>45865</v>
      </c>
      <c r="K2019" s="13">
        <f>+G2019*H2019*I2019</f>
        <v>118.80000000000001</v>
      </c>
      <c r="L2019" s="50"/>
      <c r="M2019" s="41"/>
      <c r="N2019" s="48"/>
      <c r="O2019" s="48"/>
    </row>
    <row r="2020" spans="1:15" ht="15" customHeight="1">
      <c r="A2020" s="48"/>
      <c r="B2020" s="28" t="s">
        <v>1696</v>
      </c>
      <c r="C2020" s="92" t="s">
        <v>1969</v>
      </c>
      <c r="D2020" s="28" t="s">
        <v>451</v>
      </c>
      <c r="E2020" s="88">
        <v>1.22</v>
      </c>
      <c r="F2020" s="88">
        <v>9</v>
      </c>
      <c r="G2020" s="88"/>
      <c r="H2020" s="88">
        <v>1.6</v>
      </c>
      <c r="I2020" s="113"/>
      <c r="J2020" s="135">
        <v>45849</v>
      </c>
      <c r="K2020" s="9">
        <f t="shared" ref="K2020:K2047" si="145">E2020*F2020*H2020</f>
        <v>17.568000000000001</v>
      </c>
      <c r="L2020" s="50"/>
      <c r="M2020" s="41"/>
      <c r="N2020" s="48"/>
      <c r="O2020" s="48"/>
    </row>
    <row r="2021" spans="1:15" ht="15" customHeight="1">
      <c r="A2021" s="48"/>
      <c r="B2021" s="28" t="s">
        <v>1696</v>
      </c>
      <c r="C2021" s="92" t="s">
        <v>1619</v>
      </c>
      <c r="D2021" s="28" t="s">
        <v>451</v>
      </c>
      <c r="E2021" s="88">
        <v>1.22</v>
      </c>
      <c r="F2021" s="88">
        <v>9</v>
      </c>
      <c r="G2021" s="88"/>
      <c r="H2021" s="88">
        <v>1.6</v>
      </c>
      <c r="I2021" s="113"/>
      <c r="J2021" s="135">
        <v>45220</v>
      </c>
      <c r="K2021" s="9">
        <f t="shared" si="145"/>
        <v>17.568000000000001</v>
      </c>
      <c r="L2021" s="50"/>
      <c r="M2021" s="41"/>
      <c r="N2021" s="48"/>
      <c r="O2021" s="48"/>
    </row>
    <row r="2022" spans="1:15" ht="15" customHeight="1">
      <c r="A2022" s="38"/>
      <c r="B2022" s="28" t="s">
        <v>1696</v>
      </c>
      <c r="C2022" s="117" t="s">
        <v>131</v>
      </c>
      <c r="D2022" s="28" t="s">
        <v>451</v>
      </c>
      <c r="E2022" s="88">
        <v>1.22</v>
      </c>
      <c r="F2022" s="87">
        <v>17</v>
      </c>
      <c r="G2022" s="110"/>
      <c r="H2022" s="87">
        <v>1.6</v>
      </c>
      <c r="I2022" s="110"/>
      <c r="J2022" s="135">
        <v>45849</v>
      </c>
      <c r="K2022" s="9">
        <f t="shared" si="145"/>
        <v>33.183999999999997</v>
      </c>
      <c r="L2022" s="64"/>
      <c r="M2022" s="41"/>
      <c r="N2022" s="38"/>
      <c r="O2022" s="38"/>
    </row>
    <row r="2023" spans="1:15" ht="15" customHeight="1">
      <c r="A2023" s="24" t="s">
        <v>4103</v>
      </c>
      <c r="B2023" s="28" t="s">
        <v>4104</v>
      </c>
      <c r="C2023" s="28" t="s">
        <v>4105</v>
      </c>
      <c r="D2023" s="28" t="s">
        <v>1921</v>
      </c>
      <c r="E2023" s="28">
        <v>1.22</v>
      </c>
      <c r="F2023" s="28">
        <v>97</v>
      </c>
      <c r="G2023" s="28"/>
      <c r="H2023" s="28">
        <v>1.4</v>
      </c>
      <c r="I2023" s="28"/>
      <c r="J2023" s="133">
        <v>45721</v>
      </c>
      <c r="K2023" s="9">
        <f t="shared" si="145"/>
        <v>165.67599999999999</v>
      </c>
      <c r="L2023" s="13"/>
      <c r="M2023" s="13"/>
      <c r="N2023" s="13">
        <f>G2023*H2023*I2023*E2023</f>
        <v>0</v>
      </c>
      <c r="O2023" s="15">
        <f>K2023*1.6667</f>
        <v>276.13218919999997</v>
      </c>
    </row>
    <row r="2024" spans="1:15" ht="15" customHeight="1">
      <c r="A2024" s="24" t="s">
        <v>4100</v>
      </c>
      <c r="B2024" s="85" t="s">
        <v>4101</v>
      </c>
      <c r="C2024" s="78" t="s">
        <v>4102</v>
      </c>
      <c r="D2024" s="85" t="s">
        <v>1921</v>
      </c>
      <c r="E2024" s="85">
        <v>1.22</v>
      </c>
      <c r="F2024" s="78">
        <v>199</v>
      </c>
      <c r="G2024" s="78"/>
      <c r="H2024" s="78">
        <v>1.4</v>
      </c>
      <c r="I2024" s="78"/>
      <c r="J2024" s="140">
        <v>45721</v>
      </c>
      <c r="K2024" s="10">
        <f t="shared" si="145"/>
        <v>339.892</v>
      </c>
      <c r="L2024" s="13"/>
      <c r="M2024" s="13"/>
      <c r="N2024" s="13">
        <f>G2024*H2024*I2024*E2024</f>
        <v>0</v>
      </c>
      <c r="O2024" s="15">
        <f>K2024*1.6667</f>
        <v>566.49799640000003</v>
      </c>
    </row>
    <row r="2025" spans="1:15" ht="15" customHeight="1">
      <c r="A2025" s="38"/>
      <c r="B2025" s="103" t="s">
        <v>4188</v>
      </c>
      <c r="C2025" s="121" t="s">
        <v>477</v>
      </c>
      <c r="D2025" s="28" t="s">
        <v>451</v>
      </c>
      <c r="E2025" s="28">
        <v>1.22</v>
      </c>
      <c r="F2025" s="103">
        <v>360</v>
      </c>
      <c r="G2025" s="121"/>
      <c r="H2025" s="87">
        <v>1.7</v>
      </c>
      <c r="I2025" s="121"/>
      <c r="J2025" s="138">
        <v>45772</v>
      </c>
      <c r="K2025" s="35">
        <f t="shared" si="145"/>
        <v>746.64</v>
      </c>
    </row>
    <row r="2026" spans="1:15" ht="15" customHeight="1">
      <c r="A2026" s="38"/>
      <c r="B2026" s="103" t="s">
        <v>4188</v>
      </c>
      <c r="C2026" s="121" t="s">
        <v>4189</v>
      </c>
      <c r="D2026" s="28" t="s">
        <v>451</v>
      </c>
      <c r="E2026" s="28">
        <v>1.22</v>
      </c>
      <c r="F2026" s="103">
        <v>240</v>
      </c>
      <c r="G2026" s="121"/>
      <c r="H2026" s="87">
        <v>1.7</v>
      </c>
      <c r="I2026" s="121"/>
      <c r="J2026" s="138">
        <v>45772</v>
      </c>
      <c r="K2026" s="35">
        <f t="shared" si="145"/>
        <v>497.76</v>
      </c>
    </row>
    <row r="2027" spans="1:15" ht="15" customHeight="1">
      <c r="B2027" s="103" t="s">
        <v>4188</v>
      </c>
      <c r="C2027" s="121" t="s">
        <v>1619</v>
      </c>
      <c r="D2027" s="28" t="s">
        <v>451</v>
      </c>
      <c r="E2027" s="28">
        <v>1.22</v>
      </c>
      <c r="F2027" s="103">
        <v>120</v>
      </c>
      <c r="G2027" s="121"/>
      <c r="H2027" s="87">
        <v>1.7</v>
      </c>
      <c r="I2027" s="121"/>
      <c r="J2027" s="138">
        <v>45772</v>
      </c>
      <c r="K2027" s="35">
        <f t="shared" si="145"/>
        <v>248.88</v>
      </c>
    </row>
    <row r="2028" spans="1:15" ht="15" customHeight="1">
      <c r="A2028" s="48"/>
      <c r="B2028" s="78" t="s">
        <v>1749</v>
      </c>
      <c r="C2028" s="100">
        <v>9</v>
      </c>
      <c r="D2028" s="93" t="s">
        <v>451</v>
      </c>
      <c r="E2028" s="270">
        <v>1.22</v>
      </c>
      <c r="F2028" s="147">
        <v>2178</v>
      </c>
      <c r="G2028" s="147"/>
      <c r="H2028" s="270">
        <v>1.6</v>
      </c>
      <c r="I2028" s="124"/>
      <c r="J2028" s="138">
        <v>43990</v>
      </c>
      <c r="K2028" s="33">
        <f t="shared" si="145"/>
        <v>4251.4560000000001</v>
      </c>
      <c r="L2028" s="50"/>
      <c r="M2028" s="41"/>
      <c r="N2028" s="48"/>
      <c r="O2028" s="48"/>
    </row>
    <row r="2029" spans="1:15" ht="15" customHeight="1">
      <c r="A2029" s="48" t="s">
        <v>2334</v>
      </c>
      <c r="B2029" s="28" t="s">
        <v>1749</v>
      </c>
      <c r="C2029" s="92" t="s">
        <v>2332</v>
      </c>
      <c r="D2029" s="28" t="s">
        <v>451</v>
      </c>
      <c r="E2029" s="88">
        <v>1.22</v>
      </c>
      <c r="F2029" s="88">
        <v>1870</v>
      </c>
      <c r="G2029" s="88"/>
      <c r="H2029" s="88">
        <v>1.6</v>
      </c>
      <c r="I2029" s="113"/>
      <c r="J2029" s="135">
        <v>44146</v>
      </c>
      <c r="K2029" s="9">
        <f t="shared" si="145"/>
        <v>3650.2400000000002</v>
      </c>
      <c r="L2029" s="50"/>
      <c r="M2029" s="41"/>
      <c r="N2029" s="48"/>
      <c r="O2029" s="48"/>
    </row>
    <row r="2030" spans="1:15" ht="15" customHeight="1">
      <c r="A2030" s="48" t="s">
        <v>2335</v>
      </c>
      <c r="B2030" s="28" t="s">
        <v>1749</v>
      </c>
      <c r="C2030" s="92" t="s">
        <v>2333</v>
      </c>
      <c r="D2030" s="28" t="s">
        <v>451</v>
      </c>
      <c r="E2030" s="88">
        <v>1.22</v>
      </c>
      <c r="F2030" s="88">
        <v>1452</v>
      </c>
      <c r="G2030" s="88"/>
      <c r="H2030" s="88">
        <v>1.6</v>
      </c>
      <c r="I2030" s="113"/>
      <c r="J2030" s="135">
        <v>44511</v>
      </c>
      <c r="K2030" s="9">
        <f t="shared" si="145"/>
        <v>2834.3040000000001</v>
      </c>
      <c r="L2030" s="50"/>
      <c r="M2030" s="41"/>
      <c r="N2030" s="48"/>
      <c r="O2030" s="48"/>
    </row>
    <row r="2031" spans="1:15" ht="15" customHeight="1">
      <c r="A2031" s="48"/>
      <c r="B2031" s="28" t="s">
        <v>1749</v>
      </c>
      <c r="C2031" s="92">
        <v>20</v>
      </c>
      <c r="D2031" s="28" t="s">
        <v>451</v>
      </c>
      <c r="E2031" s="88">
        <v>1.22</v>
      </c>
      <c r="F2031" s="88">
        <v>1452</v>
      </c>
      <c r="G2031" s="88"/>
      <c r="H2031" s="88">
        <v>1.6</v>
      </c>
      <c r="I2031" s="113"/>
      <c r="J2031" s="135">
        <v>43990</v>
      </c>
      <c r="K2031" s="9">
        <f t="shared" si="145"/>
        <v>2834.3040000000001</v>
      </c>
      <c r="L2031" s="50"/>
      <c r="M2031" s="41"/>
      <c r="N2031" s="48"/>
      <c r="O2031" s="48"/>
    </row>
    <row r="2032" spans="1:15" ht="15" customHeight="1">
      <c r="A2032" s="48"/>
      <c r="B2032" s="28" t="s">
        <v>1749</v>
      </c>
      <c r="C2032" s="92">
        <v>21</v>
      </c>
      <c r="D2032" s="28" t="s">
        <v>451</v>
      </c>
      <c r="E2032" s="88">
        <v>1.22</v>
      </c>
      <c r="F2032" s="88">
        <v>1760</v>
      </c>
      <c r="G2032" s="88"/>
      <c r="H2032" s="88">
        <v>1.6</v>
      </c>
      <c r="I2032" s="113"/>
      <c r="J2032" s="135">
        <v>45852</v>
      </c>
      <c r="K2032" s="9">
        <f t="shared" si="145"/>
        <v>3435.52</v>
      </c>
      <c r="L2032" s="50"/>
      <c r="M2032" s="41"/>
      <c r="N2032" s="48"/>
      <c r="O2032" s="48"/>
    </row>
    <row r="2033" spans="1:15" ht="15" customHeight="1">
      <c r="A2033" s="38"/>
      <c r="B2033" s="78" t="s">
        <v>1749</v>
      </c>
      <c r="C2033" s="78">
        <v>16</v>
      </c>
      <c r="D2033" s="78" t="s">
        <v>451</v>
      </c>
      <c r="E2033" s="78">
        <v>1.22</v>
      </c>
      <c r="F2033" s="78">
        <v>1452</v>
      </c>
      <c r="G2033" s="147"/>
      <c r="H2033" s="78">
        <v>1.6</v>
      </c>
      <c r="I2033" s="121"/>
      <c r="J2033" s="142">
        <v>45852</v>
      </c>
      <c r="K2033" s="10">
        <f t="shared" si="145"/>
        <v>2834.3040000000001</v>
      </c>
      <c r="L2033" s="13"/>
      <c r="M2033" s="41"/>
      <c r="N2033" s="38"/>
      <c r="O2033" s="38"/>
    </row>
    <row r="2034" spans="1:15" ht="15" customHeight="1">
      <c r="A2034" s="38">
        <v>100047</v>
      </c>
      <c r="B2034" s="103" t="s">
        <v>4460</v>
      </c>
      <c r="C2034" s="121"/>
      <c r="D2034" s="78" t="s">
        <v>1859</v>
      </c>
      <c r="E2034" s="103">
        <v>1.22</v>
      </c>
      <c r="F2034" s="103">
        <v>1660</v>
      </c>
      <c r="G2034" s="121"/>
      <c r="H2034" s="103">
        <v>1.5</v>
      </c>
      <c r="I2034" s="121"/>
      <c r="J2034" s="135">
        <v>45965</v>
      </c>
      <c r="K2034" s="37">
        <f t="shared" si="145"/>
        <v>3037.8</v>
      </c>
      <c r="L2034" s="64"/>
      <c r="M2034" s="41"/>
      <c r="N2034" s="38"/>
      <c r="O2034" s="38"/>
    </row>
    <row r="2035" spans="1:15" ht="15" customHeight="1">
      <c r="A2035" s="38">
        <v>100047</v>
      </c>
      <c r="B2035" s="103" t="s">
        <v>4461</v>
      </c>
      <c r="C2035" s="121"/>
      <c r="D2035" s="78" t="s">
        <v>1859</v>
      </c>
      <c r="E2035" s="103">
        <v>1.22</v>
      </c>
      <c r="F2035" s="103">
        <v>260</v>
      </c>
      <c r="G2035" s="121"/>
      <c r="H2035" s="103">
        <v>1.6</v>
      </c>
      <c r="I2035" s="121"/>
      <c r="J2035" s="138">
        <v>45965</v>
      </c>
      <c r="K2035" s="64">
        <f t="shared" si="145"/>
        <v>507.52</v>
      </c>
      <c r="L2035" s="64"/>
      <c r="M2035" s="41"/>
      <c r="N2035" s="38"/>
      <c r="O2035" s="38"/>
    </row>
    <row r="2036" spans="1:15" ht="15" customHeight="1">
      <c r="A2036" s="38">
        <v>100047</v>
      </c>
      <c r="B2036" s="103" t="s">
        <v>4462</v>
      </c>
      <c r="C2036" s="121"/>
      <c r="D2036" s="78" t="s">
        <v>1859</v>
      </c>
      <c r="E2036" s="103">
        <v>1.22</v>
      </c>
      <c r="F2036" s="103">
        <v>800</v>
      </c>
      <c r="G2036" s="121"/>
      <c r="H2036" s="103">
        <v>1.6</v>
      </c>
      <c r="I2036" s="121"/>
      <c r="J2036" s="135">
        <v>45965</v>
      </c>
      <c r="K2036" s="63">
        <f t="shared" si="145"/>
        <v>1561.6000000000001</v>
      </c>
      <c r="L2036" s="64"/>
      <c r="M2036" s="41"/>
      <c r="N2036" s="38"/>
      <c r="O2036" s="38"/>
    </row>
    <row r="2037" spans="1:15" ht="15" customHeight="1">
      <c r="A2037" s="38">
        <v>100047</v>
      </c>
      <c r="B2037" s="103" t="s">
        <v>4463</v>
      </c>
      <c r="C2037" s="121"/>
      <c r="D2037" s="28" t="s">
        <v>1859</v>
      </c>
      <c r="E2037" s="103">
        <v>1.22</v>
      </c>
      <c r="F2037" s="103">
        <v>600</v>
      </c>
      <c r="G2037" s="121"/>
      <c r="H2037" s="103">
        <v>1.6</v>
      </c>
      <c r="I2037" s="121"/>
      <c r="J2037" s="138">
        <v>45965</v>
      </c>
      <c r="K2037" s="64">
        <f t="shared" si="145"/>
        <v>1171.2</v>
      </c>
      <c r="L2037" s="64"/>
      <c r="M2037" s="41"/>
      <c r="N2037" s="38"/>
      <c r="O2037" s="38"/>
    </row>
    <row r="2038" spans="1:15" ht="15" customHeight="1">
      <c r="A2038" s="1" t="s">
        <v>1733</v>
      </c>
      <c r="B2038" s="78" t="s">
        <v>1636</v>
      </c>
      <c r="C2038" s="121"/>
      <c r="D2038" s="78" t="s">
        <v>451</v>
      </c>
      <c r="E2038" s="103">
        <v>1.22</v>
      </c>
      <c r="F2038" s="107">
        <v>39.9</v>
      </c>
      <c r="G2038" s="121"/>
      <c r="H2038" s="103">
        <v>1.8</v>
      </c>
      <c r="I2038" s="121"/>
      <c r="J2038" s="138">
        <v>44524</v>
      </c>
      <c r="K2038" s="13">
        <f t="shared" si="145"/>
        <v>87.620400000000004</v>
      </c>
      <c r="L2038" s="13"/>
      <c r="M2038" s="41"/>
      <c r="N2038" s="38"/>
      <c r="O2038" s="38"/>
    </row>
    <row r="2039" spans="1:15" ht="15" customHeight="1">
      <c r="A2039" s="58" t="s">
        <v>1737</v>
      </c>
      <c r="B2039" s="102" t="s">
        <v>1736</v>
      </c>
      <c r="C2039" s="124"/>
      <c r="D2039" s="78" t="s">
        <v>451</v>
      </c>
      <c r="E2039" s="102">
        <v>1.22</v>
      </c>
      <c r="F2039" s="102">
        <v>139.9</v>
      </c>
      <c r="G2039" s="124"/>
      <c r="H2039" s="102">
        <v>2</v>
      </c>
      <c r="I2039" s="124"/>
      <c r="J2039" s="144">
        <v>45224</v>
      </c>
      <c r="K2039" s="50">
        <f t="shared" si="145"/>
        <v>341.35599999999999</v>
      </c>
      <c r="L2039" s="50"/>
      <c r="M2039" s="41"/>
      <c r="N2039" s="48"/>
      <c r="O2039" s="48"/>
    </row>
    <row r="2040" spans="1:15" ht="15" customHeight="1">
      <c r="A2040" s="38" t="s">
        <v>2998</v>
      </c>
      <c r="B2040" s="103" t="s">
        <v>2997</v>
      </c>
      <c r="C2040" s="121"/>
      <c r="D2040" s="78" t="s">
        <v>451</v>
      </c>
      <c r="E2040" s="78">
        <v>1.22</v>
      </c>
      <c r="F2040" s="103">
        <v>119</v>
      </c>
      <c r="G2040" s="121"/>
      <c r="H2040" s="78">
        <v>1.5</v>
      </c>
      <c r="I2040" s="121"/>
      <c r="J2040" s="138">
        <v>45029</v>
      </c>
      <c r="K2040" s="50">
        <f t="shared" si="145"/>
        <v>217.77</v>
      </c>
      <c r="L2040" s="64"/>
      <c r="M2040" s="41"/>
      <c r="N2040" s="38"/>
      <c r="O2040" s="38"/>
    </row>
    <row r="2041" spans="1:15" ht="15" customHeight="1">
      <c r="A2041" s="38" t="s">
        <v>3678</v>
      </c>
      <c r="B2041" s="103" t="s">
        <v>3677</v>
      </c>
      <c r="C2041" s="121"/>
      <c r="D2041" s="121"/>
      <c r="E2041" s="103">
        <v>1.22</v>
      </c>
      <c r="F2041" s="103">
        <v>149.9</v>
      </c>
      <c r="G2041" s="121"/>
      <c r="H2041" s="103">
        <v>1.8</v>
      </c>
      <c r="I2041" s="121"/>
      <c r="J2041" s="103"/>
      <c r="K2041" s="64">
        <f t="shared" si="145"/>
        <v>329.18040000000002</v>
      </c>
      <c r="L2041" s="64"/>
      <c r="M2041" s="41"/>
      <c r="N2041" s="38"/>
      <c r="O2041" s="38"/>
    </row>
    <row r="2042" spans="1:15" ht="15" customHeight="1">
      <c r="A2042" s="38" t="s">
        <v>3696</v>
      </c>
      <c r="B2042" s="103" t="s">
        <v>3677</v>
      </c>
      <c r="C2042" s="121"/>
      <c r="D2042" s="121"/>
      <c r="E2042" s="103">
        <v>1.22</v>
      </c>
      <c r="F2042" s="103">
        <v>29.9</v>
      </c>
      <c r="G2042" s="121"/>
      <c r="H2042" s="103">
        <v>3</v>
      </c>
      <c r="I2042" s="121"/>
      <c r="J2042" s="103"/>
      <c r="K2042" s="64">
        <f t="shared" si="145"/>
        <v>109.43399999999998</v>
      </c>
      <c r="L2042" s="64"/>
      <c r="M2042" s="41"/>
      <c r="N2042" s="38"/>
      <c r="O2042" s="38"/>
    </row>
    <row r="2043" spans="1:15" ht="15" customHeight="1">
      <c r="A2043" s="38"/>
      <c r="B2043" s="103" t="s">
        <v>3613</v>
      </c>
      <c r="C2043" s="121"/>
      <c r="D2043" s="78" t="s">
        <v>1859</v>
      </c>
      <c r="E2043" s="103">
        <v>1.22</v>
      </c>
      <c r="F2043" s="103">
        <v>2130</v>
      </c>
      <c r="G2043" s="121"/>
      <c r="H2043" s="103">
        <v>1.5</v>
      </c>
      <c r="I2043" s="121"/>
      <c r="J2043" s="138">
        <v>45504</v>
      </c>
      <c r="K2043" s="64">
        <f t="shared" si="145"/>
        <v>3897.8999999999996</v>
      </c>
      <c r="L2043" s="64"/>
      <c r="M2043" s="41"/>
      <c r="N2043" s="38"/>
      <c r="O2043" s="38"/>
    </row>
    <row r="2044" spans="1:15" ht="15" customHeight="1">
      <c r="A2044" s="38"/>
      <c r="B2044" s="103" t="s">
        <v>3616</v>
      </c>
      <c r="C2044" s="121"/>
      <c r="D2044" s="78" t="s">
        <v>1859</v>
      </c>
      <c r="E2044" s="103">
        <v>1.22</v>
      </c>
      <c r="F2044" s="103">
        <v>590</v>
      </c>
      <c r="G2044" s="121"/>
      <c r="H2044" s="103">
        <v>1.6</v>
      </c>
      <c r="I2044" s="121"/>
      <c r="J2044" s="138">
        <v>45504</v>
      </c>
      <c r="K2044" s="64">
        <f t="shared" si="145"/>
        <v>1151.68</v>
      </c>
      <c r="L2044" s="64"/>
      <c r="M2044" s="41"/>
      <c r="N2044" s="38"/>
      <c r="O2044" s="38"/>
    </row>
    <row r="2045" spans="1:15" ht="15" customHeight="1">
      <c r="A2045" s="38"/>
      <c r="B2045" s="103" t="s">
        <v>3614</v>
      </c>
      <c r="C2045" s="121"/>
      <c r="D2045" s="78" t="s">
        <v>1859</v>
      </c>
      <c r="E2045" s="103">
        <v>1.22</v>
      </c>
      <c r="F2045" s="103">
        <v>880</v>
      </c>
      <c r="G2045" s="121"/>
      <c r="H2045" s="103">
        <v>1.6</v>
      </c>
      <c r="I2045" s="121"/>
      <c r="J2045" s="138">
        <v>45504</v>
      </c>
      <c r="K2045" s="64">
        <f t="shared" si="145"/>
        <v>1717.76</v>
      </c>
      <c r="L2045" s="64"/>
      <c r="M2045" s="41"/>
      <c r="N2045" s="38"/>
      <c r="O2045" s="38"/>
    </row>
    <row r="2046" spans="1:15" ht="15" customHeight="1">
      <c r="A2046" s="38"/>
      <c r="B2046" s="103" t="s">
        <v>3615</v>
      </c>
      <c r="C2046" s="121"/>
      <c r="D2046" s="78" t="s">
        <v>1859</v>
      </c>
      <c r="E2046" s="103">
        <v>1.22</v>
      </c>
      <c r="F2046" s="103">
        <v>660</v>
      </c>
      <c r="G2046" s="121"/>
      <c r="H2046" s="103">
        <v>1.6</v>
      </c>
      <c r="I2046" s="121"/>
      <c r="J2046" s="138">
        <v>45504</v>
      </c>
      <c r="K2046" s="64">
        <f t="shared" si="145"/>
        <v>1288.32</v>
      </c>
      <c r="L2046" s="64"/>
      <c r="M2046" s="41"/>
      <c r="N2046" s="38"/>
      <c r="O2046" s="38"/>
    </row>
    <row r="2047" spans="1:15" ht="15" customHeight="1">
      <c r="A2047" s="38"/>
      <c r="B2047" s="103" t="s">
        <v>3211</v>
      </c>
      <c r="C2047" s="121"/>
      <c r="D2047" s="78" t="s">
        <v>451</v>
      </c>
      <c r="E2047" s="78">
        <v>1.22</v>
      </c>
      <c r="F2047" s="103">
        <v>179</v>
      </c>
      <c r="G2047" s="121"/>
      <c r="H2047" s="103">
        <v>1.7</v>
      </c>
      <c r="I2047" s="121"/>
      <c r="J2047" s="138">
        <v>45219</v>
      </c>
      <c r="K2047" s="50">
        <f t="shared" si="145"/>
        <v>371.24599999999998</v>
      </c>
      <c r="L2047" s="64"/>
      <c r="M2047" s="41"/>
      <c r="N2047" s="38"/>
      <c r="O2047" s="38"/>
    </row>
    <row r="2048" spans="1:15" ht="15" customHeight="1">
      <c r="A2048" s="38" t="s">
        <v>3722</v>
      </c>
      <c r="B2048" s="102" t="s">
        <v>3723</v>
      </c>
      <c r="C2048" s="125" t="s">
        <v>1081</v>
      </c>
      <c r="D2048" s="78" t="s">
        <v>1905</v>
      </c>
      <c r="E2048" s="103">
        <v>1.22</v>
      </c>
      <c r="F2048" s="103">
        <v>170.36</v>
      </c>
      <c r="G2048" s="121"/>
      <c r="H2048" s="103">
        <v>1.6</v>
      </c>
      <c r="I2048" s="121"/>
      <c r="J2048" s="140">
        <v>45545</v>
      </c>
      <c r="K2048" s="13" t="s">
        <v>3724</v>
      </c>
      <c r="L2048" s="13"/>
      <c r="M2048" s="41"/>
      <c r="N2048" s="38"/>
      <c r="O2048" s="38"/>
    </row>
    <row r="2049" spans="1:15" ht="15" customHeight="1">
      <c r="A2049" s="24" t="s">
        <v>3718</v>
      </c>
      <c r="B2049" s="78" t="s">
        <v>3719</v>
      </c>
      <c r="C2049" s="78" t="s">
        <v>1800</v>
      </c>
      <c r="D2049" s="78" t="s">
        <v>1905</v>
      </c>
      <c r="E2049" s="78">
        <v>1.22</v>
      </c>
      <c r="F2049" s="78">
        <v>162.30000000000001</v>
      </c>
      <c r="G2049" s="78"/>
      <c r="H2049" s="78">
        <v>1.6</v>
      </c>
      <c r="I2049" s="78"/>
      <c r="J2049" s="140">
        <v>45545</v>
      </c>
      <c r="K2049" s="13">
        <f t="shared" ref="K2049:K2059" si="146">E2049*F2049*H2049</f>
        <v>316.80960000000005</v>
      </c>
      <c r="L2049" s="13"/>
      <c r="M2049" s="13"/>
      <c r="N2049" s="13">
        <f>G2049*H2049*I2049*E2049</f>
        <v>0</v>
      </c>
      <c r="O2049" s="15">
        <f>K2049*1.6667</f>
        <v>528.02656032000004</v>
      </c>
    </row>
    <row r="2050" spans="1:15" ht="15" customHeight="1">
      <c r="A2050" s="47">
        <v>6204</v>
      </c>
      <c r="B2050" s="102" t="s">
        <v>1838</v>
      </c>
      <c r="C2050" s="102" t="s">
        <v>1839</v>
      </c>
      <c r="D2050" s="78" t="s">
        <v>716</v>
      </c>
      <c r="E2050" s="102">
        <v>1.22</v>
      </c>
      <c r="F2050" s="102">
        <v>38.340000000000003</v>
      </c>
      <c r="G2050" s="102"/>
      <c r="H2050" s="102">
        <v>1.6</v>
      </c>
      <c r="I2050" s="102"/>
      <c r="J2050" s="138">
        <v>44501</v>
      </c>
      <c r="K2050" s="13">
        <f t="shared" si="146"/>
        <v>74.839680000000016</v>
      </c>
      <c r="L2050" s="13"/>
      <c r="M2050" s="41"/>
      <c r="N2050" s="48"/>
      <c r="O2050" s="48"/>
    </row>
    <row r="2051" spans="1:15" ht="15" customHeight="1">
      <c r="A2051" s="1">
        <v>46</v>
      </c>
      <c r="B2051" s="78" t="s">
        <v>2207</v>
      </c>
      <c r="C2051" s="78" t="s">
        <v>2208</v>
      </c>
      <c r="D2051" s="78" t="s">
        <v>716</v>
      </c>
      <c r="E2051" s="78">
        <v>1.22</v>
      </c>
      <c r="F2051" s="78">
        <v>119</v>
      </c>
      <c r="G2051" s="121"/>
      <c r="H2051" s="78">
        <v>1.6</v>
      </c>
      <c r="I2051" s="121"/>
      <c r="J2051" s="138">
        <v>44386</v>
      </c>
      <c r="K2051" s="64">
        <f t="shared" si="146"/>
        <v>232.28800000000001</v>
      </c>
      <c r="L2051" s="64"/>
      <c r="M2051" s="41"/>
      <c r="N2051" s="38"/>
      <c r="O2051" s="38"/>
    </row>
    <row r="2052" spans="1:15" ht="15" customHeight="1">
      <c r="A2052" s="47">
        <v>2255</v>
      </c>
      <c r="B2052" s="102" t="s">
        <v>3910</v>
      </c>
      <c r="C2052" s="102" t="s">
        <v>3911</v>
      </c>
      <c r="D2052" s="78" t="s">
        <v>716</v>
      </c>
      <c r="E2052" s="102">
        <v>1.22</v>
      </c>
      <c r="F2052" s="102">
        <v>49</v>
      </c>
      <c r="G2052" s="102">
        <v>0</v>
      </c>
      <c r="H2052" s="102">
        <v>1.4</v>
      </c>
      <c r="I2052" s="102"/>
      <c r="J2052" s="144">
        <v>45616</v>
      </c>
      <c r="K2052" s="13">
        <f t="shared" si="146"/>
        <v>83.691999999999993</v>
      </c>
      <c r="L2052" s="13"/>
      <c r="M2052" s="41"/>
      <c r="N2052" s="48"/>
      <c r="O2052" s="48"/>
    </row>
    <row r="2053" spans="1:15" ht="15" customHeight="1">
      <c r="A2053" s="1">
        <v>47</v>
      </c>
      <c r="B2053" s="78" t="s">
        <v>2206</v>
      </c>
      <c r="C2053" s="121"/>
      <c r="D2053" s="78" t="s">
        <v>716</v>
      </c>
      <c r="E2053" s="78">
        <v>1.22</v>
      </c>
      <c r="F2053" s="78">
        <v>33</v>
      </c>
      <c r="G2053" s="121"/>
      <c r="H2053" s="78">
        <v>1.6</v>
      </c>
      <c r="I2053" s="121"/>
      <c r="J2053" s="138">
        <v>44386</v>
      </c>
      <c r="K2053" s="64">
        <f t="shared" si="146"/>
        <v>64.415999999999997</v>
      </c>
      <c r="L2053" s="64"/>
      <c r="M2053" s="41"/>
      <c r="N2053" s="38"/>
      <c r="O2053" s="38"/>
    </row>
    <row r="2054" spans="1:15" ht="15" customHeight="1">
      <c r="A2054" s="58" t="s">
        <v>2385</v>
      </c>
      <c r="B2054" s="78" t="s">
        <v>2384</v>
      </c>
      <c r="C2054" s="78"/>
      <c r="D2054" s="78" t="s">
        <v>451</v>
      </c>
      <c r="E2054" s="78">
        <v>1.22</v>
      </c>
      <c r="F2054" s="78">
        <v>49</v>
      </c>
      <c r="G2054" s="121"/>
      <c r="H2054" s="78">
        <v>1.4</v>
      </c>
      <c r="I2054" s="121"/>
      <c r="J2054" s="140">
        <v>44559</v>
      </c>
      <c r="K2054" s="57">
        <f t="shared" si="146"/>
        <v>83.691999999999993</v>
      </c>
      <c r="L2054" s="50"/>
      <c r="M2054" s="41"/>
      <c r="N2054" s="38"/>
      <c r="O2054" s="38"/>
    </row>
    <row r="2055" spans="1:15" ht="15" customHeight="1">
      <c r="A2055" s="58" t="s">
        <v>2386</v>
      </c>
      <c r="B2055" s="78" t="s">
        <v>2387</v>
      </c>
      <c r="C2055" s="78"/>
      <c r="D2055" s="78" t="s">
        <v>451</v>
      </c>
      <c r="E2055" s="78">
        <v>1.22</v>
      </c>
      <c r="F2055" s="78">
        <v>49</v>
      </c>
      <c r="G2055" s="121"/>
      <c r="H2055" s="78">
        <v>1.4</v>
      </c>
      <c r="I2055" s="121"/>
      <c r="J2055" s="140">
        <v>44559</v>
      </c>
      <c r="K2055" s="57">
        <f t="shared" si="146"/>
        <v>83.691999999999993</v>
      </c>
      <c r="L2055" s="50"/>
      <c r="M2055" s="41"/>
      <c r="N2055" s="38"/>
      <c r="O2055" s="38"/>
    </row>
    <row r="2056" spans="1:15" ht="15" customHeight="1">
      <c r="A2056" s="58" t="s">
        <v>2388</v>
      </c>
      <c r="B2056" s="78" t="s">
        <v>2389</v>
      </c>
      <c r="C2056" s="78" t="s">
        <v>734</v>
      </c>
      <c r="D2056" s="78" t="s">
        <v>451</v>
      </c>
      <c r="E2056" s="78">
        <v>1.22</v>
      </c>
      <c r="F2056" s="78">
        <v>21</v>
      </c>
      <c r="G2056" s="121"/>
      <c r="H2056" s="78">
        <v>1.4</v>
      </c>
      <c r="I2056" s="121"/>
      <c r="J2056" s="140">
        <v>44559</v>
      </c>
      <c r="K2056" s="50">
        <f t="shared" si="146"/>
        <v>35.868000000000002</v>
      </c>
      <c r="L2056" s="50"/>
      <c r="M2056" s="41"/>
      <c r="N2056" s="38"/>
      <c r="O2056" s="38"/>
    </row>
    <row r="2057" spans="1:15" ht="15" customHeight="1">
      <c r="A2057" s="24">
        <v>0</v>
      </c>
      <c r="B2057" s="78" t="s">
        <v>2525</v>
      </c>
      <c r="C2057" s="78" t="s">
        <v>15</v>
      </c>
      <c r="D2057" s="78" t="s">
        <v>451</v>
      </c>
      <c r="E2057" s="78">
        <v>1.22</v>
      </c>
      <c r="F2057" s="78">
        <v>23</v>
      </c>
      <c r="G2057" s="78"/>
      <c r="H2057" s="78">
        <v>1.6</v>
      </c>
      <c r="I2057" s="78"/>
      <c r="J2057" s="140">
        <v>44690</v>
      </c>
      <c r="K2057" s="13">
        <f t="shared" si="146"/>
        <v>44.896000000000001</v>
      </c>
      <c r="L2057" s="13"/>
      <c r="M2057" s="13"/>
      <c r="N2057" s="13">
        <f>G2057*H2057*I2057*E2057</f>
        <v>0</v>
      </c>
      <c r="O2057" s="15">
        <f>K2057*1.6667</f>
        <v>74.828163200000006</v>
      </c>
    </row>
    <row r="2058" spans="1:15" ht="15" customHeight="1">
      <c r="A2058" s="24">
        <v>3673</v>
      </c>
      <c r="B2058" s="78" t="s">
        <v>591</v>
      </c>
      <c r="C2058" s="78" t="s">
        <v>20</v>
      </c>
      <c r="D2058" s="78" t="s">
        <v>4208</v>
      </c>
      <c r="E2058" s="78">
        <v>1.22</v>
      </c>
      <c r="F2058" s="78">
        <v>122</v>
      </c>
      <c r="G2058" s="78"/>
      <c r="H2058" s="78">
        <v>1.3</v>
      </c>
      <c r="I2058" s="78"/>
      <c r="J2058" s="140">
        <v>45777</v>
      </c>
      <c r="K2058" s="13">
        <f t="shared" si="146"/>
        <v>193.49200000000002</v>
      </c>
      <c r="L2058" s="13"/>
      <c r="M2058" s="13"/>
      <c r="N2058" s="13">
        <f>G2058*H2058*I2058*E2058</f>
        <v>0</v>
      </c>
      <c r="O2058" s="15">
        <f>K2058*1.6667</f>
        <v>322.49311640000002</v>
      </c>
    </row>
    <row r="2059" spans="1:15" ht="15" customHeight="1">
      <c r="A2059" s="38"/>
      <c r="B2059" s="78" t="s">
        <v>2875</v>
      </c>
      <c r="C2059" s="121"/>
      <c r="D2059" s="78"/>
      <c r="E2059" s="78">
        <v>1.22</v>
      </c>
      <c r="F2059" s="78">
        <v>105</v>
      </c>
      <c r="G2059" s="121"/>
      <c r="H2059" s="78">
        <v>1.8</v>
      </c>
      <c r="I2059" s="121"/>
      <c r="J2059" s="138">
        <v>44939</v>
      </c>
      <c r="K2059" s="64">
        <f t="shared" si="146"/>
        <v>230.57999999999998</v>
      </c>
      <c r="L2059" s="64"/>
      <c r="M2059" s="41"/>
      <c r="N2059" s="38"/>
      <c r="O2059" s="38"/>
    </row>
    <row r="2060" spans="1:15" ht="15" customHeight="1">
      <c r="A2060" s="38"/>
      <c r="B2060" s="103" t="s">
        <v>3455</v>
      </c>
      <c r="C2060" s="121" t="s">
        <v>1619</v>
      </c>
      <c r="D2060" s="78" t="s">
        <v>451</v>
      </c>
      <c r="E2060" s="78">
        <v>1.22</v>
      </c>
      <c r="F2060" s="103">
        <v>250</v>
      </c>
      <c r="G2060" s="121"/>
      <c r="H2060" s="103">
        <v>1.6</v>
      </c>
      <c r="I2060" s="121"/>
      <c r="J2060" s="138">
        <v>45909</v>
      </c>
      <c r="K2060" s="37">
        <f>+E2060*F2060*H2060</f>
        <v>488</v>
      </c>
      <c r="L2060" s="64"/>
      <c r="M2060" s="41"/>
      <c r="N2060" s="38"/>
      <c r="O2060" s="38"/>
    </row>
    <row r="2061" spans="1:15" ht="15" customHeight="1">
      <c r="A2061" s="38"/>
      <c r="B2061" s="103" t="s">
        <v>3455</v>
      </c>
      <c r="C2061" s="121" t="s">
        <v>1969</v>
      </c>
      <c r="D2061" s="78" t="s">
        <v>451</v>
      </c>
      <c r="E2061" s="78">
        <v>1.22</v>
      </c>
      <c r="F2061" s="103">
        <v>350</v>
      </c>
      <c r="G2061" s="121"/>
      <c r="H2061" s="103">
        <v>1.6</v>
      </c>
      <c r="I2061" s="121"/>
      <c r="J2061" s="138">
        <v>45909</v>
      </c>
      <c r="K2061" s="37">
        <f>+E2061*F2061*H2061</f>
        <v>683.2</v>
      </c>
      <c r="L2061" s="64"/>
      <c r="M2061" s="41"/>
      <c r="N2061" s="38"/>
      <c r="O2061" s="38"/>
    </row>
    <row r="2062" spans="1:15" ht="15" customHeight="1">
      <c r="A2062" s="38"/>
      <c r="B2062" s="103" t="s">
        <v>3455</v>
      </c>
      <c r="C2062" s="121" t="s">
        <v>131</v>
      </c>
      <c r="D2062" s="78" t="s">
        <v>451</v>
      </c>
      <c r="E2062" s="78">
        <v>1.22</v>
      </c>
      <c r="F2062" s="103">
        <v>400</v>
      </c>
      <c r="G2062" s="121"/>
      <c r="H2062" s="103">
        <v>1.6</v>
      </c>
      <c r="I2062" s="121"/>
      <c r="J2062" s="138">
        <v>45909</v>
      </c>
      <c r="K2062" s="37">
        <f>+E2062*F2062*H2062</f>
        <v>780.80000000000007</v>
      </c>
      <c r="L2062" s="64"/>
      <c r="M2062" s="41"/>
      <c r="N2062" s="38"/>
      <c r="O2062" s="38"/>
    </row>
    <row r="2063" spans="1:15" ht="15" customHeight="1">
      <c r="A2063" s="38"/>
      <c r="B2063" s="103" t="s">
        <v>3114</v>
      </c>
      <c r="C2063" s="121"/>
      <c r="D2063" s="28" t="s">
        <v>18</v>
      </c>
      <c r="E2063" s="78">
        <v>1.22</v>
      </c>
      <c r="F2063" s="103">
        <v>160</v>
      </c>
      <c r="G2063" s="121"/>
      <c r="H2063" s="103">
        <v>1.5</v>
      </c>
      <c r="I2063" s="121"/>
      <c r="J2063" s="140">
        <v>45134</v>
      </c>
      <c r="K2063" s="10">
        <f t="shared" ref="K2063:K2069" si="147">E2063*F2063*H2063</f>
        <v>292.79999999999995</v>
      </c>
      <c r="L2063" s="64"/>
      <c r="M2063" s="41"/>
      <c r="N2063" s="38"/>
      <c r="O2063" s="38"/>
    </row>
    <row r="2064" spans="1:15" ht="15" customHeight="1">
      <c r="A2064" s="24"/>
      <c r="B2064" s="78" t="s">
        <v>1995</v>
      </c>
      <c r="C2064" s="78"/>
      <c r="D2064" s="28" t="s">
        <v>451</v>
      </c>
      <c r="E2064" s="28">
        <v>1.22</v>
      </c>
      <c r="F2064" s="78">
        <v>140</v>
      </c>
      <c r="G2064" s="78"/>
      <c r="H2064" s="78">
        <v>1.6</v>
      </c>
      <c r="I2064" s="78"/>
      <c r="J2064" s="140">
        <v>45812</v>
      </c>
      <c r="K2064" s="13">
        <f t="shared" si="147"/>
        <v>273.27999999999997</v>
      </c>
      <c r="L2064" s="13"/>
      <c r="M2064" s="13"/>
      <c r="N2064" s="13">
        <f>G2064*H2064*I2064*E2064</f>
        <v>0</v>
      </c>
      <c r="O2064" s="15">
        <f>K2064*1.6667</f>
        <v>455.475776</v>
      </c>
    </row>
    <row r="2065" spans="1:15" ht="15" customHeight="1">
      <c r="A2065" s="24"/>
      <c r="B2065" s="78" t="s">
        <v>1996</v>
      </c>
      <c r="C2065" s="78"/>
      <c r="D2065" s="28" t="s">
        <v>451</v>
      </c>
      <c r="E2065" s="78">
        <v>1.22</v>
      </c>
      <c r="F2065" s="78">
        <v>195</v>
      </c>
      <c r="G2065" s="78"/>
      <c r="H2065" s="78">
        <v>1.6</v>
      </c>
      <c r="I2065" s="78"/>
      <c r="J2065" s="140">
        <v>45812</v>
      </c>
      <c r="K2065" s="13">
        <f t="shared" si="147"/>
        <v>380.64000000000004</v>
      </c>
      <c r="L2065" s="13"/>
      <c r="M2065" s="13"/>
      <c r="N2065" s="13">
        <f>G2065*H2065*I2065*E2065</f>
        <v>0</v>
      </c>
      <c r="O2065" s="15">
        <f>K2065*1.6667</f>
        <v>634.41268800000012</v>
      </c>
    </row>
    <row r="2066" spans="1:15" ht="15" customHeight="1">
      <c r="B2066" s="78" t="s">
        <v>4287</v>
      </c>
      <c r="D2066" s="28" t="s">
        <v>451</v>
      </c>
      <c r="E2066" s="28">
        <v>1.22</v>
      </c>
      <c r="F2066" s="108">
        <v>160</v>
      </c>
      <c r="H2066" s="108">
        <v>1.6</v>
      </c>
      <c r="J2066" s="140">
        <v>45812</v>
      </c>
      <c r="K2066" s="9">
        <f t="shared" si="147"/>
        <v>312.32</v>
      </c>
    </row>
    <row r="2067" spans="1:15" ht="15" customHeight="1">
      <c r="A2067" s="38" t="s">
        <v>3676</v>
      </c>
      <c r="B2067" s="103" t="s">
        <v>3675</v>
      </c>
      <c r="C2067" s="121"/>
      <c r="D2067" s="110"/>
      <c r="E2067" s="87">
        <v>1.22</v>
      </c>
      <c r="F2067" s="103">
        <v>99.9</v>
      </c>
      <c r="G2067" s="121"/>
      <c r="H2067" s="103">
        <v>1.8</v>
      </c>
      <c r="I2067" s="121"/>
      <c r="J2067" s="103"/>
      <c r="K2067" s="37">
        <f t="shared" si="147"/>
        <v>219.38040000000001</v>
      </c>
      <c r="L2067" s="64"/>
      <c r="M2067" s="41"/>
      <c r="N2067" s="38"/>
      <c r="O2067" s="38"/>
    </row>
    <row r="2068" spans="1:15" ht="15" customHeight="1">
      <c r="A2068" s="24"/>
      <c r="B2068" s="78" t="s">
        <v>2762</v>
      </c>
      <c r="C2068" s="78" t="s">
        <v>15</v>
      </c>
      <c r="D2068" s="28" t="s">
        <v>1859</v>
      </c>
      <c r="E2068" s="28">
        <v>1.22</v>
      </c>
      <c r="F2068" s="78">
        <v>136</v>
      </c>
      <c r="G2068" s="78"/>
      <c r="H2068" s="78">
        <v>1.7</v>
      </c>
      <c r="I2068" s="78"/>
      <c r="J2068" s="140">
        <v>44847</v>
      </c>
      <c r="K2068" s="9">
        <f t="shared" si="147"/>
        <v>282.06399999999996</v>
      </c>
      <c r="L2068" s="13"/>
      <c r="M2068" s="13"/>
      <c r="N2068" s="13">
        <f>G2068*H2068*I2068*E2068</f>
        <v>0</v>
      </c>
      <c r="O2068" s="15">
        <f t="shared" ref="O2068:O2073" si="148">K2068*1.6667</f>
        <v>470.11606879999994</v>
      </c>
    </row>
    <row r="2069" spans="1:15" ht="15" customHeight="1">
      <c r="A2069" s="24"/>
      <c r="B2069" s="78" t="s">
        <v>2763</v>
      </c>
      <c r="C2069" s="78" t="s">
        <v>15</v>
      </c>
      <c r="D2069" s="28" t="s">
        <v>1859</v>
      </c>
      <c r="E2069" s="78">
        <v>1.22</v>
      </c>
      <c r="F2069" s="78">
        <v>101</v>
      </c>
      <c r="G2069" s="78"/>
      <c r="H2069" s="78">
        <v>1.7</v>
      </c>
      <c r="I2069" s="78"/>
      <c r="J2069" s="140">
        <v>44847</v>
      </c>
      <c r="K2069" s="13">
        <f t="shared" si="147"/>
        <v>209.47399999999999</v>
      </c>
      <c r="L2069" s="13"/>
      <c r="M2069" s="13"/>
      <c r="N2069" s="13">
        <f>G2069*H2069*I2069*E2069</f>
        <v>0</v>
      </c>
      <c r="O2069" s="15">
        <f t="shared" si="148"/>
        <v>349.13031580000001</v>
      </c>
    </row>
    <row r="2070" spans="1:15" ht="15" customHeight="1">
      <c r="A2070" s="24">
        <v>1544</v>
      </c>
      <c r="B2070" s="78" t="s">
        <v>3149</v>
      </c>
      <c r="C2070" s="78" t="s">
        <v>20</v>
      </c>
      <c r="D2070" s="78" t="s">
        <v>1748</v>
      </c>
      <c r="E2070" s="78">
        <v>1</v>
      </c>
      <c r="F2070" s="78">
        <v>0</v>
      </c>
      <c r="G2070" s="78">
        <v>9.66</v>
      </c>
      <c r="H2070" s="78">
        <v>1.6</v>
      </c>
      <c r="I2070" s="78">
        <v>45</v>
      </c>
      <c r="J2070" s="140">
        <v>45958</v>
      </c>
      <c r="K2070" s="13">
        <f>+G2070*H2070*I2070</f>
        <v>695.5200000000001</v>
      </c>
      <c r="L2070" s="13"/>
      <c r="M2070" s="13"/>
      <c r="N2070" s="13">
        <f>G2070*H2070*I2070*E2070</f>
        <v>695.5200000000001</v>
      </c>
      <c r="O2070" s="15">
        <f t="shared" si="148"/>
        <v>1159.2231840000002</v>
      </c>
    </row>
    <row r="2071" spans="1:15" ht="15" customHeight="1">
      <c r="A2071" s="24"/>
      <c r="B2071" s="78" t="s">
        <v>3149</v>
      </c>
      <c r="C2071" s="78" t="s">
        <v>133</v>
      </c>
      <c r="D2071" s="28" t="s">
        <v>1748</v>
      </c>
      <c r="E2071" s="28">
        <v>1</v>
      </c>
      <c r="F2071" s="78">
        <v>46</v>
      </c>
      <c r="G2071" s="78"/>
      <c r="H2071" s="28">
        <v>1.3</v>
      </c>
      <c r="I2071" s="78"/>
      <c r="J2071" s="133">
        <v>45958</v>
      </c>
      <c r="K2071" s="9">
        <f>+F2071*H2071</f>
        <v>59.800000000000004</v>
      </c>
      <c r="L2071" s="13"/>
      <c r="M2071" s="13"/>
      <c r="N2071" s="13"/>
      <c r="O2071" s="15">
        <f t="shared" si="148"/>
        <v>99.668660000000017</v>
      </c>
    </row>
    <row r="2072" spans="1:15" ht="15" customHeight="1">
      <c r="A2072" s="24">
        <v>0</v>
      </c>
      <c r="B2072" s="78" t="s">
        <v>307</v>
      </c>
      <c r="C2072" s="78" t="s">
        <v>93</v>
      </c>
      <c r="D2072" s="28" t="s">
        <v>1748</v>
      </c>
      <c r="E2072" s="28">
        <v>0</v>
      </c>
      <c r="F2072" s="78">
        <v>0</v>
      </c>
      <c r="G2072" s="78">
        <v>0.96</v>
      </c>
      <c r="H2072" s="28">
        <v>3</v>
      </c>
      <c r="I2072" s="78">
        <v>45</v>
      </c>
      <c r="J2072" s="133">
        <v>45958</v>
      </c>
      <c r="K2072" s="9">
        <f>+G2072*H2072*I2072</f>
        <v>129.6</v>
      </c>
      <c r="L2072" s="13"/>
      <c r="M2072" s="13"/>
      <c r="N2072" s="13">
        <f>G2072*H2072*I2072*E2072</f>
        <v>0</v>
      </c>
      <c r="O2072" s="15">
        <f t="shared" si="148"/>
        <v>216.00432000000001</v>
      </c>
    </row>
    <row r="2073" spans="1:15" ht="15" customHeight="1">
      <c r="A2073" s="24">
        <v>0</v>
      </c>
      <c r="B2073" s="78" t="s">
        <v>307</v>
      </c>
      <c r="C2073" s="78" t="s">
        <v>98</v>
      </c>
      <c r="D2073" s="28" t="s">
        <v>1748</v>
      </c>
      <c r="E2073" s="28">
        <v>1</v>
      </c>
      <c r="F2073" s="78">
        <v>0</v>
      </c>
      <c r="G2073" s="78">
        <v>24</v>
      </c>
      <c r="H2073" s="28">
        <v>1.4</v>
      </c>
      <c r="I2073" s="78">
        <v>45</v>
      </c>
      <c r="J2073" s="133">
        <v>45958</v>
      </c>
      <c r="K2073" s="9">
        <f>+I2073*H2073*G2073</f>
        <v>1511.9999999999998</v>
      </c>
      <c r="L2073" s="13"/>
      <c r="M2073" s="13"/>
      <c r="N2073" s="13">
        <f>G2073*H2073*I2073*E2073</f>
        <v>1511.9999999999998</v>
      </c>
      <c r="O2073" s="62">
        <f t="shared" si="148"/>
        <v>2520.0503999999996</v>
      </c>
    </row>
    <row r="2074" spans="1:15" ht="15" customHeight="1">
      <c r="A2074" s="38"/>
      <c r="B2074" s="105" t="s">
        <v>2364</v>
      </c>
      <c r="C2074" s="127" t="s">
        <v>93</v>
      </c>
      <c r="D2074" s="28" t="s">
        <v>3302</v>
      </c>
      <c r="E2074" s="94">
        <v>1.22</v>
      </c>
      <c r="F2074" s="105">
        <v>420</v>
      </c>
      <c r="G2074" s="121"/>
      <c r="H2074" s="89">
        <v>1.5</v>
      </c>
      <c r="I2074" s="121"/>
      <c r="J2074" s="135">
        <v>44523</v>
      </c>
      <c r="K2074" s="35">
        <f t="shared" ref="K2074:K2105" si="149">E2074*F2074*H2074</f>
        <v>768.59999999999991</v>
      </c>
      <c r="L2074" s="64"/>
      <c r="M2074" s="41"/>
      <c r="N2074" s="38"/>
      <c r="O2074" s="38"/>
    </row>
    <row r="2075" spans="1:15" ht="15" customHeight="1">
      <c r="A2075" s="38"/>
      <c r="B2075" s="106" t="s">
        <v>2364</v>
      </c>
      <c r="C2075" s="177" t="s">
        <v>305</v>
      </c>
      <c r="D2075" s="28" t="s">
        <v>3302</v>
      </c>
      <c r="E2075" s="94">
        <v>1.22</v>
      </c>
      <c r="F2075" s="106">
        <v>1350</v>
      </c>
      <c r="G2075" s="121"/>
      <c r="H2075" s="89">
        <v>1.7</v>
      </c>
      <c r="I2075" s="121"/>
      <c r="J2075" s="135">
        <v>44986</v>
      </c>
      <c r="K2075" s="35">
        <f t="shared" si="149"/>
        <v>2799.9</v>
      </c>
      <c r="L2075" s="64"/>
      <c r="M2075" s="41"/>
      <c r="N2075" s="38"/>
      <c r="O2075" s="38"/>
    </row>
    <row r="2076" spans="1:15" ht="15" customHeight="1">
      <c r="A2076" s="38"/>
      <c r="B2076" s="107" t="s">
        <v>2378</v>
      </c>
      <c r="C2076" s="121"/>
      <c r="D2076" s="78" t="s">
        <v>451</v>
      </c>
      <c r="E2076" s="78">
        <v>1.22</v>
      </c>
      <c r="F2076" s="78">
        <v>39</v>
      </c>
      <c r="G2076" s="121"/>
      <c r="H2076" s="78">
        <v>1.5</v>
      </c>
      <c r="I2076" s="121"/>
      <c r="J2076" s="138">
        <v>44537</v>
      </c>
      <c r="K2076" s="64">
        <f t="shared" si="149"/>
        <v>71.37</v>
      </c>
      <c r="L2076" s="64"/>
      <c r="M2076" s="41"/>
      <c r="N2076" s="38"/>
      <c r="O2076" s="38"/>
    </row>
    <row r="2077" spans="1:15" ht="15" customHeight="1">
      <c r="A2077" s="38">
        <v>74</v>
      </c>
      <c r="B2077" s="78" t="s">
        <v>89</v>
      </c>
      <c r="C2077" s="78" t="s">
        <v>133</v>
      </c>
      <c r="D2077" s="85" t="s">
        <v>451</v>
      </c>
      <c r="E2077" s="78">
        <v>1</v>
      </c>
      <c r="F2077" s="78">
        <v>246</v>
      </c>
      <c r="G2077" s="121"/>
      <c r="H2077" s="78">
        <v>1.5</v>
      </c>
      <c r="I2077" s="121"/>
      <c r="J2077" s="138">
        <v>44409</v>
      </c>
      <c r="K2077" s="9">
        <f t="shared" si="149"/>
        <v>369</v>
      </c>
      <c r="L2077" s="13"/>
      <c r="M2077" s="41"/>
      <c r="N2077" s="38"/>
      <c r="O2077" s="38"/>
    </row>
    <row r="2078" spans="1:15" ht="15" customHeight="1">
      <c r="A2078" s="38"/>
      <c r="B2078" s="103" t="s">
        <v>89</v>
      </c>
      <c r="C2078" s="121" t="s">
        <v>60</v>
      </c>
      <c r="D2078" s="85" t="s">
        <v>3932</v>
      </c>
      <c r="E2078" s="78">
        <v>1.22</v>
      </c>
      <c r="F2078" s="103">
        <v>292</v>
      </c>
      <c r="G2078" s="121"/>
      <c r="H2078" s="103">
        <v>1.5</v>
      </c>
      <c r="I2078" s="121"/>
      <c r="J2078" s="140">
        <v>45635</v>
      </c>
      <c r="K2078" s="9">
        <f t="shared" si="149"/>
        <v>534.36</v>
      </c>
      <c r="L2078" s="64"/>
      <c r="M2078" s="41"/>
      <c r="N2078" s="38"/>
      <c r="O2078" s="38"/>
    </row>
    <row r="2079" spans="1:15" ht="15" customHeight="1">
      <c r="B2079" s="103" t="s">
        <v>4054</v>
      </c>
      <c r="C2079" s="126" t="s">
        <v>4055</v>
      </c>
      <c r="D2079" s="85" t="s">
        <v>1859</v>
      </c>
      <c r="E2079" s="103">
        <v>1</v>
      </c>
      <c r="F2079" s="108">
        <v>290</v>
      </c>
      <c r="H2079" s="103">
        <v>2</v>
      </c>
      <c r="J2079" s="138">
        <v>45678</v>
      </c>
      <c r="K2079" s="9">
        <f t="shared" si="149"/>
        <v>580</v>
      </c>
    </row>
    <row r="2080" spans="1:15" ht="15" customHeight="1">
      <c r="A2080" s="48"/>
      <c r="B2080" s="100" t="s">
        <v>2023</v>
      </c>
      <c r="C2080" s="124" t="s">
        <v>1799</v>
      </c>
      <c r="D2080" s="85" t="s">
        <v>3302</v>
      </c>
      <c r="E2080" s="104">
        <v>1.22</v>
      </c>
      <c r="F2080" s="100">
        <v>750</v>
      </c>
      <c r="G2080" s="124"/>
      <c r="H2080" s="100">
        <v>1.4</v>
      </c>
      <c r="I2080" s="124"/>
      <c r="J2080" s="210">
        <v>45532</v>
      </c>
      <c r="K2080" s="9">
        <f t="shared" si="149"/>
        <v>1281</v>
      </c>
      <c r="L2080" s="13"/>
      <c r="M2080" s="41"/>
      <c r="N2080" s="48"/>
      <c r="O2080" s="48"/>
    </row>
    <row r="2081" spans="1:15" ht="15" customHeight="1">
      <c r="A2081" s="38"/>
      <c r="B2081" s="103" t="s">
        <v>3617</v>
      </c>
      <c r="C2081" s="121" t="s">
        <v>3442</v>
      </c>
      <c r="D2081" s="110" t="s">
        <v>1859</v>
      </c>
      <c r="E2081" s="103">
        <v>1.22</v>
      </c>
      <c r="F2081" s="103">
        <v>2040</v>
      </c>
      <c r="G2081" s="121"/>
      <c r="H2081" s="103">
        <v>2</v>
      </c>
      <c r="I2081" s="121"/>
      <c r="J2081" s="135">
        <v>45504</v>
      </c>
      <c r="K2081" s="37">
        <f t="shared" si="149"/>
        <v>4977.5999999999995</v>
      </c>
      <c r="L2081" s="64"/>
      <c r="M2081" s="41"/>
      <c r="N2081" s="38"/>
      <c r="O2081" s="38"/>
    </row>
    <row r="2082" spans="1:15" ht="15" customHeight="1">
      <c r="A2082" s="24"/>
      <c r="B2082" s="78" t="s">
        <v>2363</v>
      </c>
      <c r="C2082" s="78" t="s">
        <v>1799</v>
      </c>
      <c r="D2082" s="28" t="s">
        <v>3302</v>
      </c>
      <c r="E2082" s="78">
        <v>1.22</v>
      </c>
      <c r="F2082" s="78">
        <v>708</v>
      </c>
      <c r="G2082" s="78"/>
      <c r="H2082" s="78">
        <v>1.6</v>
      </c>
      <c r="I2082" s="78"/>
      <c r="J2082" s="133">
        <v>45532</v>
      </c>
      <c r="K2082" s="9">
        <f t="shared" si="149"/>
        <v>1382.0160000000001</v>
      </c>
      <c r="L2082" s="13"/>
      <c r="M2082" s="13"/>
      <c r="N2082" s="13"/>
      <c r="O2082" s="15"/>
    </row>
    <row r="2083" spans="1:15" ht="15" hidden="1" customHeight="1">
      <c r="A2083" s="24">
        <v>6710</v>
      </c>
      <c r="B2083" s="78" t="s">
        <v>1276</v>
      </c>
      <c r="C2083" s="78" t="s">
        <v>1277</v>
      </c>
      <c r="D2083" s="28" t="s">
        <v>451</v>
      </c>
      <c r="E2083" s="78">
        <v>1.2</v>
      </c>
      <c r="F2083" s="78">
        <v>111</v>
      </c>
      <c r="G2083" s="78"/>
      <c r="H2083" s="78">
        <v>1.7</v>
      </c>
      <c r="I2083" s="78"/>
      <c r="J2083" s="133">
        <v>43608</v>
      </c>
      <c r="K2083" s="9">
        <f t="shared" si="149"/>
        <v>226.43999999999997</v>
      </c>
      <c r="L2083" s="13"/>
      <c r="M2083" s="13"/>
      <c r="N2083" s="13">
        <f>G2083*H2083*I2083*E2083</f>
        <v>0</v>
      </c>
      <c r="O2083" s="15">
        <f>K2083*1.6667</f>
        <v>377.40754799999996</v>
      </c>
    </row>
    <row r="2084" spans="1:15" ht="15" customHeight="1">
      <c r="A2084" s="48"/>
      <c r="B2084" s="100" t="s">
        <v>1798</v>
      </c>
      <c r="C2084" s="124" t="s">
        <v>1267</v>
      </c>
      <c r="D2084" s="28" t="s">
        <v>3302</v>
      </c>
      <c r="E2084" s="104">
        <v>1.22</v>
      </c>
      <c r="F2084" s="100">
        <v>292.5</v>
      </c>
      <c r="G2084" s="124"/>
      <c r="H2084" s="100">
        <v>1.5</v>
      </c>
      <c r="I2084" s="124"/>
      <c r="J2084" s="141">
        <v>44193</v>
      </c>
      <c r="K2084" s="9">
        <f t="shared" si="149"/>
        <v>535.27499999999998</v>
      </c>
      <c r="L2084" s="13"/>
      <c r="M2084" s="41"/>
      <c r="N2084" s="48"/>
      <c r="O2084" s="48"/>
    </row>
    <row r="2085" spans="1:15" ht="15" customHeight="1">
      <c r="A2085" s="48"/>
      <c r="B2085" s="92" t="s">
        <v>1798</v>
      </c>
      <c r="C2085" s="124" t="s">
        <v>1799</v>
      </c>
      <c r="D2085" s="28" t="s">
        <v>3302</v>
      </c>
      <c r="E2085" s="94">
        <v>1.22</v>
      </c>
      <c r="F2085" s="100">
        <v>990</v>
      </c>
      <c r="G2085" s="124"/>
      <c r="H2085" s="100">
        <v>1.25</v>
      </c>
      <c r="I2085" s="124"/>
      <c r="J2085" s="141">
        <v>44177</v>
      </c>
      <c r="K2085" s="13">
        <f t="shared" si="149"/>
        <v>1509.75</v>
      </c>
      <c r="L2085" s="13"/>
      <c r="M2085" s="41"/>
      <c r="N2085" s="48"/>
      <c r="O2085" s="48"/>
    </row>
    <row r="2086" spans="1:15" ht="15" customHeight="1">
      <c r="A2086" s="38" t="s">
        <v>3703</v>
      </c>
      <c r="B2086" s="89" t="s">
        <v>2024</v>
      </c>
      <c r="C2086" s="207" t="s">
        <v>1377</v>
      </c>
      <c r="D2086" s="28" t="s">
        <v>3302</v>
      </c>
      <c r="E2086" s="273">
        <v>1.22</v>
      </c>
      <c r="F2086" s="105">
        <v>890</v>
      </c>
      <c r="G2086" s="121"/>
      <c r="H2086" s="105">
        <v>1.35</v>
      </c>
      <c r="I2086" s="121"/>
      <c r="J2086" s="138">
        <v>45320</v>
      </c>
      <c r="K2086" s="33">
        <f t="shared" si="149"/>
        <v>1465.83</v>
      </c>
      <c r="L2086" s="50"/>
      <c r="M2086" s="41"/>
      <c r="N2086" s="38"/>
      <c r="O2086" s="38"/>
    </row>
    <row r="2087" spans="1:15" ht="15" customHeight="1">
      <c r="A2087" s="24">
        <v>1</v>
      </c>
      <c r="B2087" s="78" t="s">
        <v>2775</v>
      </c>
      <c r="C2087" s="78" t="s">
        <v>60</v>
      </c>
      <c r="D2087" s="28" t="s">
        <v>1905</v>
      </c>
      <c r="E2087" s="93">
        <v>1</v>
      </c>
      <c r="F2087" s="78">
        <v>140</v>
      </c>
      <c r="G2087" s="78"/>
      <c r="H2087" s="78">
        <v>1.3</v>
      </c>
      <c r="I2087" s="78"/>
      <c r="J2087" s="140">
        <v>44874</v>
      </c>
      <c r="K2087" s="33">
        <f t="shared" si="149"/>
        <v>182</v>
      </c>
      <c r="L2087" s="13"/>
      <c r="M2087" s="13"/>
      <c r="N2087" s="13">
        <f>G2087*H2087*I2087*E2087</f>
        <v>0</v>
      </c>
      <c r="O2087" s="15">
        <f>K2087*1.6667</f>
        <v>303.33940000000001</v>
      </c>
    </row>
    <row r="2088" spans="1:15" ht="15" customHeight="1">
      <c r="A2088" s="38"/>
      <c r="B2088" s="78" t="s">
        <v>1890</v>
      </c>
      <c r="C2088" s="78" t="s">
        <v>133</v>
      </c>
      <c r="D2088" s="28" t="s">
        <v>1905</v>
      </c>
      <c r="E2088" s="28">
        <v>1.22</v>
      </c>
      <c r="F2088" s="78">
        <v>104.09</v>
      </c>
      <c r="G2088" s="121"/>
      <c r="H2088" s="78">
        <v>1.4</v>
      </c>
      <c r="I2088" s="121"/>
      <c r="J2088" s="138">
        <v>46003</v>
      </c>
      <c r="K2088" s="9">
        <f t="shared" si="149"/>
        <v>177.78572</v>
      </c>
      <c r="L2088" s="64"/>
      <c r="M2088" s="41"/>
      <c r="N2088" s="38"/>
      <c r="O2088" s="38"/>
    </row>
    <row r="2089" spans="1:15" ht="15" customHeight="1">
      <c r="A2089" s="24" t="s">
        <v>2327</v>
      </c>
      <c r="B2089" s="78" t="s">
        <v>2422</v>
      </c>
      <c r="C2089" s="78" t="s">
        <v>2423</v>
      </c>
      <c r="D2089" s="28" t="s">
        <v>451</v>
      </c>
      <c r="E2089" s="28">
        <v>1.22</v>
      </c>
      <c r="F2089" s="78">
        <v>104</v>
      </c>
      <c r="G2089" s="78"/>
      <c r="H2089" s="78">
        <v>1.5</v>
      </c>
      <c r="I2089" s="78"/>
      <c r="J2089" s="140">
        <v>45029</v>
      </c>
      <c r="K2089" s="9">
        <f t="shared" si="149"/>
        <v>190.32</v>
      </c>
      <c r="L2089" s="13"/>
      <c r="M2089" s="13"/>
      <c r="N2089" s="13">
        <f>G2089*H2089*I2089*E2089</f>
        <v>0</v>
      </c>
      <c r="O2089" s="15">
        <f>K2089*1.6667</f>
        <v>317.206344</v>
      </c>
    </row>
    <row r="2090" spans="1:15" ht="15" customHeight="1">
      <c r="A2090" s="288" t="s">
        <v>2327</v>
      </c>
      <c r="B2090" s="147" t="s">
        <v>3880</v>
      </c>
      <c r="C2090" s="151" t="s">
        <v>3881</v>
      </c>
      <c r="D2090" s="28" t="s">
        <v>1921</v>
      </c>
      <c r="E2090" s="28">
        <v>1.22</v>
      </c>
      <c r="F2090" s="147">
        <v>92</v>
      </c>
      <c r="G2090" s="151"/>
      <c r="H2090" s="147">
        <v>1.6</v>
      </c>
      <c r="I2090" s="151"/>
      <c r="J2090" s="139">
        <v>45588</v>
      </c>
      <c r="K2090" s="9">
        <f t="shared" si="149"/>
        <v>179.584</v>
      </c>
      <c r="L2090" s="64"/>
      <c r="M2090" s="41"/>
      <c r="N2090" s="38"/>
      <c r="O2090" s="38"/>
    </row>
    <row r="2091" spans="1:15" ht="14.25" customHeight="1">
      <c r="A2091" s="16">
        <v>31766</v>
      </c>
      <c r="B2091" s="78" t="s">
        <v>2849</v>
      </c>
      <c r="C2091" s="28"/>
      <c r="D2091" s="28" t="s">
        <v>451</v>
      </c>
      <c r="E2091" s="96">
        <v>1.22</v>
      </c>
      <c r="F2091" s="78">
        <v>1</v>
      </c>
      <c r="G2091" s="121"/>
      <c r="H2091" s="78">
        <v>4</v>
      </c>
      <c r="I2091" s="121"/>
      <c r="J2091" s="135">
        <v>44944</v>
      </c>
      <c r="K2091" s="13">
        <f t="shared" si="149"/>
        <v>4.88</v>
      </c>
      <c r="L2091" s="13"/>
      <c r="M2091" s="41"/>
      <c r="N2091" s="38"/>
      <c r="O2091" s="38"/>
    </row>
    <row r="2092" spans="1:15" ht="15" customHeight="1">
      <c r="A2092" s="39" t="s">
        <v>4027</v>
      </c>
      <c r="B2092" s="87" t="s">
        <v>4028</v>
      </c>
      <c r="C2092" s="122"/>
      <c r="D2092" s="28" t="s">
        <v>1292</v>
      </c>
      <c r="E2092" s="90">
        <v>1.22</v>
      </c>
      <c r="F2092" s="103">
        <v>49.9</v>
      </c>
      <c r="G2092" s="121"/>
      <c r="H2092" s="103">
        <v>2</v>
      </c>
      <c r="I2092" s="121"/>
      <c r="J2092" s="138">
        <v>45668</v>
      </c>
      <c r="K2092" s="9">
        <f t="shared" si="149"/>
        <v>121.756</v>
      </c>
    </row>
    <row r="2093" spans="1:15" ht="15" customHeight="1">
      <c r="A2093" s="38"/>
      <c r="B2093" s="105" t="s">
        <v>3310</v>
      </c>
      <c r="C2093" s="121" t="s">
        <v>3311</v>
      </c>
      <c r="D2093" s="110" t="s">
        <v>3312</v>
      </c>
      <c r="E2093" s="44">
        <v>1.22</v>
      </c>
      <c r="F2093" s="78">
        <v>67.599999999999994</v>
      </c>
      <c r="G2093" s="121"/>
      <c r="H2093" s="78">
        <v>1.7</v>
      </c>
      <c r="I2093" s="121"/>
      <c r="J2093" s="138">
        <v>45244</v>
      </c>
      <c r="K2093" s="9">
        <f t="shared" si="149"/>
        <v>140.20239999999998</v>
      </c>
      <c r="L2093" s="64"/>
      <c r="M2093" s="41"/>
      <c r="N2093" s="38"/>
      <c r="O2093" s="38"/>
    </row>
    <row r="2094" spans="1:15" ht="15" customHeight="1">
      <c r="A2094" s="58" t="s">
        <v>2906</v>
      </c>
      <c r="B2094" s="28" t="s">
        <v>2907</v>
      </c>
      <c r="C2094" s="121" t="s">
        <v>15</v>
      </c>
      <c r="D2094" s="28" t="s">
        <v>3297</v>
      </c>
      <c r="E2094" s="28">
        <v>1.22</v>
      </c>
      <c r="F2094" s="78">
        <v>48.31</v>
      </c>
      <c r="G2094" s="121"/>
      <c r="H2094" s="78">
        <v>1.7</v>
      </c>
      <c r="I2094" s="121"/>
      <c r="J2094" s="134">
        <v>45071</v>
      </c>
      <c r="K2094" s="50">
        <f t="shared" si="149"/>
        <v>100.19494</v>
      </c>
      <c r="L2094" s="50"/>
      <c r="M2094" s="41"/>
      <c r="N2094" s="38"/>
      <c r="O2094" s="15">
        <f>K2094*1.6667</f>
        <v>166.99490649800001</v>
      </c>
    </row>
    <row r="2095" spans="1:15" ht="15" customHeight="1">
      <c r="A2095" s="24" t="s">
        <v>2021</v>
      </c>
      <c r="B2095" s="28" t="s">
        <v>2020</v>
      </c>
      <c r="C2095" s="78" t="s">
        <v>2022</v>
      </c>
      <c r="D2095" s="28" t="s">
        <v>3297</v>
      </c>
      <c r="E2095" s="28">
        <v>1.22</v>
      </c>
      <c r="F2095" s="78">
        <v>91.28</v>
      </c>
      <c r="G2095" s="78"/>
      <c r="H2095" s="78">
        <v>1.6</v>
      </c>
      <c r="I2095" s="78"/>
      <c r="J2095" s="133">
        <v>44209</v>
      </c>
      <c r="K2095" s="13">
        <f t="shared" si="149"/>
        <v>178.17856</v>
      </c>
      <c r="L2095" s="13"/>
      <c r="M2095" s="13"/>
      <c r="N2095" s="13">
        <f>G2095*H2095*I2095*E2095</f>
        <v>0</v>
      </c>
      <c r="O2095" s="15">
        <f>K2095*1.6667</f>
        <v>296.97020595200001</v>
      </c>
    </row>
    <row r="2096" spans="1:15" ht="15" customHeight="1">
      <c r="A2096" s="24" t="s">
        <v>3373</v>
      </c>
      <c r="B2096" s="78" t="s">
        <v>3374</v>
      </c>
      <c r="C2096" s="78" t="s">
        <v>2022</v>
      </c>
      <c r="D2096" s="28" t="s">
        <v>3297</v>
      </c>
      <c r="E2096" s="78">
        <v>1.22</v>
      </c>
      <c r="F2096" s="78">
        <v>91.77</v>
      </c>
      <c r="G2096" s="78"/>
      <c r="H2096" s="78">
        <v>1.6</v>
      </c>
      <c r="I2096" s="78"/>
      <c r="J2096" s="140">
        <v>45341</v>
      </c>
      <c r="K2096" s="13">
        <f t="shared" si="149"/>
        <v>179.13504</v>
      </c>
      <c r="L2096" s="13"/>
      <c r="M2096" s="13"/>
      <c r="N2096" s="13">
        <f>G2096*H2096*I2096*E2096</f>
        <v>0</v>
      </c>
      <c r="O2096" s="15">
        <f>K2096*1.6667</f>
        <v>298.56437116800004</v>
      </c>
    </row>
    <row r="2097" spans="1:15" ht="15" customHeight="1">
      <c r="A2097" s="24">
        <v>199</v>
      </c>
      <c r="B2097" s="78" t="s">
        <v>1186</v>
      </c>
      <c r="C2097" s="78" t="s">
        <v>1662</v>
      </c>
      <c r="D2097" s="28" t="s">
        <v>451</v>
      </c>
      <c r="E2097" s="78">
        <v>1.22</v>
      </c>
      <c r="F2097" s="78">
        <v>91.2</v>
      </c>
      <c r="G2097" s="78"/>
      <c r="H2097" s="78">
        <v>1.45</v>
      </c>
      <c r="I2097" s="78"/>
      <c r="J2097" s="140">
        <v>44622</v>
      </c>
      <c r="K2097" s="13">
        <f t="shared" si="149"/>
        <v>161.33279999999999</v>
      </c>
      <c r="L2097" s="13"/>
      <c r="M2097" s="13"/>
      <c r="N2097" s="13">
        <f>G2097*H2097*I2097*E2097</f>
        <v>0</v>
      </c>
      <c r="O2097" s="15">
        <f>K2097*1.6667</f>
        <v>268.89337776000002</v>
      </c>
    </row>
    <row r="2098" spans="1:15" ht="15" customHeight="1">
      <c r="A2098" s="24"/>
      <c r="B2098" s="78" t="s">
        <v>1184</v>
      </c>
      <c r="C2098" s="78" t="s">
        <v>1185</v>
      </c>
      <c r="D2098" s="28"/>
      <c r="E2098" s="28">
        <v>1.22</v>
      </c>
      <c r="F2098" s="78">
        <v>730</v>
      </c>
      <c r="G2098" s="78"/>
      <c r="H2098" s="78">
        <v>1.3</v>
      </c>
      <c r="I2098" s="78"/>
      <c r="J2098" s="140">
        <v>44987</v>
      </c>
      <c r="K2098" s="9">
        <f t="shared" si="149"/>
        <v>1157.78</v>
      </c>
      <c r="L2098" s="13"/>
      <c r="M2098" s="13"/>
      <c r="N2098" s="13">
        <f>G2098*H2098*I2098*E2098</f>
        <v>0</v>
      </c>
      <c r="O2098" s="15">
        <f>K2098*1.6667</f>
        <v>1929.671926</v>
      </c>
    </row>
    <row r="2099" spans="1:15" ht="15" customHeight="1">
      <c r="A2099" s="48" t="s">
        <v>1769</v>
      </c>
      <c r="B2099" s="100" t="s">
        <v>1774</v>
      </c>
      <c r="C2099" s="124" t="s">
        <v>1773</v>
      </c>
      <c r="D2099" s="28" t="s">
        <v>3302</v>
      </c>
      <c r="E2099" s="94">
        <v>1.22</v>
      </c>
      <c r="F2099" s="100">
        <v>450</v>
      </c>
      <c r="G2099" s="124"/>
      <c r="H2099" s="100">
        <v>1.25</v>
      </c>
      <c r="I2099" s="124"/>
      <c r="J2099" s="210">
        <v>44015</v>
      </c>
      <c r="K2099" s="9">
        <f t="shared" si="149"/>
        <v>686.25</v>
      </c>
      <c r="L2099" s="13"/>
      <c r="M2099" s="41"/>
      <c r="N2099" s="48"/>
      <c r="O2099" s="48"/>
    </row>
    <row r="2100" spans="1:15" ht="15" customHeight="1">
      <c r="A2100" s="48" t="s">
        <v>1770</v>
      </c>
      <c r="B2100" s="100" t="s">
        <v>1774</v>
      </c>
      <c r="C2100" s="124" t="s">
        <v>1377</v>
      </c>
      <c r="D2100" s="28" t="s">
        <v>3302</v>
      </c>
      <c r="E2100" s="94">
        <v>1.22</v>
      </c>
      <c r="F2100" s="100">
        <v>550</v>
      </c>
      <c r="G2100" s="124"/>
      <c r="H2100" s="100">
        <v>1.25</v>
      </c>
      <c r="I2100" s="124"/>
      <c r="J2100" s="210">
        <v>44015</v>
      </c>
      <c r="K2100" s="9">
        <f t="shared" si="149"/>
        <v>838.75</v>
      </c>
      <c r="L2100" s="13"/>
      <c r="M2100" s="41"/>
      <c r="N2100" s="48"/>
      <c r="O2100" s="48"/>
    </row>
    <row r="2101" spans="1:15" ht="15" customHeight="1">
      <c r="A2101" s="48" t="s">
        <v>1771</v>
      </c>
      <c r="B2101" s="100" t="s">
        <v>1774</v>
      </c>
      <c r="C2101" s="124" t="s">
        <v>1775</v>
      </c>
      <c r="D2101" s="28" t="s">
        <v>3302</v>
      </c>
      <c r="E2101" s="94">
        <v>1.22</v>
      </c>
      <c r="F2101" s="100">
        <v>690</v>
      </c>
      <c r="G2101" s="124"/>
      <c r="H2101" s="100">
        <v>1.25</v>
      </c>
      <c r="I2101" s="124"/>
      <c r="J2101" s="210">
        <v>44015</v>
      </c>
      <c r="K2101" s="9">
        <f t="shared" si="149"/>
        <v>1052.25</v>
      </c>
      <c r="L2101" s="13"/>
      <c r="M2101" s="41"/>
      <c r="N2101" s="48"/>
      <c r="O2101" s="48"/>
    </row>
    <row r="2102" spans="1:15" ht="15" customHeight="1">
      <c r="A2102" s="48" t="s">
        <v>1772</v>
      </c>
      <c r="B2102" s="100" t="s">
        <v>1774</v>
      </c>
      <c r="C2102" s="124" t="s">
        <v>1776</v>
      </c>
      <c r="D2102" s="28" t="s">
        <v>3302</v>
      </c>
      <c r="E2102" s="94">
        <v>1.22</v>
      </c>
      <c r="F2102" s="100">
        <v>990</v>
      </c>
      <c r="G2102" s="124"/>
      <c r="H2102" s="100">
        <v>1.25</v>
      </c>
      <c r="I2102" s="124"/>
      <c r="J2102" s="210">
        <v>44015</v>
      </c>
      <c r="K2102" s="9">
        <f t="shared" si="149"/>
        <v>1509.75</v>
      </c>
      <c r="L2102" s="13"/>
      <c r="M2102" s="41"/>
      <c r="N2102" s="48"/>
      <c r="O2102" s="48"/>
    </row>
    <row r="2103" spans="1:15" ht="15" customHeight="1">
      <c r="A2103" s="38"/>
      <c r="B2103" s="78" t="s">
        <v>2224</v>
      </c>
      <c r="C2103" s="78" t="s">
        <v>139</v>
      </c>
      <c r="D2103" s="28" t="s">
        <v>3302</v>
      </c>
      <c r="E2103" s="28">
        <v>1.22</v>
      </c>
      <c r="F2103" s="78">
        <v>200</v>
      </c>
      <c r="G2103" s="121"/>
      <c r="H2103" s="78">
        <v>1.5</v>
      </c>
      <c r="I2103" s="121"/>
      <c r="J2103" s="138">
        <v>44416</v>
      </c>
      <c r="K2103" s="37">
        <f t="shared" si="149"/>
        <v>366</v>
      </c>
      <c r="L2103" s="64"/>
      <c r="M2103" s="41"/>
      <c r="N2103" s="38"/>
      <c r="O2103" s="38"/>
    </row>
    <row r="2104" spans="1:15" ht="15" customHeight="1">
      <c r="A2104" s="38"/>
      <c r="B2104" s="78" t="s">
        <v>2224</v>
      </c>
      <c r="C2104" s="78" t="s">
        <v>2225</v>
      </c>
      <c r="D2104" s="28" t="s">
        <v>3302</v>
      </c>
      <c r="E2104" s="28">
        <v>1.22</v>
      </c>
      <c r="F2104" s="78">
        <v>500</v>
      </c>
      <c r="G2104" s="121"/>
      <c r="H2104" s="78">
        <v>1.5</v>
      </c>
      <c r="I2104" s="121"/>
      <c r="J2104" s="138">
        <v>44416</v>
      </c>
      <c r="K2104" s="37">
        <f t="shared" si="149"/>
        <v>915</v>
      </c>
      <c r="L2104" s="64"/>
      <c r="M2104" s="41"/>
      <c r="N2104" s="38"/>
      <c r="O2104" s="38"/>
    </row>
    <row r="2105" spans="1:15" ht="15" customHeight="1">
      <c r="A2105" s="38"/>
      <c r="B2105" s="78" t="s">
        <v>2224</v>
      </c>
      <c r="C2105" s="78" t="s">
        <v>300</v>
      </c>
      <c r="D2105" s="78" t="s">
        <v>3302</v>
      </c>
      <c r="E2105" s="78">
        <v>1.22</v>
      </c>
      <c r="F2105" s="78">
        <v>1500</v>
      </c>
      <c r="G2105" s="121"/>
      <c r="H2105" s="78">
        <v>1.5</v>
      </c>
      <c r="I2105" s="121"/>
      <c r="J2105" s="138">
        <v>44416</v>
      </c>
      <c r="K2105" s="37">
        <f t="shared" si="149"/>
        <v>2745</v>
      </c>
      <c r="L2105" s="64"/>
      <c r="M2105" s="41"/>
      <c r="N2105" s="38"/>
      <c r="O2105" s="38"/>
    </row>
    <row r="2106" spans="1:15" ht="15" customHeight="1">
      <c r="A2106" s="38"/>
      <c r="B2106" s="78" t="s">
        <v>2224</v>
      </c>
      <c r="C2106" s="78" t="s">
        <v>1378</v>
      </c>
      <c r="D2106" s="78" t="s">
        <v>3302</v>
      </c>
      <c r="E2106" s="78">
        <v>1.22</v>
      </c>
      <c r="F2106" s="78">
        <v>4500</v>
      </c>
      <c r="G2106" s="121"/>
      <c r="H2106" s="78">
        <v>1.5</v>
      </c>
      <c r="I2106" s="121"/>
      <c r="J2106" s="138">
        <v>44416</v>
      </c>
      <c r="K2106" s="37">
        <f t="shared" ref="K2106:K2137" si="150">E2106*F2106*H2106</f>
        <v>8235</v>
      </c>
      <c r="L2106" s="64"/>
      <c r="M2106" s="41"/>
      <c r="N2106" s="38"/>
      <c r="O2106" s="38"/>
    </row>
    <row r="2107" spans="1:15" ht="15" customHeight="1">
      <c r="A2107" s="38" t="s">
        <v>4218</v>
      </c>
      <c r="B2107" s="103" t="s">
        <v>4219</v>
      </c>
      <c r="C2107" s="121"/>
      <c r="D2107" s="28" t="s">
        <v>3297</v>
      </c>
      <c r="E2107" s="28">
        <v>1.22</v>
      </c>
      <c r="F2107" s="108">
        <v>197</v>
      </c>
      <c r="H2107" s="108">
        <v>1.7</v>
      </c>
      <c r="J2107" s="138">
        <v>45777</v>
      </c>
      <c r="K2107" s="37">
        <f t="shared" si="150"/>
        <v>408.57799999999997</v>
      </c>
    </row>
    <row r="2108" spans="1:15" ht="15" hidden="1" customHeight="1">
      <c r="A2108" s="24"/>
      <c r="B2108" s="78" t="s">
        <v>745</v>
      </c>
      <c r="C2108" s="78" t="s">
        <v>98</v>
      </c>
      <c r="D2108" s="28" t="s">
        <v>4369</v>
      </c>
      <c r="E2108" s="28">
        <v>1</v>
      </c>
      <c r="F2108" s="78">
        <v>200</v>
      </c>
      <c r="G2108" s="78"/>
      <c r="H2108" s="78">
        <v>1.6</v>
      </c>
      <c r="I2108" s="78"/>
      <c r="J2108" s="140">
        <v>42913</v>
      </c>
      <c r="K2108" s="9">
        <f t="shared" si="150"/>
        <v>320</v>
      </c>
      <c r="L2108" s="13"/>
      <c r="M2108" s="13"/>
      <c r="N2108" s="13">
        <f>G2108*H2108*I2108*E2108</f>
        <v>0</v>
      </c>
      <c r="O2108" s="15">
        <f>K2108*1.6667</f>
        <v>533.34400000000005</v>
      </c>
    </row>
    <row r="2109" spans="1:15" ht="15" customHeight="1">
      <c r="A2109" s="38"/>
      <c r="B2109" s="78" t="s">
        <v>3507</v>
      </c>
      <c r="C2109" s="121" t="s">
        <v>93</v>
      </c>
      <c r="D2109" s="28" t="s">
        <v>1859</v>
      </c>
      <c r="E2109" s="28">
        <v>1.22</v>
      </c>
      <c r="F2109" s="78">
        <v>250</v>
      </c>
      <c r="G2109" s="121"/>
      <c r="H2109" s="78">
        <v>1.6</v>
      </c>
      <c r="I2109" s="121"/>
      <c r="J2109" s="144">
        <v>45448</v>
      </c>
      <c r="K2109" s="9">
        <f t="shared" si="150"/>
        <v>488</v>
      </c>
      <c r="L2109" s="13"/>
      <c r="M2109" s="62">
        <v>1.22</v>
      </c>
      <c r="N2109" s="38"/>
      <c r="O2109" s="15">
        <f>K2109*1.6667</f>
        <v>813.34960000000001</v>
      </c>
    </row>
    <row r="2110" spans="1:15" ht="15" customHeight="1">
      <c r="A2110" s="24"/>
      <c r="B2110" s="78" t="s">
        <v>1179</v>
      </c>
      <c r="C2110" s="78" t="s">
        <v>3188</v>
      </c>
      <c r="D2110" s="28" t="s">
        <v>3302</v>
      </c>
      <c r="E2110" s="28">
        <v>1.22</v>
      </c>
      <c r="F2110" s="78">
        <v>135</v>
      </c>
      <c r="G2110" s="78">
        <v>0</v>
      </c>
      <c r="H2110" s="78">
        <v>1.5</v>
      </c>
      <c r="I2110" s="78">
        <v>34</v>
      </c>
      <c r="J2110" s="140">
        <v>44999</v>
      </c>
      <c r="K2110" s="9">
        <f t="shared" si="150"/>
        <v>247.04999999999998</v>
      </c>
      <c r="L2110" s="13"/>
      <c r="M2110" s="13"/>
      <c r="N2110" s="13">
        <f>G2110*H2110*I2110*E2110</f>
        <v>0</v>
      </c>
      <c r="O2110" s="15">
        <f>K2110*1.6667</f>
        <v>411.75823500000001</v>
      </c>
    </row>
    <row r="2111" spans="1:15" ht="15" customHeight="1">
      <c r="A2111" s="38"/>
      <c r="B2111" s="78" t="s">
        <v>1179</v>
      </c>
      <c r="C2111" s="78" t="s">
        <v>3186</v>
      </c>
      <c r="D2111" s="28" t="s">
        <v>3302</v>
      </c>
      <c r="E2111" s="28">
        <v>1</v>
      </c>
      <c r="F2111" s="78">
        <v>238</v>
      </c>
      <c r="G2111" s="121"/>
      <c r="H2111" s="78">
        <v>1.4</v>
      </c>
      <c r="I2111" s="121" t="s">
        <v>3071</v>
      </c>
      <c r="J2111" s="140">
        <v>44999</v>
      </c>
      <c r="K2111" s="9">
        <f t="shared" si="150"/>
        <v>333.2</v>
      </c>
      <c r="L2111" s="50"/>
      <c r="M2111" s="41"/>
      <c r="N2111" s="38"/>
      <c r="O2111" s="38"/>
    </row>
    <row r="2112" spans="1:15" ht="15" customHeight="1">
      <c r="A2112" s="38"/>
      <c r="B2112" s="78" t="s">
        <v>1179</v>
      </c>
      <c r="C2112" s="78" t="s">
        <v>3187</v>
      </c>
      <c r="D2112" s="28" t="s">
        <v>3302</v>
      </c>
      <c r="E2112" s="28">
        <v>1</v>
      </c>
      <c r="F2112" s="78">
        <v>633</v>
      </c>
      <c r="G2112" s="121"/>
      <c r="H2112" s="78">
        <v>1.6</v>
      </c>
      <c r="I2112" s="121"/>
      <c r="J2112" s="140">
        <v>44999</v>
      </c>
      <c r="K2112" s="35">
        <f t="shared" si="150"/>
        <v>1012.8000000000001</v>
      </c>
      <c r="L2112" s="50"/>
      <c r="M2112" s="41"/>
      <c r="N2112" s="38"/>
      <c r="O2112" s="38"/>
    </row>
    <row r="2113" spans="1:15" ht="15" customHeight="1">
      <c r="A2113" s="38"/>
      <c r="B2113" s="78" t="s">
        <v>1179</v>
      </c>
      <c r="C2113" s="102" t="s">
        <v>1688</v>
      </c>
      <c r="D2113" s="28" t="s">
        <v>3302</v>
      </c>
      <c r="E2113" s="28">
        <v>1.22</v>
      </c>
      <c r="F2113" s="78">
        <v>4800</v>
      </c>
      <c r="G2113" s="121"/>
      <c r="H2113" s="78">
        <v>1.5</v>
      </c>
      <c r="I2113" s="121"/>
      <c r="J2113" s="138">
        <v>45093</v>
      </c>
      <c r="K2113" s="35">
        <f t="shared" si="150"/>
        <v>8784</v>
      </c>
      <c r="L2113" s="50"/>
      <c r="M2113" s="41"/>
      <c r="N2113" s="38"/>
      <c r="O2113" s="15"/>
    </row>
    <row r="2114" spans="1:15" ht="15" customHeight="1">
      <c r="A2114" s="24">
        <v>0</v>
      </c>
      <c r="B2114" s="85" t="s">
        <v>2845</v>
      </c>
      <c r="C2114" s="78" t="s">
        <v>1079</v>
      </c>
      <c r="D2114" s="85" t="s">
        <v>1859</v>
      </c>
      <c r="E2114" s="85">
        <v>1.22</v>
      </c>
      <c r="F2114" s="78">
        <v>180.6</v>
      </c>
      <c r="G2114" s="78"/>
      <c r="H2114" s="78">
        <v>1.6</v>
      </c>
      <c r="I2114" s="78"/>
      <c r="J2114" s="140">
        <v>45940</v>
      </c>
      <c r="K2114" s="9">
        <f t="shared" si="150"/>
        <v>352.53120000000001</v>
      </c>
      <c r="L2114" s="13"/>
      <c r="M2114" s="13"/>
      <c r="N2114" s="13">
        <f t="shared" ref="N2114:N2120" si="151">G2114*H2114*I2114*E2114</f>
        <v>0</v>
      </c>
      <c r="O2114" s="15">
        <f t="shared" ref="O2114:O2120" si="152">K2114*1.6667</f>
        <v>587.56375104000006</v>
      </c>
    </row>
    <row r="2115" spans="1:15" ht="15" customHeight="1">
      <c r="A2115" s="24"/>
      <c r="B2115" s="78" t="s">
        <v>2845</v>
      </c>
      <c r="C2115" s="78" t="s">
        <v>93</v>
      </c>
      <c r="D2115" s="28" t="s">
        <v>1859</v>
      </c>
      <c r="E2115" s="28">
        <v>1.22</v>
      </c>
      <c r="F2115" s="78">
        <v>179.74</v>
      </c>
      <c r="G2115" s="78"/>
      <c r="H2115" s="78">
        <v>1.6</v>
      </c>
      <c r="I2115" s="78"/>
      <c r="J2115" s="140">
        <v>45849</v>
      </c>
      <c r="K2115" s="9">
        <f t="shared" si="150"/>
        <v>350.85248000000001</v>
      </c>
      <c r="L2115" s="13"/>
      <c r="M2115" s="13"/>
      <c r="N2115" s="13">
        <f t="shared" si="151"/>
        <v>0</v>
      </c>
      <c r="O2115" s="15">
        <f t="shared" si="152"/>
        <v>584.76582841600009</v>
      </c>
    </row>
    <row r="2116" spans="1:15" ht="15" customHeight="1">
      <c r="A2116" s="24">
        <v>0</v>
      </c>
      <c r="B2116" s="78" t="s">
        <v>2843</v>
      </c>
      <c r="C2116" s="78" t="s">
        <v>2844</v>
      </c>
      <c r="D2116" s="28" t="s">
        <v>1859</v>
      </c>
      <c r="E2116" s="28">
        <v>1.22</v>
      </c>
      <c r="F2116" s="78">
        <v>180</v>
      </c>
      <c r="G2116" s="78"/>
      <c r="H2116" s="78">
        <v>1.6</v>
      </c>
      <c r="I2116" s="78"/>
      <c r="J2116" s="140">
        <v>45898</v>
      </c>
      <c r="K2116" s="9">
        <f t="shared" si="150"/>
        <v>351.36</v>
      </c>
      <c r="L2116" s="13"/>
      <c r="M2116" s="13"/>
      <c r="N2116" s="13">
        <f t="shared" si="151"/>
        <v>0</v>
      </c>
      <c r="O2116" s="15">
        <f t="shared" si="152"/>
        <v>585.61171200000001</v>
      </c>
    </row>
    <row r="2117" spans="1:15" ht="15" customHeight="1">
      <c r="A2117" s="24">
        <v>0</v>
      </c>
      <c r="B2117" s="78" t="s">
        <v>2846</v>
      </c>
      <c r="C2117" s="78" t="s">
        <v>2844</v>
      </c>
      <c r="D2117" s="78" t="s">
        <v>1859</v>
      </c>
      <c r="E2117" s="78">
        <v>1.22</v>
      </c>
      <c r="F2117" s="78">
        <v>100</v>
      </c>
      <c r="G2117" s="78"/>
      <c r="H2117" s="78">
        <v>1.6</v>
      </c>
      <c r="I2117" s="78"/>
      <c r="J2117" s="140">
        <v>44939</v>
      </c>
      <c r="K2117" s="9">
        <f t="shared" si="150"/>
        <v>195.20000000000002</v>
      </c>
      <c r="L2117" s="13"/>
      <c r="M2117" s="13"/>
      <c r="N2117" s="13">
        <f t="shared" si="151"/>
        <v>0</v>
      </c>
      <c r="O2117" s="15">
        <f t="shared" si="152"/>
        <v>325.33984000000004</v>
      </c>
    </row>
    <row r="2118" spans="1:15" ht="15" customHeight="1">
      <c r="A2118" s="24"/>
      <c r="B2118" s="78" t="s">
        <v>1089</v>
      </c>
      <c r="C2118" s="78" t="s">
        <v>1354</v>
      </c>
      <c r="D2118" s="28" t="s">
        <v>451</v>
      </c>
      <c r="E2118" s="28">
        <v>1.22</v>
      </c>
      <c r="F2118" s="78">
        <v>160</v>
      </c>
      <c r="G2118" s="78"/>
      <c r="H2118" s="78">
        <v>1.7</v>
      </c>
      <c r="I2118" s="78"/>
      <c r="J2118" s="140">
        <v>45653</v>
      </c>
      <c r="K2118" s="9">
        <f t="shared" si="150"/>
        <v>331.84</v>
      </c>
      <c r="L2118" s="13"/>
      <c r="M2118" s="13"/>
      <c r="N2118" s="13">
        <f t="shared" si="151"/>
        <v>0</v>
      </c>
      <c r="O2118" s="15">
        <f t="shared" si="152"/>
        <v>553.07772799999998</v>
      </c>
    </row>
    <row r="2119" spans="1:15" ht="15" customHeight="1">
      <c r="A2119" s="24"/>
      <c r="B2119" s="78" t="s">
        <v>1089</v>
      </c>
      <c r="C2119" s="78" t="s">
        <v>1090</v>
      </c>
      <c r="D2119" s="78" t="s">
        <v>451</v>
      </c>
      <c r="E2119" s="78">
        <v>1.22</v>
      </c>
      <c r="F2119" s="78">
        <v>70</v>
      </c>
      <c r="G2119" s="78"/>
      <c r="H2119" s="78">
        <v>1.7</v>
      </c>
      <c r="I2119" s="78">
        <v>12</v>
      </c>
      <c r="J2119" s="140">
        <v>45653</v>
      </c>
      <c r="K2119" s="9">
        <f t="shared" si="150"/>
        <v>145.17999999999998</v>
      </c>
      <c r="L2119" s="13"/>
      <c r="M2119" s="13"/>
      <c r="N2119" s="13">
        <f t="shared" si="151"/>
        <v>0</v>
      </c>
      <c r="O2119" s="15">
        <f t="shared" si="152"/>
        <v>241.97150599999998</v>
      </c>
    </row>
    <row r="2120" spans="1:15" ht="15" customHeight="1">
      <c r="A2120" s="24">
        <v>224</v>
      </c>
      <c r="B2120" s="78" t="s">
        <v>1988</v>
      </c>
      <c r="C2120" s="78"/>
      <c r="D2120" s="78" t="s">
        <v>451</v>
      </c>
      <c r="E2120" s="78">
        <v>1.22</v>
      </c>
      <c r="F2120" s="78">
        <v>160</v>
      </c>
      <c r="G2120" s="78"/>
      <c r="H2120" s="78">
        <v>1.6</v>
      </c>
      <c r="I2120" s="78"/>
      <c r="J2120" s="140">
        <v>44167</v>
      </c>
      <c r="K2120" s="9">
        <f t="shared" si="150"/>
        <v>312.32</v>
      </c>
      <c r="L2120" s="13"/>
      <c r="M2120" s="13"/>
      <c r="N2120" s="13">
        <f t="shared" si="151"/>
        <v>0</v>
      </c>
      <c r="O2120" s="15">
        <f t="shared" si="152"/>
        <v>520.54374400000006</v>
      </c>
    </row>
    <row r="2121" spans="1:15" ht="15" customHeight="1">
      <c r="A2121" s="24">
        <v>225</v>
      </c>
      <c r="B2121" s="78" t="s">
        <v>2342</v>
      </c>
      <c r="C2121" s="78" t="s">
        <v>15</v>
      </c>
      <c r="D2121" s="28" t="s">
        <v>451</v>
      </c>
      <c r="E2121" s="28">
        <v>1.22</v>
      </c>
      <c r="F2121" s="78">
        <v>587</v>
      </c>
      <c r="G2121" s="78"/>
      <c r="H2121" s="78">
        <v>1.45</v>
      </c>
      <c r="I2121" s="78"/>
      <c r="J2121" s="140">
        <v>44511</v>
      </c>
      <c r="K2121" s="9">
        <f t="shared" si="150"/>
        <v>1038.403</v>
      </c>
      <c r="L2121" s="13"/>
      <c r="M2121" s="13"/>
      <c r="N2121" s="13"/>
      <c r="O2121" s="65"/>
    </row>
    <row r="2122" spans="1:15" ht="15" customHeight="1">
      <c r="A2122" s="38">
        <v>474</v>
      </c>
      <c r="B2122" s="78" t="s">
        <v>2109</v>
      </c>
      <c r="C2122" s="121"/>
      <c r="D2122" s="28" t="s">
        <v>451</v>
      </c>
      <c r="E2122" s="28">
        <v>1.22</v>
      </c>
      <c r="F2122" s="78">
        <v>297</v>
      </c>
      <c r="G2122" s="121"/>
      <c r="H2122" s="78">
        <v>1.4</v>
      </c>
      <c r="I2122" s="121"/>
      <c r="J2122" s="138">
        <v>44270</v>
      </c>
      <c r="K2122" s="35">
        <f t="shared" si="150"/>
        <v>507.27599999999995</v>
      </c>
      <c r="L2122" s="50"/>
      <c r="M2122" s="41"/>
      <c r="N2122" s="38"/>
      <c r="O2122" s="15"/>
    </row>
    <row r="2123" spans="1:15" ht="15" customHeight="1">
      <c r="A2123" s="1" t="s">
        <v>4040</v>
      </c>
      <c r="B2123" s="103" t="s">
        <v>4041</v>
      </c>
      <c r="C2123" s="121"/>
      <c r="D2123" s="28" t="s">
        <v>1292</v>
      </c>
      <c r="E2123" s="90">
        <v>1.22</v>
      </c>
      <c r="F2123" s="108">
        <v>139.9</v>
      </c>
      <c r="H2123" s="103">
        <v>2</v>
      </c>
      <c r="J2123" s="138">
        <v>45668</v>
      </c>
      <c r="K2123" s="9">
        <f t="shared" si="150"/>
        <v>341.35599999999999</v>
      </c>
    </row>
    <row r="2124" spans="1:15" ht="15" customHeight="1">
      <c r="A2124" s="292" t="s">
        <v>4044</v>
      </c>
      <c r="B2124" s="103" t="s">
        <v>4043</v>
      </c>
      <c r="C2124" s="121"/>
      <c r="D2124" s="28" t="s">
        <v>1292</v>
      </c>
      <c r="E2124" s="90">
        <v>1.22</v>
      </c>
      <c r="F2124" s="103">
        <v>169.9</v>
      </c>
      <c r="G2124" s="121"/>
      <c r="H2124" s="103">
        <v>2</v>
      </c>
      <c r="I2124" s="121"/>
      <c r="J2124" s="138">
        <v>45668</v>
      </c>
      <c r="K2124" s="9">
        <f t="shared" si="150"/>
        <v>414.55599999999998</v>
      </c>
      <c r="L2124" s="64"/>
      <c r="M2124" s="41"/>
      <c r="N2124" s="38"/>
      <c r="O2124" s="38"/>
    </row>
    <row r="2125" spans="1:15" ht="15" customHeight="1">
      <c r="A2125" s="21">
        <v>256</v>
      </c>
      <c r="B2125" s="28" t="s">
        <v>1898</v>
      </c>
      <c r="C2125" s="78"/>
      <c r="D2125" s="28" t="s">
        <v>451</v>
      </c>
      <c r="E2125" s="28">
        <v>1.22</v>
      </c>
      <c r="F2125" s="78">
        <v>281</v>
      </c>
      <c r="G2125" s="78"/>
      <c r="H2125" s="78">
        <v>1.4</v>
      </c>
      <c r="I2125" s="78"/>
      <c r="J2125" s="140">
        <v>44270</v>
      </c>
      <c r="K2125" s="9">
        <f t="shared" si="150"/>
        <v>479.94799999999998</v>
      </c>
      <c r="L2125" s="13"/>
      <c r="M2125" s="13"/>
      <c r="N2125" s="13"/>
      <c r="O2125" s="15"/>
    </row>
    <row r="2126" spans="1:15" ht="15" customHeight="1">
      <c r="A2126" s="26">
        <v>255</v>
      </c>
      <c r="B2126" s="80" t="s">
        <v>1836</v>
      </c>
      <c r="C2126" s="102"/>
      <c r="D2126" s="28" t="s">
        <v>451</v>
      </c>
      <c r="E2126" s="102">
        <v>1.22</v>
      </c>
      <c r="F2126" s="102">
        <v>126</v>
      </c>
      <c r="G2126" s="102"/>
      <c r="H2126" s="102">
        <v>1.6</v>
      </c>
      <c r="I2126" s="102"/>
      <c r="J2126" s="134">
        <v>44270</v>
      </c>
      <c r="K2126" s="10">
        <f t="shared" si="150"/>
        <v>245.952</v>
      </c>
      <c r="L2126" s="13"/>
      <c r="M2126" s="41"/>
      <c r="N2126" s="48"/>
      <c r="O2126" s="48"/>
    </row>
    <row r="2127" spans="1:15" ht="15" customHeight="1">
      <c r="A2127" s="45" t="s">
        <v>3144</v>
      </c>
      <c r="B2127" s="88" t="s">
        <v>2356</v>
      </c>
      <c r="C2127" s="151">
        <v>10</v>
      </c>
      <c r="D2127" s="28" t="s">
        <v>1865</v>
      </c>
      <c r="E2127" s="102">
        <v>1.22</v>
      </c>
      <c r="F2127" s="147">
        <v>142</v>
      </c>
      <c r="G2127" s="151"/>
      <c r="H2127" s="147">
        <v>1.6</v>
      </c>
      <c r="I2127" s="151"/>
      <c r="J2127" s="137">
        <v>45721</v>
      </c>
      <c r="K2127" s="9">
        <f t="shared" si="150"/>
        <v>277.18400000000003</v>
      </c>
      <c r="L2127" s="64"/>
      <c r="M2127" s="41"/>
      <c r="N2127" s="38"/>
      <c r="O2127" s="38"/>
    </row>
    <row r="2128" spans="1:15" ht="15" customHeight="1">
      <c r="A2128" s="49" t="s">
        <v>3879</v>
      </c>
      <c r="B2128" s="147" t="s">
        <v>2356</v>
      </c>
      <c r="C2128" s="151">
        <v>8</v>
      </c>
      <c r="D2128" s="78" t="s">
        <v>1865</v>
      </c>
      <c r="E2128" s="102">
        <v>1.22</v>
      </c>
      <c r="F2128" s="147">
        <v>104</v>
      </c>
      <c r="G2128" s="151"/>
      <c r="H2128" s="147">
        <v>1.8</v>
      </c>
      <c r="I2128" s="151"/>
      <c r="J2128" s="139">
        <v>46009</v>
      </c>
      <c r="K2128" s="9">
        <f t="shared" si="150"/>
        <v>228.38399999999999</v>
      </c>
      <c r="L2128" s="64"/>
      <c r="M2128" s="41"/>
      <c r="N2128" s="38"/>
      <c r="O2128" s="38"/>
    </row>
    <row r="2129" spans="1:15" ht="15" customHeight="1">
      <c r="A2129" s="38" t="s">
        <v>4493</v>
      </c>
      <c r="B2129" s="78" t="s">
        <v>2356</v>
      </c>
      <c r="C2129" s="121"/>
      <c r="D2129" s="78" t="s">
        <v>1292</v>
      </c>
      <c r="E2129" s="78">
        <v>1.22</v>
      </c>
      <c r="F2129" s="78">
        <v>89.9</v>
      </c>
      <c r="G2129" s="121"/>
      <c r="H2129" s="78">
        <v>1.8</v>
      </c>
      <c r="I2129" s="121"/>
      <c r="J2129" s="138">
        <v>45981</v>
      </c>
      <c r="K2129" s="35">
        <f t="shared" si="150"/>
        <v>197.42040000000003</v>
      </c>
      <c r="L2129" s="50"/>
      <c r="M2129" s="41"/>
      <c r="N2129" s="38"/>
      <c r="O2129" s="15"/>
    </row>
    <row r="2130" spans="1:15" ht="15" customHeight="1">
      <c r="A2130" s="71" t="s">
        <v>2140</v>
      </c>
      <c r="B2130" s="106" t="s">
        <v>2139</v>
      </c>
      <c r="C2130" s="177" t="s">
        <v>2141</v>
      </c>
      <c r="D2130" s="78" t="s">
        <v>451</v>
      </c>
      <c r="E2130" s="78">
        <v>1.22</v>
      </c>
      <c r="F2130" s="106">
        <v>189</v>
      </c>
      <c r="G2130" s="121"/>
      <c r="H2130" s="78">
        <v>1.5</v>
      </c>
      <c r="I2130" s="121"/>
      <c r="J2130" s="144">
        <v>45029</v>
      </c>
      <c r="K2130" s="35">
        <f t="shared" si="150"/>
        <v>345.87</v>
      </c>
      <c r="L2130" s="64"/>
      <c r="M2130" s="41"/>
      <c r="N2130" s="38"/>
      <c r="O2130" s="38"/>
    </row>
    <row r="2131" spans="1:15" ht="15" customHeight="1">
      <c r="A2131" s="71" t="s">
        <v>3203</v>
      </c>
      <c r="B2131" s="78" t="s">
        <v>2356</v>
      </c>
      <c r="C2131" s="121"/>
      <c r="D2131" s="78" t="s">
        <v>451</v>
      </c>
      <c r="E2131" s="102">
        <v>1.22</v>
      </c>
      <c r="F2131" s="106">
        <v>199.9</v>
      </c>
      <c r="G2131" s="121"/>
      <c r="H2131" s="102">
        <v>1.8</v>
      </c>
      <c r="I2131" s="121"/>
      <c r="J2131" s="144">
        <v>45224</v>
      </c>
      <c r="K2131" s="33">
        <f t="shared" si="150"/>
        <v>438.98040000000003</v>
      </c>
      <c r="L2131" s="13"/>
      <c r="M2131" s="41"/>
      <c r="N2131" s="38"/>
      <c r="O2131" s="38"/>
    </row>
    <row r="2132" spans="1:15" ht="15" customHeight="1">
      <c r="A2132" s="16" t="s">
        <v>1559</v>
      </c>
      <c r="B2132" s="28" t="s">
        <v>2356</v>
      </c>
      <c r="C2132" s="110"/>
      <c r="D2132" s="28" t="s">
        <v>451</v>
      </c>
      <c r="E2132" s="28">
        <v>1.22</v>
      </c>
      <c r="F2132" s="87">
        <v>80</v>
      </c>
      <c r="G2132" s="110"/>
      <c r="H2132" s="28">
        <v>2</v>
      </c>
      <c r="I2132" s="110"/>
      <c r="J2132" s="135">
        <v>44524</v>
      </c>
      <c r="K2132" s="9">
        <f t="shared" si="150"/>
        <v>195.2</v>
      </c>
      <c r="L2132" s="41"/>
      <c r="M2132" s="41">
        <v>1.22</v>
      </c>
      <c r="N2132" s="38"/>
      <c r="O2132" s="38"/>
    </row>
    <row r="2133" spans="1:15" ht="15" customHeight="1">
      <c r="A2133" s="25" t="s">
        <v>4036</v>
      </c>
      <c r="B2133" s="87" t="s">
        <v>4037</v>
      </c>
      <c r="C2133" s="110"/>
      <c r="D2133" s="28" t="s">
        <v>1292</v>
      </c>
      <c r="E2133" s="90">
        <v>1.22</v>
      </c>
      <c r="F2133" s="87">
        <v>79.900000000000006</v>
      </c>
      <c r="G2133" s="110"/>
      <c r="H2133" s="87">
        <v>2</v>
      </c>
      <c r="I2133" s="110"/>
      <c r="J2133" s="135">
        <v>45668</v>
      </c>
      <c r="K2133" s="9">
        <f t="shared" si="150"/>
        <v>194.95600000000002</v>
      </c>
      <c r="L2133" s="64"/>
      <c r="M2133" s="41"/>
      <c r="N2133" s="38"/>
      <c r="O2133" s="38"/>
    </row>
    <row r="2134" spans="1:15" ht="15" customHeight="1">
      <c r="A2134" s="16" t="s">
        <v>4036</v>
      </c>
      <c r="B2134" s="28" t="s">
        <v>4491</v>
      </c>
      <c r="C2134" s="28" t="s">
        <v>15</v>
      </c>
      <c r="D2134" s="28" t="s">
        <v>1292</v>
      </c>
      <c r="E2134" s="28">
        <v>1.22</v>
      </c>
      <c r="F2134" s="28">
        <v>79.900000000000006</v>
      </c>
      <c r="G2134" s="110"/>
      <c r="H2134" s="28">
        <v>1.8</v>
      </c>
      <c r="I2134" s="110"/>
      <c r="J2134" s="135">
        <v>45981</v>
      </c>
      <c r="K2134" s="75">
        <f t="shared" si="150"/>
        <v>175.46040000000002</v>
      </c>
      <c r="L2134" s="246"/>
      <c r="M2134" s="41"/>
      <c r="N2134" s="38"/>
      <c r="O2134" s="38"/>
    </row>
    <row r="2135" spans="1:15" ht="15" customHeight="1">
      <c r="A2135" s="25" t="s">
        <v>4038</v>
      </c>
      <c r="B2135" s="80" t="s">
        <v>4039</v>
      </c>
      <c r="C2135" s="110"/>
      <c r="D2135" s="28" t="s">
        <v>1292</v>
      </c>
      <c r="E2135" s="90">
        <v>1.22</v>
      </c>
      <c r="F2135" s="80">
        <v>99.9</v>
      </c>
      <c r="G2135" s="110"/>
      <c r="H2135" s="87">
        <v>2</v>
      </c>
      <c r="I2135" s="110"/>
      <c r="J2135" s="135">
        <v>45668</v>
      </c>
      <c r="K2135" s="9">
        <f t="shared" si="150"/>
        <v>243.756</v>
      </c>
      <c r="L2135" s="64"/>
      <c r="M2135" s="41"/>
      <c r="N2135" s="38"/>
      <c r="O2135" s="38"/>
    </row>
    <row r="2136" spans="1:15" ht="15" customHeight="1">
      <c r="A2136" s="25" t="s">
        <v>4042</v>
      </c>
      <c r="B2136" s="80" t="s">
        <v>4039</v>
      </c>
      <c r="C2136" s="110"/>
      <c r="D2136" s="28" t="s">
        <v>1292</v>
      </c>
      <c r="E2136" s="90">
        <v>1.22</v>
      </c>
      <c r="F2136" s="80">
        <v>169.9</v>
      </c>
      <c r="G2136" s="110"/>
      <c r="H2136" s="87">
        <v>2</v>
      </c>
      <c r="I2136" s="110"/>
      <c r="J2136" s="135">
        <v>45668</v>
      </c>
      <c r="K2136" s="9">
        <f t="shared" si="150"/>
        <v>414.55599999999998</v>
      </c>
      <c r="L2136" s="64"/>
      <c r="M2136" s="41"/>
      <c r="N2136" s="38"/>
      <c r="O2136" s="38"/>
    </row>
    <row r="2137" spans="1:15" ht="15" customHeight="1">
      <c r="A2137" s="25" t="s">
        <v>4046</v>
      </c>
      <c r="B2137" s="87" t="s">
        <v>4045</v>
      </c>
      <c r="C2137" s="110"/>
      <c r="D2137" s="28" t="s">
        <v>1292</v>
      </c>
      <c r="E2137" s="90">
        <v>1.22</v>
      </c>
      <c r="F2137" s="80">
        <v>399.9</v>
      </c>
      <c r="G2137" s="110"/>
      <c r="H2137" s="87">
        <v>1.8</v>
      </c>
      <c r="I2137" s="110"/>
      <c r="J2137" s="135">
        <v>45668</v>
      </c>
      <c r="K2137" s="9">
        <f t="shared" si="150"/>
        <v>878.18039999999996</v>
      </c>
      <c r="L2137" s="64"/>
      <c r="M2137" s="41"/>
      <c r="N2137" s="38"/>
      <c r="O2137" s="38"/>
    </row>
    <row r="2138" spans="1:15" ht="15" customHeight="1">
      <c r="A2138" s="16" t="s">
        <v>4038</v>
      </c>
      <c r="B2138" s="28" t="s">
        <v>4492</v>
      </c>
      <c r="C2138" s="28" t="s">
        <v>15</v>
      </c>
      <c r="D2138" s="28" t="s">
        <v>1292</v>
      </c>
      <c r="E2138" s="28">
        <v>1.22</v>
      </c>
      <c r="F2138" s="28">
        <v>79.900000000000006</v>
      </c>
      <c r="G2138" s="110"/>
      <c r="H2138" s="28">
        <v>1.8</v>
      </c>
      <c r="I2138" s="110"/>
      <c r="J2138" s="135">
        <v>45981</v>
      </c>
      <c r="K2138" s="75">
        <f t="shared" ref="K2138:K2145" si="153">E2138*F2138*H2138</f>
        <v>175.46040000000002</v>
      </c>
      <c r="L2138" s="246"/>
      <c r="M2138" s="41"/>
      <c r="N2138" s="38"/>
      <c r="O2138" s="38"/>
    </row>
    <row r="2139" spans="1:15" ht="15" customHeight="1">
      <c r="A2139" s="25" t="s">
        <v>1728</v>
      </c>
      <c r="B2139" s="28" t="s">
        <v>1727</v>
      </c>
      <c r="C2139" s="110"/>
      <c r="D2139" s="28" t="s">
        <v>451</v>
      </c>
      <c r="E2139" s="87">
        <v>1.22</v>
      </c>
      <c r="F2139" s="90">
        <v>119.9</v>
      </c>
      <c r="G2139" s="110"/>
      <c r="H2139" s="87">
        <v>1.8</v>
      </c>
      <c r="I2139" s="110"/>
      <c r="J2139" s="135">
        <v>43983</v>
      </c>
      <c r="K2139" s="9">
        <f t="shared" si="153"/>
        <v>263.30039999999997</v>
      </c>
      <c r="L2139" s="13"/>
      <c r="M2139" s="41"/>
      <c r="N2139" s="38"/>
      <c r="O2139" s="38"/>
    </row>
    <row r="2140" spans="1:15" ht="24.75" customHeight="1">
      <c r="A2140" s="21" t="s">
        <v>3493</v>
      </c>
      <c r="B2140" s="28" t="s">
        <v>3494</v>
      </c>
      <c r="C2140" s="28" t="s">
        <v>3495</v>
      </c>
      <c r="D2140" s="28" t="s">
        <v>1983</v>
      </c>
      <c r="E2140" s="28">
        <v>1.22</v>
      </c>
      <c r="F2140" s="28">
        <v>165</v>
      </c>
      <c r="G2140" s="28"/>
      <c r="H2140" s="28">
        <v>1.6</v>
      </c>
      <c r="I2140" s="28"/>
      <c r="J2140" s="133">
        <v>45427</v>
      </c>
      <c r="K2140" s="9">
        <f t="shared" si="153"/>
        <v>322.08</v>
      </c>
      <c r="L2140" s="13"/>
      <c r="M2140" s="13"/>
      <c r="N2140" s="13">
        <f>G2140*H2140*I2140*E2140</f>
        <v>0</v>
      </c>
      <c r="O2140" s="15">
        <f>K2140*1.6667</f>
        <v>536.81073600000002</v>
      </c>
    </row>
    <row r="2141" spans="1:15" ht="22.5" customHeight="1">
      <c r="A2141" s="25">
        <v>488</v>
      </c>
      <c r="B2141" s="28" t="s">
        <v>2209</v>
      </c>
      <c r="C2141" s="110"/>
      <c r="D2141" s="28" t="s">
        <v>451</v>
      </c>
      <c r="E2141" s="28">
        <v>1.22</v>
      </c>
      <c r="F2141" s="28">
        <v>144</v>
      </c>
      <c r="G2141" s="110"/>
      <c r="H2141" s="28">
        <v>1.6</v>
      </c>
      <c r="I2141" s="110"/>
      <c r="J2141" s="135">
        <v>44386</v>
      </c>
      <c r="K2141" s="37">
        <f t="shared" si="153"/>
        <v>281.08800000000002</v>
      </c>
      <c r="L2141" s="64"/>
      <c r="M2141" s="41"/>
      <c r="N2141" s="38"/>
      <c r="O2141" s="38"/>
    </row>
    <row r="2142" spans="1:15" ht="21" customHeight="1">
      <c r="A2142" s="25" t="s">
        <v>3144</v>
      </c>
      <c r="B2142" s="87" t="s">
        <v>3143</v>
      </c>
      <c r="C2142" s="110"/>
      <c r="D2142" s="28" t="s">
        <v>451</v>
      </c>
      <c r="E2142" s="87">
        <v>1.22</v>
      </c>
      <c r="F2142" s="87">
        <v>189</v>
      </c>
      <c r="G2142" s="110"/>
      <c r="H2142" s="87">
        <v>1.5</v>
      </c>
      <c r="I2142" s="110"/>
      <c r="J2142" s="135">
        <v>45175</v>
      </c>
      <c r="K2142" s="37">
        <f t="shared" si="153"/>
        <v>345.87</v>
      </c>
      <c r="L2142" s="64"/>
      <c r="M2142" s="41"/>
      <c r="N2142" s="38"/>
      <c r="O2142" s="38"/>
    </row>
    <row r="2143" spans="1:15" ht="25.5" customHeight="1">
      <c r="A2143" s="21">
        <v>0</v>
      </c>
      <c r="B2143" s="28" t="s">
        <v>3941</v>
      </c>
      <c r="C2143" s="28" t="s">
        <v>3942</v>
      </c>
      <c r="D2143" s="28" t="s">
        <v>1859</v>
      </c>
      <c r="E2143" s="28">
        <v>1.22</v>
      </c>
      <c r="F2143" s="28">
        <v>86</v>
      </c>
      <c r="G2143" s="28"/>
      <c r="H2143" s="28">
        <v>1.6</v>
      </c>
      <c r="I2143" s="28"/>
      <c r="J2143" s="133">
        <v>45638</v>
      </c>
      <c r="K2143" s="35">
        <f t="shared" si="153"/>
        <v>167.87200000000001</v>
      </c>
      <c r="L2143" s="50"/>
      <c r="M2143" s="13"/>
      <c r="N2143" s="13"/>
      <c r="O2143" s="15"/>
    </row>
    <row r="2144" spans="1:15" ht="15" customHeight="1">
      <c r="A2144" s="58">
        <v>0</v>
      </c>
      <c r="B2144" s="78" t="s">
        <v>3941</v>
      </c>
      <c r="C2144" s="125" t="s">
        <v>3943</v>
      </c>
      <c r="D2144" s="85" t="s">
        <v>1859</v>
      </c>
      <c r="E2144" s="85">
        <v>1.22</v>
      </c>
      <c r="F2144" s="78">
        <v>241</v>
      </c>
      <c r="G2144" s="121"/>
      <c r="H2144" s="85">
        <v>1.6</v>
      </c>
      <c r="I2144" s="120"/>
      <c r="J2144" s="132">
        <v>45638</v>
      </c>
      <c r="K2144" s="57">
        <f t="shared" si="153"/>
        <v>470.43200000000002</v>
      </c>
      <c r="L2144" s="41"/>
      <c r="M2144" s="41">
        <v>1.22</v>
      </c>
      <c r="N2144" s="38"/>
      <c r="O2144" s="38"/>
    </row>
    <row r="2145" spans="1:15" ht="15" customHeight="1">
      <c r="A2145" s="58">
        <v>0</v>
      </c>
      <c r="B2145" s="106" t="s">
        <v>3941</v>
      </c>
      <c r="C2145" s="125" t="s">
        <v>3944</v>
      </c>
      <c r="D2145" s="28" t="s">
        <v>1859</v>
      </c>
      <c r="E2145" s="28">
        <v>1.22</v>
      </c>
      <c r="F2145" s="106">
        <v>436</v>
      </c>
      <c r="G2145" s="121"/>
      <c r="H2145" s="28">
        <v>1.6</v>
      </c>
      <c r="I2145" s="110"/>
      <c r="J2145" s="134">
        <v>45638</v>
      </c>
      <c r="K2145" s="35">
        <f t="shared" si="153"/>
        <v>851.072</v>
      </c>
      <c r="L2145" s="50"/>
      <c r="M2145" s="41"/>
      <c r="N2145" s="38"/>
      <c r="O2145" s="38"/>
    </row>
    <row r="2146" spans="1:15" ht="15" customHeight="1">
      <c r="A2146" s="24">
        <v>518510</v>
      </c>
      <c r="B2146" s="78" t="s">
        <v>2167</v>
      </c>
      <c r="C2146" s="78" t="s">
        <v>305</v>
      </c>
      <c r="D2146" s="28" t="s">
        <v>23</v>
      </c>
      <c r="E2146" s="28">
        <v>1.22</v>
      </c>
      <c r="F2146" s="78"/>
      <c r="G2146" s="78">
        <v>7.2</v>
      </c>
      <c r="H2146" s="28">
        <v>1.45</v>
      </c>
      <c r="I2146" s="28">
        <v>41</v>
      </c>
      <c r="J2146" s="133">
        <v>45980</v>
      </c>
      <c r="K2146" s="9">
        <f>+G2146*E2146*H2146*I2146</f>
        <v>522.2088</v>
      </c>
      <c r="L2146" s="13"/>
      <c r="M2146" s="13"/>
      <c r="N2146" s="13">
        <f>G2146*H2146*I2146*E2146</f>
        <v>522.2088</v>
      </c>
      <c r="O2146" s="15">
        <f>K2146*1.6667</f>
        <v>870.36540696000009</v>
      </c>
    </row>
    <row r="2147" spans="1:15" ht="15" customHeight="1">
      <c r="A2147" s="24">
        <v>518511</v>
      </c>
      <c r="B2147" s="78" t="s">
        <v>2167</v>
      </c>
      <c r="C2147" s="78" t="s">
        <v>842</v>
      </c>
      <c r="D2147" s="28" t="s">
        <v>23</v>
      </c>
      <c r="E2147" s="28">
        <v>1</v>
      </c>
      <c r="F2147" s="78"/>
      <c r="G2147" s="78">
        <v>11.15</v>
      </c>
      <c r="H2147" s="28">
        <v>1.4</v>
      </c>
      <c r="I2147" s="78">
        <v>45</v>
      </c>
      <c r="J2147" s="140">
        <v>45980</v>
      </c>
      <c r="K2147" s="9">
        <f>+E2147*G2147*H2147*I2147</f>
        <v>702.44999999999993</v>
      </c>
      <c r="L2147" s="13"/>
      <c r="M2147" s="13"/>
      <c r="N2147" s="13">
        <f>G2147*H2147*I2147*E2147</f>
        <v>702.44999999999993</v>
      </c>
      <c r="O2147" s="15">
        <f>K2147*1.6667</f>
        <v>1170.7734149999999</v>
      </c>
    </row>
    <row r="2148" spans="1:15" ht="15" customHeight="1">
      <c r="A2148" s="39" t="s">
        <v>3917</v>
      </c>
      <c r="B2148" s="103" t="s">
        <v>3918</v>
      </c>
      <c r="C2148" s="110" t="s">
        <v>3919</v>
      </c>
      <c r="D2148" s="28" t="s">
        <v>3297</v>
      </c>
      <c r="E2148" s="28">
        <v>1.22</v>
      </c>
      <c r="F2148" s="103">
        <v>174</v>
      </c>
      <c r="G2148" s="121"/>
      <c r="H2148" s="103">
        <v>1.5</v>
      </c>
      <c r="I2148" s="121"/>
      <c r="J2148" s="138">
        <v>45629</v>
      </c>
      <c r="K2148" s="13">
        <f t="shared" ref="K2148:K2158" si="154">E2148*F2148*H2148</f>
        <v>318.42</v>
      </c>
      <c r="L2148" s="64"/>
      <c r="M2148" s="41"/>
      <c r="N2148" s="38"/>
      <c r="O2148" s="38"/>
    </row>
    <row r="2149" spans="1:15" ht="15" customHeight="1">
      <c r="A2149" s="24" t="s">
        <v>1518</v>
      </c>
      <c r="B2149" s="78" t="s">
        <v>2392</v>
      </c>
      <c r="C2149" s="78" t="s">
        <v>2393</v>
      </c>
      <c r="D2149" s="28" t="s">
        <v>3297</v>
      </c>
      <c r="E2149" s="28">
        <v>1.22</v>
      </c>
      <c r="F2149" s="78">
        <v>121.8</v>
      </c>
      <c r="G2149" s="78"/>
      <c r="H2149" s="78">
        <v>1.5</v>
      </c>
      <c r="I2149" s="78"/>
      <c r="J2149" s="140">
        <v>45629</v>
      </c>
      <c r="K2149" s="13">
        <f t="shared" si="154"/>
        <v>222.89400000000001</v>
      </c>
      <c r="L2149" s="13"/>
      <c r="M2149" s="13"/>
      <c r="N2149" s="13">
        <f>G2149*H2149*I2149*E2149</f>
        <v>0</v>
      </c>
      <c r="O2149" s="15">
        <f>K2149*1.6667</f>
        <v>371.49742980000002</v>
      </c>
    </row>
    <row r="2150" spans="1:15" ht="15" customHeight="1">
      <c r="A2150" s="24" t="s">
        <v>47</v>
      </c>
      <c r="B2150" s="78" t="s">
        <v>2392</v>
      </c>
      <c r="C2150" s="78" t="s">
        <v>2394</v>
      </c>
      <c r="D2150" s="78" t="s">
        <v>3297</v>
      </c>
      <c r="E2150" s="78">
        <v>1.22</v>
      </c>
      <c r="F2150" s="78">
        <v>113.35</v>
      </c>
      <c r="G2150" s="78"/>
      <c r="H2150" s="78">
        <v>1.5</v>
      </c>
      <c r="I2150" s="78"/>
      <c r="J2150" s="140">
        <v>44704</v>
      </c>
      <c r="K2150" s="13">
        <f t="shared" si="154"/>
        <v>207.43049999999997</v>
      </c>
      <c r="L2150" s="13"/>
      <c r="M2150" s="13"/>
      <c r="N2150" s="13">
        <f>G2150*H2150*I2150*E2150</f>
        <v>0</v>
      </c>
      <c r="O2150" s="15">
        <f>K2150*1.6667</f>
        <v>345.72441434999996</v>
      </c>
    </row>
    <row r="2151" spans="1:15" ht="15" customHeight="1">
      <c r="A2151" s="38"/>
      <c r="B2151" s="105" t="s">
        <v>1992</v>
      </c>
      <c r="C2151" s="127" t="s">
        <v>1993</v>
      </c>
      <c r="D2151" s="28" t="s">
        <v>3302</v>
      </c>
      <c r="E2151" s="94">
        <v>1.22</v>
      </c>
      <c r="F2151" s="105">
        <v>490</v>
      </c>
      <c r="G2151" s="121"/>
      <c r="H2151" s="105">
        <v>1.35</v>
      </c>
      <c r="I2151" s="121"/>
      <c r="J2151" s="138">
        <v>44177</v>
      </c>
      <c r="K2151" s="35">
        <f t="shared" si="154"/>
        <v>807.03</v>
      </c>
      <c r="L2151" s="50"/>
      <c r="M2151" s="41"/>
      <c r="N2151" s="38"/>
      <c r="O2151" s="38"/>
    </row>
    <row r="2152" spans="1:15" ht="15" customHeight="1">
      <c r="A2152" s="48" t="s">
        <v>1788</v>
      </c>
      <c r="B2152" s="100" t="s">
        <v>1789</v>
      </c>
      <c r="C2152" s="124" t="s">
        <v>1378</v>
      </c>
      <c r="D2152" s="28" t="s">
        <v>3302</v>
      </c>
      <c r="E2152" s="94">
        <v>1.22</v>
      </c>
      <c r="F2152" s="100">
        <v>4090</v>
      </c>
      <c r="G2152" s="124"/>
      <c r="H2152" s="100">
        <v>1.25</v>
      </c>
      <c r="I2152" s="124"/>
      <c r="J2152" s="210">
        <v>44015</v>
      </c>
      <c r="K2152" s="13">
        <f t="shared" si="154"/>
        <v>6237.25</v>
      </c>
      <c r="L2152" s="13"/>
      <c r="M2152" s="41"/>
      <c r="N2152" s="48"/>
      <c r="O2152" s="48"/>
    </row>
    <row r="2153" spans="1:15" ht="15" customHeight="1">
      <c r="A2153" s="48"/>
      <c r="B2153" s="100" t="s">
        <v>1789</v>
      </c>
      <c r="C2153" s="124" t="s">
        <v>1801</v>
      </c>
      <c r="D2153" s="28" t="s">
        <v>3302</v>
      </c>
      <c r="E2153" s="94">
        <v>1.22</v>
      </c>
      <c r="F2153" s="100">
        <v>130</v>
      </c>
      <c r="G2153" s="124"/>
      <c r="H2153" s="100">
        <v>1.25</v>
      </c>
      <c r="I2153" s="124"/>
      <c r="J2153" s="210">
        <v>44015</v>
      </c>
      <c r="K2153" s="13">
        <f t="shared" si="154"/>
        <v>198.25</v>
      </c>
      <c r="L2153" s="13"/>
      <c r="M2153" s="41"/>
      <c r="N2153" s="48"/>
      <c r="O2153" s="48"/>
    </row>
    <row r="2154" spans="1:15" ht="15" customHeight="1">
      <c r="A2154" s="48" t="s">
        <v>1790</v>
      </c>
      <c r="B2154" s="100" t="s">
        <v>1789</v>
      </c>
      <c r="C2154" s="124" t="s">
        <v>300</v>
      </c>
      <c r="D2154" s="28" t="s">
        <v>3302</v>
      </c>
      <c r="E2154" s="94">
        <v>1.22</v>
      </c>
      <c r="F2154" s="100">
        <v>1090</v>
      </c>
      <c r="G2154" s="124"/>
      <c r="H2154" s="100">
        <v>1.25</v>
      </c>
      <c r="I2154" s="124"/>
      <c r="J2154" s="210">
        <v>44015</v>
      </c>
      <c r="K2154" s="13">
        <f t="shared" si="154"/>
        <v>1662.25</v>
      </c>
      <c r="L2154" s="13"/>
      <c r="M2154" s="41"/>
      <c r="N2154" s="48"/>
      <c r="O2154" s="48"/>
    </row>
    <row r="2155" spans="1:15" ht="15" customHeight="1">
      <c r="A2155" s="48" t="s">
        <v>1791</v>
      </c>
      <c r="B2155" s="100" t="s">
        <v>1792</v>
      </c>
      <c r="C2155" s="124" t="s">
        <v>300</v>
      </c>
      <c r="D2155" s="28" t="s">
        <v>3302</v>
      </c>
      <c r="E2155" s="94">
        <v>1.22</v>
      </c>
      <c r="F2155" s="100">
        <v>3690</v>
      </c>
      <c r="G2155" s="124"/>
      <c r="H2155" s="100">
        <v>1.4</v>
      </c>
      <c r="I2155" s="124"/>
      <c r="J2155" s="210">
        <v>44208</v>
      </c>
      <c r="K2155" s="13">
        <f t="shared" si="154"/>
        <v>6302.5199999999995</v>
      </c>
      <c r="L2155" s="13"/>
      <c r="M2155" s="41"/>
      <c r="N2155" s="48"/>
      <c r="O2155" s="48"/>
    </row>
    <row r="2156" spans="1:15" ht="15" customHeight="1">
      <c r="A2156" s="48"/>
      <c r="B2156" s="100" t="s">
        <v>1792</v>
      </c>
      <c r="C2156" s="124" t="s">
        <v>1800</v>
      </c>
      <c r="D2156" s="28" t="s">
        <v>3302</v>
      </c>
      <c r="E2156" s="94">
        <v>1.22</v>
      </c>
      <c r="F2156" s="100">
        <v>1434</v>
      </c>
      <c r="G2156" s="124"/>
      <c r="H2156" s="100">
        <v>1.4</v>
      </c>
      <c r="I2156" s="124"/>
      <c r="J2156" s="210">
        <v>44208</v>
      </c>
      <c r="K2156" s="13">
        <f t="shared" si="154"/>
        <v>2449.2719999999999</v>
      </c>
      <c r="L2156" s="13"/>
      <c r="M2156" s="41"/>
      <c r="N2156" s="48"/>
      <c r="O2156" s="48"/>
    </row>
    <row r="2157" spans="1:15" ht="15" customHeight="1">
      <c r="A2157" s="48"/>
      <c r="B2157" s="100" t="s">
        <v>1792</v>
      </c>
      <c r="C2157" s="124" t="s">
        <v>1802</v>
      </c>
      <c r="D2157" s="28" t="s">
        <v>3302</v>
      </c>
      <c r="E2157" s="94">
        <v>1.22</v>
      </c>
      <c r="F2157" s="100">
        <v>1150</v>
      </c>
      <c r="G2157" s="124"/>
      <c r="H2157" s="100">
        <v>1.25</v>
      </c>
      <c r="I2157" s="124"/>
      <c r="J2157" s="210">
        <v>44015</v>
      </c>
      <c r="K2157" s="13">
        <f t="shared" si="154"/>
        <v>1753.75</v>
      </c>
      <c r="L2157" s="13"/>
      <c r="M2157" s="41"/>
      <c r="N2157" s="48"/>
      <c r="O2157" s="48"/>
    </row>
    <row r="2158" spans="1:15" ht="15" customHeight="1">
      <c r="A2158" s="48"/>
      <c r="B2158" s="100" t="s">
        <v>1792</v>
      </c>
      <c r="C2158" s="124" t="s">
        <v>1378</v>
      </c>
      <c r="D2158" s="85" t="s">
        <v>3302</v>
      </c>
      <c r="E2158" s="104">
        <v>1.22</v>
      </c>
      <c r="F2158" s="100">
        <v>21650</v>
      </c>
      <c r="G2158" s="124"/>
      <c r="H2158" s="100">
        <v>1.25</v>
      </c>
      <c r="I2158" s="124"/>
      <c r="J2158" s="210">
        <v>44015</v>
      </c>
      <c r="K2158" s="13">
        <f t="shared" si="154"/>
        <v>33016.25</v>
      </c>
      <c r="L2158" s="13"/>
      <c r="M2158" s="41"/>
      <c r="N2158" s="48"/>
      <c r="O2158" s="48"/>
    </row>
    <row r="2159" spans="1:15" ht="15" customHeight="1">
      <c r="A2159" s="48"/>
      <c r="B2159" s="100" t="s">
        <v>1792</v>
      </c>
      <c r="C2159" s="124" t="s">
        <v>1801</v>
      </c>
      <c r="D2159" s="85" t="s">
        <v>3302</v>
      </c>
      <c r="E2159" s="104">
        <v>1.22</v>
      </c>
      <c r="F2159" s="100">
        <v>660</v>
      </c>
      <c r="G2159" s="124"/>
      <c r="H2159" s="100">
        <v>1.25</v>
      </c>
      <c r="I2159" s="124"/>
      <c r="J2159" s="210">
        <v>44015</v>
      </c>
      <c r="K2159" s="13">
        <v>553</v>
      </c>
      <c r="L2159" s="13"/>
      <c r="M2159" s="41"/>
      <c r="N2159" s="48"/>
      <c r="O2159" s="48"/>
    </row>
    <row r="2160" spans="1:15" ht="15" customHeight="1">
      <c r="A2160" s="48" t="s">
        <v>1793</v>
      </c>
      <c r="B2160" s="100" t="s">
        <v>1792</v>
      </c>
      <c r="C2160" s="124">
        <v>250</v>
      </c>
      <c r="D2160" s="85" t="s">
        <v>3302</v>
      </c>
      <c r="E2160" s="100"/>
      <c r="F2160" s="100"/>
      <c r="G2160" s="124"/>
      <c r="H2160" s="100"/>
      <c r="I2160" s="124"/>
      <c r="J2160" s="210">
        <v>44015</v>
      </c>
      <c r="K2160" s="13">
        <f>E2160*F2160*H2160</f>
        <v>0</v>
      </c>
      <c r="L2160" s="13"/>
      <c r="M2160" s="41"/>
      <c r="N2160" s="48"/>
      <c r="O2160" s="48"/>
    </row>
    <row r="2161" spans="1:15" ht="15" customHeight="1">
      <c r="A2161" s="48" t="s">
        <v>1794</v>
      </c>
      <c r="B2161" s="100" t="s">
        <v>1792</v>
      </c>
      <c r="C2161" s="124" t="s">
        <v>11</v>
      </c>
      <c r="D2161" s="28" t="s">
        <v>3302</v>
      </c>
      <c r="E2161" s="293"/>
      <c r="F2161" s="100"/>
      <c r="G2161" s="124"/>
      <c r="H2161" s="100"/>
      <c r="I2161" s="124"/>
      <c r="J2161" s="100"/>
      <c r="K2161" s="13">
        <f>E2161*F2161*H2161</f>
        <v>0</v>
      </c>
      <c r="L2161" s="13"/>
      <c r="M2161" s="41"/>
      <c r="N2161" s="48"/>
      <c r="O2161" s="48"/>
    </row>
    <row r="2162" spans="1:15" ht="15" customHeight="1">
      <c r="A2162" s="48" t="s">
        <v>1795</v>
      </c>
      <c r="B2162" s="92" t="s">
        <v>1792</v>
      </c>
      <c r="C2162" s="113" t="s">
        <v>1606</v>
      </c>
      <c r="D2162" s="78" t="s">
        <v>3302</v>
      </c>
      <c r="E2162" s="92"/>
      <c r="F2162" s="100"/>
      <c r="G2162" s="124"/>
      <c r="H2162" s="100"/>
      <c r="I2162" s="124"/>
      <c r="J2162" s="100"/>
      <c r="K2162" s="41"/>
      <c r="L2162" s="41"/>
      <c r="M2162" s="41"/>
      <c r="N2162" s="48"/>
      <c r="O2162" s="48"/>
    </row>
    <row r="2163" spans="1:15" ht="15" customHeight="1">
      <c r="A2163" s="48" t="s">
        <v>1796</v>
      </c>
      <c r="B2163" s="80" t="s">
        <v>1797</v>
      </c>
      <c r="C2163" s="251" t="s">
        <v>300</v>
      </c>
      <c r="D2163" s="78" t="s">
        <v>3302</v>
      </c>
      <c r="E2163" s="94">
        <v>1.22</v>
      </c>
      <c r="F2163" s="102">
        <v>990</v>
      </c>
      <c r="G2163" s="124"/>
      <c r="H2163" s="102">
        <v>1.3</v>
      </c>
      <c r="I2163" s="124"/>
      <c r="J2163" s="144">
        <v>45532</v>
      </c>
      <c r="K2163" s="13">
        <f>E2163*F2163*H2163</f>
        <v>1570.14</v>
      </c>
      <c r="L2163" s="13"/>
      <c r="M2163" s="41"/>
      <c r="N2163" s="48"/>
      <c r="O2163" s="48"/>
    </row>
    <row r="2164" spans="1:15" ht="15" customHeight="1">
      <c r="A2164" s="48"/>
      <c r="B2164" s="100" t="s">
        <v>1797</v>
      </c>
      <c r="C2164" s="207" t="s">
        <v>1800</v>
      </c>
      <c r="D2164" s="78" t="s">
        <v>3302</v>
      </c>
      <c r="E2164" s="104">
        <v>1.22</v>
      </c>
      <c r="F2164" s="105">
        <v>198</v>
      </c>
      <c r="G2164" s="124"/>
      <c r="H2164" s="105">
        <v>1.5</v>
      </c>
      <c r="I2164" s="124"/>
      <c r="J2164" s="210">
        <v>44988</v>
      </c>
      <c r="K2164" s="13">
        <f>E2164*F2164*H2164</f>
        <v>362.34000000000003</v>
      </c>
      <c r="L2164" s="13"/>
      <c r="M2164" s="41"/>
      <c r="N2164" s="48"/>
      <c r="O2164" s="48"/>
    </row>
    <row r="2165" spans="1:15" ht="15" customHeight="1">
      <c r="A2165" s="48" t="s">
        <v>1796</v>
      </c>
      <c r="B2165" s="100" t="s">
        <v>1797</v>
      </c>
      <c r="C2165" s="124" t="s">
        <v>300</v>
      </c>
      <c r="D2165" s="78" t="s">
        <v>3302</v>
      </c>
      <c r="E2165" s="100"/>
      <c r="F2165" s="100"/>
      <c r="G2165" s="124"/>
      <c r="H2165" s="100"/>
      <c r="I2165" s="124"/>
      <c r="J2165" s="100"/>
      <c r="K2165" s="41"/>
      <c r="L2165" s="41"/>
      <c r="M2165" s="41"/>
      <c r="N2165" s="48"/>
      <c r="O2165" s="48"/>
    </row>
    <row r="2166" spans="1:15" ht="15" customHeight="1">
      <c r="A2166" s="48" t="s">
        <v>1786</v>
      </c>
      <c r="B2166" s="100" t="s">
        <v>1785</v>
      </c>
      <c r="C2166" s="124" t="s">
        <v>1787</v>
      </c>
      <c r="D2166" s="28" t="s">
        <v>3302</v>
      </c>
      <c r="E2166" s="94">
        <v>1.22</v>
      </c>
      <c r="F2166" s="100">
        <v>4090</v>
      </c>
      <c r="G2166" s="124"/>
      <c r="H2166" s="100">
        <v>1.25</v>
      </c>
      <c r="I2166" s="124"/>
      <c r="J2166" s="210">
        <v>44015</v>
      </c>
      <c r="K2166" s="10">
        <f t="shared" ref="K2166:K2171" si="155">E2166*F2166*H2166</f>
        <v>6237.25</v>
      </c>
      <c r="L2166" s="13"/>
      <c r="M2166" s="41"/>
      <c r="N2166" s="48"/>
      <c r="O2166" s="48"/>
    </row>
    <row r="2167" spans="1:15" ht="15" customHeight="1">
      <c r="A2167" s="48"/>
      <c r="B2167" s="100" t="s">
        <v>1785</v>
      </c>
      <c r="C2167" s="124" t="s">
        <v>1801</v>
      </c>
      <c r="D2167" s="28" t="s">
        <v>3302</v>
      </c>
      <c r="E2167" s="94">
        <v>1.22</v>
      </c>
      <c r="F2167" s="100">
        <v>130</v>
      </c>
      <c r="G2167" s="124"/>
      <c r="H2167" s="100">
        <v>1.25</v>
      </c>
      <c r="I2167" s="124"/>
      <c r="J2167" s="210">
        <v>44015</v>
      </c>
      <c r="K2167" s="13">
        <f t="shared" si="155"/>
        <v>198.25</v>
      </c>
      <c r="L2167" s="13"/>
      <c r="M2167" s="41"/>
      <c r="N2167" s="48"/>
      <c r="O2167" s="48"/>
    </row>
    <row r="2168" spans="1:15" ht="15" customHeight="1">
      <c r="A2168" s="24"/>
      <c r="B2168" s="100" t="s">
        <v>1785</v>
      </c>
      <c r="C2168" s="78" t="s">
        <v>2576</v>
      </c>
      <c r="D2168" s="28" t="s">
        <v>3302</v>
      </c>
      <c r="E2168" s="28">
        <v>1.22</v>
      </c>
      <c r="F2168" s="78">
        <v>534</v>
      </c>
      <c r="G2168" s="121"/>
      <c r="H2168" s="78">
        <v>1.5</v>
      </c>
      <c r="I2168" s="121"/>
      <c r="J2168" s="144">
        <v>44988</v>
      </c>
      <c r="K2168" s="13">
        <f t="shared" si="155"/>
        <v>977.22</v>
      </c>
      <c r="L2168" s="13"/>
      <c r="M2168" s="13"/>
      <c r="N2168" s="13"/>
      <c r="O2168" s="15"/>
    </row>
    <row r="2169" spans="1:15" ht="15" customHeight="1">
      <c r="A2169" s="24"/>
      <c r="B2169" s="78" t="s">
        <v>3350</v>
      </c>
      <c r="C2169" s="78" t="s">
        <v>1313</v>
      </c>
      <c r="D2169" s="28" t="s">
        <v>2713</v>
      </c>
      <c r="E2169" s="96">
        <v>1</v>
      </c>
      <c r="F2169" s="78">
        <v>990</v>
      </c>
      <c r="G2169" s="78"/>
      <c r="H2169" s="78">
        <v>1.6</v>
      </c>
      <c r="I2169" s="78"/>
      <c r="J2169" s="140">
        <v>45320</v>
      </c>
      <c r="K2169" s="13">
        <f t="shared" si="155"/>
        <v>1584</v>
      </c>
      <c r="L2169" s="13"/>
      <c r="M2169" s="13"/>
      <c r="N2169" s="13">
        <f>G2169*H2169*I2169*E2169</f>
        <v>0</v>
      </c>
      <c r="O2169" s="15">
        <f>K2169*1.6667</f>
        <v>2640.0527999999999</v>
      </c>
    </row>
    <row r="2170" spans="1:15" ht="15" customHeight="1">
      <c r="A2170" s="24">
        <v>0</v>
      </c>
      <c r="B2170" s="78" t="s">
        <v>4362</v>
      </c>
      <c r="C2170" s="78"/>
      <c r="D2170" s="28" t="s">
        <v>10</v>
      </c>
      <c r="E2170" s="96">
        <v>1</v>
      </c>
      <c r="F2170" s="78">
        <v>70.900000000000006</v>
      </c>
      <c r="G2170" s="78"/>
      <c r="H2170" s="78">
        <v>2</v>
      </c>
      <c r="I2170" s="252">
        <v>0</v>
      </c>
      <c r="J2170" s="144">
        <v>46013</v>
      </c>
      <c r="K2170" s="13">
        <f t="shared" si="155"/>
        <v>141.80000000000001</v>
      </c>
      <c r="L2170" s="13"/>
      <c r="M2170" s="13"/>
      <c r="N2170" s="13">
        <f>G2170*H2170*I2170*E2170</f>
        <v>0</v>
      </c>
      <c r="O2170" s="15">
        <f>K2170*1.6667</f>
        <v>236.33806000000004</v>
      </c>
    </row>
    <row r="2171" spans="1:15" ht="15" customHeight="1">
      <c r="A2171" s="24">
        <v>0</v>
      </c>
      <c r="B2171" s="78" t="s">
        <v>2575</v>
      </c>
      <c r="C2171" s="78">
        <v>0</v>
      </c>
      <c r="D2171" s="28" t="s">
        <v>10</v>
      </c>
      <c r="E2171" s="78">
        <v>1</v>
      </c>
      <c r="F2171" s="78">
        <v>0</v>
      </c>
      <c r="G2171" s="78"/>
      <c r="H2171" s="78">
        <v>1.3</v>
      </c>
      <c r="I2171" s="78"/>
      <c r="J2171" s="140">
        <v>45545</v>
      </c>
      <c r="K2171" s="13">
        <f t="shared" si="155"/>
        <v>0</v>
      </c>
      <c r="L2171" s="13"/>
      <c r="M2171" s="13"/>
      <c r="N2171" s="13">
        <f>G2171*H2171*I2171*E2171</f>
        <v>0</v>
      </c>
      <c r="O2171" s="15">
        <f>K2171*1.6667</f>
        <v>0</v>
      </c>
    </row>
    <row r="2172" spans="1:15" ht="15" customHeight="1">
      <c r="A2172" s="38">
        <v>375322</v>
      </c>
      <c r="B2172" s="106" t="s">
        <v>2888</v>
      </c>
      <c r="C2172" s="102" t="s">
        <v>91</v>
      </c>
      <c r="D2172" s="28" t="s">
        <v>10</v>
      </c>
      <c r="E2172" s="28">
        <v>1</v>
      </c>
      <c r="F2172" s="106">
        <v>690.64</v>
      </c>
      <c r="G2172" s="121"/>
      <c r="H2172" s="78">
        <v>1.8</v>
      </c>
      <c r="I2172" s="78"/>
      <c r="J2172" s="140">
        <v>46013</v>
      </c>
      <c r="K2172" s="13">
        <f>+F2172*H2172</f>
        <v>1243.152</v>
      </c>
      <c r="L2172" s="13"/>
      <c r="M2172" s="41"/>
      <c r="N2172" s="38"/>
      <c r="O2172" s="38"/>
    </row>
    <row r="2173" spans="1:15" ht="15" customHeight="1">
      <c r="A2173" s="24" t="s">
        <v>1922</v>
      </c>
      <c r="B2173" s="78" t="s">
        <v>1923</v>
      </c>
      <c r="C2173" s="78" t="s">
        <v>1175</v>
      </c>
      <c r="D2173" s="28" t="s">
        <v>3323</v>
      </c>
      <c r="E2173" s="28">
        <v>1.22</v>
      </c>
      <c r="F2173" s="78">
        <v>106.69</v>
      </c>
      <c r="G2173" s="78"/>
      <c r="H2173" s="78">
        <v>1.6</v>
      </c>
      <c r="I2173" s="78"/>
      <c r="J2173" s="140">
        <v>44134</v>
      </c>
      <c r="K2173" s="13">
        <f t="shared" ref="K2173:K2198" si="156">E2173*F2173*H2173</f>
        <v>208.25888</v>
      </c>
      <c r="L2173" s="13"/>
      <c r="M2173" s="13"/>
      <c r="N2173" s="13">
        <f>G2173*H2173*I2173*E2173</f>
        <v>0</v>
      </c>
      <c r="O2173" s="15">
        <f>K2173*1.6667</f>
        <v>347.105075296</v>
      </c>
    </row>
    <row r="2174" spans="1:15" ht="15" customHeight="1">
      <c r="A2174" s="38"/>
      <c r="B2174" s="78" t="s">
        <v>2676</v>
      </c>
      <c r="C2174" s="78" t="s">
        <v>2677</v>
      </c>
      <c r="D2174" s="28" t="s">
        <v>1292</v>
      </c>
      <c r="E2174" s="28">
        <v>1.22</v>
      </c>
      <c r="F2174" s="78">
        <v>183</v>
      </c>
      <c r="G2174" s="121"/>
      <c r="H2174" s="78">
        <v>1.4</v>
      </c>
      <c r="I2174" s="121"/>
      <c r="J2174" s="144">
        <v>44790</v>
      </c>
      <c r="K2174" s="64">
        <f t="shared" si="156"/>
        <v>312.56399999999996</v>
      </c>
      <c r="L2174" s="64"/>
      <c r="M2174" s="41"/>
      <c r="N2174" s="38"/>
      <c r="O2174" s="38"/>
    </row>
    <row r="2175" spans="1:15" ht="15" customHeight="1">
      <c r="A2175" s="24" t="s">
        <v>3807</v>
      </c>
      <c r="B2175" s="28" t="s">
        <v>2678</v>
      </c>
      <c r="C2175" s="78" t="s">
        <v>2679</v>
      </c>
      <c r="D2175" s="78" t="s">
        <v>1292</v>
      </c>
      <c r="E2175" s="28">
        <v>1.22</v>
      </c>
      <c r="F2175" s="78">
        <v>24.9</v>
      </c>
      <c r="G2175" s="78"/>
      <c r="H2175" s="28">
        <v>1.6</v>
      </c>
      <c r="I2175" s="78">
        <v>45</v>
      </c>
      <c r="J2175" s="140">
        <v>45572</v>
      </c>
      <c r="K2175" s="9">
        <f t="shared" si="156"/>
        <v>48.604799999999997</v>
      </c>
      <c r="L2175" s="13"/>
      <c r="M2175" s="13"/>
      <c r="N2175" s="13">
        <f>G2175*H2175*I2175*E2175</f>
        <v>0</v>
      </c>
      <c r="O2175" s="15">
        <f>K2175*1.6667</f>
        <v>81.009620159999997</v>
      </c>
    </row>
    <row r="2176" spans="1:15" ht="15" customHeight="1">
      <c r="A2176" s="24">
        <v>160</v>
      </c>
      <c r="B2176" s="87" t="s">
        <v>4549</v>
      </c>
      <c r="C2176" s="126" t="s">
        <v>2438</v>
      </c>
      <c r="D2176" s="78" t="s">
        <v>17</v>
      </c>
      <c r="E2176" s="28">
        <v>1.22</v>
      </c>
      <c r="F2176" s="108">
        <v>149.63</v>
      </c>
      <c r="H2176" s="87">
        <v>1.45</v>
      </c>
      <c r="J2176" s="144">
        <v>45979</v>
      </c>
      <c r="K2176" s="9">
        <f t="shared" si="156"/>
        <v>264.69547</v>
      </c>
    </row>
    <row r="2177" spans="1:15" ht="15" customHeight="1">
      <c r="A2177" s="24">
        <v>1031</v>
      </c>
      <c r="B2177" s="108" t="s">
        <v>4548</v>
      </c>
      <c r="D2177" s="78" t="s">
        <v>17</v>
      </c>
      <c r="E2177" s="28">
        <v>1.22</v>
      </c>
      <c r="F2177" s="108">
        <v>137.66</v>
      </c>
      <c r="H2177" s="87">
        <v>1.45</v>
      </c>
      <c r="J2177" s="144">
        <v>45979</v>
      </c>
      <c r="K2177" s="9">
        <f t="shared" si="156"/>
        <v>243.52053999999998</v>
      </c>
    </row>
    <row r="2178" spans="1:15" ht="15" hidden="1" customHeight="1">
      <c r="A2178" s="24">
        <v>808</v>
      </c>
      <c r="B2178" s="78" t="s">
        <v>132</v>
      </c>
      <c r="C2178" s="78" t="s">
        <v>15</v>
      </c>
      <c r="D2178" s="78" t="s">
        <v>1292</v>
      </c>
      <c r="E2178" s="28">
        <v>1.22</v>
      </c>
      <c r="F2178" s="78">
        <v>79</v>
      </c>
      <c r="G2178" s="78"/>
      <c r="H2178" s="28">
        <v>1.3</v>
      </c>
      <c r="I2178" s="78"/>
      <c r="J2178" s="140">
        <v>43727</v>
      </c>
      <c r="K2178" s="9">
        <f t="shared" si="156"/>
        <v>125.294</v>
      </c>
      <c r="L2178" s="13"/>
      <c r="M2178" s="13"/>
      <c r="N2178" s="13">
        <f>G2178*H2178*I2178*E2178</f>
        <v>0</v>
      </c>
      <c r="O2178" s="15">
        <f>K2178*1.6667</f>
        <v>208.8275098</v>
      </c>
    </row>
    <row r="2179" spans="1:15" ht="15" customHeight="1">
      <c r="A2179" s="1" t="s">
        <v>2182</v>
      </c>
      <c r="B2179" s="107" t="s">
        <v>2181</v>
      </c>
      <c r="C2179" s="127" t="s">
        <v>2183</v>
      </c>
      <c r="D2179" s="78" t="s">
        <v>1292</v>
      </c>
      <c r="E2179" s="28">
        <v>1.22</v>
      </c>
      <c r="F2179" s="107">
        <v>42</v>
      </c>
      <c r="G2179" s="121"/>
      <c r="H2179" s="28">
        <v>1.5</v>
      </c>
      <c r="I2179" s="121"/>
      <c r="J2179" s="138">
        <v>44348</v>
      </c>
      <c r="K2179" s="37">
        <f t="shared" si="156"/>
        <v>76.86</v>
      </c>
      <c r="L2179" s="64"/>
      <c r="M2179" s="41"/>
      <c r="N2179" s="38"/>
      <c r="O2179" s="38"/>
    </row>
    <row r="2180" spans="1:15" ht="15" customHeight="1">
      <c r="A2180" s="1" t="s">
        <v>2188</v>
      </c>
      <c r="B2180" s="78" t="s">
        <v>2187</v>
      </c>
      <c r="C2180" s="121"/>
      <c r="D2180" s="78" t="s">
        <v>1292</v>
      </c>
      <c r="E2180" s="90">
        <v>1.22</v>
      </c>
      <c r="F2180" s="107">
        <v>24.9</v>
      </c>
      <c r="G2180" s="121"/>
      <c r="H2180" s="90">
        <v>2</v>
      </c>
      <c r="I2180" s="121"/>
      <c r="J2180" s="138">
        <v>44364</v>
      </c>
      <c r="K2180" s="9">
        <f t="shared" si="156"/>
        <v>60.755999999999993</v>
      </c>
      <c r="L2180" s="64"/>
      <c r="M2180" s="41"/>
      <c r="N2180" s="38"/>
      <c r="O2180" s="38"/>
    </row>
    <row r="2181" spans="1:15" ht="15" customHeight="1">
      <c r="A2181" s="170" t="s">
        <v>3271</v>
      </c>
      <c r="B2181" s="91" t="s">
        <v>2856</v>
      </c>
      <c r="C2181" s="153"/>
      <c r="D2181" s="129" t="s">
        <v>1292</v>
      </c>
      <c r="E2181" s="91">
        <v>1.22</v>
      </c>
      <c r="F2181" s="171">
        <v>29.9</v>
      </c>
      <c r="G2181" s="153"/>
      <c r="H2181" s="171">
        <v>2.5</v>
      </c>
      <c r="I2181" s="153"/>
      <c r="J2181" s="240">
        <v>45532</v>
      </c>
      <c r="K2181" s="306">
        <f t="shared" si="156"/>
        <v>91.194999999999993</v>
      </c>
      <c r="L2181" s="41"/>
      <c r="M2181" s="41"/>
      <c r="N2181" s="38"/>
      <c r="O2181" s="38"/>
    </row>
    <row r="2182" spans="1:15" ht="15" customHeight="1">
      <c r="A2182" s="58">
        <v>7549</v>
      </c>
      <c r="B2182" s="80" t="s">
        <v>3665</v>
      </c>
      <c r="C2182" s="153"/>
      <c r="D2182" s="117" t="s">
        <v>3666</v>
      </c>
      <c r="E2182" s="80">
        <v>1.22</v>
      </c>
      <c r="F2182" s="102">
        <v>72.38</v>
      </c>
      <c r="G2182" s="153"/>
      <c r="H2182" s="102">
        <v>1.3</v>
      </c>
      <c r="I2182" s="153"/>
      <c r="J2182" s="144">
        <v>45530</v>
      </c>
      <c r="K2182" s="33">
        <f t="shared" si="156"/>
        <v>114.79467999999999</v>
      </c>
      <c r="L2182" s="64"/>
      <c r="M2182" s="41"/>
      <c r="N2182" s="38"/>
      <c r="O2182" s="38"/>
    </row>
    <row r="2183" spans="1:15" ht="15" customHeight="1">
      <c r="A2183" s="38"/>
      <c r="B2183" s="28" t="s">
        <v>2189</v>
      </c>
      <c r="C2183" s="121"/>
      <c r="D2183" s="28" t="s">
        <v>1292</v>
      </c>
      <c r="E2183" s="90">
        <v>1.22</v>
      </c>
      <c r="F2183" s="107">
        <v>15</v>
      </c>
      <c r="G2183" s="121"/>
      <c r="H2183" s="107">
        <v>2</v>
      </c>
      <c r="I2183" s="121"/>
      <c r="J2183" s="138">
        <v>44364</v>
      </c>
      <c r="K2183" s="33">
        <f t="shared" si="156"/>
        <v>36.6</v>
      </c>
      <c r="L2183" s="64"/>
      <c r="M2183" s="41"/>
      <c r="N2183" s="38"/>
      <c r="O2183" s="38"/>
    </row>
    <row r="2184" spans="1:15" ht="15" customHeight="1">
      <c r="A2184" s="58" t="s">
        <v>4012</v>
      </c>
      <c r="B2184" s="28" t="s">
        <v>4013</v>
      </c>
      <c r="C2184" s="78">
        <v>0</v>
      </c>
      <c r="D2184" s="28" t="s">
        <v>1292</v>
      </c>
      <c r="E2184" s="28">
        <v>1.22</v>
      </c>
      <c r="F2184" s="78">
        <v>29.9</v>
      </c>
      <c r="G2184" s="78">
        <v>0</v>
      </c>
      <c r="H2184" s="78">
        <v>1.7</v>
      </c>
      <c r="I2184" s="78">
        <v>0</v>
      </c>
      <c r="J2184" s="188">
        <v>45667</v>
      </c>
      <c r="K2184" s="33">
        <f t="shared" si="156"/>
        <v>62.012599999999992</v>
      </c>
      <c r="L2184" s="13"/>
      <c r="M2184" s="41"/>
      <c r="N2184" s="13">
        <f>G2184*H2184*I2184*E2184</f>
        <v>0</v>
      </c>
      <c r="O2184" s="15">
        <f>K2184*1.6667</f>
        <v>103.35640041999999</v>
      </c>
    </row>
    <row r="2185" spans="1:15" ht="15" customHeight="1">
      <c r="A2185" s="24" t="s">
        <v>3730</v>
      </c>
      <c r="B2185" s="28" t="s">
        <v>3731</v>
      </c>
      <c r="C2185" s="78">
        <v>0</v>
      </c>
      <c r="D2185" s="28" t="s">
        <v>1905</v>
      </c>
      <c r="E2185" s="28">
        <v>1.22</v>
      </c>
      <c r="F2185" s="78">
        <v>327.86</v>
      </c>
      <c r="G2185" s="78"/>
      <c r="H2185" s="78">
        <v>1.6</v>
      </c>
      <c r="I2185" s="78"/>
      <c r="J2185" s="140">
        <v>45545</v>
      </c>
      <c r="K2185" s="33">
        <f t="shared" si="156"/>
        <v>639.98271999999997</v>
      </c>
      <c r="L2185" s="13"/>
      <c r="M2185" s="13"/>
      <c r="N2185" s="13">
        <f>G2185*H2185*I2185*E2185</f>
        <v>0</v>
      </c>
      <c r="O2185" s="15">
        <f>K2185*1.6667</f>
        <v>1066.659199424</v>
      </c>
    </row>
    <row r="2186" spans="1:15" ht="15" customHeight="1">
      <c r="A2186" s="38"/>
      <c r="B2186" s="89" t="s">
        <v>2911</v>
      </c>
      <c r="C2186" s="121"/>
      <c r="D2186" s="28" t="s">
        <v>3302</v>
      </c>
      <c r="E2186" s="94">
        <v>1.22</v>
      </c>
      <c r="F2186" s="105">
        <v>630</v>
      </c>
      <c r="G2186" s="121"/>
      <c r="H2186" s="105">
        <v>1.5</v>
      </c>
      <c r="I2186" s="121"/>
      <c r="J2186" s="210">
        <v>44988</v>
      </c>
      <c r="K2186" s="173">
        <f t="shared" si="156"/>
        <v>1152.9000000000001</v>
      </c>
      <c r="L2186" s="50"/>
      <c r="M2186" s="41"/>
      <c r="N2186" s="38"/>
      <c r="O2186" s="38"/>
    </row>
    <row r="2187" spans="1:15" ht="15" customHeight="1">
      <c r="A2187" s="38"/>
      <c r="B2187" s="105" t="s">
        <v>2365</v>
      </c>
      <c r="C2187" s="121"/>
      <c r="D2187" s="28" t="s">
        <v>3302</v>
      </c>
      <c r="E2187" s="94">
        <v>1.22</v>
      </c>
      <c r="F2187" s="105">
        <v>954</v>
      </c>
      <c r="G2187" s="121"/>
      <c r="H2187" s="105">
        <v>1.4</v>
      </c>
      <c r="I2187" s="121"/>
      <c r="J2187" s="138">
        <v>44523</v>
      </c>
      <c r="K2187" s="173">
        <f t="shared" si="156"/>
        <v>1629.4319999999998</v>
      </c>
      <c r="L2187" s="64"/>
      <c r="M2187" s="41"/>
      <c r="N2187" s="38"/>
      <c r="O2187" s="38"/>
    </row>
    <row r="2188" spans="1:15" ht="15" customHeight="1">
      <c r="A2188" s="58"/>
      <c r="B2188" s="102" t="s">
        <v>3220</v>
      </c>
      <c r="C2188" s="125" t="s">
        <v>98</v>
      </c>
      <c r="D2188" s="28"/>
      <c r="E2188" s="46">
        <v>1</v>
      </c>
      <c r="F2188" s="102">
        <v>450</v>
      </c>
      <c r="G2188" s="125"/>
      <c r="H2188" s="102">
        <v>1.3</v>
      </c>
      <c r="I2188" s="125"/>
      <c r="J2188" s="144">
        <v>45229</v>
      </c>
      <c r="K2188" s="33">
        <f t="shared" si="156"/>
        <v>585</v>
      </c>
      <c r="L2188" s="58"/>
      <c r="M2188" s="58"/>
      <c r="N2188" s="58"/>
      <c r="O2188" s="58"/>
    </row>
    <row r="2189" spans="1:15" ht="15" customHeight="1">
      <c r="A2189" s="38"/>
      <c r="B2189" s="102" t="s">
        <v>3220</v>
      </c>
      <c r="C2189" s="125" t="s">
        <v>93</v>
      </c>
      <c r="D2189" s="28"/>
      <c r="E2189" s="44">
        <v>1</v>
      </c>
      <c r="F2189" s="102">
        <v>18</v>
      </c>
      <c r="G2189" s="121"/>
      <c r="H2189" s="102">
        <v>1.45</v>
      </c>
      <c r="I2189" s="121"/>
      <c r="J2189" s="138">
        <v>45229</v>
      </c>
      <c r="K2189" s="33">
        <f t="shared" si="156"/>
        <v>26.099999999999998</v>
      </c>
      <c r="L2189" s="41"/>
      <c r="M2189" s="41"/>
      <c r="N2189" s="38"/>
      <c r="O2189" s="38"/>
    </row>
    <row r="2190" spans="1:15" ht="15" customHeight="1">
      <c r="A2190" s="24" t="s">
        <v>2661</v>
      </c>
      <c r="B2190" s="206" t="s">
        <v>2662</v>
      </c>
      <c r="C2190" s="78" t="s">
        <v>2663</v>
      </c>
      <c r="D2190" s="28" t="s">
        <v>3297</v>
      </c>
      <c r="E2190" s="28">
        <v>1.22</v>
      </c>
      <c r="F2190" s="78">
        <v>441.96</v>
      </c>
      <c r="G2190" s="121"/>
      <c r="H2190" s="78">
        <v>1.8</v>
      </c>
      <c r="I2190" s="121"/>
      <c r="J2190" s="144">
        <v>44785</v>
      </c>
      <c r="K2190" s="13">
        <f t="shared" si="156"/>
        <v>970.54416000000003</v>
      </c>
      <c r="L2190" s="13"/>
      <c r="M2190" s="13"/>
      <c r="N2190" s="13">
        <f>G2190*H2190*I2190*E2190</f>
        <v>0</v>
      </c>
      <c r="O2190" s="15">
        <f>K2190*1.6667</f>
        <v>1617.605951472</v>
      </c>
    </row>
    <row r="2191" spans="1:15" ht="15" hidden="1" customHeight="1">
      <c r="A2191" s="38" t="s">
        <v>1400</v>
      </c>
      <c r="B2191" s="103" t="s">
        <v>1399</v>
      </c>
      <c r="C2191" s="121"/>
      <c r="D2191" s="28" t="s">
        <v>3297</v>
      </c>
      <c r="E2191" s="87">
        <v>1.22</v>
      </c>
      <c r="F2191" s="103">
        <v>324</v>
      </c>
      <c r="G2191" s="121"/>
      <c r="H2191" s="103">
        <v>1.6</v>
      </c>
      <c r="I2191" s="121"/>
      <c r="J2191" s="138">
        <v>43395</v>
      </c>
      <c r="K2191" s="9">
        <f t="shared" si="156"/>
        <v>632.44799999999998</v>
      </c>
      <c r="L2191" s="41"/>
      <c r="M2191" s="41"/>
      <c r="N2191" s="38"/>
      <c r="O2191" s="38"/>
    </row>
    <row r="2192" spans="1:15" ht="15" customHeight="1">
      <c r="A2192" s="38" t="s">
        <v>4332</v>
      </c>
      <c r="B2192" s="87" t="s">
        <v>4333</v>
      </c>
      <c r="C2192" s="125"/>
      <c r="D2192" s="28" t="s">
        <v>3297</v>
      </c>
      <c r="E2192" s="80">
        <v>1.22</v>
      </c>
      <c r="F2192" s="102">
        <v>328</v>
      </c>
      <c r="G2192" s="125"/>
      <c r="H2192" s="80">
        <v>1.6</v>
      </c>
      <c r="I2192" s="79"/>
      <c r="J2192" s="144">
        <v>45886</v>
      </c>
      <c r="K2192" s="57">
        <f t="shared" si="156"/>
        <v>640.25599999999997</v>
      </c>
      <c r="L2192" s="64"/>
      <c r="M2192" s="41"/>
      <c r="N2192" s="38"/>
      <c r="O2192" s="38"/>
    </row>
    <row r="2193" spans="1:15" ht="15" customHeight="1">
      <c r="A2193" s="24" t="s">
        <v>1907</v>
      </c>
      <c r="B2193" s="102" t="s">
        <v>1908</v>
      </c>
      <c r="C2193" s="121"/>
      <c r="D2193" s="28" t="s">
        <v>3297</v>
      </c>
      <c r="E2193" s="80">
        <v>1.22</v>
      </c>
      <c r="F2193" s="102">
        <v>449.52</v>
      </c>
      <c r="G2193" s="121"/>
      <c r="H2193" s="80">
        <v>1.6</v>
      </c>
      <c r="I2193" s="121"/>
      <c r="J2193" s="144">
        <v>45886</v>
      </c>
      <c r="K2193" s="9">
        <f t="shared" si="156"/>
        <v>877.46304000000009</v>
      </c>
      <c r="L2193" s="13"/>
      <c r="M2193" s="41"/>
      <c r="N2193" s="38"/>
      <c r="O2193" s="38"/>
    </row>
    <row r="2194" spans="1:15" ht="15" customHeight="1">
      <c r="A2194" s="38" t="s">
        <v>1909</v>
      </c>
      <c r="B2194" s="103" t="s">
        <v>1910</v>
      </c>
      <c r="C2194" s="121"/>
      <c r="D2194" s="28" t="s">
        <v>3297</v>
      </c>
      <c r="E2194" s="87">
        <v>1.22</v>
      </c>
      <c r="F2194" s="103">
        <v>566.83000000000004</v>
      </c>
      <c r="G2194" s="121"/>
      <c r="H2194" s="87">
        <v>1.6</v>
      </c>
      <c r="I2194" s="121"/>
      <c r="J2194" s="138">
        <v>44117</v>
      </c>
      <c r="K2194" s="9">
        <f t="shared" si="156"/>
        <v>1106.45216</v>
      </c>
      <c r="L2194" s="13"/>
      <c r="M2194" s="41"/>
      <c r="N2194" s="38"/>
      <c r="O2194" s="38"/>
    </row>
    <row r="2195" spans="1:15" ht="15" customHeight="1">
      <c r="A2195" s="38" t="s">
        <v>1674</v>
      </c>
      <c r="B2195" s="78" t="s">
        <v>1672</v>
      </c>
      <c r="C2195" s="121" t="s">
        <v>1673</v>
      </c>
      <c r="D2195" s="28" t="s">
        <v>3297</v>
      </c>
      <c r="E2195" s="28">
        <v>1.22</v>
      </c>
      <c r="F2195" s="78">
        <v>520.78</v>
      </c>
      <c r="G2195" s="121"/>
      <c r="H2195" s="78">
        <v>1.7</v>
      </c>
      <c r="I2195" s="121"/>
      <c r="J2195" s="138">
        <v>44370</v>
      </c>
      <c r="K2195" s="50">
        <f t="shared" si="156"/>
        <v>1080.09772</v>
      </c>
      <c r="L2195" s="50"/>
      <c r="M2195" s="41"/>
      <c r="N2195" s="38"/>
      <c r="O2195" s="15">
        <f>K2195*1.6667</f>
        <v>1800.1988699240001</v>
      </c>
    </row>
    <row r="2196" spans="1:15" ht="15" customHeight="1">
      <c r="A2196" s="58" t="s">
        <v>3641</v>
      </c>
      <c r="B2196" s="78" t="s">
        <v>3441</v>
      </c>
      <c r="C2196" s="125" t="s">
        <v>1037</v>
      </c>
      <c r="D2196" s="28" t="s">
        <v>1030</v>
      </c>
      <c r="E2196" s="80">
        <v>1.22</v>
      </c>
      <c r="F2196" s="102">
        <v>511</v>
      </c>
      <c r="G2196" s="121"/>
      <c r="H2196" s="102">
        <v>1.6</v>
      </c>
      <c r="I2196" s="121"/>
      <c r="J2196" s="140">
        <v>45770</v>
      </c>
      <c r="K2196" s="13">
        <f t="shared" si="156"/>
        <v>997.47199999999998</v>
      </c>
      <c r="L2196" s="13"/>
      <c r="M2196" s="41"/>
      <c r="N2196" s="38"/>
      <c r="O2196" s="38"/>
    </row>
    <row r="2197" spans="1:15" ht="15" customHeight="1">
      <c r="A2197" s="38"/>
      <c r="B2197" s="103" t="s">
        <v>3441</v>
      </c>
      <c r="C2197" s="121" t="s">
        <v>3442</v>
      </c>
      <c r="D2197" s="28" t="s">
        <v>1859</v>
      </c>
      <c r="E2197" s="87">
        <v>1</v>
      </c>
      <c r="F2197" s="103">
        <v>2040</v>
      </c>
      <c r="G2197" s="121"/>
      <c r="H2197" s="103">
        <v>3</v>
      </c>
      <c r="I2197" s="121"/>
      <c r="J2197" s="138">
        <v>45404</v>
      </c>
      <c r="K2197" s="13">
        <f t="shared" si="156"/>
        <v>6120</v>
      </c>
      <c r="L2197" s="64"/>
      <c r="M2197" s="41"/>
      <c r="N2197" s="38"/>
      <c r="O2197" s="38"/>
    </row>
    <row r="2198" spans="1:15" ht="15" customHeight="1">
      <c r="A2198" s="38"/>
      <c r="B2198" s="103" t="s">
        <v>3441</v>
      </c>
      <c r="C2198" s="121" t="s">
        <v>300</v>
      </c>
      <c r="D2198" s="28" t="s">
        <v>1859</v>
      </c>
      <c r="E2198" s="87">
        <v>1</v>
      </c>
      <c r="F2198" s="103">
        <v>8</v>
      </c>
      <c r="G2198" s="121"/>
      <c r="H2198" s="103">
        <v>4</v>
      </c>
      <c r="I2198" s="121"/>
      <c r="J2198" s="103"/>
      <c r="K2198" s="13">
        <f t="shared" si="156"/>
        <v>32</v>
      </c>
      <c r="L2198" s="64"/>
      <c r="M2198" s="41"/>
      <c r="N2198" s="38"/>
      <c r="O2198" s="38"/>
    </row>
    <row r="2199" spans="1:15" ht="15" customHeight="1">
      <c r="B2199" s="87" t="s">
        <v>4440</v>
      </c>
      <c r="C2199" s="126" t="s">
        <v>4439</v>
      </c>
      <c r="D2199" s="28" t="s">
        <v>451</v>
      </c>
      <c r="E2199" s="28">
        <v>1.22</v>
      </c>
      <c r="F2199" s="108">
        <v>2700</v>
      </c>
      <c r="H2199" s="103">
        <v>2</v>
      </c>
      <c r="I2199" s="121"/>
      <c r="J2199" s="159">
        <v>45960</v>
      </c>
      <c r="K2199" s="64">
        <f>+H2199*F2199</f>
        <v>5400</v>
      </c>
    </row>
    <row r="2200" spans="1:15" ht="15" customHeight="1">
      <c r="B2200" s="103" t="s">
        <v>4440</v>
      </c>
      <c r="C2200" s="126" t="s">
        <v>300</v>
      </c>
      <c r="D2200" s="28" t="s">
        <v>451</v>
      </c>
      <c r="E2200" s="87"/>
      <c r="H2200" s="87"/>
      <c r="J2200" s="302">
        <v>45960</v>
      </c>
      <c r="K2200" s="37">
        <v>50</v>
      </c>
    </row>
    <row r="2201" spans="1:15" ht="15" customHeight="1">
      <c r="B2201" s="103" t="s">
        <v>4440</v>
      </c>
      <c r="C2201" s="126" t="s">
        <v>1377</v>
      </c>
      <c r="D2201" s="28" t="s">
        <v>451</v>
      </c>
      <c r="E2201" s="101"/>
      <c r="H2201" s="103"/>
      <c r="J2201" s="159">
        <v>45960</v>
      </c>
      <c r="K2201" s="64">
        <v>1200</v>
      </c>
    </row>
    <row r="2202" spans="1:15" ht="15" customHeight="1">
      <c r="A2202" s="38"/>
      <c r="B2202" s="102" t="s">
        <v>4425</v>
      </c>
      <c r="C2202" s="125" t="s">
        <v>4426</v>
      </c>
      <c r="D2202" s="79" t="s">
        <v>4427</v>
      </c>
      <c r="E2202" s="99">
        <v>1.22</v>
      </c>
      <c r="F2202" s="102">
        <v>300</v>
      </c>
      <c r="G2202" s="121"/>
      <c r="H2202" s="102">
        <v>1.6</v>
      </c>
      <c r="I2202" s="121"/>
      <c r="J2202" s="144">
        <v>45952</v>
      </c>
      <c r="K2202" s="13">
        <f t="shared" ref="K2202:K2238" si="157">E2202*F2202*H2202</f>
        <v>585.6</v>
      </c>
      <c r="L2202" s="64"/>
      <c r="M2202" s="41"/>
      <c r="N2202" s="38"/>
      <c r="O2202" s="38"/>
    </row>
    <row r="2203" spans="1:15" ht="15" customHeight="1">
      <c r="A2203" s="24">
        <v>0</v>
      </c>
      <c r="B2203" s="78" t="s">
        <v>4477</v>
      </c>
      <c r="C2203" s="78" t="s">
        <v>70</v>
      </c>
      <c r="D2203" s="28" t="s">
        <v>451</v>
      </c>
      <c r="E2203" s="28">
        <v>1.22</v>
      </c>
      <c r="F2203" s="78">
        <v>177</v>
      </c>
      <c r="G2203" s="78"/>
      <c r="H2203" s="78">
        <v>1.6</v>
      </c>
      <c r="I2203" s="78"/>
      <c r="J2203" s="140">
        <v>45981</v>
      </c>
      <c r="K2203" s="9">
        <f t="shared" si="157"/>
        <v>345.50400000000002</v>
      </c>
      <c r="L2203" s="13"/>
      <c r="M2203" s="13"/>
      <c r="N2203" s="13">
        <f>G2203*H2203*I2203*E2203</f>
        <v>0</v>
      </c>
      <c r="O2203" s="15">
        <f>K2203*1.6667</f>
        <v>575.85151680000001</v>
      </c>
    </row>
    <row r="2204" spans="1:15" ht="15" customHeight="1">
      <c r="A2204" s="38"/>
      <c r="B2204" s="103" t="s">
        <v>4004</v>
      </c>
      <c r="C2204" s="121"/>
      <c r="D2204" s="28" t="s">
        <v>451</v>
      </c>
      <c r="E2204" s="28">
        <v>1.22</v>
      </c>
      <c r="F2204" s="103">
        <v>95</v>
      </c>
      <c r="G2204" s="121"/>
      <c r="H2204" s="103">
        <v>1.6</v>
      </c>
      <c r="I2204" s="121"/>
      <c r="J2204" s="138">
        <v>45960</v>
      </c>
      <c r="K2204" s="9">
        <f t="shared" si="157"/>
        <v>185.44</v>
      </c>
    </row>
    <row r="2205" spans="1:15" ht="15" customHeight="1">
      <c r="A2205" s="24"/>
      <c r="B2205" s="78" t="s">
        <v>667</v>
      </c>
      <c r="C2205" s="78" t="s">
        <v>2265</v>
      </c>
      <c r="D2205" s="28"/>
      <c r="E2205" s="28">
        <v>1.22</v>
      </c>
      <c r="F2205" s="78">
        <v>336</v>
      </c>
      <c r="G2205" s="78"/>
      <c r="H2205" s="78">
        <v>1.5</v>
      </c>
      <c r="I2205" s="78"/>
      <c r="J2205" s="140">
        <v>45407</v>
      </c>
      <c r="K2205" s="9">
        <f t="shared" si="157"/>
        <v>614.88</v>
      </c>
      <c r="L2205" s="13"/>
      <c r="M2205" s="13"/>
      <c r="N2205" s="13"/>
      <c r="O2205" s="15"/>
    </row>
    <row r="2206" spans="1:15" ht="15" customHeight="1">
      <c r="A2206" s="24"/>
      <c r="B2206" s="78" t="s">
        <v>667</v>
      </c>
      <c r="C2206" s="78" t="s">
        <v>1656</v>
      </c>
      <c r="D2206" s="93" t="s">
        <v>451</v>
      </c>
      <c r="E2206" s="93">
        <v>1.22</v>
      </c>
      <c r="F2206" s="78">
        <v>220</v>
      </c>
      <c r="G2206" s="78"/>
      <c r="H2206" s="78">
        <v>1.6</v>
      </c>
      <c r="I2206" s="78"/>
      <c r="J2206" s="140">
        <v>45981</v>
      </c>
      <c r="K2206" s="13">
        <f t="shared" si="157"/>
        <v>429.44</v>
      </c>
      <c r="L2206" s="13"/>
      <c r="M2206" s="13"/>
      <c r="N2206" s="13"/>
      <c r="O2206" s="15"/>
    </row>
    <row r="2207" spans="1:15" ht="0.75" customHeight="1">
      <c r="A2207" s="21"/>
      <c r="B2207" s="28" t="s">
        <v>476</v>
      </c>
      <c r="C2207" s="28" t="s">
        <v>15</v>
      </c>
      <c r="D2207" s="28" t="s">
        <v>451</v>
      </c>
      <c r="E2207" s="28">
        <v>1.22</v>
      </c>
      <c r="F2207" s="28">
        <v>135</v>
      </c>
      <c r="G2207" s="28"/>
      <c r="H2207" s="28">
        <v>1.6</v>
      </c>
      <c r="I2207" s="28"/>
      <c r="J2207" s="133">
        <v>44690</v>
      </c>
      <c r="K2207" s="9">
        <f t="shared" si="157"/>
        <v>263.52</v>
      </c>
      <c r="L2207" s="13"/>
      <c r="M2207" s="13"/>
      <c r="N2207" s="13">
        <f>G2207*H2207*I2207*E2207</f>
        <v>0</v>
      </c>
      <c r="O2207" s="15">
        <f>K2207*1.6667</f>
        <v>439.20878399999998</v>
      </c>
    </row>
    <row r="2208" spans="1:15" ht="23.25" customHeight="1">
      <c r="A2208" s="21"/>
      <c r="B2208" s="28" t="s">
        <v>588</v>
      </c>
      <c r="C2208" s="28" t="s">
        <v>4446</v>
      </c>
      <c r="D2208" s="28" t="s">
        <v>451</v>
      </c>
      <c r="E2208" s="28">
        <v>1.22</v>
      </c>
      <c r="F2208" s="28">
        <v>73</v>
      </c>
      <c r="G2208" s="28"/>
      <c r="H2208" s="28">
        <v>1.9</v>
      </c>
      <c r="I2208" s="28"/>
      <c r="J2208" s="133">
        <v>45122</v>
      </c>
      <c r="K2208" s="9">
        <f t="shared" si="157"/>
        <v>169.214</v>
      </c>
      <c r="L2208" s="13"/>
      <c r="M2208" s="13"/>
      <c r="N2208" s="13">
        <f>G2208*H2208*I2208*E2208</f>
        <v>0</v>
      </c>
      <c r="O2208" s="15">
        <f>K2208*1.6667</f>
        <v>282.02897380000002</v>
      </c>
    </row>
    <row r="2209" spans="1:15" ht="19.5" customHeight="1">
      <c r="A2209" s="32"/>
      <c r="B2209" s="93" t="s">
        <v>588</v>
      </c>
      <c r="C2209" s="93" t="s">
        <v>1414</v>
      </c>
      <c r="D2209" s="93" t="s">
        <v>451</v>
      </c>
      <c r="E2209" s="93">
        <v>1.22</v>
      </c>
      <c r="F2209" s="93">
        <v>99</v>
      </c>
      <c r="G2209" s="93"/>
      <c r="H2209" s="93">
        <v>1.9</v>
      </c>
      <c r="I2209" s="93"/>
      <c r="J2209" s="146">
        <v>45981</v>
      </c>
      <c r="K2209" s="33">
        <f t="shared" si="157"/>
        <v>229.482</v>
      </c>
      <c r="L2209" s="13"/>
      <c r="M2209" s="13"/>
      <c r="N2209" s="13">
        <f>G2209*H2209*I2209*E2209</f>
        <v>0</v>
      </c>
      <c r="O2209" s="15">
        <f>K2209*1.6667</f>
        <v>382.47764940000002</v>
      </c>
    </row>
    <row r="2210" spans="1:15" ht="30" customHeight="1">
      <c r="A2210" s="21"/>
      <c r="B2210" s="28" t="s">
        <v>588</v>
      </c>
      <c r="C2210" s="28" t="s">
        <v>70</v>
      </c>
      <c r="D2210" s="28" t="s">
        <v>451</v>
      </c>
      <c r="E2210" s="28">
        <v>1.22</v>
      </c>
      <c r="F2210" s="28">
        <v>68</v>
      </c>
      <c r="G2210" s="28"/>
      <c r="H2210" s="28">
        <v>1.9</v>
      </c>
      <c r="I2210" s="28"/>
      <c r="J2210" s="133">
        <v>45088</v>
      </c>
      <c r="K2210" s="10">
        <f t="shared" si="157"/>
        <v>157.62399999999997</v>
      </c>
      <c r="L2210" s="9"/>
      <c r="M2210" s="9"/>
      <c r="N2210" s="9">
        <f>G2210*H2210*I2210*E2210</f>
        <v>0</v>
      </c>
      <c r="O2210" s="3">
        <f>K2210*1.6667</f>
        <v>262.71192079999997</v>
      </c>
    </row>
    <row r="2211" spans="1:15" ht="15" customHeight="1">
      <c r="A2211" s="21"/>
      <c r="B2211" s="28" t="s">
        <v>588</v>
      </c>
      <c r="C2211" s="28" t="s">
        <v>666</v>
      </c>
      <c r="D2211" s="78" t="s">
        <v>451</v>
      </c>
      <c r="E2211" s="78">
        <v>1.22</v>
      </c>
      <c r="F2211" s="28">
        <v>55</v>
      </c>
      <c r="G2211" s="28"/>
      <c r="H2211" s="28">
        <v>1.9</v>
      </c>
      <c r="I2211" s="28"/>
      <c r="J2211" s="133">
        <v>45981</v>
      </c>
      <c r="K2211" s="9">
        <f t="shared" si="157"/>
        <v>127.48999999999998</v>
      </c>
      <c r="L2211" s="9"/>
      <c r="M2211" s="9"/>
      <c r="N2211" s="9">
        <f>G2211*H2211*I2211*E2211</f>
        <v>0</v>
      </c>
      <c r="O2211" s="3">
        <f>K2211*1.6667</f>
        <v>212.48758299999997</v>
      </c>
    </row>
    <row r="2212" spans="1:15" ht="15" customHeight="1">
      <c r="A2212" s="48"/>
      <c r="B2212" s="100" t="s">
        <v>1695</v>
      </c>
      <c r="C2212" s="124" t="s">
        <v>11</v>
      </c>
      <c r="D2212" s="78" t="s">
        <v>14</v>
      </c>
      <c r="E2212" s="100">
        <v>1.22</v>
      </c>
      <c r="F2212" s="100">
        <v>196</v>
      </c>
      <c r="G2212" s="124"/>
      <c r="H2212" s="92">
        <v>1.6</v>
      </c>
      <c r="I2212" s="113"/>
      <c r="J2212" s="141">
        <v>43970</v>
      </c>
      <c r="K2212" s="9">
        <f t="shared" si="157"/>
        <v>382.59200000000004</v>
      </c>
      <c r="L2212" s="13"/>
      <c r="M2212" s="41"/>
      <c r="N2212" s="48"/>
      <c r="O2212" s="48"/>
    </row>
    <row r="2213" spans="1:15" ht="15" customHeight="1">
      <c r="A2213" s="38"/>
      <c r="B2213" s="78" t="s">
        <v>1695</v>
      </c>
      <c r="C2213" s="78" t="s">
        <v>11</v>
      </c>
      <c r="D2213" s="78" t="s">
        <v>14</v>
      </c>
      <c r="E2213" s="78">
        <v>1</v>
      </c>
      <c r="F2213" s="78">
        <v>252</v>
      </c>
      <c r="G2213" s="121"/>
      <c r="H2213" s="28">
        <v>1.5</v>
      </c>
      <c r="I2213" s="28"/>
      <c r="J2213" s="135">
        <v>44409</v>
      </c>
      <c r="K2213" s="9">
        <f t="shared" si="157"/>
        <v>378</v>
      </c>
      <c r="L2213" s="41"/>
      <c r="M2213" s="41"/>
      <c r="N2213" s="38"/>
      <c r="O2213" s="38"/>
    </row>
    <row r="2214" spans="1:15" ht="15" customHeight="1">
      <c r="A2214" s="21" t="s">
        <v>1768</v>
      </c>
      <c r="B2214" s="78" t="s">
        <v>1767</v>
      </c>
      <c r="C2214" s="78" t="s">
        <v>15</v>
      </c>
      <c r="D2214" s="28" t="s">
        <v>3297</v>
      </c>
      <c r="E2214" s="28">
        <v>1.22</v>
      </c>
      <c r="F2214" s="78">
        <v>6.8</v>
      </c>
      <c r="G2214" s="78"/>
      <c r="H2214" s="78">
        <v>1.8</v>
      </c>
      <c r="I2214" s="78"/>
      <c r="J2214" s="140">
        <v>44239</v>
      </c>
      <c r="K2214" s="10">
        <f t="shared" si="157"/>
        <v>14.932799999999999</v>
      </c>
      <c r="L2214" s="13"/>
      <c r="M2214" s="13"/>
      <c r="N2214" s="13"/>
      <c r="O2214" s="15"/>
    </row>
    <row r="2215" spans="1:15" ht="15" customHeight="1">
      <c r="A2215" s="32" t="s">
        <v>4584</v>
      </c>
      <c r="B2215" s="78" t="s">
        <v>2003</v>
      </c>
      <c r="C2215" s="78" t="s">
        <v>57</v>
      </c>
      <c r="D2215" s="93" t="s">
        <v>3297</v>
      </c>
      <c r="E2215" s="93">
        <v>1.22</v>
      </c>
      <c r="F2215" s="78">
        <v>111.1</v>
      </c>
      <c r="G2215" s="78">
        <v>0</v>
      </c>
      <c r="H2215" s="78">
        <v>1.7</v>
      </c>
      <c r="I2215" s="78">
        <v>0</v>
      </c>
      <c r="J2215" s="140">
        <v>46021</v>
      </c>
      <c r="K2215" s="12">
        <f t="shared" si="157"/>
        <v>230.42140000000001</v>
      </c>
      <c r="L2215" s="13"/>
      <c r="M2215" s="13"/>
      <c r="N2215" s="13">
        <f>G2215*H2215*I2215*E2215</f>
        <v>0</v>
      </c>
      <c r="O2215" s="15">
        <f>K2215*1.6667</f>
        <v>384.04334738</v>
      </c>
    </row>
    <row r="2216" spans="1:15" ht="18" customHeight="1">
      <c r="A2216" s="21" t="s">
        <v>4585</v>
      </c>
      <c r="B2216" s="28" t="s">
        <v>2004</v>
      </c>
      <c r="C2216" s="28" t="s">
        <v>15</v>
      </c>
      <c r="D2216" s="28" t="s">
        <v>3297</v>
      </c>
      <c r="E2216" s="28">
        <v>1.22</v>
      </c>
      <c r="F2216" s="28">
        <v>110.83</v>
      </c>
      <c r="G2216" s="28">
        <v>0</v>
      </c>
      <c r="H2216" s="28">
        <v>1.7</v>
      </c>
      <c r="I2216" s="28">
        <v>0</v>
      </c>
      <c r="J2216" s="140">
        <v>46021</v>
      </c>
      <c r="K2216" s="9">
        <f t="shared" si="157"/>
        <v>229.86142000000001</v>
      </c>
      <c r="L2216" s="9"/>
      <c r="M2216" s="9"/>
      <c r="N2216" s="13">
        <f>G2216*H2216*I2216*E2216</f>
        <v>0</v>
      </c>
      <c r="O2216" s="15">
        <f>K2216*1.6667</f>
        <v>383.11002871400001</v>
      </c>
    </row>
    <row r="2217" spans="1:15" ht="15" customHeight="1">
      <c r="A2217" s="16"/>
      <c r="B2217" s="28" t="s">
        <v>2961</v>
      </c>
      <c r="C2217" s="110"/>
      <c r="D2217" s="28" t="s">
        <v>3301</v>
      </c>
      <c r="E2217" s="90">
        <v>1.22</v>
      </c>
      <c r="F2217" s="28">
        <v>149</v>
      </c>
      <c r="G2217" s="110"/>
      <c r="H2217" s="87">
        <v>1.8</v>
      </c>
      <c r="I2217" s="110"/>
      <c r="J2217" s="135">
        <v>45005</v>
      </c>
      <c r="K2217" s="17">
        <f t="shared" si="157"/>
        <v>327.20400000000001</v>
      </c>
      <c r="L2217" s="37"/>
      <c r="M2217" s="17"/>
      <c r="N2217" s="38"/>
      <c r="O2217" s="38"/>
    </row>
    <row r="2218" spans="1:15" ht="15" customHeight="1">
      <c r="A2218" s="16"/>
      <c r="B2218" s="28" t="s">
        <v>2960</v>
      </c>
      <c r="C2218" s="110"/>
      <c r="D2218" s="78" t="s">
        <v>3301</v>
      </c>
      <c r="E2218" s="90">
        <v>1.22</v>
      </c>
      <c r="F2218" s="28">
        <v>79</v>
      </c>
      <c r="G2218" s="110"/>
      <c r="H2218" s="87">
        <v>1.8</v>
      </c>
      <c r="I2218" s="110"/>
      <c r="J2218" s="135">
        <v>45005</v>
      </c>
      <c r="K2218" s="17">
        <f t="shared" si="157"/>
        <v>173.48400000000001</v>
      </c>
      <c r="L2218" s="37"/>
      <c r="M2218" s="17"/>
      <c r="N2218" s="38"/>
      <c r="O2218" s="38"/>
    </row>
    <row r="2219" spans="1:15" ht="15" customHeight="1">
      <c r="A2219" s="38"/>
      <c r="B2219" s="87" t="s">
        <v>3341</v>
      </c>
      <c r="C2219" s="121"/>
      <c r="D2219" s="121" t="s">
        <v>3301</v>
      </c>
      <c r="E2219" s="87">
        <v>1.22</v>
      </c>
      <c r="F2219" s="103">
        <v>69</v>
      </c>
      <c r="G2219" s="121"/>
      <c r="H2219" s="103">
        <v>1.8</v>
      </c>
      <c r="I2219" s="121"/>
      <c r="J2219" s="135">
        <v>45301</v>
      </c>
      <c r="K2219" s="37">
        <f t="shared" si="157"/>
        <v>151.524</v>
      </c>
      <c r="L2219" s="64"/>
      <c r="M2219" s="41"/>
      <c r="N2219" s="38"/>
      <c r="O2219" s="38"/>
    </row>
    <row r="2220" spans="1:15" ht="15" customHeight="1">
      <c r="A2220" s="24" t="s">
        <v>1569</v>
      </c>
      <c r="B2220" s="78" t="s">
        <v>1570</v>
      </c>
      <c r="C2220" s="78"/>
      <c r="D2220" s="78" t="s">
        <v>3301</v>
      </c>
      <c r="E2220" s="28">
        <v>1.22</v>
      </c>
      <c r="F2220" s="78">
        <v>26.5</v>
      </c>
      <c r="G2220" s="78"/>
      <c r="H2220" s="78">
        <v>2</v>
      </c>
      <c r="I2220" s="78"/>
      <c r="J2220" s="140">
        <v>43900</v>
      </c>
      <c r="K2220" s="13">
        <f t="shared" si="157"/>
        <v>64.66</v>
      </c>
      <c r="L2220" s="13"/>
      <c r="M2220" s="13"/>
      <c r="N2220" s="13">
        <f>G2220*H2220*I2220*E2220</f>
        <v>0</v>
      </c>
      <c r="O2220" s="15">
        <f>K2220*1.6667</f>
        <v>107.768822</v>
      </c>
    </row>
    <row r="2221" spans="1:15" ht="15" customHeight="1">
      <c r="A2221" s="24"/>
      <c r="B2221" s="28" t="s">
        <v>1540</v>
      </c>
      <c r="C2221" s="78"/>
      <c r="D2221" s="28" t="s">
        <v>3301</v>
      </c>
      <c r="E2221" s="28">
        <v>1</v>
      </c>
      <c r="F2221" s="78">
        <v>29</v>
      </c>
      <c r="G2221" s="78"/>
      <c r="H2221" s="78">
        <v>1.8</v>
      </c>
      <c r="I2221" s="78"/>
      <c r="J2221" s="138">
        <v>43900</v>
      </c>
      <c r="K2221" s="13">
        <f t="shared" si="157"/>
        <v>52.2</v>
      </c>
      <c r="L2221" s="13"/>
      <c r="M2221" s="62">
        <v>1.22</v>
      </c>
      <c r="N2221" s="13">
        <f>G2221*H2221*I2221*E2221</f>
        <v>0</v>
      </c>
      <c r="O2221" s="15">
        <f>K2221*1.6667</f>
        <v>87.001740000000012</v>
      </c>
    </row>
    <row r="2222" spans="1:15" ht="15" customHeight="1">
      <c r="A2222" s="38"/>
      <c r="B2222" s="87" t="s">
        <v>3281</v>
      </c>
      <c r="C2222" s="121"/>
      <c r="D2222" s="28" t="s">
        <v>3301</v>
      </c>
      <c r="E2222" s="28">
        <v>1.22</v>
      </c>
      <c r="F2222" s="103">
        <v>99</v>
      </c>
      <c r="G2222" s="121"/>
      <c r="H2222" s="78">
        <v>1.7</v>
      </c>
      <c r="I2222" s="121"/>
      <c r="J2222" s="138">
        <v>44990</v>
      </c>
      <c r="K2222" s="13">
        <f t="shared" si="157"/>
        <v>205.32599999999999</v>
      </c>
      <c r="L2222" s="13"/>
      <c r="M2222" s="41"/>
      <c r="N2222" s="38"/>
      <c r="O2222" s="38"/>
    </row>
    <row r="2223" spans="1:15" ht="15" customHeight="1">
      <c r="A2223" s="175" t="s">
        <v>3826</v>
      </c>
      <c r="B2223" s="87" t="s">
        <v>3841</v>
      </c>
      <c r="C2223" s="121" t="s">
        <v>3842</v>
      </c>
      <c r="D2223" s="110" t="s">
        <v>3824</v>
      </c>
      <c r="E2223" s="87">
        <v>1.22</v>
      </c>
      <c r="F2223" s="103">
        <v>50</v>
      </c>
      <c r="G2223" s="121"/>
      <c r="H2223" s="103">
        <v>1.8</v>
      </c>
      <c r="I2223" s="121"/>
      <c r="J2223" s="138">
        <v>45567</v>
      </c>
      <c r="K2223" s="13">
        <f t="shared" si="157"/>
        <v>109.8</v>
      </c>
      <c r="L2223" s="64"/>
      <c r="M2223" s="41"/>
      <c r="N2223" s="38"/>
      <c r="O2223" s="38"/>
    </row>
    <row r="2224" spans="1:15" ht="15" customHeight="1">
      <c r="A2224" s="38"/>
      <c r="B2224" s="28" t="s">
        <v>2101</v>
      </c>
      <c r="C2224" s="121"/>
      <c r="D2224" s="28" t="s">
        <v>3301</v>
      </c>
      <c r="E2224" s="28">
        <v>1.22</v>
      </c>
      <c r="F2224" s="78">
        <v>49</v>
      </c>
      <c r="G2224" s="121"/>
      <c r="H2224" s="78">
        <v>1.8</v>
      </c>
      <c r="I2224" s="121"/>
      <c r="J2224" s="138">
        <v>45265</v>
      </c>
      <c r="K2224" s="41">
        <f t="shared" si="157"/>
        <v>107.604</v>
      </c>
      <c r="L2224" s="41"/>
      <c r="M2224" s="41"/>
      <c r="N2224" s="13">
        <f>G2224*H2224*I2224*E2224</f>
        <v>0</v>
      </c>
      <c r="O2224" s="15">
        <f>K2224*1.6667</f>
        <v>179.3435868</v>
      </c>
    </row>
    <row r="2225" spans="1:15" ht="15" customHeight="1">
      <c r="A2225" s="24"/>
      <c r="B2225" s="28" t="s">
        <v>1539</v>
      </c>
      <c r="C2225" s="78"/>
      <c r="D2225" s="28" t="s">
        <v>3301</v>
      </c>
      <c r="E2225" s="28">
        <v>1</v>
      </c>
      <c r="F2225" s="78">
        <v>32</v>
      </c>
      <c r="G2225" s="78"/>
      <c r="H2225" s="78">
        <v>1.8</v>
      </c>
      <c r="I2225" s="78"/>
      <c r="J2225" s="138">
        <v>43900</v>
      </c>
      <c r="K2225" s="9">
        <f t="shared" si="157"/>
        <v>57.6</v>
      </c>
      <c r="L2225" s="13"/>
      <c r="M2225" s="62">
        <v>1.22</v>
      </c>
      <c r="N2225" s="13">
        <f>G2225*H2225*I2225*E2225</f>
        <v>0</v>
      </c>
      <c r="O2225" s="15">
        <f>K2225*1.6667</f>
        <v>96.001920000000013</v>
      </c>
    </row>
    <row r="2226" spans="1:15" ht="15" customHeight="1">
      <c r="A2226" s="42"/>
      <c r="B2226" s="160" t="s">
        <v>2880</v>
      </c>
      <c r="C2226" s="123"/>
      <c r="D2226" s="28" t="s">
        <v>3301</v>
      </c>
      <c r="E2226" s="160"/>
      <c r="F2226" s="103"/>
      <c r="G2226" s="121"/>
      <c r="H2226" s="160"/>
      <c r="I2226" s="123"/>
      <c r="J2226" s="162"/>
      <c r="K2226" s="9">
        <f t="shared" si="157"/>
        <v>0</v>
      </c>
      <c r="L2226" s="64"/>
      <c r="M2226" s="41"/>
      <c r="N2226" s="38"/>
      <c r="O2226" s="38"/>
    </row>
    <row r="2227" spans="1:15" ht="15" customHeight="1">
      <c r="A2227" s="38"/>
      <c r="B2227" s="78" t="s">
        <v>2879</v>
      </c>
      <c r="C2227" s="121"/>
      <c r="D2227" s="28" t="s">
        <v>3301</v>
      </c>
      <c r="E2227" s="87"/>
      <c r="F2227" s="103"/>
      <c r="G2227" s="121"/>
      <c r="H2227" s="103"/>
      <c r="I2227" s="121"/>
      <c r="J2227" s="103"/>
      <c r="K2227" s="13">
        <f t="shared" si="157"/>
        <v>0</v>
      </c>
      <c r="L2227" s="64"/>
      <c r="M2227" s="41"/>
      <c r="N2227" s="38"/>
      <c r="O2227" s="38"/>
    </row>
    <row r="2228" spans="1:15" ht="15" customHeight="1">
      <c r="A2228" s="38"/>
      <c r="B2228" s="103" t="s">
        <v>3330</v>
      </c>
      <c r="C2228" s="121"/>
      <c r="D2228" s="110" t="s">
        <v>3301</v>
      </c>
      <c r="E2228" s="87">
        <v>1.22</v>
      </c>
      <c r="F2228" s="103">
        <v>89</v>
      </c>
      <c r="G2228" s="121"/>
      <c r="H2228" s="103">
        <v>2</v>
      </c>
      <c r="I2228" s="121"/>
      <c r="J2228" s="138">
        <v>45301</v>
      </c>
      <c r="K2228" s="13">
        <f t="shared" si="157"/>
        <v>217.16</v>
      </c>
      <c r="L2228" s="64"/>
      <c r="M2228" s="41"/>
      <c r="N2228" s="38"/>
      <c r="O2228" s="38"/>
    </row>
    <row r="2229" spans="1:15" ht="15" customHeight="1">
      <c r="A2229" s="38"/>
      <c r="B2229" s="103" t="s">
        <v>3338</v>
      </c>
      <c r="C2229" s="121"/>
      <c r="D2229" s="110" t="s">
        <v>3301</v>
      </c>
      <c r="E2229" s="87">
        <v>1.22</v>
      </c>
      <c r="F2229" s="103">
        <v>89</v>
      </c>
      <c r="G2229" s="121"/>
      <c r="H2229" s="103">
        <v>2</v>
      </c>
      <c r="I2229" s="121"/>
      <c r="J2229" s="138">
        <v>45301</v>
      </c>
      <c r="K2229" s="37">
        <f t="shared" si="157"/>
        <v>217.16</v>
      </c>
      <c r="L2229" s="64"/>
      <c r="M2229" s="41"/>
      <c r="N2229" s="38"/>
      <c r="O2229" s="38"/>
    </row>
    <row r="2230" spans="1:15" ht="15" customHeight="1">
      <c r="A2230" s="38"/>
      <c r="B2230" s="103" t="s">
        <v>3345</v>
      </c>
      <c r="C2230" s="121"/>
      <c r="D2230" s="121" t="s">
        <v>3301</v>
      </c>
      <c r="E2230" s="103">
        <v>1.22</v>
      </c>
      <c r="F2230" s="103">
        <v>49</v>
      </c>
      <c r="G2230" s="121"/>
      <c r="H2230" s="103">
        <v>2</v>
      </c>
      <c r="I2230" s="121"/>
      <c r="J2230" s="138">
        <v>45301</v>
      </c>
      <c r="K2230" s="64">
        <f t="shared" si="157"/>
        <v>119.56</v>
      </c>
      <c r="L2230" s="64"/>
      <c r="M2230" s="41"/>
      <c r="N2230" s="38"/>
      <c r="O2230" s="38"/>
    </row>
    <row r="2231" spans="1:15" ht="15" customHeight="1">
      <c r="A2231" s="282" t="s">
        <v>3825</v>
      </c>
      <c r="B2231" s="87" t="s">
        <v>3839</v>
      </c>
      <c r="C2231" s="121" t="s">
        <v>3840</v>
      </c>
      <c r="D2231" s="110" t="s">
        <v>3824</v>
      </c>
      <c r="E2231" s="87">
        <v>1.22</v>
      </c>
      <c r="F2231" s="103">
        <v>38</v>
      </c>
      <c r="G2231" s="121"/>
      <c r="H2231" s="103">
        <v>1.8</v>
      </c>
      <c r="I2231" s="121"/>
      <c r="J2231" s="135">
        <v>45567</v>
      </c>
      <c r="K2231" s="9">
        <f t="shared" si="157"/>
        <v>83.448000000000008</v>
      </c>
      <c r="L2231" s="64"/>
      <c r="M2231" s="41"/>
      <c r="N2231" s="38"/>
      <c r="O2231" s="38"/>
    </row>
    <row r="2232" spans="1:15" ht="15" customHeight="1">
      <c r="A2232" s="38"/>
      <c r="B2232" s="103" t="s">
        <v>1538</v>
      </c>
      <c r="C2232" s="121"/>
      <c r="D2232" s="28" t="s">
        <v>3301</v>
      </c>
      <c r="E2232" s="87">
        <v>1.22</v>
      </c>
      <c r="F2232" s="103">
        <v>69</v>
      </c>
      <c r="G2232" s="121"/>
      <c r="H2232" s="103">
        <v>1.8</v>
      </c>
      <c r="I2232" s="121"/>
      <c r="J2232" s="138">
        <v>45301</v>
      </c>
      <c r="K2232" s="17">
        <f t="shared" si="157"/>
        <v>151.524</v>
      </c>
      <c r="L2232" s="41"/>
      <c r="M2232" s="41"/>
      <c r="N2232" s="38">
        <f>G2232*H2232*I2232*E2232</f>
        <v>0</v>
      </c>
      <c r="O2232" s="38">
        <f>K2232*1.6667</f>
        <v>252.54505080000001</v>
      </c>
    </row>
    <row r="2233" spans="1:15" ht="15" customHeight="1">
      <c r="A2233" s="38"/>
      <c r="B2233" s="78" t="s">
        <v>2956</v>
      </c>
      <c r="C2233" s="121"/>
      <c r="D2233" s="28" t="s">
        <v>3301</v>
      </c>
      <c r="E2233" s="87">
        <v>1.22</v>
      </c>
      <c r="F2233" s="78">
        <v>69</v>
      </c>
      <c r="G2233" s="121"/>
      <c r="H2233" s="103">
        <v>1.8</v>
      </c>
      <c r="I2233" s="121"/>
      <c r="J2233" s="138">
        <v>45005</v>
      </c>
      <c r="K2233" s="17">
        <f t="shared" si="157"/>
        <v>151.524</v>
      </c>
      <c r="L2233" s="64"/>
      <c r="M2233" s="41"/>
      <c r="N2233" s="38"/>
      <c r="O2233" s="38"/>
    </row>
    <row r="2234" spans="1:15" ht="15" customHeight="1">
      <c r="A2234" s="38"/>
      <c r="B2234" s="78" t="s">
        <v>2869</v>
      </c>
      <c r="C2234" s="121"/>
      <c r="D2234" s="28" t="s">
        <v>3301</v>
      </c>
      <c r="E2234" s="28">
        <v>1.22</v>
      </c>
      <c r="F2234" s="78">
        <v>65</v>
      </c>
      <c r="G2234" s="121"/>
      <c r="H2234" s="78">
        <v>2</v>
      </c>
      <c r="I2234" s="121"/>
      <c r="J2234" s="138">
        <v>44939</v>
      </c>
      <c r="K2234" s="9">
        <f t="shared" si="157"/>
        <v>158.6</v>
      </c>
      <c r="L2234" s="64"/>
      <c r="M2234" s="41"/>
      <c r="N2234" s="38"/>
      <c r="O2234" s="38"/>
    </row>
    <row r="2235" spans="1:15" ht="15" customHeight="1">
      <c r="A2235" s="38"/>
      <c r="B2235" s="103" t="s">
        <v>3335</v>
      </c>
      <c r="C2235" s="121"/>
      <c r="D2235" s="110" t="s">
        <v>3301</v>
      </c>
      <c r="E2235" s="87">
        <v>1.22</v>
      </c>
      <c r="F2235" s="103">
        <v>59</v>
      </c>
      <c r="G2235" s="121"/>
      <c r="H2235" s="87">
        <v>2</v>
      </c>
      <c r="I2235" s="121"/>
      <c r="J2235" s="138">
        <v>45301</v>
      </c>
      <c r="K2235" s="64">
        <f t="shared" si="157"/>
        <v>143.96</v>
      </c>
      <c r="L2235" s="64"/>
      <c r="M2235" s="41"/>
      <c r="N2235" s="38"/>
      <c r="O2235" s="38"/>
    </row>
    <row r="2236" spans="1:15" ht="15" customHeight="1">
      <c r="A2236" s="38" t="s">
        <v>3171</v>
      </c>
      <c r="B2236" s="103" t="s">
        <v>3172</v>
      </c>
      <c r="C2236" s="121"/>
      <c r="D2236" s="28" t="s">
        <v>451</v>
      </c>
      <c r="E2236" s="87">
        <v>1.22</v>
      </c>
      <c r="F2236" s="103">
        <v>125</v>
      </c>
      <c r="G2236" s="121"/>
      <c r="H2236" s="87">
        <v>1.6</v>
      </c>
      <c r="I2236" s="121"/>
      <c r="J2236" s="138">
        <v>45190</v>
      </c>
      <c r="K2236" s="13">
        <f t="shared" si="157"/>
        <v>244</v>
      </c>
      <c r="L2236" s="64"/>
      <c r="M2236" s="41"/>
      <c r="N2236" s="38"/>
      <c r="O2236" s="38"/>
    </row>
    <row r="2237" spans="1:15" ht="15" customHeight="1">
      <c r="A2237" s="24" t="s">
        <v>4534</v>
      </c>
      <c r="B2237" s="78" t="s">
        <v>4535</v>
      </c>
      <c r="C2237" s="78" t="s">
        <v>539</v>
      </c>
      <c r="D2237" s="28" t="s">
        <v>1983</v>
      </c>
      <c r="E2237" s="28">
        <v>1.22</v>
      </c>
      <c r="F2237" s="78">
        <v>102</v>
      </c>
      <c r="G2237" s="78"/>
      <c r="H2237" s="28">
        <v>1.6</v>
      </c>
      <c r="I2237" s="78"/>
      <c r="J2237" s="140">
        <v>45982</v>
      </c>
      <c r="K2237" s="13">
        <f t="shared" si="157"/>
        <v>199.10400000000001</v>
      </c>
      <c r="L2237" s="13"/>
      <c r="M2237" s="13"/>
      <c r="N2237" s="13">
        <f>G2237*H2237*I2237*E2237</f>
        <v>0</v>
      </c>
      <c r="O2237" s="15">
        <f>K2237*1.6667</f>
        <v>331.84663680000006</v>
      </c>
    </row>
    <row r="2238" spans="1:15" ht="15" customHeight="1">
      <c r="A2238" s="24" t="s">
        <v>3160</v>
      </c>
      <c r="B2238" s="78" t="s">
        <v>3161</v>
      </c>
      <c r="C2238" s="78"/>
      <c r="D2238" s="28" t="s">
        <v>451</v>
      </c>
      <c r="E2238" s="28">
        <v>1.22</v>
      </c>
      <c r="F2238" s="78">
        <v>140</v>
      </c>
      <c r="G2238" s="78"/>
      <c r="H2238" s="28">
        <v>1.6</v>
      </c>
      <c r="I2238" s="78"/>
      <c r="J2238" s="140" t="s">
        <v>3162</v>
      </c>
      <c r="K2238" s="13">
        <f t="shared" si="157"/>
        <v>273.27999999999997</v>
      </c>
      <c r="L2238" s="13"/>
      <c r="M2238" s="13"/>
      <c r="N2238" s="13"/>
      <c r="O2238" s="15"/>
    </row>
    <row r="2239" spans="1:15" ht="15" hidden="1" customHeight="1">
      <c r="A2239" s="31"/>
      <c r="B2239" s="78" t="s">
        <v>1337</v>
      </c>
      <c r="C2239" s="78" t="s">
        <v>541</v>
      </c>
      <c r="D2239" s="78" t="s">
        <v>3301</v>
      </c>
      <c r="E2239" s="78">
        <v>1.22</v>
      </c>
      <c r="F2239" s="78">
        <v>36</v>
      </c>
      <c r="G2239" s="78"/>
      <c r="H2239" s="78">
        <v>2.2999999999999998</v>
      </c>
      <c r="I2239" s="78"/>
      <c r="J2239" s="140">
        <v>43657</v>
      </c>
      <c r="K2239" s="13">
        <f t="shared" ref="K2239:K2253" si="158">E2239*F2239*H2239</f>
        <v>101.01599999999999</v>
      </c>
      <c r="L2239" s="13"/>
      <c r="M2239" s="13"/>
      <c r="N2239" s="13">
        <f>G2239*H2239*I2239*E2239</f>
        <v>0</v>
      </c>
      <c r="O2239" s="15">
        <f>K2239*1.6667</f>
        <v>168.3633672</v>
      </c>
    </row>
    <row r="2240" spans="1:15" ht="15" customHeight="1">
      <c r="A2240" s="41"/>
      <c r="B2240" s="235" t="s">
        <v>4358</v>
      </c>
      <c r="C2240" s="237">
        <v>17</v>
      </c>
      <c r="D2240" s="110" t="s">
        <v>451</v>
      </c>
      <c r="E2240" s="87">
        <v>1.22</v>
      </c>
      <c r="F2240" s="235">
        <v>131</v>
      </c>
      <c r="G2240" s="237"/>
      <c r="H2240" s="235">
        <v>1.8</v>
      </c>
      <c r="I2240" s="237"/>
      <c r="J2240" s="143">
        <v>45909</v>
      </c>
      <c r="K2240" s="63">
        <f t="shared" si="158"/>
        <v>287.67599999999999</v>
      </c>
      <c r="L2240" s="64"/>
      <c r="M2240" s="41"/>
    </row>
    <row r="2241" spans="1:15" ht="15" customHeight="1">
      <c r="A2241" s="38"/>
      <c r="B2241" s="235" t="s">
        <v>4358</v>
      </c>
      <c r="C2241" s="121">
        <v>21</v>
      </c>
      <c r="D2241" s="121" t="s">
        <v>451</v>
      </c>
      <c r="E2241" s="103">
        <v>1.22</v>
      </c>
      <c r="F2241" s="103">
        <v>211</v>
      </c>
      <c r="G2241" s="121"/>
      <c r="H2241" s="103">
        <v>1.8</v>
      </c>
      <c r="I2241" s="121"/>
      <c r="J2241" s="143">
        <v>45909</v>
      </c>
      <c r="K2241" s="63">
        <f t="shared" si="158"/>
        <v>463.35600000000005</v>
      </c>
    </row>
    <row r="2242" spans="1:15" ht="15" customHeight="1">
      <c r="A2242" s="38"/>
      <c r="B2242" s="103" t="s">
        <v>3458</v>
      </c>
      <c r="C2242" s="121">
        <v>15</v>
      </c>
      <c r="D2242" s="121" t="s">
        <v>451</v>
      </c>
      <c r="E2242" s="103">
        <v>1.22</v>
      </c>
      <c r="F2242" s="103">
        <v>112</v>
      </c>
      <c r="G2242" s="121"/>
      <c r="H2242" s="103">
        <v>1.6</v>
      </c>
      <c r="I2242" s="121"/>
      <c r="J2242" s="135">
        <v>45653</v>
      </c>
      <c r="K2242" s="63">
        <f t="shared" si="158"/>
        <v>218.624</v>
      </c>
    </row>
    <row r="2243" spans="1:15" ht="15" customHeight="1">
      <c r="B2243" s="108" t="s">
        <v>4551</v>
      </c>
      <c r="D2243" s="121" t="s">
        <v>451</v>
      </c>
      <c r="E2243" s="103">
        <v>1.22</v>
      </c>
      <c r="F2243" s="108">
        <v>70</v>
      </c>
      <c r="H2243" s="103">
        <v>1.7</v>
      </c>
      <c r="J2243" s="135">
        <v>45981</v>
      </c>
      <c r="K2243" s="63">
        <f t="shared" si="158"/>
        <v>145.17999999999998</v>
      </c>
    </row>
    <row r="2244" spans="1:15" ht="15" customHeight="1">
      <c r="A2244" s="24"/>
      <c r="B2244" s="78" t="s">
        <v>4204</v>
      </c>
      <c r="C2244" s="78"/>
      <c r="D2244" s="78" t="s">
        <v>1859</v>
      </c>
      <c r="E2244" s="78">
        <v>1.22</v>
      </c>
      <c r="F2244" s="78">
        <v>62</v>
      </c>
      <c r="G2244" s="78"/>
      <c r="H2244" s="78">
        <v>1.5</v>
      </c>
      <c r="I2244" s="78"/>
      <c r="J2244" s="134">
        <v>45776</v>
      </c>
      <c r="K2244" s="57">
        <f t="shared" si="158"/>
        <v>113.46000000000001</v>
      </c>
      <c r="L2244" s="13"/>
      <c r="M2244" s="13"/>
      <c r="N2244" s="13"/>
      <c r="O2244" s="15"/>
    </row>
    <row r="2245" spans="1:15" ht="15" customHeight="1">
      <c r="A2245" s="24"/>
      <c r="B2245" s="78" t="s">
        <v>1535</v>
      </c>
      <c r="C2245" s="78"/>
      <c r="D2245" s="78" t="s">
        <v>3301</v>
      </c>
      <c r="E2245" s="78">
        <v>1.22</v>
      </c>
      <c r="F2245" s="78">
        <v>2.98</v>
      </c>
      <c r="G2245" s="78"/>
      <c r="H2245" s="78">
        <v>1.8</v>
      </c>
      <c r="I2245" s="78"/>
      <c r="J2245" s="135">
        <v>43900</v>
      </c>
      <c r="K2245" s="10">
        <f t="shared" si="158"/>
        <v>6.5440799999999992</v>
      </c>
      <c r="L2245" s="13"/>
      <c r="M2245" s="13"/>
      <c r="N2245" s="13">
        <f>G2245*H2245*I2245*E2245</f>
        <v>0</v>
      </c>
      <c r="O2245" s="15">
        <f>K2245*1.6667</f>
        <v>10.907018136</v>
      </c>
    </row>
    <row r="2246" spans="1:15" ht="15" customHeight="1">
      <c r="A2246" s="38"/>
      <c r="B2246" s="78" t="s">
        <v>1587</v>
      </c>
      <c r="C2246" s="78" t="s">
        <v>1588</v>
      </c>
      <c r="D2246" s="78"/>
      <c r="E2246" s="78">
        <v>1.22</v>
      </c>
      <c r="F2246" s="78">
        <v>163</v>
      </c>
      <c r="G2246" s="121"/>
      <c r="H2246" s="78">
        <v>1.3</v>
      </c>
      <c r="I2246" s="121"/>
      <c r="J2246" s="135">
        <v>43906</v>
      </c>
      <c r="K2246" s="10">
        <f t="shared" si="158"/>
        <v>258.51799999999997</v>
      </c>
      <c r="L2246" s="246"/>
      <c r="M2246" s="41"/>
      <c r="N2246" s="38"/>
      <c r="O2246" s="38"/>
    </row>
    <row r="2247" spans="1:15" ht="15" customHeight="1">
      <c r="A2247" s="38"/>
      <c r="B2247" s="78" t="s">
        <v>715</v>
      </c>
      <c r="C2247" s="125" t="s">
        <v>2982</v>
      </c>
      <c r="D2247" s="78"/>
      <c r="E2247" s="78">
        <v>1.22</v>
      </c>
      <c r="F2247" s="78">
        <v>601</v>
      </c>
      <c r="G2247" s="121"/>
      <c r="H2247" s="78">
        <v>1.7</v>
      </c>
      <c r="I2247" s="121"/>
      <c r="J2247" s="183" t="s">
        <v>2761</v>
      </c>
      <c r="K2247" s="13">
        <f t="shared" si="158"/>
        <v>1246.4739999999999</v>
      </c>
      <c r="L2247" s="50"/>
      <c r="M2247" s="41"/>
      <c r="N2247" s="38"/>
      <c r="O2247" s="15">
        <f>K2247*1.6667</f>
        <v>2077.4982157999998</v>
      </c>
    </row>
    <row r="2248" spans="1:15" ht="15" customHeight="1">
      <c r="A2248" s="21"/>
      <c r="B2248" s="28" t="s">
        <v>715</v>
      </c>
      <c r="C2248" s="28" t="s">
        <v>3123</v>
      </c>
      <c r="D2248" s="28"/>
      <c r="E2248" s="28">
        <v>1.22</v>
      </c>
      <c r="F2248" s="28">
        <v>1947</v>
      </c>
      <c r="G2248" s="28"/>
      <c r="H2248" s="28">
        <v>1.4</v>
      </c>
      <c r="I2248" s="28"/>
      <c r="J2248" s="133">
        <v>45154</v>
      </c>
      <c r="K2248" s="9">
        <f t="shared" si="158"/>
        <v>3325.4760000000001</v>
      </c>
      <c r="L2248" s="9"/>
      <c r="M2248" s="9"/>
      <c r="N2248" s="9">
        <f>G2248*H2248*I2248*E2248</f>
        <v>0</v>
      </c>
      <c r="O2248" s="3">
        <f>K2248*1.6667</f>
        <v>5542.5708492000003</v>
      </c>
    </row>
    <row r="2249" spans="1:15" ht="15" customHeight="1">
      <c r="A2249" s="16"/>
      <c r="B2249" s="87" t="s">
        <v>4080</v>
      </c>
      <c r="C2249" s="110"/>
      <c r="D2249" s="28" t="s">
        <v>1905</v>
      </c>
      <c r="E2249" s="28">
        <v>1.22</v>
      </c>
      <c r="F2249" s="87">
        <v>50.5</v>
      </c>
      <c r="G2249" s="110"/>
      <c r="H2249" s="87">
        <v>1.8</v>
      </c>
      <c r="I2249" s="110"/>
      <c r="J2249" s="135">
        <v>45755</v>
      </c>
      <c r="K2249" s="13">
        <f t="shared" si="158"/>
        <v>110.898</v>
      </c>
      <c r="L2249" s="37"/>
      <c r="M2249" s="17"/>
      <c r="N2249" s="16"/>
      <c r="O2249" s="16"/>
    </row>
    <row r="2250" spans="1:15" ht="15" customHeight="1">
      <c r="A2250" s="21">
        <v>59</v>
      </c>
      <c r="B2250" s="28" t="s">
        <v>3487</v>
      </c>
      <c r="C2250" s="28" t="s">
        <v>3488</v>
      </c>
      <c r="D2250" s="28" t="s">
        <v>3324</v>
      </c>
      <c r="E2250" s="28">
        <v>1.22</v>
      </c>
      <c r="F2250" s="28">
        <v>44.09</v>
      </c>
      <c r="G2250" s="28"/>
      <c r="H2250" s="28">
        <v>1.6</v>
      </c>
      <c r="I2250" s="28"/>
      <c r="J2250" s="133">
        <v>45422</v>
      </c>
      <c r="K2250" s="13">
        <f t="shared" si="158"/>
        <v>86.063680000000005</v>
      </c>
      <c r="L2250" s="9"/>
      <c r="M2250" s="9"/>
      <c r="N2250" s="9">
        <f>G2250*H2250*I2250*E2250</f>
        <v>0</v>
      </c>
      <c r="O2250" s="3">
        <f>K2250*1.6667</f>
        <v>143.44233545600002</v>
      </c>
    </row>
    <row r="2251" spans="1:15" ht="15" customHeight="1">
      <c r="A2251" s="21">
        <v>0</v>
      </c>
      <c r="B2251" s="96" t="s">
        <v>1704</v>
      </c>
      <c r="C2251" s="28" t="s">
        <v>93</v>
      </c>
      <c r="D2251" s="28" t="s">
        <v>3351</v>
      </c>
      <c r="E2251" s="28">
        <v>1.1000000000000001</v>
      </c>
      <c r="F2251" s="28">
        <v>139.44999999999999</v>
      </c>
      <c r="G2251" s="28"/>
      <c r="H2251" s="28">
        <v>1.4</v>
      </c>
      <c r="I2251" s="28"/>
      <c r="J2251" s="133">
        <v>45540</v>
      </c>
      <c r="K2251" s="13">
        <f t="shared" si="158"/>
        <v>214.75300000000001</v>
      </c>
      <c r="L2251" s="9"/>
      <c r="M2251" s="9"/>
      <c r="N2251" s="16"/>
      <c r="O2251" s="3">
        <f>K2251*1.6667</f>
        <v>357.92882510000004</v>
      </c>
    </row>
    <row r="2252" spans="1:15" ht="15" customHeight="1">
      <c r="A2252" s="21">
        <v>0</v>
      </c>
      <c r="B2252" s="28" t="s">
        <v>1704</v>
      </c>
      <c r="C2252" s="28" t="s">
        <v>125</v>
      </c>
      <c r="D2252" s="28" t="s">
        <v>3351</v>
      </c>
      <c r="E2252" s="28">
        <v>1.22</v>
      </c>
      <c r="F2252" s="28">
        <v>71.48</v>
      </c>
      <c r="G2252" s="28"/>
      <c r="H2252" s="28">
        <v>1.3</v>
      </c>
      <c r="I2252" s="28"/>
      <c r="J2252" s="133">
        <v>45540</v>
      </c>
      <c r="K2252" s="10">
        <f t="shared" si="158"/>
        <v>113.36728000000001</v>
      </c>
      <c r="L2252" s="9"/>
      <c r="M2252" s="9"/>
      <c r="N2252" s="16"/>
      <c r="O2252" s="3">
        <f>K2252*1.6667</f>
        <v>188.94924557600001</v>
      </c>
    </row>
    <row r="2253" spans="1:15" ht="15" customHeight="1">
      <c r="A2253" s="71" t="s">
        <v>2993</v>
      </c>
      <c r="B2253" s="93" t="s">
        <v>2992</v>
      </c>
      <c r="C2253" s="121" t="s">
        <v>2994</v>
      </c>
      <c r="D2253" s="28" t="s">
        <v>1983</v>
      </c>
      <c r="E2253" s="229">
        <v>1.22</v>
      </c>
      <c r="F2253" s="78">
        <v>114</v>
      </c>
      <c r="G2253" s="121"/>
      <c r="H2253" s="78">
        <v>1.4</v>
      </c>
      <c r="I2253" s="121"/>
      <c r="J2253" s="138">
        <v>45890</v>
      </c>
      <c r="K2253" s="13">
        <f t="shared" si="158"/>
        <v>194.71199999999996</v>
      </c>
      <c r="L2253" s="64"/>
      <c r="M2253" s="41"/>
      <c r="N2253" s="38"/>
      <c r="O2253" s="38"/>
    </row>
    <row r="2254" spans="1:15" ht="15" customHeight="1">
      <c r="A2254" s="38"/>
      <c r="B2254" s="28" t="s">
        <v>2232</v>
      </c>
      <c r="C2254" s="78" t="s">
        <v>2233</v>
      </c>
      <c r="D2254" s="28"/>
      <c r="E2254" s="44"/>
      <c r="F2254" s="78"/>
      <c r="G2254" s="121">
        <v>1.35</v>
      </c>
      <c r="H2254" s="28">
        <v>1.4</v>
      </c>
      <c r="I2254" s="78">
        <v>44</v>
      </c>
      <c r="J2254" s="138">
        <v>44431</v>
      </c>
      <c r="K2254" s="37">
        <f>+I2254*H2254*G2254*E2260</f>
        <v>0</v>
      </c>
      <c r="L2254" s="41"/>
      <c r="M2254" s="41"/>
      <c r="N2254" s="38"/>
      <c r="O2254" s="38"/>
    </row>
    <row r="2255" spans="1:15" ht="15" customHeight="1">
      <c r="A2255" s="24">
        <v>9</v>
      </c>
      <c r="B2255" s="28" t="s">
        <v>1390</v>
      </c>
      <c r="C2255" s="78" t="s">
        <v>133</v>
      </c>
      <c r="D2255" s="28" t="s">
        <v>23</v>
      </c>
      <c r="E2255" s="44">
        <v>1</v>
      </c>
      <c r="F2255" s="78">
        <v>192</v>
      </c>
      <c r="G2255" s="78"/>
      <c r="H2255" s="28">
        <v>1.6</v>
      </c>
      <c r="I2255" s="78"/>
      <c r="J2255" s="144">
        <v>45272</v>
      </c>
      <c r="K2255" s="9">
        <f>+F2255*H2255</f>
        <v>307.20000000000005</v>
      </c>
      <c r="L2255" s="13"/>
      <c r="M2255" s="13"/>
      <c r="N2255" s="13">
        <f>G2255*H2255*I2255*E2262</f>
        <v>0</v>
      </c>
      <c r="O2255" s="15">
        <f>K2255*1.6667</f>
        <v>512.01024000000007</v>
      </c>
    </row>
    <row r="2256" spans="1:15" ht="15" customHeight="1">
      <c r="A2256" s="58">
        <v>100189</v>
      </c>
      <c r="B2256" s="102"/>
      <c r="C2256" s="102"/>
      <c r="D2256" s="78"/>
      <c r="E2256" s="103">
        <v>1</v>
      </c>
      <c r="F2256" s="102">
        <v>313</v>
      </c>
      <c r="G2256" s="121"/>
      <c r="H2256" s="103">
        <v>1.4</v>
      </c>
      <c r="I2256" s="78"/>
      <c r="J2256" s="144">
        <v>45200</v>
      </c>
      <c r="K2256" s="13">
        <f>E2256*F2256*H2256*I2256</f>
        <v>0</v>
      </c>
      <c r="L2256" s="13"/>
      <c r="M2256" s="41"/>
      <c r="N2256" s="38"/>
      <c r="O2256" s="38"/>
    </row>
    <row r="2257" spans="1:15" ht="15" customHeight="1">
      <c r="A2257" s="24"/>
      <c r="B2257" s="268"/>
      <c r="C2257" s="78"/>
      <c r="D2257" s="28"/>
      <c r="E2257" s="28"/>
      <c r="F2257" s="78"/>
      <c r="G2257" s="121"/>
      <c r="H2257" s="78"/>
      <c r="I2257" s="121"/>
      <c r="J2257" s="134"/>
      <c r="K2257" s="13"/>
      <c r="L2257" s="13"/>
      <c r="M2257" s="13"/>
      <c r="N2257" s="13"/>
      <c r="O2257" s="15"/>
    </row>
    <row r="2258" spans="1:15" ht="15" customHeight="1">
      <c r="A2258" s="38"/>
      <c r="B2258" s="103"/>
      <c r="C2258" s="121"/>
      <c r="D2258" s="110"/>
      <c r="E2258" s="101"/>
      <c r="F2258" s="103"/>
      <c r="G2258" s="121"/>
      <c r="H2258" s="103"/>
      <c r="I2258" s="121"/>
      <c r="J2258" s="103"/>
      <c r="K2258" s="64"/>
      <c r="L2258" s="64"/>
      <c r="M2258" s="41"/>
      <c r="N2258" s="38"/>
      <c r="O2258" s="38"/>
    </row>
    <row r="2259" spans="1:15" ht="15" customHeight="1">
      <c r="A2259" s="38"/>
      <c r="B2259" s="103"/>
      <c r="C2259" s="121"/>
      <c r="D2259" s="121"/>
      <c r="E2259" s="87"/>
      <c r="F2259" s="103"/>
      <c r="G2259" s="121"/>
      <c r="H2259" s="103"/>
      <c r="I2259" s="121"/>
      <c r="J2259" s="103"/>
      <c r="K2259" s="64"/>
      <c r="L2259" s="64"/>
      <c r="M2259" s="41"/>
      <c r="N2259" s="38"/>
      <c r="O2259" s="38"/>
    </row>
    <row r="2260" spans="1:15" ht="15" customHeight="1">
      <c r="A2260" s="38"/>
      <c r="B2260" s="103"/>
      <c r="C2260" s="121"/>
      <c r="D2260" s="121"/>
      <c r="E2260" s="103"/>
      <c r="F2260" s="103"/>
      <c r="G2260" s="121"/>
      <c r="H2260" s="103"/>
      <c r="I2260" s="121"/>
      <c r="J2260" s="103"/>
      <c r="K2260" s="64"/>
      <c r="L2260" s="64"/>
      <c r="M2260" s="41"/>
      <c r="N2260" s="38"/>
      <c r="O2260" s="38"/>
    </row>
    <row r="2261" spans="1:15" ht="15" customHeight="1">
      <c r="A2261" s="38"/>
      <c r="B2261" s="103"/>
      <c r="C2261" s="121"/>
      <c r="D2261" s="121"/>
      <c r="E2261" s="103"/>
      <c r="F2261" s="103"/>
      <c r="G2261" s="121"/>
      <c r="H2261" s="103"/>
      <c r="I2261" s="121"/>
      <c r="J2261" s="103"/>
      <c r="K2261" s="64"/>
      <c r="L2261" s="64"/>
      <c r="M2261" s="41"/>
      <c r="N2261" s="38"/>
      <c r="O2261" s="38"/>
    </row>
    <row r="2262" spans="1:15" ht="15" customHeight="1">
      <c r="A2262" s="31"/>
      <c r="B2262" s="78"/>
      <c r="C2262" s="82"/>
      <c r="D2262" s="78"/>
      <c r="E2262" s="78"/>
      <c r="F2262" s="78"/>
      <c r="G2262" s="82"/>
      <c r="H2262" s="78"/>
      <c r="I2262" s="82"/>
      <c r="J2262" s="140"/>
      <c r="K2262" s="13"/>
      <c r="L2262" s="13"/>
      <c r="M2262" s="13"/>
      <c r="N2262" s="13"/>
      <c r="O2262" s="15"/>
    </row>
    <row r="2263" spans="1:15" ht="15" customHeight="1">
      <c r="A2263" s="24"/>
      <c r="B2263" s="78"/>
      <c r="C2263" s="78"/>
      <c r="D2263" s="28"/>
      <c r="E2263" s="28"/>
      <c r="F2263" s="78"/>
      <c r="G2263" s="78"/>
      <c r="H2263" s="78"/>
      <c r="I2263" s="78"/>
      <c r="J2263" s="133"/>
      <c r="K2263" s="9"/>
      <c r="L2263" s="13"/>
      <c r="M2263" s="13"/>
      <c r="N2263" s="13"/>
      <c r="O2263" s="15"/>
    </row>
    <row r="2264" spans="1:15" ht="15" customHeight="1">
      <c r="A2264" s="24"/>
      <c r="B2264" s="78"/>
      <c r="C2264" s="28"/>
      <c r="D2264" s="28"/>
      <c r="E2264" s="28"/>
      <c r="F2264" s="78"/>
      <c r="G2264" s="78"/>
      <c r="H2264" s="78"/>
      <c r="I2264" s="78"/>
      <c r="J2264" s="140"/>
      <c r="K2264" s="10"/>
      <c r="L2264" s="13"/>
      <c r="M2264" s="13"/>
      <c r="N2264" s="13"/>
      <c r="O2264" s="15"/>
    </row>
    <row r="2265" spans="1:15" ht="15" customHeight="1">
      <c r="A2265" s="39"/>
      <c r="B2265" s="103"/>
      <c r="C2265" s="121"/>
      <c r="D2265" s="110"/>
      <c r="E2265" s="87"/>
      <c r="F2265" s="103"/>
      <c r="G2265" s="121"/>
      <c r="H2265" s="103"/>
      <c r="I2265" s="121"/>
      <c r="J2265" s="103"/>
      <c r="K2265" s="37"/>
      <c r="L2265" s="64"/>
      <c r="M2265" s="41"/>
      <c r="N2265" s="38"/>
      <c r="O2265" s="38"/>
    </row>
    <row r="2266" spans="1:15" ht="15" customHeight="1">
      <c r="A2266" s="38"/>
      <c r="B2266" s="87"/>
      <c r="C2266" s="121"/>
      <c r="D2266" s="110"/>
      <c r="E2266" s="87"/>
      <c r="F2266" s="103"/>
      <c r="G2266" s="121"/>
      <c r="H2266" s="162"/>
      <c r="I2266" s="121"/>
      <c r="J2266" s="103"/>
      <c r="K2266" s="37"/>
      <c r="L2266" s="64"/>
      <c r="M2266" s="41"/>
      <c r="N2266" s="38"/>
      <c r="O2266" s="38"/>
    </row>
    <row r="2267" spans="1:15" ht="15" customHeight="1">
      <c r="A2267" s="38"/>
      <c r="B2267" s="87"/>
      <c r="C2267" s="121"/>
      <c r="D2267" s="110"/>
      <c r="E2267" s="87"/>
      <c r="F2267" s="103"/>
      <c r="G2267" s="121"/>
      <c r="H2267" s="162"/>
      <c r="I2267" s="121"/>
      <c r="J2267" s="103"/>
      <c r="K2267" s="37"/>
      <c r="L2267" s="64"/>
      <c r="M2267" s="41"/>
      <c r="N2267" s="38"/>
      <c r="O2267" s="38"/>
    </row>
    <row r="2268" spans="1:15" ht="15" customHeight="1">
      <c r="A2268" s="38"/>
      <c r="B2268" s="103"/>
      <c r="C2268" s="121"/>
      <c r="D2268" s="120"/>
      <c r="E2268" s="103"/>
      <c r="F2268" s="103"/>
      <c r="G2268" s="121"/>
      <c r="H2268" s="103"/>
      <c r="I2268" s="121"/>
      <c r="J2268" s="103"/>
      <c r="K2268" s="64"/>
      <c r="L2268" s="64"/>
      <c r="M2268" s="41"/>
      <c r="N2268" s="38"/>
      <c r="O2268" s="38"/>
    </row>
    <row r="2269" spans="1:15" ht="15" customHeight="1">
      <c r="A2269" s="38"/>
      <c r="B2269" s="103"/>
      <c r="C2269" s="121"/>
      <c r="D2269" s="120"/>
      <c r="E2269" s="103"/>
      <c r="F2269" s="103"/>
      <c r="G2269" s="121"/>
      <c r="H2269" s="103"/>
      <c r="I2269" s="121"/>
      <c r="J2269" s="103"/>
      <c r="K2269" s="64"/>
      <c r="L2269" s="64"/>
      <c r="M2269" s="41"/>
      <c r="N2269" s="38"/>
      <c r="O2269" s="38"/>
    </row>
    <row r="2270" spans="1:15" ht="15" customHeight="1">
      <c r="A2270" s="58"/>
      <c r="B2270" s="103"/>
      <c r="C2270" s="125"/>
      <c r="D2270" s="85"/>
      <c r="E2270" s="78"/>
      <c r="F2270" s="106"/>
      <c r="G2270" s="121"/>
      <c r="H2270" s="78"/>
      <c r="I2270" s="121"/>
      <c r="J2270" s="144"/>
      <c r="K2270" s="13"/>
      <c r="L2270" s="13"/>
      <c r="M2270" s="41"/>
      <c r="N2270" s="38"/>
      <c r="O2270" s="38"/>
    </row>
    <row r="2271" spans="1:15" ht="15" customHeight="1">
      <c r="A2271" s="24">
        <v>19141</v>
      </c>
      <c r="B2271" s="261"/>
      <c r="C2271" s="78"/>
      <c r="D2271" s="85"/>
      <c r="E2271" s="103"/>
      <c r="F2271" s="78"/>
      <c r="G2271" s="78"/>
      <c r="H2271" s="78"/>
      <c r="I2271" s="78"/>
      <c r="J2271" s="144">
        <v>44944</v>
      </c>
      <c r="K2271" s="13"/>
      <c r="L2271" s="13"/>
      <c r="M2271" s="13"/>
      <c r="N2271" s="13"/>
      <c r="O2271" s="15"/>
    </row>
    <row r="2272" spans="1:15" ht="15" customHeight="1">
      <c r="A2272" s="58"/>
      <c r="B2272" s="102"/>
      <c r="C2272" s="125"/>
      <c r="D2272" s="165"/>
      <c r="E2272" s="102">
        <v>0</v>
      </c>
      <c r="F2272" s="102">
        <v>0</v>
      </c>
      <c r="G2272" s="125"/>
      <c r="H2272" s="102">
        <v>0</v>
      </c>
      <c r="I2272" s="125"/>
      <c r="J2272" s="102"/>
      <c r="K2272" s="50"/>
      <c r="L2272" s="50"/>
      <c r="M2272" s="58"/>
      <c r="N2272" s="58"/>
      <c r="O2272" s="58"/>
    </row>
    <row r="2273" spans="1:15" ht="15" customHeight="1">
      <c r="A2273" s="23">
        <v>214</v>
      </c>
      <c r="B2273" s="103"/>
      <c r="C2273" s="121"/>
      <c r="D2273" s="110"/>
      <c r="E2273" s="87"/>
      <c r="F2273" s="103"/>
      <c r="G2273" s="121"/>
      <c r="H2273" s="103"/>
      <c r="I2273" s="121"/>
      <c r="J2273" s="103"/>
      <c r="K2273" s="64"/>
      <c r="L2273" s="64"/>
      <c r="M2273" s="41"/>
      <c r="N2273" s="38"/>
      <c r="O2273" s="38"/>
    </row>
    <row r="2274" spans="1:15" ht="15" customHeight="1">
      <c r="A2274" s="38"/>
      <c r="B2274" s="103"/>
      <c r="C2274" s="121"/>
      <c r="D2274" s="110"/>
      <c r="E2274" s="87">
        <v>1.22</v>
      </c>
      <c r="F2274" s="103"/>
      <c r="G2274" s="121"/>
      <c r="H2274" s="103"/>
      <c r="I2274" s="121"/>
      <c r="J2274" s="103"/>
      <c r="K2274" s="64"/>
      <c r="L2274" s="64"/>
      <c r="M2274" s="41"/>
      <c r="N2274" s="38"/>
      <c r="O2274" s="38"/>
    </row>
    <row r="2275" spans="1:15" ht="15" customHeight="1">
      <c r="A2275" s="38"/>
      <c r="B2275" s="103"/>
      <c r="C2275" s="121"/>
      <c r="D2275" s="110"/>
      <c r="E2275" s="87">
        <v>1.22</v>
      </c>
      <c r="F2275" s="103"/>
      <c r="G2275" s="121"/>
      <c r="H2275" s="103"/>
      <c r="I2275" s="121"/>
      <c r="J2275" s="103"/>
      <c r="K2275" s="64"/>
      <c r="L2275" s="64"/>
      <c r="M2275" s="41"/>
      <c r="N2275" s="38"/>
      <c r="O2275" s="38"/>
    </row>
    <row r="2276" spans="1:15" ht="15" customHeight="1">
      <c r="A2276" s="38"/>
      <c r="B2276" s="87"/>
      <c r="C2276" s="121"/>
      <c r="D2276" s="110"/>
      <c r="E2276" s="87"/>
      <c r="F2276" s="103"/>
      <c r="G2276" s="121"/>
      <c r="H2276" s="103"/>
      <c r="I2276" s="121"/>
      <c r="J2276" s="103"/>
      <c r="K2276" s="35">
        <f t="shared" ref="K2276:K2282" si="159">E2276*F2276*H2276</f>
        <v>0</v>
      </c>
      <c r="L2276" s="64"/>
      <c r="M2276" s="41"/>
      <c r="N2276" s="38"/>
      <c r="O2276" s="38"/>
    </row>
    <row r="2277" spans="1:15" ht="15" customHeight="1">
      <c r="A2277" s="38"/>
      <c r="B2277" s="103"/>
      <c r="C2277" s="121"/>
      <c r="D2277" s="110"/>
      <c r="E2277" s="87"/>
      <c r="F2277" s="103"/>
      <c r="G2277" s="121"/>
      <c r="H2277" s="103"/>
      <c r="I2277" s="121"/>
      <c r="J2277" s="103"/>
      <c r="K2277" s="50">
        <f t="shared" si="159"/>
        <v>0</v>
      </c>
      <c r="L2277" s="64"/>
      <c r="M2277" s="41"/>
      <c r="N2277" s="38"/>
      <c r="O2277" s="38"/>
    </row>
    <row r="2278" spans="1:15" ht="15" customHeight="1">
      <c r="A2278" s="38"/>
      <c r="B2278" s="103"/>
      <c r="D2278" s="121"/>
      <c r="E2278" s="103"/>
      <c r="H2278" s="103"/>
      <c r="I2278" s="121"/>
      <c r="J2278" s="103"/>
      <c r="K2278" s="50">
        <f t="shared" si="159"/>
        <v>0</v>
      </c>
    </row>
    <row r="2279" spans="1:15" ht="15" customHeight="1">
      <c r="A2279" s="38"/>
      <c r="B2279" s="103"/>
      <c r="D2279" s="121"/>
      <c r="E2279" s="103"/>
      <c r="H2279" s="103"/>
      <c r="I2279" s="121"/>
      <c r="J2279" s="103"/>
      <c r="K2279" s="50">
        <f t="shared" si="159"/>
        <v>0</v>
      </c>
    </row>
    <row r="2280" spans="1:15" ht="15" customHeight="1">
      <c r="A2280" s="38"/>
      <c r="B2280" s="103"/>
      <c r="C2280" s="121"/>
      <c r="D2280" s="110"/>
      <c r="E2280" s="87"/>
      <c r="F2280" s="103"/>
      <c r="G2280" s="121"/>
      <c r="H2280" s="103"/>
      <c r="I2280" s="121"/>
      <c r="J2280" s="103"/>
      <c r="K2280" s="50">
        <f t="shared" si="159"/>
        <v>0</v>
      </c>
    </row>
    <row r="2281" spans="1:15" ht="15" customHeight="1">
      <c r="A2281" s="38"/>
      <c r="B2281" s="103"/>
      <c r="C2281" s="121"/>
      <c r="D2281" s="120"/>
      <c r="E2281" s="103"/>
      <c r="F2281" s="103"/>
      <c r="G2281" s="121"/>
      <c r="H2281" s="103"/>
      <c r="I2281" s="121"/>
      <c r="J2281" s="87"/>
      <c r="K2281" s="13">
        <f t="shared" si="159"/>
        <v>0</v>
      </c>
    </row>
    <row r="2282" spans="1:15" ht="15" customHeight="1">
      <c r="A2282" s="38"/>
      <c r="B2282" s="103"/>
      <c r="C2282" s="121"/>
      <c r="D2282" s="120"/>
      <c r="E2282" s="103"/>
      <c r="F2282" s="103"/>
      <c r="G2282" s="121"/>
      <c r="H2282" s="103"/>
      <c r="I2282" s="121"/>
      <c r="J2282" s="87"/>
      <c r="K2282" s="13">
        <f t="shared" si="159"/>
        <v>0</v>
      </c>
      <c r="L2282" s="64"/>
      <c r="M2282" s="41"/>
    </row>
    <row r="2283" spans="1:15" ht="15" customHeight="1">
      <c r="A2283" s="38" t="s">
        <v>4372</v>
      </c>
      <c r="B2283" s="103"/>
      <c r="C2283" s="121"/>
      <c r="D2283" s="121"/>
      <c r="E2283" s="103"/>
      <c r="F2283" s="103"/>
      <c r="G2283" s="121"/>
      <c r="H2283" s="103"/>
      <c r="I2283" s="121"/>
      <c r="J2283" s="103"/>
      <c r="K2283" s="37"/>
      <c r="L2283" s="64"/>
      <c r="M2283" s="41"/>
      <c r="N2283" s="38"/>
      <c r="O2283" s="38"/>
    </row>
    <row r="2284" spans="1:15" ht="15" customHeight="1">
      <c r="A2284" s="38"/>
      <c r="B2284" s="103"/>
      <c r="C2284" s="121"/>
      <c r="D2284" s="121" t="s">
        <v>3300</v>
      </c>
      <c r="E2284" s="103">
        <v>1.22</v>
      </c>
      <c r="F2284" s="103"/>
      <c r="G2284" s="121"/>
      <c r="H2284" s="103"/>
      <c r="I2284" s="121"/>
      <c r="J2284" s="140">
        <v>45929</v>
      </c>
      <c r="K2284" s="64"/>
      <c r="L2284" s="64"/>
      <c r="M2284" s="41"/>
      <c r="N2284" s="38"/>
      <c r="O2284" s="38"/>
    </row>
    <row r="2285" spans="1:15" ht="15" customHeight="1">
      <c r="A2285" s="38">
        <v>1000047</v>
      </c>
      <c r="D2285" s="121"/>
      <c r="E2285" s="103"/>
      <c r="K2285" s="64"/>
    </row>
    <row r="2286" spans="1:15" ht="15" customHeight="1">
      <c r="D2286" s="78" t="s">
        <v>451</v>
      </c>
      <c r="E2286" s="78">
        <v>1.22</v>
      </c>
      <c r="K2286" s="13">
        <f>E2286*F2286*H2286</f>
        <v>0</v>
      </c>
    </row>
    <row r="2287" spans="1:15" ht="15" customHeight="1">
      <c r="D2287" s="78" t="s">
        <v>3297</v>
      </c>
      <c r="E2287" s="78">
        <v>1.22</v>
      </c>
    </row>
    <row r="2288" spans="1:15" ht="15" customHeight="1">
      <c r="B2288" s="108" t="s">
        <v>4581</v>
      </c>
      <c r="C2288" s="126" t="s">
        <v>4582</v>
      </c>
      <c r="D2288" s="126" t="s">
        <v>1905</v>
      </c>
      <c r="E2288" s="108">
        <v>1.22</v>
      </c>
      <c r="F2288" s="108">
        <v>175.41</v>
      </c>
      <c r="H2288" s="108">
        <v>1.5</v>
      </c>
      <c r="J2288" s="159">
        <v>46006</v>
      </c>
      <c r="K2288" s="9">
        <f>E2288*F2288*H2288</f>
        <v>321.00029999999998</v>
      </c>
    </row>
    <row r="2289" spans="2:11" ht="15" customHeight="1">
      <c r="B2289" s="108" t="s">
        <v>136</v>
      </c>
      <c r="C2289" s="126" t="s">
        <v>4583</v>
      </c>
      <c r="D2289" s="28" t="s">
        <v>23</v>
      </c>
      <c r="E2289" s="108">
        <v>1</v>
      </c>
      <c r="F2289" s="108">
        <v>88.81</v>
      </c>
      <c r="H2289" s="108">
        <v>1.4</v>
      </c>
      <c r="J2289" s="159">
        <v>46014</v>
      </c>
      <c r="K2289" s="9">
        <f>+F2289*H2289</f>
        <v>124.33399999999999</v>
      </c>
    </row>
    <row r="2290" spans="2:11" ht="15" customHeight="1">
      <c r="B2290" s="108" t="s">
        <v>4206</v>
      </c>
      <c r="C2290" s="126">
        <v>72</v>
      </c>
      <c r="K2290" s="60">
        <v>136</v>
      </c>
    </row>
    <row r="2291" spans="2:11" ht="15" customHeight="1">
      <c r="B2291" s="108" t="s">
        <v>4588</v>
      </c>
      <c r="C2291" s="126" t="s">
        <v>11</v>
      </c>
      <c r="D2291" s="126" t="s">
        <v>7</v>
      </c>
      <c r="E2291" s="108">
        <v>1.22</v>
      </c>
      <c r="F2291" s="108">
        <v>112</v>
      </c>
      <c r="H2291" s="108">
        <v>1.6</v>
      </c>
      <c r="J2291" s="159">
        <v>46029</v>
      </c>
      <c r="K2291" s="13">
        <f t="shared" ref="K2291" si="160">E2291*F2291*H2291</f>
        <v>218.624</v>
      </c>
    </row>
  </sheetData>
  <autoFilter ref="A1:O2291">
    <filterColumn colId="9">
      <filters blank="1">
        <filter val="08/04/024"/>
        <filter val="10/12/20255"/>
        <filter val="13/1022"/>
        <filter val="21/11025"/>
        <filter val="21/1125"/>
        <filter val="21/3/02023"/>
        <filter val="6/4/"/>
        <dateGroupItem year="2026" dateTimeGrouping="year"/>
        <dateGroupItem year="2025" dateTimeGrouping="year"/>
        <dateGroupItem year="2024" dateTimeGrouping="year"/>
        <dateGroupItem year="2023" dateTimeGrouping="year"/>
        <dateGroupItem year="2022" dateTimeGrouping="year"/>
        <dateGroupItem year="2021" dateTimeGrouping="year"/>
        <dateGroupItem year="2020" dateTimeGrouping="year"/>
        <dateGroupItem year="2016" dateTimeGrouping="year"/>
        <dateGroupItem year="2015" dateTimeGrouping="year"/>
        <dateGroupItem year="2014" dateTimeGrouping="year"/>
        <dateGroupItem year="2013" dateTimeGrouping="year"/>
        <dateGroupItem year="2009" dateTimeGrouping="year"/>
        <dateGroupItem year="2004" dateTimeGrouping="year"/>
        <dateGroupItem year="1900" dateTimeGrouping="year"/>
      </filters>
    </filterColumn>
    <sortState ref="A29:O2238">
      <sortCondition ref="B1:B2287"/>
    </sortState>
  </autoFilter>
  <sortState ref="A1364:Q1371">
    <sortCondition descending="1" ref="C1364:C1371"/>
  </sortState>
  <pageMargins left="0.25" right="0.25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B2" sqref="B2"/>
    </sheetView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K734"/>
  <sheetViews>
    <sheetView zoomScaleNormal="100" workbookViewId="0">
      <selection activeCell="E358" sqref="E358"/>
    </sheetView>
  </sheetViews>
  <sheetFormatPr baseColWidth="10" defaultRowHeight="15"/>
  <cols>
    <col min="1" max="1" width="12" bestFit="1" customWidth="1"/>
    <col min="2" max="2" width="38.7109375" customWidth="1"/>
    <col min="3" max="3" width="34.28515625" bestFit="1" customWidth="1"/>
    <col min="4" max="4" width="13.140625" customWidth="1"/>
    <col min="5" max="5" width="18.7109375" bestFit="1" customWidth="1"/>
    <col min="6" max="6" width="13.140625" customWidth="1"/>
    <col min="7" max="7" width="10.28515625" bestFit="1" customWidth="1"/>
    <col min="8" max="8" width="12" bestFit="1" customWidth="1"/>
    <col min="9" max="9" width="15.5703125" bestFit="1" customWidth="1"/>
  </cols>
  <sheetData>
    <row r="1" spans="1:11">
      <c r="A1" t="s">
        <v>1180</v>
      </c>
      <c r="C1">
        <v>9</v>
      </c>
      <c r="D1" t="s">
        <v>216</v>
      </c>
      <c r="E1" t="s">
        <v>217</v>
      </c>
      <c r="F1" t="s">
        <v>231</v>
      </c>
      <c r="G1" t="s">
        <v>218</v>
      </c>
      <c r="H1" t="s">
        <v>219</v>
      </c>
      <c r="I1" t="s">
        <v>220</v>
      </c>
    </row>
    <row r="2" spans="1:11" ht="15" hidden="1" customHeight="1">
      <c r="B2" t="s">
        <v>1891</v>
      </c>
      <c r="F2" s="5" t="s">
        <v>1892</v>
      </c>
      <c r="J2" s="1"/>
      <c r="K2" s="1"/>
    </row>
    <row r="3" spans="1:11" ht="15" hidden="1" customHeight="1">
      <c r="B3" t="s">
        <v>221</v>
      </c>
      <c r="C3" t="s">
        <v>222</v>
      </c>
      <c r="D3" t="s">
        <v>235</v>
      </c>
      <c r="E3" s="5">
        <v>47239329</v>
      </c>
      <c r="F3" s="5"/>
      <c r="G3" s="5">
        <v>-4718</v>
      </c>
      <c r="H3" s="5"/>
      <c r="J3" s="1"/>
      <c r="K3" s="1"/>
    </row>
    <row r="4" spans="1:11" ht="15" hidden="1" customHeight="1">
      <c r="A4">
        <v>122</v>
      </c>
      <c r="B4" t="s">
        <v>223</v>
      </c>
      <c r="C4" t="s">
        <v>224</v>
      </c>
      <c r="D4" t="s">
        <v>236</v>
      </c>
      <c r="E4" s="5">
        <v>22082815</v>
      </c>
      <c r="F4" s="5"/>
      <c r="G4" s="5">
        <v>34932</v>
      </c>
      <c r="H4" s="5"/>
      <c r="J4" s="1"/>
      <c r="K4" s="1"/>
    </row>
    <row r="5" spans="1:11" ht="15" hidden="1" customHeight="1">
      <c r="A5">
        <v>1064</v>
      </c>
      <c r="B5" t="s">
        <v>225</v>
      </c>
      <c r="C5" t="s">
        <v>226</v>
      </c>
      <c r="D5" t="s">
        <v>235</v>
      </c>
      <c r="E5" s="5" t="s">
        <v>255</v>
      </c>
      <c r="F5" s="5"/>
      <c r="G5" s="5">
        <v>2</v>
      </c>
      <c r="H5" s="5">
        <v>36527</v>
      </c>
      <c r="J5" s="1"/>
      <c r="K5" s="1"/>
    </row>
    <row r="6" spans="1:11" ht="15" hidden="1" customHeight="1">
      <c r="A6">
        <v>411</v>
      </c>
      <c r="B6" t="s">
        <v>227</v>
      </c>
      <c r="C6" t="s">
        <v>228</v>
      </c>
      <c r="D6" t="s">
        <v>237</v>
      </c>
      <c r="E6" s="5" t="s">
        <v>256</v>
      </c>
      <c r="F6" s="5"/>
      <c r="G6" s="5" t="s">
        <v>256</v>
      </c>
      <c r="H6" s="5"/>
    </row>
    <row r="7" spans="1:11" ht="15" hidden="1" customHeight="1">
      <c r="B7" t="s">
        <v>886</v>
      </c>
      <c r="C7" t="s">
        <v>887</v>
      </c>
      <c r="E7" t="s">
        <v>888</v>
      </c>
      <c r="F7" s="5"/>
    </row>
    <row r="8" spans="1:11" ht="15" hidden="1" customHeight="1">
      <c r="A8">
        <v>501</v>
      </c>
      <c r="B8" s="72" t="s">
        <v>229</v>
      </c>
      <c r="C8" t="s">
        <v>230</v>
      </c>
      <c r="D8" t="s">
        <v>361</v>
      </c>
      <c r="E8" s="5" t="s">
        <v>257</v>
      </c>
      <c r="F8" s="5" t="s">
        <v>232</v>
      </c>
      <c r="G8" s="5"/>
      <c r="H8" s="5"/>
    </row>
    <row r="9" spans="1:11" ht="15" hidden="1" customHeight="1">
      <c r="A9">
        <v>503</v>
      </c>
      <c r="B9" t="s">
        <v>233</v>
      </c>
      <c r="C9" t="s">
        <v>234</v>
      </c>
      <c r="D9" t="s">
        <v>238</v>
      </c>
      <c r="E9" s="5" t="s">
        <v>258</v>
      </c>
      <c r="F9" s="5"/>
      <c r="G9" s="5"/>
      <c r="H9" s="5"/>
    </row>
    <row r="10" spans="1:11" ht="15" hidden="1" customHeight="1">
      <c r="B10" t="s">
        <v>889</v>
      </c>
      <c r="C10" t="s">
        <v>890</v>
      </c>
      <c r="E10" t="s">
        <v>891</v>
      </c>
      <c r="F10" s="5"/>
    </row>
    <row r="11" spans="1:11" ht="15" hidden="1" customHeight="1">
      <c r="B11" t="s">
        <v>1807</v>
      </c>
      <c r="C11">
        <v>99268880</v>
      </c>
      <c r="E11">
        <v>43724340</v>
      </c>
      <c r="F11" s="5"/>
    </row>
    <row r="12" spans="1:11" ht="15" hidden="1" customHeight="1">
      <c r="B12" t="s">
        <v>1919</v>
      </c>
      <c r="C12" t="s">
        <v>2716</v>
      </c>
      <c r="F12" s="5" t="s">
        <v>1920</v>
      </c>
    </row>
    <row r="13" spans="1:11" ht="15" hidden="1" customHeight="1">
      <c r="B13" t="s">
        <v>3916</v>
      </c>
      <c r="D13">
        <v>98328008</v>
      </c>
    </row>
    <row r="14" spans="1:11" ht="15" hidden="1" customHeight="1">
      <c r="B14" t="s">
        <v>240</v>
      </c>
      <c r="C14" t="s">
        <v>241</v>
      </c>
      <c r="E14" s="5"/>
      <c r="F14" s="5"/>
      <c r="G14" s="5"/>
      <c r="H14" s="5"/>
    </row>
    <row r="15" spans="1:11" ht="15" hidden="1" customHeight="1">
      <c r="B15" t="s">
        <v>240</v>
      </c>
      <c r="C15" t="s">
        <v>563</v>
      </c>
      <c r="D15" t="s">
        <v>563</v>
      </c>
      <c r="E15" s="5" t="s">
        <v>564</v>
      </c>
      <c r="F15" s="5" t="s">
        <v>565</v>
      </c>
      <c r="G15" s="5"/>
      <c r="H15" s="5"/>
      <c r="I15">
        <v>3</v>
      </c>
    </row>
    <row r="16" spans="1:11" hidden="1">
      <c r="B16" t="s">
        <v>240</v>
      </c>
      <c r="D16" t="s">
        <v>1199</v>
      </c>
      <c r="E16" t="s">
        <v>1200</v>
      </c>
      <c r="F16" s="5"/>
    </row>
    <row r="17" spans="1:8" ht="15" hidden="1" customHeight="1">
      <c r="B17" t="s">
        <v>1105</v>
      </c>
      <c r="D17" t="s">
        <v>361</v>
      </c>
      <c r="E17">
        <v>47222111</v>
      </c>
      <c r="F17" s="5"/>
    </row>
    <row r="18" spans="1:8" ht="15" hidden="1" customHeight="1">
      <c r="B18" t="s">
        <v>1198</v>
      </c>
      <c r="F18" s="5"/>
    </row>
    <row r="19" spans="1:8" ht="15" hidden="1" customHeight="1">
      <c r="B19" t="s">
        <v>14</v>
      </c>
      <c r="C19" t="s">
        <v>242</v>
      </c>
      <c r="D19" t="s">
        <v>236</v>
      </c>
      <c r="E19" s="5">
        <v>23083315</v>
      </c>
      <c r="F19" s="5" t="s">
        <v>243</v>
      </c>
      <c r="G19" s="5" t="s">
        <v>4082</v>
      </c>
      <c r="H19" s="5" t="s">
        <v>2086</v>
      </c>
    </row>
    <row r="20" spans="1:8" ht="15" hidden="1" customHeight="1">
      <c r="A20">
        <v>1121</v>
      </c>
      <c r="B20" t="s">
        <v>247</v>
      </c>
      <c r="C20" t="s">
        <v>248</v>
      </c>
      <c r="E20" s="5">
        <v>22092240</v>
      </c>
      <c r="F20" s="5" t="s">
        <v>249</v>
      </c>
      <c r="G20" s="5"/>
      <c r="H20" s="5"/>
    </row>
    <row r="21" spans="1:8" ht="15" hidden="1" customHeight="1">
      <c r="B21" t="s">
        <v>250</v>
      </c>
      <c r="C21" t="s">
        <v>251</v>
      </c>
      <c r="E21" s="5"/>
      <c r="F21" s="5" t="s">
        <v>252</v>
      </c>
      <c r="G21" s="5">
        <v>23239909</v>
      </c>
      <c r="H21" s="5"/>
    </row>
    <row r="22" spans="1:8" ht="15" hidden="1" customHeight="1">
      <c r="A22">
        <v>1137</v>
      </c>
      <c r="B22" t="s">
        <v>876</v>
      </c>
      <c r="C22" t="s">
        <v>975</v>
      </c>
      <c r="D22" t="s">
        <v>236</v>
      </c>
      <c r="E22" s="5"/>
      <c r="F22" s="5" t="s">
        <v>253</v>
      </c>
      <c r="G22" s="5"/>
      <c r="H22" s="5"/>
    </row>
    <row r="23" spans="1:8" ht="15" hidden="1" customHeight="1">
      <c r="B23" t="s">
        <v>259</v>
      </c>
      <c r="C23" t="s">
        <v>260</v>
      </c>
      <c r="D23" t="s">
        <v>873</v>
      </c>
      <c r="E23" s="5"/>
      <c r="F23" s="5" t="s">
        <v>261</v>
      </c>
      <c r="G23" s="5"/>
      <c r="H23" s="5"/>
    </row>
    <row r="24" spans="1:8" ht="15" hidden="1" customHeight="1">
      <c r="B24" t="s">
        <v>259</v>
      </c>
      <c r="C24">
        <v>92343639</v>
      </c>
      <c r="E24" t="s">
        <v>2218</v>
      </c>
      <c r="F24" s="5" t="s">
        <v>368</v>
      </c>
    </row>
    <row r="25" spans="1:8" ht="15" hidden="1" customHeight="1">
      <c r="B25" t="s">
        <v>259</v>
      </c>
      <c r="C25">
        <v>91467712</v>
      </c>
      <c r="E25">
        <v>26002719</v>
      </c>
      <c r="F25" s="5"/>
    </row>
    <row r="26" spans="1:8" ht="15" hidden="1" customHeight="1">
      <c r="A26">
        <v>1086</v>
      </c>
      <c r="B26" t="s">
        <v>264</v>
      </c>
      <c r="C26" t="s">
        <v>265</v>
      </c>
      <c r="D26" t="s">
        <v>266</v>
      </c>
      <c r="E26" s="5"/>
      <c r="F26" s="5"/>
      <c r="G26" s="5" t="s">
        <v>267</v>
      </c>
      <c r="H26" s="5"/>
    </row>
    <row r="27" spans="1:8" ht="15" hidden="1" customHeight="1">
      <c r="B27" t="s">
        <v>244</v>
      </c>
      <c r="C27" t="s">
        <v>245</v>
      </c>
      <c r="E27" s="5"/>
      <c r="F27" s="5"/>
      <c r="G27" s="5" t="s">
        <v>246</v>
      </c>
      <c r="H27" s="5"/>
    </row>
    <row r="28" spans="1:8" ht="15" hidden="1" customHeight="1">
      <c r="B28" t="s">
        <v>269</v>
      </c>
      <c r="C28" t="s">
        <v>270</v>
      </c>
      <c r="D28" t="s">
        <v>235</v>
      </c>
      <c r="E28" s="5" t="s">
        <v>271</v>
      </c>
      <c r="F28" s="5"/>
      <c r="G28" s="5">
        <v>-4718</v>
      </c>
      <c r="H28" s="5"/>
    </row>
    <row r="29" spans="1:8" ht="15" hidden="1" customHeight="1">
      <c r="B29" t="s">
        <v>2691</v>
      </c>
      <c r="C29" t="s">
        <v>2770</v>
      </c>
      <c r="F29" s="5" t="s">
        <v>2692</v>
      </c>
    </row>
    <row r="30" spans="1:8" ht="15" hidden="1" customHeight="1">
      <c r="B30" t="s">
        <v>1979</v>
      </c>
      <c r="C30" t="s">
        <v>594</v>
      </c>
      <c r="E30" s="5" t="s">
        <v>1193</v>
      </c>
      <c r="F30" s="5" t="s">
        <v>595</v>
      </c>
      <c r="G30" s="5" t="s">
        <v>4563</v>
      </c>
      <c r="H30" s="5"/>
    </row>
    <row r="31" spans="1:8" ht="15" hidden="1" customHeight="1">
      <c r="B31" t="s">
        <v>1181</v>
      </c>
      <c r="C31" t="s">
        <v>2246</v>
      </c>
      <c r="E31" t="s">
        <v>2585</v>
      </c>
      <c r="F31" s="5"/>
    </row>
    <row r="32" spans="1:8" ht="15" hidden="1" customHeight="1">
      <c r="B32" t="s">
        <v>2523</v>
      </c>
      <c r="E32">
        <v>1991</v>
      </c>
      <c r="F32" s="5"/>
    </row>
    <row r="33" spans="2:8" ht="15" hidden="1" customHeight="1">
      <c r="B33" t="s">
        <v>272</v>
      </c>
      <c r="C33" t="s">
        <v>273</v>
      </c>
      <c r="E33" s="5" t="s">
        <v>274</v>
      </c>
      <c r="F33" s="5" t="s">
        <v>275</v>
      </c>
      <c r="G33" s="5"/>
      <c r="H33" s="5"/>
    </row>
    <row r="34" spans="2:8" ht="15" hidden="1" customHeight="1">
      <c r="B34" t="s">
        <v>276</v>
      </c>
      <c r="E34" s="5" t="s">
        <v>277</v>
      </c>
      <c r="F34" s="5"/>
      <c r="G34" s="5"/>
      <c r="H34" s="5"/>
    </row>
    <row r="35" spans="2:8" ht="15" hidden="1" customHeight="1">
      <c r="B35" t="s">
        <v>276</v>
      </c>
      <c r="E35" t="s">
        <v>1512</v>
      </c>
      <c r="F35" s="5"/>
    </row>
    <row r="36" spans="2:8" ht="15" hidden="1" customHeight="1">
      <c r="B36" t="s">
        <v>278</v>
      </c>
      <c r="E36" s="5"/>
      <c r="F36" s="5" t="s">
        <v>279</v>
      </c>
      <c r="G36" s="5"/>
      <c r="H36" s="5"/>
    </row>
    <row r="37" spans="2:8" ht="15" hidden="1" customHeight="1">
      <c r="B37" t="s">
        <v>280</v>
      </c>
      <c r="C37" t="s">
        <v>281</v>
      </c>
      <c r="E37" s="5" t="s">
        <v>282</v>
      </c>
      <c r="F37" s="5" t="s">
        <v>283</v>
      </c>
      <c r="G37" s="5"/>
      <c r="H37" s="5"/>
    </row>
    <row r="38" spans="2:8" ht="15" hidden="1" customHeight="1">
      <c r="B38" t="s">
        <v>284</v>
      </c>
      <c r="C38" t="s">
        <v>285</v>
      </c>
      <c r="D38" t="s">
        <v>286</v>
      </c>
      <c r="E38" s="5" t="s">
        <v>1095</v>
      </c>
      <c r="F38" s="5"/>
      <c r="G38" s="5"/>
      <c r="H38" s="5"/>
    </row>
    <row r="39" spans="2:8" ht="15" hidden="1" customHeight="1">
      <c r="B39" t="s">
        <v>287</v>
      </c>
      <c r="C39" t="s">
        <v>288</v>
      </c>
      <c r="E39" s="5"/>
      <c r="F39" s="5" t="s">
        <v>1817</v>
      </c>
      <c r="G39" s="5"/>
      <c r="H39" s="5"/>
    </row>
    <row r="40" spans="2:8" ht="15" hidden="1" customHeight="1">
      <c r="B40" t="s">
        <v>291</v>
      </c>
      <c r="C40" t="s">
        <v>292</v>
      </c>
      <c r="D40" t="s">
        <v>289</v>
      </c>
      <c r="E40" s="5" t="s">
        <v>290</v>
      </c>
      <c r="F40" s="5"/>
      <c r="G40" s="5"/>
      <c r="H40" s="5"/>
    </row>
    <row r="41" spans="2:8" ht="15" hidden="1" customHeight="1">
      <c r="B41" t="s">
        <v>1189</v>
      </c>
      <c r="F41" s="5" t="s">
        <v>1188</v>
      </c>
    </row>
    <row r="42" spans="2:8" ht="15" hidden="1" customHeight="1">
      <c r="B42" t="s">
        <v>2930</v>
      </c>
      <c r="F42" t="s">
        <v>2931</v>
      </c>
    </row>
    <row r="43" spans="2:8" ht="15" hidden="1" customHeight="1">
      <c r="B43" t="s">
        <v>1411</v>
      </c>
      <c r="F43" s="5" t="s">
        <v>1412</v>
      </c>
    </row>
    <row r="44" spans="2:8" ht="15" hidden="1" customHeight="1">
      <c r="B44" t="s">
        <v>2734</v>
      </c>
      <c r="C44" t="s">
        <v>2735</v>
      </c>
      <c r="E44" t="s">
        <v>2736</v>
      </c>
      <c r="F44" s="5" t="s">
        <v>2737</v>
      </c>
    </row>
    <row r="45" spans="2:8" ht="15" hidden="1" customHeight="1">
      <c r="B45" t="s">
        <v>2806</v>
      </c>
      <c r="C45">
        <v>8008120</v>
      </c>
    </row>
    <row r="46" spans="2:8" ht="15" hidden="1" customHeight="1">
      <c r="B46" t="s">
        <v>1053</v>
      </c>
      <c r="C46" t="s">
        <v>369</v>
      </c>
      <c r="F46" s="5" t="s">
        <v>1054</v>
      </c>
    </row>
    <row r="47" spans="2:8" ht="15" hidden="1" customHeight="1">
      <c r="B47" t="s">
        <v>1142</v>
      </c>
      <c r="E47" t="s">
        <v>1143</v>
      </c>
      <c r="F47" s="5"/>
    </row>
    <row r="48" spans="2:8" ht="15" hidden="1" customHeight="1">
      <c r="B48" t="s">
        <v>308</v>
      </c>
      <c r="D48" t="s">
        <v>309</v>
      </c>
      <c r="E48" s="5" t="s">
        <v>310</v>
      </c>
      <c r="F48" s="5"/>
      <c r="G48" s="5"/>
      <c r="H48" s="5"/>
    </row>
    <row r="49" spans="1:9" ht="15" hidden="1" customHeight="1">
      <c r="B49" t="s">
        <v>1214</v>
      </c>
      <c r="C49" t="s">
        <v>1215</v>
      </c>
      <c r="D49" t="s">
        <v>361</v>
      </c>
      <c r="E49" t="s">
        <v>1216</v>
      </c>
      <c r="F49" s="5"/>
    </row>
    <row r="50" spans="1:9" s="4" customFormat="1" ht="15" hidden="1" customHeight="1">
      <c r="A50"/>
      <c r="B50" t="s">
        <v>311</v>
      </c>
      <c r="C50" t="s">
        <v>312</v>
      </c>
      <c r="D50" t="s">
        <v>289</v>
      </c>
      <c r="E50" s="5" t="s">
        <v>313</v>
      </c>
      <c r="F50" s="5"/>
      <c r="G50" s="5"/>
      <c r="H50" s="5"/>
      <c r="I50"/>
    </row>
    <row r="51" spans="1:9" s="4" customFormat="1" ht="15" hidden="1" customHeight="1">
      <c r="A51"/>
      <c r="B51" t="s">
        <v>314</v>
      </c>
      <c r="C51" t="s">
        <v>315</v>
      </c>
      <c r="D51"/>
      <c r="E51" s="5" t="s">
        <v>316</v>
      </c>
      <c r="F51" s="5"/>
      <c r="G51" s="5"/>
      <c r="H51" s="5"/>
      <c r="I51"/>
    </row>
    <row r="52" spans="1:9" ht="15" hidden="1" customHeight="1">
      <c r="A52" s="4"/>
      <c r="B52" s="4" t="s">
        <v>317</v>
      </c>
      <c r="C52" s="4" t="s">
        <v>318</v>
      </c>
      <c r="D52" s="4" t="s">
        <v>318</v>
      </c>
      <c r="E52" s="4" t="s">
        <v>321</v>
      </c>
      <c r="F52" s="4" t="s">
        <v>320</v>
      </c>
      <c r="G52" s="4"/>
      <c r="H52" s="4"/>
      <c r="I52" s="4"/>
    </row>
    <row r="53" spans="1:9" ht="15" hidden="1" customHeight="1">
      <c r="A53" s="4"/>
      <c r="B53" s="4" t="s">
        <v>319</v>
      </c>
      <c r="C53" s="4"/>
      <c r="D53" s="4" t="s">
        <v>322</v>
      </c>
      <c r="E53" s="4" t="s">
        <v>323</v>
      </c>
      <c r="F53" s="4"/>
      <c r="G53" s="4"/>
      <c r="H53" s="4"/>
      <c r="I53" s="4"/>
    </row>
    <row r="54" spans="1:9" ht="15" hidden="1" customHeight="1">
      <c r="B54" t="s">
        <v>892</v>
      </c>
      <c r="D54" t="s">
        <v>322</v>
      </c>
      <c r="E54" t="s">
        <v>893</v>
      </c>
      <c r="F54" s="5"/>
    </row>
    <row r="55" spans="1:9" ht="15" hidden="1" customHeight="1">
      <c r="B55" t="s">
        <v>1502</v>
      </c>
      <c r="C55" t="s">
        <v>1503</v>
      </c>
      <c r="E55">
        <v>99898835</v>
      </c>
      <c r="F55" s="5"/>
    </row>
    <row r="56" spans="1:9" ht="15" hidden="1" customHeight="1">
      <c r="B56" t="s">
        <v>324</v>
      </c>
      <c r="C56" t="s">
        <v>325</v>
      </c>
      <c r="D56" t="s">
        <v>289</v>
      </c>
      <c r="E56" s="5" t="s">
        <v>326</v>
      </c>
      <c r="F56" s="5"/>
      <c r="G56" s="5"/>
      <c r="H56" s="5"/>
    </row>
    <row r="57" spans="1:9" ht="15" hidden="1" customHeight="1">
      <c r="B57" t="s">
        <v>327</v>
      </c>
      <c r="C57" t="s">
        <v>328</v>
      </c>
      <c r="E57" s="5" t="s">
        <v>330</v>
      </c>
      <c r="F57" s="5" t="s">
        <v>329</v>
      </c>
      <c r="G57" s="5"/>
      <c r="H57" s="5"/>
    </row>
    <row r="58" spans="1:9" ht="15" hidden="1" customHeight="1">
      <c r="B58" t="s">
        <v>333</v>
      </c>
      <c r="E58" s="5"/>
      <c r="F58" s="5" t="s">
        <v>334</v>
      </c>
      <c r="G58" s="5"/>
      <c r="H58" s="5"/>
    </row>
    <row r="59" spans="1:9" ht="15" hidden="1" customHeight="1">
      <c r="B59" t="s">
        <v>3324</v>
      </c>
      <c r="C59" t="s">
        <v>3388</v>
      </c>
    </row>
    <row r="60" spans="1:9" ht="15" hidden="1" customHeight="1">
      <c r="B60" t="s">
        <v>1322</v>
      </c>
      <c r="C60" t="s">
        <v>3387</v>
      </c>
      <c r="D60" t="s">
        <v>1323</v>
      </c>
      <c r="E60" s="5" t="s">
        <v>1324</v>
      </c>
      <c r="F60" s="5"/>
    </row>
    <row r="61" spans="1:9" ht="15" hidden="1" customHeight="1">
      <c r="B61" t="s">
        <v>3014</v>
      </c>
      <c r="C61" t="s">
        <v>3175</v>
      </c>
      <c r="F61" t="s">
        <v>3015</v>
      </c>
    </row>
    <row r="62" spans="1:9" ht="15" hidden="1" customHeight="1">
      <c r="B62" t="s">
        <v>23</v>
      </c>
      <c r="C62" t="s">
        <v>2894</v>
      </c>
      <c r="D62" t="s">
        <v>289</v>
      </c>
      <c r="E62" s="5" t="s">
        <v>1301</v>
      </c>
      <c r="F62" s="5" t="s">
        <v>1448</v>
      </c>
      <c r="G62" s="5"/>
      <c r="H62" s="5"/>
    </row>
    <row r="63" spans="1:9" ht="15" hidden="1" customHeight="1">
      <c r="B63" t="s">
        <v>335</v>
      </c>
      <c r="C63" t="s">
        <v>336</v>
      </c>
      <c r="E63" s="5"/>
      <c r="F63" s="5"/>
      <c r="G63" s="5"/>
      <c r="H63" s="5"/>
    </row>
    <row r="64" spans="1:9" ht="16.5" hidden="1" customHeight="1">
      <c r="B64" t="s">
        <v>343</v>
      </c>
      <c r="D64" t="s">
        <v>341</v>
      </c>
      <c r="E64" s="5" t="s">
        <v>342</v>
      </c>
      <c r="F64" s="5" t="s">
        <v>344</v>
      </c>
      <c r="G64" s="5"/>
      <c r="H64" s="5"/>
    </row>
    <row r="65" spans="2:8" ht="17.25" hidden="1" customHeight="1">
      <c r="B65" t="s">
        <v>340</v>
      </c>
      <c r="D65" t="s">
        <v>341</v>
      </c>
      <c r="E65" s="5" t="s">
        <v>342</v>
      </c>
      <c r="F65" s="5"/>
      <c r="G65" s="5"/>
      <c r="H65" s="5"/>
    </row>
    <row r="66" spans="2:8" ht="15" hidden="1" customHeight="1">
      <c r="B66" t="s">
        <v>345</v>
      </c>
      <c r="E66" s="5"/>
      <c r="F66" s="5" t="s">
        <v>346</v>
      </c>
      <c r="G66" s="5"/>
      <c r="H66" s="5"/>
    </row>
    <row r="67" spans="2:8" ht="15" hidden="1" customHeight="1">
      <c r="B67" t="s">
        <v>347</v>
      </c>
      <c r="F67" s="5"/>
      <c r="G67" s="5"/>
      <c r="H67" s="5"/>
    </row>
    <row r="68" spans="2:8" ht="15" hidden="1" customHeight="1">
      <c r="B68" t="s">
        <v>699</v>
      </c>
      <c r="E68" s="5" t="s">
        <v>850</v>
      </c>
      <c r="F68" s="5" t="s">
        <v>698</v>
      </c>
    </row>
    <row r="69" spans="2:8" ht="15" hidden="1" customHeight="1">
      <c r="B69" t="s">
        <v>348</v>
      </c>
      <c r="C69" t="s">
        <v>349</v>
      </c>
      <c r="E69" s="5" t="s">
        <v>350</v>
      </c>
      <c r="F69" s="5"/>
      <c r="G69" s="5"/>
      <c r="H69" s="5"/>
    </row>
    <row r="70" spans="2:8" ht="15" hidden="1" customHeight="1">
      <c r="B70" t="s">
        <v>1369</v>
      </c>
      <c r="C70" t="s">
        <v>1370</v>
      </c>
      <c r="F70" s="5" t="s">
        <v>1371</v>
      </c>
    </row>
    <row r="71" spans="2:8" ht="15" hidden="1" customHeight="1">
      <c r="B71" t="s">
        <v>2731</v>
      </c>
      <c r="C71" t="s">
        <v>2732</v>
      </c>
      <c r="E71" t="s">
        <v>2733</v>
      </c>
      <c r="F71" s="5"/>
    </row>
    <row r="72" spans="2:8" ht="15" hidden="1" customHeight="1">
      <c r="B72" t="s">
        <v>351</v>
      </c>
      <c r="C72" t="s">
        <v>352</v>
      </c>
      <c r="D72">
        <v>0</v>
      </c>
      <c r="E72" s="5"/>
      <c r="F72" s="5"/>
      <c r="G72" s="5"/>
      <c r="H72" s="5"/>
    </row>
    <row r="73" spans="2:8" ht="15" hidden="1" customHeight="1">
      <c r="B73" t="s">
        <v>1030</v>
      </c>
      <c r="E73">
        <v>43302000</v>
      </c>
      <c r="F73" s="5"/>
    </row>
    <row r="74" spans="2:8" ht="15" hidden="1" customHeight="1">
      <c r="B74" t="s">
        <v>1030</v>
      </c>
      <c r="C74" t="s">
        <v>2769</v>
      </c>
      <c r="F74" s="5" t="s">
        <v>2774</v>
      </c>
    </row>
    <row r="75" spans="2:8" ht="15" hidden="1" customHeight="1">
      <c r="B75" t="s">
        <v>1372</v>
      </c>
      <c r="F75" s="5" t="s">
        <v>1373</v>
      </c>
    </row>
    <row r="76" spans="2:8" ht="15" hidden="1" customHeight="1">
      <c r="B76" t="s">
        <v>1394</v>
      </c>
      <c r="C76" t="s">
        <v>1848</v>
      </c>
      <c r="E76">
        <v>98988635</v>
      </c>
      <c r="F76" s="5"/>
    </row>
    <row r="77" spans="2:8" ht="15" hidden="1" customHeight="1">
      <c r="B77" t="s">
        <v>1096</v>
      </c>
      <c r="C77" t="s">
        <v>1097</v>
      </c>
      <c r="F77" s="5" t="s">
        <v>1098</v>
      </c>
    </row>
    <row r="78" spans="2:8" ht="15" hidden="1" customHeight="1">
      <c r="B78" t="s">
        <v>353</v>
      </c>
      <c r="E78" s="5" t="s">
        <v>354</v>
      </c>
      <c r="F78" s="5"/>
      <c r="G78" s="5"/>
      <c r="H78" s="5"/>
    </row>
    <row r="79" spans="2:8" ht="15" hidden="1" customHeight="1">
      <c r="B79" t="s">
        <v>2850</v>
      </c>
      <c r="C79" t="s">
        <v>2851</v>
      </c>
      <c r="D79" t="s">
        <v>2852</v>
      </c>
      <c r="E79">
        <v>22080258</v>
      </c>
      <c r="F79">
        <v>96883287</v>
      </c>
      <c r="H79" t="s">
        <v>3183</v>
      </c>
    </row>
    <row r="80" spans="2:8" ht="15" hidden="1" customHeight="1">
      <c r="B80" t="s">
        <v>85</v>
      </c>
      <c r="C80" t="s">
        <v>355</v>
      </c>
      <c r="D80" t="s">
        <v>361</v>
      </c>
      <c r="E80" s="5" t="s">
        <v>360</v>
      </c>
      <c r="F80" s="5" t="s">
        <v>356</v>
      </c>
      <c r="G80" s="5"/>
      <c r="H80" s="5"/>
    </row>
    <row r="81" spans="2:8" ht="15" hidden="1" customHeight="1">
      <c r="B81" t="s">
        <v>357</v>
      </c>
      <c r="C81" t="s">
        <v>358</v>
      </c>
      <c r="E81" s="5" t="s">
        <v>359</v>
      </c>
      <c r="F81" s="5"/>
      <c r="G81" s="5"/>
      <c r="H81" s="5"/>
    </row>
    <row r="82" spans="2:8" ht="15" hidden="1" customHeight="1">
      <c r="B82" t="s">
        <v>357</v>
      </c>
      <c r="E82" s="5" t="s">
        <v>1413</v>
      </c>
      <c r="F82" s="5"/>
      <c r="G82" s="5"/>
      <c r="H82" s="5"/>
    </row>
    <row r="83" spans="2:8" ht="15" hidden="1" customHeight="1">
      <c r="B83" t="s">
        <v>362</v>
      </c>
      <c r="E83" s="5" t="s">
        <v>363</v>
      </c>
      <c r="F83" s="5"/>
      <c r="G83" s="5"/>
      <c r="H83" s="5"/>
    </row>
    <row r="84" spans="2:8" ht="15" hidden="1" customHeight="1">
      <c r="B84" t="s">
        <v>3903</v>
      </c>
      <c r="C84" t="s">
        <v>4233</v>
      </c>
      <c r="F84" t="s">
        <v>4234</v>
      </c>
    </row>
    <row r="85" spans="2:8" ht="15" hidden="1" customHeight="1">
      <c r="B85" t="s">
        <v>3902</v>
      </c>
      <c r="C85" t="s">
        <v>364</v>
      </c>
      <c r="E85" s="5"/>
      <c r="F85" s="5" t="s">
        <v>365</v>
      </c>
      <c r="G85" s="5"/>
      <c r="H85" s="5"/>
    </row>
    <row r="86" spans="2:8" ht="15" hidden="1" customHeight="1">
      <c r="B86" t="s">
        <v>920</v>
      </c>
      <c r="C86" t="s">
        <v>921</v>
      </c>
      <c r="E86" t="s">
        <v>922</v>
      </c>
      <c r="F86" s="5"/>
    </row>
    <row r="87" spans="2:8" ht="15" hidden="1" customHeight="1">
      <c r="B87" t="s">
        <v>366</v>
      </c>
      <c r="C87" t="s">
        <v>1385</v>
      </c>
      <c r="E87" s="5" t="s">
        <v>1384</v>
      </c>
      <c r="F87" s="5"/>
      <c r="G87" s="5"/>
      <c r="H87" s="5"/>
    </row>
    <row r="88" spans="2:8" ht="15" hidden="1" customHeight="1">
      <c r="B88" t="s">
        <v>366</v>
      </c>
      <c r="C88" t="s">
        <v>367</v>
      </c>
      <c r="E88" s="5" t="s">
        <v>1374</v>
      </c>
      <c r="F88" s="5"/>
      <c r="G88" s="5"/>
      <c r="H88" s="5"/>
    </row>
    <row r="89" spans="2:8" ht="15" hidden="1" customHeight="1">
      <c r="B89" t="s">
        <v>368</v>
      </c>
      <c r="C89" t="s">
        <v>369</v>
      </c>
      <c r="E89" s="5"/>
      <c r="F89" s="5"/>
      <c r="G89" s="5"/>
      <c r="H89" s="5"/>
    </row>
    <row r="90" spans="2:8" ht="15" hidden="1" customHeight="1">
      <c r="B90" t="s">
        <v>368</v>
      </c>
      <c r="C90" t="s">
        <v>370</v>
      </c>
      <c r="E90" s="5" t="s">
        <v>372</v>
      </c>
      <c r="F90" s="5" t="s">
        <v>1024</v>
      </c>
      <c r="G90" s="5"/>
      <c r="H90" s="5"/>
    </row>
    <row r="91" spans="2:8" ht="15" hidden="1" customHeight="1">
      <c r="B91" t="s">
        <v>368</v>
      </c>
      <c r="C91" t="s">
        <v>371</v>
      </c>
      <c r="E91" s="5"/>
      <c r="F91" s="5"/>
      <c r="G91" s="5"/>
      <c r="H91" s="5"/>
    </row>
    <row r="92" spans="2:8" ht="15" hidden="1" customHeight="1">
      <c r="B92" t="s">
        <v>373</v>
      </c>
      <c r="C92" t="s">
        <v>374</v>
      </c>
      <c r="E92" s="5" t="s">
        <v>375</v>
      </c>
      <c r="F92" s="5"/>
      <c r="G92" s="5"/>
      <c r="H92" s="5"/>
    </row>
    <row r="93" spans="2:8" ht="15" hidden="1" customHeight="1">
      <c r="B93" t="s">
        <v>4322</v>
      </c>
      <c r="D93">
        <v>98551096</v>
      </c>
    </row>
    <row r="94" spans="2:8" ht="15" hidden="1" customHeight="1">
      <c r="B94" t="s">
        <v>376</v>
      </c>
      <c r="C94" t="s">
        <v>377</v>
      </c>
      <c r="D94" t="s">
        <v>286</v>
      </c>
      <c r="E94" s="5"/>
      <c r="F94" s="5" t="s">
        <v>378</v>
      </c>
      <c r="G94" s="5"/>
      <c r="H94" s="5"/>
    </row>
    <row r="95" spans="2:8" ht="15" hidden="1" customHeight="1">
      <c r="B95" t="s">
        <v>379</v>
      </c>
      <c r="C95" t="s">
        <v>380</v>
      </c>
      <c r="E95" s="5" t="s">
        <v>381</v>
      </c>
      <c r="F95" s="5"/>
      <c r="G95" s="5"/>
      <c r="H95" s="5"/>
    </row>
    <row r="96" spans="2:8" ht="15" hidden="1" customHeight="1">
      <c r="B96" t="s">
        <v>1506</v>
      </c>
      <c r="E96" t="s">
        <v>1507</v>
      </c>
      <c r="F96" s="5"/>
    </row>
    <row r="97" spans="2:9" ht="15" hidden="1" customHeight="1">
      <c r="B97" t="s">
        <v>2578</v>
      </c>
      <c r="E97">
        <v>26197000</v>
      </c>
      <c r="F97" s="5"/>
    </row>
    <row r="98" spans="2:9" ht="15" hidden="1" customHeight="1">
      <c r="B98" t="s">
        <v>385</v>
      </c>
      <c r="C98" t="s">
        <v>386</v>
      </c>
      <c r="E98" s="5"/>
      <c r="F98" s="5" t="s">
        <v>387</v>
      </c>
      <c r="G98" s="5"/>
      <c r="H98" s="5"/>
    </row>
    <row r="99" spans="2:9" ht="15" hidden="1" customHeight="1">
      <c r="B99" t="s">
        <v>388</v>
      </c>
      <c r="E99" s="5" t="s">
        <v>389</v>
      </c>
      <c r="F99" s="5"/>
      <c r="G99" s="5"/>
      <c r="H99" s="5"/>
    </row>
    <row r="100" spans="2:9" ht="15" hidden="1" customHeight="1">
      <c r="B100" t="s">
        <v>4032</v>
      </c>
      <c r="C100">
        <v>97319321</v>
      </c>
    </row>
    <row r="101" spans="2:9" ht="15" hidden="1" customHeight="1">
      <c r="B101" t="s">
        <v>394</v>
      </c>
      <c r="C101" t="s">
        <v>395</v>
      </c>
      <c r="E101" s="5" t="s">
        <v>396</v>
      </c>
      <c r="F101" s="5"/>
      <c r="G101" s="5"/>
      <c r="H101" s="5"/>
    </row>
    <row r="102" spans="2:9" ht="15" hidden="1" customHeight="1">
      <c r="B102" t="s">
        <v>382</v>
      </c>
      <c r="C102" t="s">
        <v>383</v>
      </c>
      <c r="E102" s="5" t="s">
        <v>384</v>
      </c>
      <c r="F102" s="5"/>
      <c r="G102" s="5"/>
      <c r="H102" s="5"/>
    </row>
    <row r="103" spans="2:9" ht="15" hidden="1" customHeight="1">
      <c r="B103" t="s">
        <v>397</v>
      </c>
      <c r="C103" t="s">
        <v>398</v>
      </c>
      <c r="E103" s="5" t="s">
        <v>400</v>
      </c>
      <c r="F103" s="5"/>
      <c r="G103" s="5"/>
      <c r="H103" s="5"/>
      <c r="I103" t="s">
        <v>399</v>
      </c>
    </row>
    <row r="104" spans="2:9" ht="15" hidden="1" customHeight="1">
      <c r="B104" t="s">
        <v>583</v>
      </c>
      <c r="C104" t="s">
        <v>584</v>
      </c>
      <c r="E104" s="5" t="s">
        <v>586</v>
      </c>
      <c r="F104" s="5"/>
      <c r="G104" s="5"/>
      <c r="H104" s="5"/>
      <c r="I104" t="s">
        <v>585</v>
      </c>
    </row>
    <row r="105" spans="2:9" ht="15" hidden="1" customHeight="1">
      <c r="B105" t="s">
        <v>401</v>
      </c>
      <c r="C105" t="s">
        <v>402</v>
      </c>
      <c r="E105" s="5" t="s">
        <v>403</v>
      </c>
      <c r="F105" s="5"/>
      <c r="G105" s="5"/>
      <c r="H105" s="5"/>
    </row>
    <row r="106" spans="2:9" ht="15" hidden="1" customHeight="1">
      <c r="B106" t="s">
        <v>390</v>
      </c>
      <c r="C106" t="s">
        <v>391</v>
      </c>
      <c r="E106" s="5" t="s">
        <v>393</v>
      </c>
      <c r="F106" s="5"/>
      <c r="G106" s="5"/>
      <c r="H106" s="5"/>
      <c r="I106" t="s">
        <v>392</v>
      </c>
    </row>
    <row r="107" spans="2:9" ht="15" hidden="1" customHeight="1">
      <c r="B107" t="s">
        <v>404</v>
      </c>
      <c r="C107" t="s">
        <v>405</v>
      </c>
      <c r="E107" s="5"/>
      <c r="F107" s="5"/>
      <c r="G107" s="5"/>
      <c r="H107" s="5"/>
    </row>
    <row r="108" spans="2:9" ht="15" hidden="1" customHeight="1">
      <c r="B108" t="s">
        <v>406</v>
      </c>
      <c r="E108" s="5" t="s">
        <v>407</v>
      </c>
      <c r="F108" s="5" t="s">
        <v>2084</v>
      </c>
      <c r="G108" s="5"/>
      <c r="H108" s="5"/>
    </row>
    <row r="109" spans="2:9" ht="15" hidden="1" customHeight="1">
      <c r="B109" t="s">
        <v>2170</v>
      </c>
      <c r="C109" t="s">
        <v>2338</v>
      </c>
      <c r="D109">
        <v>0</v>
      </c>
      <c r="E109">
        <v>44422339</v>
      </c>
      <c r="F109" s="5" t="s">
        <v>3383</v>
      </c>
    </row>
    <row r="110" spans="2:9" ht="15" hidden="1" customHeight="1">
      <c r="B110" t="s">
        <v>1261</v>
      </c>
      <c r="C110" t="s">
        <v>1824</v>
      </c>
      <c r="E110">
        <v>99154145</v>
      </c>
      <c r="F110" s="5" t="s">
        <v>1262</v>
      </c>
    </row>
    <row r="111" spans="2:9" ht="15" hidden="1" customHeight="1">
      <c r="B111" t="s">
        <v>408</v>
      </c>
      <c r="C111" t="s">
        <v>410</v>
      </c>
      <c r="E111" s="5" t="s">
        <v>409</v>
      </c>
      <c r="F111" s="5" t="s">
        <v>411</v>
      </c>
      <c r="G111" s="5"/>
      <c r="H111" s="5"/>
    </row>
    <row r="112" spans="2:9" ht="15" hidden="1" customHeight="1">
      <c r="B112" t="s">
        <v>645</v>
      </c>
      <c r="F112" s="5" t="s">
        <v>646</v>
      </c>
    </row>
    <row r="113" spans="2:8" ht="15" hidden="1" customHeight="1">
      <c r="B113" t="s">
        <v>412</v>
      </c>
      <c r="C113" t="s">
        <v>413</v>
      </c>
      <c r="D113" t="s">
        <v>414</v>
      </c>
      <c r="E113" s="5" t="s">
        <v>415</v>
      </c>
      <c r="F113" s="5" t="s">
        <v>416</v>
      </c>
      <c r="G113" s="5"/>
      <c r="H113" s="5"/>
    </row>
    <row r="114" spans="2:8" ht="15" hidden="1" customHeight="1">
      <c r="B114" t="s">
        <v>417</v>
      </c>
      <c r="C114" s="7" t="s">
        <v>418</v>
      </c>
      <c r="D114" t="s">
        <v>419</v>
      </c>
      <c r="E114" s="5"/>
      <c r="F114" s="5" t="s">
        <v>2921</v>
      </c>
      <c r="G114" s="5"/>
      <c r="H114" s="5"/>
    </row>
    <row r="115" spans="2:8" ht="15" hidden="1" customHeight="1">
      <c r="B115" t="s">
        <v>420</v>
      </c>
      <c r="C115" t="s">
        <v>421</v>
      </c>
      <c r="E115" s="5" t="s">
        <v>422</v>
      </c>
      <c r="F115" s="5"/>
      <c r="G115" s="5"/>
      <c r="H115" s="5"/>
    </row>
    <row r="116" spans="2:8" ht="15" hidden="1" customHeight="1">
      <c r="B116" t="s">
        <v>423</v>
      </c>
      <c r="C116" t="s">
        <v>424</v>
      </c>
      <c r="D116" t="s">
        <v>289</v>
      </c>
      <c r="E116" s="5" t="s">
        <v>425</v>
      </c>
      <c r="F116" s="5"/>
      <c r="G116" s="5"/>
      <c r="H116" s="5"/>
    </row>
    <row r="117" spans="2:8" ht="15" hidden="1" customHeight="1">
      <c r="B117" t="s">
        <v>3764</v>
      </c>
      <c r="C117">
        <v>98743858</v>
      </c>
    </row>
    <row r="118" spans="2:8" ht="15" hidden="1" customHeight="1">
      <c r="B118" t="s">
        <v>4552</v>
      </c>
      <c r="C118" t="s">
        <v>4553</v>
      </c>
      <c r="E118">
        <v>99294223</v>
      </c>
    </row>
    <row r="119" spans="2:8" ht="15" hidden="1" customHeight="1">
      <c r="B119" t="s">
        <v>4141</v>
      </c>
      <c r="F119" s="5" t="s">
        <v>4142</v>
      </c>
    </row>
    <row r="120" spans="2:8" ht="15" hidden="1" customHeight="1">
      <c r="B120" t="s">
        <v>4060</v>
      </c>
      <c r="C120" t="s">
        <v>1204</v>
      </c>
      <c r="D120" t="s">
        <v>289</v>
      </c>
      <c r="E120" s="5" t="s">
        <v>427</v>
      </c>
      <c r="F120" s="5" t="s">
        <v>3915</v>
      </c>
      <c r="G120" s="5"/>
      <c r="H120" s="5"/>
    </row>
    <row r="121" spans="2:8" ht="15" hidden="1" customHeight="1">
      <c r="B121" t="s">
        <v>428</v>
      </c>
      <c r="C121" t="s">
        <v>429</v>
      </c>
      <c r="D121" t="s">
        <v>430</v>
      </c>
      <c r="E121" s="5"/>
      <c r="F121" s="5"/>
      <c r="G121" s="5"/>
      <c r="H121" s="5"/>
    </row>
    <row r="122" spans="2:8" ht="15" hidden="1" customHeight="1">
      <c r="B122" t="s">
        <v>865</v>
      </c>
      <c r="C122" t="s">
        <v>867</v>
      </c>
      <c r="F122" s="5" t="s">
        <v>866</v>
      </c>
    </row>
    <row r="123" spans="2:8" ht="15" hidden="1" customHeight="1">
      <c r="B123" t="s">
        <v>865</v>
      </c>
      <c r="C123" t="s">
        <v>4156</v>
      </c>
      <c r="F123">
        <v>91840979</v>
      </c>
    </row>
    <row r="124" spans="2:8" ht="15" hidden="1" customHeight="1">
      <c r="B124" t="s">
        <v>431</v>
      </c>
      <c r="C124" t="s">
        <v>432</v>
      </c>
      <c r="E124" s="5"/>
      <c r="F124" s="5"/>
      <c r="G124" s="5"/>
      <c r="H124" s="5"/>
    </row>
    <row r="125" spans="2:8" ht="15" hidden="1" customHeight="1">
      <c r="B125" t="s">
        <v>433</v>
      </c>
      <c r="C125" t="s">
        <v>434</v>
      </c>
      <c r="E125" s="5"/>
      <c r="F125" s="5"/>
      <c r="G125" s="5"/>
      <c r="H125" s="5"/>
    </row>
    <row r="126" spans="2:8" ht="15" hidden="1" customHeight="1">
      <c r="B126" t="s">
        <v>435</v>
      </c>
      <c r="D126" t="s">
        <v>436</v>
      </c>
      <c r="E126" s="5"/>
      <c r="F126" s="5"/>
      <c r="G126" s="5"/>
      <c r="H126" s="5"/>
    </row>
    <row r="127" spans="2:8" ht="15" hidden="1" customHeight="1">
      <c r="B127" t="s">
        <v>1805</v>
      </c>
      <c r="E127" t="s">
        <v>1806</v>
      </c>
      <c r="F127" s="5"/>
    </row>
    <row r="128" spans="2:8" ht="15" hidden="1" customHeight="1">
      <c r="B128" t="s">
        <v>437</v>
      </c>
      <c r="C128" t="s">
        <v>438</v>
      </c>
      <c r="E128" s="5" t="s">
        <v>439</v>
      </c>
      <c r="F128" s="5"/>
      <c r="G128" s="5"/>
      <c r="H128" s="5"/>
    </row>
    <row r="129" spans="2:9" ht="15" hidden="1" customHeight="1">
      <c r="B129" t="s">
        <v>440</v>
      </c>
      <c r="C129" t="s">
        <v>441</v>
      </c>
      <c r="E129" s="5" t="s">
        <v>442</v>
      </c>
      <c r="F129" s="5"/>
      <c r="G129" s="5"/>
      <c r="H129" s="5"/>
    </row>
    <row r="130" spans="2:9" ht="15" hidden="1" customHeight="1">
      <c r="B130" t="s">
        <v>1458</v>
      </c>
      <c r="E130" t="s">
        <v>1459</v>
      </c>
      <c r="F130" s="5"/>
    </row>
    <row r="131" spans="2:9" ht="15" hidden="1" customHeight="1">
      <c r="B131" t="s">
        <v>443</v>
      </c>
      <c r="C131" t="s">
        <v>444</v>
      </c>
      <c r="E131" s="5" t="s">
        <v>445</v>
      </c>
      <c r="F131" s="5" t="s">
        <v>446</v>
      </c>
      <c r="G131" s="5"/>
      <c r="H131" s="5"/>
    </row>
    <row r="132" spans="2:9" ht="15" hidden="1" customHeight="1">
      <c r="B132" t="s">
        <v>447</v>
      </c>
      <c r="C132" t="s">
        <v>448</v>
      </c>
      <c r="E132" s="5" t="s">
        <v>449</v>
      </c>
      <c r="F132" s="5" t="s">
        <v>3141</v>
      </c>
      <c r="G132" s="5"/>
      <c r="H132" s="5"/>
    </row>
    <row r="133" spans="2:9" ht="15" hidden="1" customHeight="1">
      <c r="B133" t="s">
        <v>773</v>
      </c>
      <c r="F133" s="5" t="s">
        <v>774</v>
      </c>
    </row>
    <row r="134" spans="2:9" ht="15" hidden="1" customHeight="1">
      <c r="B134" t="s">
        <v>819</v>
      </c>
      <c r="E134">
        <v>22003260</v>
      </c>
      <c r="F134" s="5"/>
    </row>
    <row r="135" spans="2:9" ht="15" hidden="1" customHeight="1">
      <c r="B135" t="s">
        <v>1331</v>
      </c>
      <c r="E135">
        <v>47225400</v>
      </c>
      <c r="F135" s="5" t="s">
        <v>1332</v>
      </c>
    </row>
    <row r="136" spans="2:9" ht="15" hidden="1" customHeight="1">
      <c r="B136" t="s">
        <v>2555</v>
      </c>
      <c r="F136" s="5" t="s">
        <v>2554</v>
      </c>
    </row>
    <row r="137" spans="2:9" ht="15" hidden="1" customHeight="1">
      <c r="B137" t="s">
        <v>2168</v>
      </c>
      <c r="F137" s="5" t="s">
        <v>2169</v>
      </c>
    </row>
    <row r="138" spans="2:9" ht="15" hidden="1" customHeight="1">
      <c r="B138" t="s">
        <v>3949</v>
      </c>
      <c r="C138" t="s">
        <v>3950</v>
      </c>
      <c r="E138">
        <v>94990959</v>
      </c>
    </row>
    <row r="139" spans="2:9" ht="15" hidden="1" customHeight="1">
      <c r="B139" t="s">
        <v>4062</v>
      </c>
      <c r="D139" t="s">
        <v>894</v>
      </c>
      <c r="E139" t="s">
        <v>895</v>
      </c>
      <c r="F139" s="5"/>
    </row>
    <row r="140" spans="2:9" ht="15" hidden="1" customHeight="1">
      <c r="B140" t="s">
        <v>1705</v>
      </c>
      <c r="C140" t="s">
        <v>2800</v>
      </c>
      <c r="F140" t="s">
        <v>2801</v>
      </c>
    </row>
    <row r="141" spans="2:9" ht="15" hidden="1" customHeight="1">
      <c r="B141" t="s">
        <v>37</v>
      </c>
      <c r="F141" s="5"/>
      <c r="I141" t="s">
        <v>1386</v>
      </c>
    </row>
    <row r="142" spans="2:9" ht="15" hidden="1" customHeight="1">
      <c r="B142" t="s">
        <v>1603</v>
      </c>
      <c r="C142" t="s">
        <v>1604</v>
      </c>
      <c r="D142">
        <v>97769154</v>
      </c>
      <c r="E142">
        <v>22000127</v>
      </c>
      <c r="F142" s="5"/>
    </row>
    <row r="143" spans="2:9" ht="15" hidden="1" customHeight="1">
      <c r="B143" t="s">
        <v>1738</v>
      </c>
      <c r="C143" t="s">
        <v>1739</v>
      </c>
      <c r="D143" t="s">
        <v>1740</v>
      </c>
      <c r="E143">
        <v>47222395</v>
      </c>
      <c r="F143" s="5" t="s">
        <v>1741</v>
      </c>
      <c r="G143">
        <v>120</v>
      </c>
    </row>
    <row r="144" spans="2:9" ht="15" hidden="1" customHeight="1">
      <c r="B144" t="s">
        <v>3647</v>
      </c>
      <c r="C144" t="s">
        <v>3648</v>
      </c>
      <c r="E144">
        <v>98825772</v>
      </c>
    </row>
    <row r="145" spans="2:9" ht="15" hidden="1" customHeight="1">
      <c r="B145" s="52" t="s">
        <v>1827</v>
      </c>
      <c r="C145" s="52">
        <v>92364752</v>
      </c>
      <c r="D145" s="52" t="s">
        <v>1826</v>
      </c>
      <c r="E145" s="52"/>
      <c r="F145" s="5"/>
    </row>
    <row r="146" spans="2:9" ht="15" hidden="1" customHeight="1">
      <c r="B146" t="s">
        <v>2116</v>
      </c>
      <c r="C146" t="s">
        <v>1692</v>
      </c>
      <c r="D146">
        <v>98839695</v>
      </c>
      <c r="F146" s="5"/>
    </row>
    <row r="147" spans="2:9" ht="15" hidden="1" customHeight="1">
      <c r="B147" t="s">
        <v>3040</v>
      </c>
      <c r="F147" t="s">
        <v>3041</v>
      </c>
    </row>
    <row r="148" spans="2:9" ht="15" hidden="1" customHeight="1">
      <c r="B148" t="s">
        <v>3101</v>
      </c>
      <c r="C148" t="s">
        <v>3102</v>
      </c>
      <c r="E148" s="5" t="s">
        <v>330</v>
      </c>
      <c r="F148" s="5" t="s">
        <v>330</v>
      </c>
      <c r="G148" s="5"/>
      <c r="H148" s="5"/>
    </row>
    <row r="149" spans="2:9" ht="15" hidden="1" customHeight="1">
      <c r="B149" t="s">
        <v>1325</v>
      </c>
      <c r="C149" t="s">
        <v>1327</v>
      </c>
      <c r="E149" t="s">
        <v>1329</v>
      </c>
      <c r="F149" s="5" t="s">
        <v>1326</v>
      </c>
    </row>
    <row r="150" spans="2:9" ht="15" hidden="1" customHeight="1">
      <c r="B150" t="s">
        <v>3347</v>
      </c>
      <c r="E150" t="s">
        <v>3348</v>
      </c>
    </row>
    <row r="151" spans="2:9" ht="15" hidden="1" customHeight="1">
      <c r="B151" t="s">
        <v>1632</v>
      </c>
      <c r="E151">
        <v>23590139</v>
      </c>
      <c r="F151" s="5" t="s">
        <v>1631</v>
      </c>
    </row>
    <row r="152" spans="2:9" ht="15" hidden="1" customHeight="1">
      <c r="B152" t="s">
        <v>2995</v>
      </c>
      <c r="E152" t="s">
        <v>2996</v>
      </c>
    </row>
    <row r="153" spans="2:9" ht="15" hidden="1" customHeight="1">
      <c r="B153" t="s">
        <v>1022</v>
      </c>
      <c r="C153" t="s">
        <v>1023</v>
      </c>
      <c r="E153" t="s">
        <v>1764</v>
      </c>
      <c r="F153" s="5" t="s">
        <v>2052</v>
      </c>
      <c r="I153" t="s">
        <v>2700</v>
      </c>
    </row>
    <row r="154" spans="2:9" ht="15" hidden="1" customHeight="1">
      <c r="B154" t="s">
        <v>2766</v>
      </c>
      <c r="C154" t="s">
        <v>2767</v>
      </c>
      <c r="D154" t="s">
        <v>2768</v>
      </c>
      <c r="F154" s="5"/>
    </row>
    <row r="155" spans="2:9" ht="15" hidden="1" customHeight="1">
      <c r="B155" t="s">
        <v>4202</v>
      </c>
      <c r="C155" t="s">
        <v>4201</v>
      </c>
      <c r="E155" t="s">
        <v>4200</v>
      </c>
    </row>
    <row r="156" spans="2:9" ht="15" hidden="1" customHeight="1">
      <c r="B156" t="s">
        <v>2556</v>
      </c>
      <c r="F156" s="5" t="s">
        <v>2557</v>
      </c>
    </row>
    <row r="157" spans="2:9" ht="15" hidden="1" customHeight="1">
      <c r="B157" t="s">
        <v>4242</v>
      </c>
      <c r="C157" t="s">
        <v>4243</v>
      </c>
      <c r="E157">
        <v>98566799</v>
      </c>
    </row>
    <row r="158" spans="2:9" ht="15" hidden="1" customHeight="1">
      <c r="B158" t="s">
        <v>2199</v>
      </c>
      <c r="E158">
        <v>99983001</v>
      </c>
      <c r="F158" s="5"/>
    </row>
    <row r="159" spans="2:9" ht="15" hidden="1" customHeight="1">
      <c r="B159" t="s">
        <v>897</v>
      </c>
      <c r="C159" t="s">
        <v>898</v>
      </c>
      <c r="F159" s="5" t="s">
        <v>899</v>
      </c>
    </row>
    <row r="160" spans="2:9" ht="15" hidden="1" customHeight="1">
      <c r="B160" t="s">
        <v>4353</v>
      </c>
      <c r="C160" t="s">
        <v>4355</v>
      </c>
      <c r="F160" s="5" t="s">
        <v>4354</v>
      </c>
    </row>
    <row r="161" spans="2:6" ht="15" hidden="1" customHeight="1">
      <c r="B161" t="s">
        <v>1221</v>
      </c>
      <c r="C161" t="s">
        <v>1222</v>
      </c>
      <c r="D161" t="s">
        <v>361</v>
      </c>
      <c r="F161" s="5" t="s">
        <v>1223</v>
      </c>
    </row>
    <row r="162" spans="2:6" ht="15" hidden="1" customHeight="1">
      <c r="B162" t="s">
        <v>648</v>
      </c>
      <c r="C162" t="s">
        <v>649</v>
      </c>
      <c r="F162" s="5" t="s">
        <v>647</v>
      </c>
    </row>
    <row r="163" spans="2:6" ht="15" hidden="1" customHeight="1">
      <c r="B163" t="s">
        <v>900</v>
      </c>
      <c r="C163" t="s">
        <v>901</v>
      </c>
      <c r="F163" s="5" t="s">
        <v>902</v>
      </c>
    </row>
    <row r="164" spans="2:6" ht="15" hidden="1" customHeight="1">
      <c r="B164" t="s">
        <v>1691</v>
      </c>
      <c r="F164" s="5" t="s">
        <v>1690</v>
      </c>
    </row>
    <row r="165" spans="2:6" ht="15" hidden="1" customHeight="1">
      <c r="B165" t="s">
        <v>711</v>
      </c>
      <c r="E165" t="s">
        <v>712</v>
      </c>
      <c r="F165" s="5"/>
    </row>
    <row r="166" spans="2:6" ht="15" hidden="1" customHeight="1">
      <c r="B166" t="s">
        <v>1083</v>
      </c>
      <c r="C166" t="s">
        <v>1084</v>
      </c>
      <c r="E166">
        <v>23572727</v>
      </c>
      <c r="F166" s="5"/>
    </row>
    <row r="167" spans="2:6" ht="15" hidden="1" customHeight="1">
      <c r="B167" t="s">
        <v>2695</v>
      </c>
      <c r="D167" t="s">
        <v>747</v>
      </c>
      <c r="F167" s="5" t="s">
        <v>2694</v>
      </c>
    </row>
    <row r="168" spans="2:6" ht="15" hidden="1" customHeight="1">
      <c r="B168" t="s">
        <v>3133</v>
      </c>
      <c r="E168" t="s">
        <v>3132</v>
      </c>
    </row>
    <row r="169" spans="2:6" ht="15" hidden="1" customHeight="1">
      <c r="B169" t="s">
        <v>1020</v>
      </c>
      <c r="C169">
        <v>0</v>
      </c>
      <c r="E169" t="s">
        <v>1021</v>
      </c>
      <c r="F169" s="5"/>
    </row>
    <row r="170" spans="2:6" ht="15" hidden="1" customHeight="1">
      <c r="B170" t="s">
        <v>3763</v>
      </c>
      <c r="E170">
        <v>47222242</v>
      </c>
    </row>
    <row r="171" spans="2:6" ht="15" hidden="1" customHeight="1">
      <c r="B171" t="s">
        <v>1239</v>
      </c>
      <c r="E171" t="s">
        <v>3142</v>
      </c>
      <c r="F171" s="5"/>
    </row>
    <row r="172" spans="2:6" ht="15" hidden="1" customHeight="1">
      <c r="B172" t="s">
        <v>869</v>
      </c>
      <c r="D172" t="s">
        <v>361</v>
      </c>
      <c r="E172">
        <v>99451124</v>
      </c>
      <c r="F172" s="5"/>
    </row>
    <row r="173" spans="2:6" ht="15" hidden="1" customHeight="1">
      <c r="B173" t="s">
        <v>1007</v>
      </c>
      <c r="C173" t="s">
        <v>1008</v>
      </c>
      <c r="D173" t="s">
        <v>894</v>
      </c>
      <c r="F173" s="5" t="s">
        <v>1009</v>
      </c>
    </row>
    <row r="174" spans="2:6" ht="15" hidden="1" customHeight="1">
      <c r="B174" t="s">
        <v>741</v>
      </c>
      <c r="C174" t="s">
        <v>742</v>
      </c>
      <c r="D174" t="s">
        <v>980</v>
      </c>
      <c r="E174" t="s">
        <v>743</v>
      </c>
    </row>
    <row r="175" spans="2:6" ht="15" hidden="1" customHeight="1">
      <c r="B175" t="s">
        <v>1067</v>
      </c>
      <c r="C175" t="s">
        <v>1071</v>
      </c>
      <c r="E175" t="s">
        <v>1072</v>
      </c>
    </row>
    <row r="176" spans="2:6" ht="15" hidden="1" customHeight="1">
      <c r="B176" t="s">
        <v>1849</v>
      </c>
      <c r="C176">
        <v>25089735</v>
      </c>
      <c r="D176">
        <v>99525384</v>
      </c>
      <c r="E176">
        <v>99008676</v>
      </c>
    </row>
    <row r="177" spans="1:8" ht="15" hidden="1" customHeight="1">
      <c r="A177">
        <v>0</v>
      </c>
      <c r="B177" t="s">
        <v>1243</v>
      </c>
      <c r="C177" s="29" t="s">
        <v>2527</v>
      </c>
      <c r="F177" s="5" t="s">
        <v>1244</v>
      </c>
    </row>
    <row r="178" spans="1:8" ht="15" hidden="1" customHeight="1">
      <c r="B178" t="s">
        <v>638</v>
      </c>
      <c r="C178" t="s">
        <v>639</v>
      </c>
      <c r="E178">
        <v>47229427</v>
      </c>
      <c r="F178" s="5"/>
    </row>
    <row r="179" spans="1:8" ht="33" hidden="1" customHeight="1">
      <c r="B179" t="s">
        <v>2717</v>
      </c>
      <c r="F179" s="5" t="s">
        <v>2668</v>
      </c>
    </row>
    <row r="180" spans="1:8" ht="15" hidden="1" customHeight="1">
      <c r="B180" t="s">
        <v>2738</v>
      </c>
      <c r="E180" t="s">
        <v>2739</v>
      </c>
      <c r="F180" s="5"/>
    </row>
    <row r="181" spans="1:8" ht="15" hidden="1" customHeight="1">
      <c r="B181" t="s">
        <v>2703</v>
      </c>
      <c r="C181" t="s">
        <v>2704</v>
      </c>
      <c r="F181" s="5" t="s">
        <v>2705</v>
      </c>
    </row>
    <row r="182" spans="1:8" ht="15" hidden="1" customHeight="1">
      <c r="B182" t="s">
        <v>1177</v>
      </c>
      <c r="E182">
        <v>96201556</v>
      </c>
      <c r="F182" s="5"/>
    </row>
    <row r="183" spans="1:8" ht="15" hidden="1" customHeight="1">
      <c r="B183" t="s">
        <v>1258</v>
      </c>
      <c r="F183" s="5" t="s">
        <v>1259</v>
      </c>
    </row>
    <row r="184" spans="1:8" ht="15" hidden="1" customHeight="1">
      <c r="B184" t="s">
        <v>4329</v>
      </c>
      <c r="E184">
        <v>98715971</v>
      </c>
    </row>
    <row r="185" spans="1:8" ht="15" hidden="1" customHeight="1">
      <c r="B185" t="s">
        <v>1442</v>
      </c>
      <c r="E185">
        <v>98479720</v>
      </c>
      <c r="F185" s="5"/>
    </row>
    <row r="186" spans="1:8" ht="15" hidden="1" customHeight="1">
      <c r="B186" t="s">
        <v>896</v>
      </c>
      <c r="E186">
        <v>2355.8604</v>
      </c>
      <c r="F186" s="5"/>
    </row>
    <row r="187" spans="1:8" ht="15" hidden="1" customHeight="1">
      <c r="B187" t="s">
        <v>3177</v>
      </c>
      <c r="C187" t="s">
        <v>3178</v>
      </c>
      <c r="D187" t="s">
        <v>235</v>
      </c>
      <c r="E187" t="s">
        <v>708</v>
      </c>
      <c r="F187" s="5"/>
    </row>
    <row r="188" spans="1:8" ht="17.25" hidden="1" customHeight="1">
      <c r="B188" t="s">
        <v>1607</v>
      </c>
      <c r="E188" t="s">
        <v>1608</v>
      </c>
      <c r="F188" s="5" t="s">
        <v>1625</v>
      </c>
    </row>
    <row r="189" spans="1:8" ht="17.25" hidden="1" customHeight="1">
      <c r="B189" t="s">
        <v>740</v>
      </c>
      <c r="C189" t="s">
        <v>820</v>
      </c>
      <c r="F189" s="5" t="s">
        <v>739</v>
      </c>
    </row>
    <row r="190" spans="1:8" ht="15" hidden="1" customHeight="1">
      <c r="B190" t="s">
        <v>1164</v>
      </c>
      <c r="E190" s="5" t="s">
        <v>1165</v>
      </c>
      <c r="F190" s="5" t="s">
        <v>330</v>
      </c>
      <c r="G190" s="5"/>
      <c r="H190" s="5"/>
    </row>
    <row r="191" spans="1:8" ht="15" hidden="1" customHeight="1">
      <c r="B191" t="s">
        <v>1228</v>
      </c>
      <c r="C191" t="s">
        <v>2786</v>
      </c>
      <c r="D191" t="s">
        <v>289</v>
      </c>
      <c r="E191" t="s">
        <v>2788</v>
      </c>
      <c r="F191" s="5" t="s">
        <v>2787</v>
      </c>
    </row>
    <row r="192" spans="1:8" ht="15" hidden="1" customHeight="1">
      <c r="B192" t="s">
        <v>1228</v>
      </c>
      <c r="C192" t="s">
        <v>1229</v>
      </c>
      <c r="D192" t="s">
        <v>361</v>
      </c>
      <c r="E192">
        <v>4722.0051000000003</v>
      </c>
      <c r="F192" s="5" t="s">
        <v>1230</v>
      </c>
    </row>
    <row r="193" spans="1:8" ht="15" hidden="1" customHeight="1">
      <c r="B193" t="s">
        <v>3707</v>
      </c>
      <c r="C193">
        <v>0</v>
      </c>
      <c r="D193" t="s">
        <v>2195</v>
      </c>
      <c r="F193" s="5" t="s">
        <v>3709</v>
      </c>
    </row>
    <row r="194" spans="1:8" ht="15" hidden="1" customHeight="1">
      <c r="B194" t="s">
        <v>3708</v>
      </c>
      <c r="C194" s="18" t="s">
        <v>713</v>
      </c>
      <c r="E194" t="s">
        <v>714</v>
      </c>
      <c r="F194" s="5" t="s">
        <v>330</v>
      </c>
    </row>
    <row r="195" spans="1:8" ht="15" hidden="1" customHeight="1">
      <c r="B195" t="s">
        <v>1510</v>
      </c>
      <c r="E195" t="s">
        <v>1511</v>
      </c>
      <c r="F195" s="5"/>
    </row>
    <row r="196" spans="1:8" ht="15" hidden="1" customHeight="1">
      <c r="B196" t="s">
        <v>767</v>
      </c>
      <c r="E196" t="s">
        <v>768</v>
      </c>
      <c r="F196" s="5"/>
    </row>
    <row r="197" spans="1:8" ht="15" hidden="1" customHeight="1">
      <c r="B197" t="s">
        <v>451</v>
      </c>
      <c r="E197" s="5"/>
      <c r="F197" s="5" t="s">
        <v>618</v>
      </c>
      <c r="G197" s="5"/>
      <c r="H197" s="5"/>
    </row>
    <row r="198" spans="1:8" ht="15" hidden="1" customHeight="1">
      <c r="B198" t="s">
        <v>903</v>
      </c>
      <c r="F198" s="5" t="s">
        <v>904</v>
      </c>
    </row>
    <row r="199" spans="1:8" ht="15" hidden="1" customHeight="1">
      <c r="B199" t="s">
        <v>732</v>
      </c>
      <c r="C199" t="s">
        <v>733</v>
      </c>
      <c r="E199">
        <v>47220403</v>
      </c>
      <c r="F199" s="5" t="s">
        <v>1052</v>
      </c>
      <c r="G199" t="s">
        <v>593</v>
      </c>
      <c r="H199">
        <v>99952685</v>
      </c>
    </row>
    <row r="200" spans="1:8" ht="15" hidden="1" customHeight="1">
      <c r="B200" t="s">
        <v>619</v>
      </c>
      <c r="C200" t="s">
        <v>620</v>
      </c>
      <c r="E200">
        <v>47222450</v>
      </c>
      <c r="F200" s="5"/>
    </row>
    <row r="201" spans="1:8" ht="15" hidden="1" customHeight="1">
      <c r="B201" t="s">
        <v>716</v>
      </c>
      <c r="D201">
        <v>29243655</v>
      </c>
      <c r="E201">
        <v>95743616</v>
      </c>
      <c r="F201" s="5"/>
      <c r="G201" s="7" t="s">
        <v>1597</v>
      </c>
    </row>
    <row r="202" spans="1:8" ht="15" hidden="1" customHeight="1">
      <c r="B202" t="s">
        <v>1905</v>
      </c>
      <c r="C202">
        <v>0</v>
      </c>
      <c r="E202">
        <v>0</v>
      </c>
      <c r="F202" s="5" t="s">
        <v>2715</v>
      </c>
    </row>
    <row r="203" spans="1:8" ht="15" hidden="1" customHeight="1">
      <c r="B203" t="s">
        <v>807</v>
      </c>
      <c r="D203" t="s">
        <v>361</v>
      </c>
      <c r="F203" s="5" t="s">
        <v>330</v>
      </c>
    </row>
    <row r="204" spans="1:8" ht="15" hidden="1" customHeight="1">
      <c r="B204" t="s">
        <v>807</v>
      </c>
      <c r="C204" t="s">
        <v>80</v>
      </c>
      <c r="E204" t="s">
        <v>1168</v>
      </c>
      <c r="F204" s="5"/>
    </row>
    <row r="205" spans="1:8" ht="15" hidden="1" customHeight="1">
      <c r="B205" t="s">
        <v>807</v>
      </c>
      <c r="C205">
        <v>0</v>
      </c>
    </row>
    <row r="206" spans="1:8" ht="15" hidden="1" customHeight="1">
      <c r="B206" t="s">
        <v>807</v>
      </c>
      <c r="F206" s="5" t="s">
        <v>330</v>
      </c>
    </row>
    <row r="207" spans="1:8" ht="15" hidden="1" customHeight="1">
      <c r="A207">
        <v>1126</v>
      </c>
      <c r="B207" t="s">
        <v>807</v>
      </c>
      <c r="C207" t="s">
        <v>807</v>
      </c>
      <c r="D207" t="s">
        <v>807</v>
      </c>
      <c r="E207" s="5" t="s">
        <v>528</v>
      </c>
      <c r="F207" s="5" t="s">
        <v>1004</v>
      </c>
      <c r="G207" s="5" t="s">
        <v>528</v>
      </c>
      <c r="H207" s="5"/>
    </row>
    <row r="208" spans="1:8" ht="15" hidden="1" customHeight="1">
      <c r="B208" t="s">
        <v>807</v>
      </c>
      <c r="C208" t="s">
        <v>80</v>
      </c>
      <c r="E208">
        <v>0</v>
      </c>
    </row>
    <row r="209" spans="2:8" ht="15" hidden="1" customHeight="1">
      <c r="B209" t="s">
        <v>807</v>
      </c>
      <c r="C209" t="s">
        <v>3322</v>
      </c>
      <c r="D209" t="s">
        <v>1062</v>
      </c>
      <c r="E209" t="s">
        <v>2821</v>
      </c>
    </row>
    <row r="210" spans="2:8" ht="15" hidden="1" customHeight="1">
      <c r="B210" t="s">
        <v>807</v>
      </c>
      <c r="C210" t="s">
        <v>3322</v>
      </c>
      <c r="F210" s="5" t="s">
        <v>3886</v>
      </c>
    </row>
    <row r="211" spans="2:8" ht="15" hidden="1" customHeight="1">
      <c r="B211" t="s">
        <v>807</v>
      </c>
      <c r="C211">
        <v>98982495</v>
      </c>
    </row>
    <row r="212" spans="2:8" ht="15" hidden="1" customHeight="1">
      <c r="B212" t="s">
        <v>807</v>
      </c>
      <c r="E212" t="s">
        <v>748</v>
      </c>
      <c r="F212" s="5"/>
    </row>
    <row r="213" spans="2:8" ht="15" hidden="1" customHeight="1">
      <c r="B213" t="s">
        <v>1245</v>
      </c>
      <c r="D213" t="s">
        <v>1529</v>
      </c>
      <c r="E213" t="s">
        <v>4068</v>
      </c>
      <c r="F213" s="5"/>
    </row>
    <row r="214" spans="2:8" ht="15" hidden="1" customHeight="1">
      <c r="B214" t="s">
        <v>4070</v>
      </c>
      <c r="C214" t="s">
        <v>4071</v>
      </c>
      <c r="F214" t="s">
        <v>4069</v>
      </c>
    </row>
    <row r="215" spans="2:8" ht="15" hidden="1" customHeight="1">
      <c r="B215" t="s">
        <v>2656</v>
      </c>
      <c r="C215" t="s">
        <v>2657</v>
      </c>
      <c r="E215" t="s">
        <v>2658</v>
      </c>
      <c r="F215" s="5"/>
    </row>
    <row r="216" spans="2:8" ht="15" hidden="1" customHeight="1">
      <c r="B216" t="s">
        <v>1314</v>
      </c>
      <c r="C216" t="s">
        <v>1315</v>
      </c>
      <c r="E216" t="s">
        <v>1316</v>
      </c>
      <c r="F216" s="5"/>
    </row>
    <row r="217" spans="2:8" ht="15" hidden="1" customHeight="1">
      <c r="B217" t="s">
        <v>1466</v>
      </c>
      <c r="C217" t="s">
        <v>1467</v>
      </c>
      <c r="E217">
        <v>22159191</v>
      </c>
      <c r="F217" s="5" t="s">
        <v>1468</v>
      </c>
    </row>
    <row r="218" spans="2:8" ht="15" hidden="1" customHeight="1">
      <c r="B218" t="s">
        <v>2942</v>
      </c>
      <c r="C218" t="s">
        <v>2940</v>
      </c>
      <c r="F218" t="s">
        <v>2941</v>
      </c>
    </row>
    <row r="219" spans="2:8" ht="15" hidden="1" customHeight="1">
      <c r="B219" t="s">
        <v>1615</v>
      </c>
      <c r="C219" t="s">
        <v>2659</v>
      </c>
      <c r="E219">
        <v>0</v>
      </c>
      <c r="F219" s="5" t="s">
        <v>2660</v>
      </c>
      <c r="G219">
        <v>0</v>
      </c>
    </row>
    <row r="220" spans="2:8" ht="15" hidden="1" customHeight="1">
      <c r="B220" t="s">
        <v>757</v>
      </c>
      <c r="C220" t="s">
        <v>1233</v>
      </c>
      <c r="D220" t="s">
        <v>361</v>
      </c>
      <c r="E220" t="s">
        <v>755</v>
      </c>
      <c r="F220" s="5" t="s">
        <v>1443</v>
      </c>
      <c r="H220" t="s">
        <v>3417</v>
      </c>
    </row>
    <row r="221" spans="2:8" ht="15" hidden="1" customHeight="1">
      <c r="B221" t="s">
        <v>1082</v>
      </c>
      <c r="C221" t="s">
        <v>1217</v>
      </c>
      <c r="E221">
        <v>23032587</v>
      </c>
      <c r="F221" s="5"/>
      <c r="G221">
        <v>111</v>
      </c>
    </row>
    <row r="222" spans="2:8" ht="15" hidden="1" customHeight="1">
      <c r="B222" t="s">
        <v>1002</v>
      </c>
      <c r="C222" t="s">
        <v>1003</v>
      </c>
      <c r="F222" s="5" t="s">
        <v>1004</v>
      </c>
    </row>
    <row r="223" spans="2:8" ht="15" hidden="1" customHeight="1">
      <c r="B223" t="s">
        <v>2685</v>
      </c>
      <c r="C223" t="s">
        <v>2687</v>
      </c>
      <c r="F223" s="5" t="s">
        <v>2686</v>
      </c>
    </row>
    <row r="224" spans="2:8" ht="15" hidden="1" customHeight="1">
      <c r="B224" t="s">
        <v>1452</v>
      </c>
      <c r="E224">
        <v>98603707</v>
      </c>
      <c r="F224" s="5"/>
    </row>
    <row r="225" spans="2:8" ht="15" hidden="1" customHeight="1">
      <c r="B225" t="s">
        <v>2751</v>
      </c>
      <c r="E225">
        <v>0</v>
      </c>
      <c r="F225" s="5" t="s">
        <v>2752</v>
      </c>
    </row>
    <row r="226" spans="2:8" ht="15" hidden="1" customHeight="1">
      <c r="B226" t="s">
        <v>908</v>
      </c>
      <c r="C226" t="s">
        <v>909</v>
      </c>
      <c r="F226" s="5"/>
    </row>
    <row r="227" spans="2:8" ht="15" hidden="1" customHeight="1">
      <c r="B227" t="s">
        <v>3884</v>
      </c>
      <c r="C227" t="s">
        <v>3885</v>
      </c>
    </row>
    <row r="228" spans="2:8" ht="15" hidden="1" customHeight="1">
      <c r="B228" t="s">
        <v>910</v>
      </c>
      <c r="C228" t="s">
        <v>911</v>
      </c>
      <c r="E228">
        <v>472.31157999999999</v>
      </c>
      <c r="F228" s="5"/>
    </row>
    <row r="229" spans="2:8" ht="15" hidden="1" customHeight="1">
      <c r="B229" t="s">
        <v>3045</v>
      </c>
      <c r="C229" t="s">
        <v>3046</v>
      </c>
      <c r="D229" t="s">
        <v>361</v>
      </c>
      <c r="E229" t="s">
        <v>3047</v>
      </c>
    </row>
    <row r="230" spans="2:8" ht="15" hidden="1" customHeight="1">
      <c r="B230" t="s">
        <v>41</v>
      </c>
      <c r="E230" t="s">
        <v>56</v>
      </c>
      <c r="F230" s="5" t="s">
        <v>3375</v>
      </c>
    </row>
    <row r="231" spans="2:8" ht="15" hidden="1" customHeight="1">
      <c r="B231" t="s">
        <v>912</v>
      </c>
      <c r="C231" t="s">
        <v>913</v>
      </c>
      <c r="D231" t="s">
        <v>341</v>
      </c>
      <c r="E231" t="s">
        <v>914</v>
      </c>
      <c r="F231" s="5" t="s">
        <v>915</v>
      </c>
    </row>
    <row r="232" spans="2:8" ht="15" hidden="1" customHeight="1">
      <c r="B232" t="s">
        <v>1169</v>
      </c>
      <c r="F232" s="5" t="s">
        <v>1170</v>
      </c>
    </row>
    <row r="233" spans="2:8" ht="15" hidden="1" customHeight="1">
      <c r="B233" t="s">
        <v>1683</v>
      </c>
      <c r="C233" t="s">
        <v>1684</v>
      </c>
      <c r="D233" t="s">
        <v>1685</v>
      </c>
      <c r="F233" s="5" t="s">
        <v>1686</v>
      </c>
      <c r="H233" t="s">
        <v>289</v>
      </c>
    </row>
    <row r="234" spans="2:8" ht="15" hidden="1" customHeight="1">
      <c r="B234" t="s">
        <v>916</v>
      </c>
      <c r="C234" t="s">
        <v>917</v>
      </c>
      <c r="D234" t="s">
        <v>751</v>
      </c>
      <c r="E234" t="s">
        <v>918</v>
      </c>
      <c r="F234" s="5" t="s">
        <v>919</v>
      </c>
    </row>
    <row r="235" spans="2:8" ht="15" hidden="1" customHeight="1">
      <c r="B235" t="s">
        <v>3610</v>
      </c>
      <c r="C235" t="s">
        <v>3612</v>
      </c>
      <c r="D235" t="s">
        <v>289</v>
      </c>
      <c r="E235">
        <v>22033745</v>
      </c>
      <c r="F235" s="5" t="s">
        <v>3611</v>
      </c>
    </row>
    <row r="236" spans="2:8" ht="15" hidden="1" customHeight="1">
      <c r="B236" t="s">
        <v>925</v>
      </c>
      <c r="C236" t="s">
        <v>924</v>
      </c>
      <c r="E236" t="s">
        <v>923</v>
      </c>
      <c r="F236" s="5"/>
    </row>
    <row r="237" spans="2:8" ht="15" hidden="1" customHeight="1">
      <c r="B237" t="s">
        <v>926</v>
      </c>
      <c r="C237" t="s">
        <v>927</v>
      </c>
      <c r="E237" t="s">
        <v>928</v>
      </c>
      <c r="F237" s="5"/>
    </row>
    <row r="238" spans="2:8" ht="15" hidden="1" customHeight="1">
      <c r="B238" t="s">
        <v>749</v>
      </c>
      <c r="C238" t="s">
        <v>750</v>
      </c>
      <c r="D238" t="s">
        <v>751</v>
      </c>
      <c r="E238">
        <v>43136021</v>
      </c>
      <c r="F238" s="5" t="s">
        <v>752</v>
      </c>
    </row>
    <row r="239" spans="2:8" ht="15" hidden="1" customHeight="1">
      <c r="B239" t="s">
        <v>929</v>
      </c>
      <c r="C239" t="s">
        <v>2681</v>
      </c>
      <c r="F239" s="5" t="s">
        <v>2680</v>
      </c>
    </row>
    <row r="240" spans="2:8" ht="15" hidden="1" customHeight="1">
      <c r="B240" t="s">
        <v>3978</v>
      </c>
      <c r="F240" s="5" t="s">
        <v>2548</v>
      </c>
    </row>
    <row r="241" spans="2:8" ht="15" hidden="1" customHeight="1">
      <c r="B241" t="s">
        <v>931</v>
      </c>
      <c r="E241" t="s">
        <v>930</v>
      </c>
      <c r="F241" s="5"/>
    </row>
    <row r="242" spans="2:8" ht="15" hidden="1" customHeight="1">
      <c r="B242" t="s">
        <v>2673</v>
      </c>
      <c r="C242">
        <v>0</v>
      </c>
      <c r="F242" s="5" t="s">
        <v>2027</v>
      </c>
    </row>
    <row r="243" spans="2:8" ht="15" hidden="1" customHeight="1">
      <c r="B243" t="s">
        <v>3016</v>
      </c>
      <c r="F243">
        <v>98194701</v>
      </c>
    </row>
    <row r="244" spans="2:8" ht="15" hidden="1" customHeight="1">
      <c r="B244" t="s">
        <v>599</v>
      </c>
      <c r="E244" s="5"/>
      <c r="F244" s="5" t="s">
        <v>598</v>
      </c>
      <c r="G244" s="5"/>
      <c r="H244" s="5"/>
    </row>
    <row r="245" spans="2:8" ht="15" hidden="1" customHeight="1">
      <c r="B245" t="s">
        <v>1463</v>
      </c>
      <c r="C245" t="s">
        <v>1751</v>
      </c>
      <c r="E245" t="s">
        <v>1464</v>
      </c>
      <c r="F245" s="5"/>
    </row>
    <row r="246" spans="2:8" ht="15" hidden="1" customHeight="1">
      <c r="B246" t="s">
        <v>1482</v>
      </c>
      <c r="F246" s="5" t="s">
        <v>1483</v>
      </c>
    </row>
    <row r="247" spans="2:8" ht="15" hidden="1" customHeight="1">
      <c r="B247" t="s">
        <v>101</v>
      </c>
      <c r="C247" t="s">
        <v>2410</v>
      </c>
      <c r="F247" s="5" t="s">
        <v>1065</v>
      </c>
    </row>
    <row r="248" spans="2:8" ht="15" hidden="1" customHeight="1">
      <c r="B248" t="s">
        <v>932</v>
      </c>
      <c r="C248" t="s">
        <v>933</v>
      </c>
      <c r="E248" t="s">
        <v>934</v>
      </c>
      <c r="F248" s="5"/>
    </row>
    <row r="249" spans="2:8" ht="15" hidden="1" customHeight="1">
      <c r="B249" t="s">
        <v>805</v>
      </c>
      <c r="E249" t="s">
        <v>806</v>
      </c>
      <c r="F249" s="5"/>
    </row>
    <row r="250" spans="2:8" ht="15" hidden="1" customHeight="1">
      <c r="B250" t="s">
        <v>1593</v>
      </c>
      <c r="C250" t="s">
        <v>1594</v>
      </c>
      <c r="E250">
        <v>29250612</v>
      </c>
      <c r="F250" s="5"/>
    </row>
    <row r="251" spans="2:8" ht="15" hidden="1" customHeight="1">
      <c r="B251" t="s">
        <v>969</v>
      </c>
      <c r="F251" s="5" t="s">
        <v>970</v>
      </c>
    </row>
    <row r="252" spans="2:8" ht="15" hidden="1" customHeight="1">
      <c r="B252" t="s">
        <v>2902</v>
      </c>
      <c r="D252" t="s">
        <v>2884</v>
      </c>
      <c r="F252" t="s">
        <v>2903</v>
      </c>
    </row>
    <row r="253" spans="2:8" ht="15" hidden="1" customHeight="1">
      <c r="B253" t="s">
        <v>2902</v>
      </c>
      <c r="F253" s="67" t="s">
        <v>2903</v>
      </c>
    </row>
    <row r="254" spans="2:8" ht="15" hidden="1" customHeight="1">
      <c r="B254" t="s">
        <v>2902</v>
      </c>
      <c r="E254" s="5"/>
      <c r="F254" s="5" t="s">
        <v>3120</v>
      </c>
      <c r="G254" s="5"/>
      <c r="H254" s="5"/>
    </row>
    <row r="255" spans="2:8" ht="15" hidden="1" customHeight="1">
      <c r="B255" t="s">
        <v>650</v>
      </c>
      <c r="E255">
        <v>472.31635</v>
      </c>
      <c r="F255" s="5" t="s">
        <v>651</v>
      </c>
    </row>
    <row r="256" spans="2:8" ht="15" hidden="1" customHeight="1">
      <c r="B256" t="s">
        <v>551</v>
      </c>
      <c r="C256" t="s">
        <v>1485</v>
      </c>
      <c r="E256" t="s">
        <v>1486</v>
      </c>
      <c r="F256" s="5"/>
    </row>
    <row r="257" spans="1:6" ht="15" hidden="1" customHeight="1">
      <c r="B257" t="s">
        <v>961</v>
      </c>
      <c r="D257" t="s">
        <v>962</v>
      </c>
      <c r="E257">
        <v>22922265</v>
      </c>
      <c r="F257" s="5"/>
    </row>
    <row r="258" spans="1:6" ht="15" hidden="1" customHeight="1">
      <c r="B258" t="s">
        <v>963</v>
      </c>
      <c r="D258" t="s">
        <v>964</v>
      </c>
      <c r="E258" t="s">
        <v>965</v>
      </c>
      <c r="F258" s="5"/>
    </row>
    <row r="259" spans="1:6" ht="15" hidden="1" customHeight="1">
      <c r="B259" t="s">
        <v>958</v>
      </c>
      <c r="D259" t="s">
        <v>959</v>
      </c>
      <c r="E259" t="s">
        <v>960</v>
      </c>
      <c r="F259" s="5"/>
    </row>
    <row r="260" spans="1:6" ht="15" hidden="1" customHeight="1">
      <c r="B260" t="s">
        <v>2885</v>
      </c>
      <c r="D260" t="s">
        <v>2285</v>
      </c>
      <c r="F260" t="s">
        <v>2886</v>
      </c>
    </row>
    <row r="261" spans="1:6" ht="15" hidden="1" customHeight="1">
      <c r="B261" t="s">
        <v>985</v>
      </c>
      <c r="F261" s="5" t="s">
        <v>968</v>
      </c>
    </row>
    <row r="262" spans="1:6" ht="15" hidden="1" customHeight="1">
      <c r="B262" t="s">
        <v>1472</v>
      </c>
      <c r="E262">
        <v>7114197</v>
      </c>
      <c r="F262" s="5"/>
    </row>
    <row r="263" spans="1:6" ht="15" hidden="1" customHeight="1">
      <c r="B263" t="s">
        <v>956</v>
      </c>
      <c r="D263" t="s">
        <v>957</v>
      </c>
      <c r="E263">
        <v>46324545</v>
      </c>
      <c r="F263" s="5"/>
    </row>
    <row r="264" spans="1:6" ht="15" hidden="1" customHeight="1">
      <c r="B264" t="s">
        <v>1473</v>
      </c>
      <c r="D264" t="s">
        <v>1474</v>
      </c>
      <c r="E264" t="s">
        <v>1476</v>
      </c>
      <c r="F264" s="5"/>
    </row>
    <row r="265" spans="1:6" ht="15" hidden="1" customHeight="1">
      <c r="B265" t="s">
        <v>966</v>
      </c>
      <c r="D265" t="s">
        <v>571</v>
      </c>
      <c r="E265">
        <v>98286807</v>
      </c>
      <c r="F265" s="5"/>
    </row>
    <row r="266" spans="1:6" ht="15" hidden="1" customHeight="1">
      <c r="A266" t="s">
        <v>2758</v>
      </c>
      <c r="B266" t="s">
        <v>2808</v>
      </c>
      <c r="C266" t="s">
        <v>2809</v>
      </c>
      <c r="D266" t="s">
        <v>361</v>
      </c>
      <c r="F266" t="s">
        <v>2810</v>
      </c>
    </row>
    <row r="267" spans="1:6" ht="15" hidden="1" customHeight="1">
      <c r="B267" t="s">
        <v>1477</v>
      </c>
      <c r="C267" t="s">
        <v>1478</v>
      </c>
      <c r="D267" t="s">
        <v>1479</v>
      </c>
      <c r="E267">
        <v>4352.2735000000002</v>
      </c>
      <c r="F267" s="5"/>
    </row>
    <row r="268" spans="1:6" ht="15" hidden="1" customHeight="1">
      <c r="B268" t="s">
        <v>967</v>
      </c>
      <c r="C268" t="s">
        <v>1166</v>
      </c>
      <c r="D268">
        <v>1</v>
      </c>
      <c r="E268">
        <v>24100630</v>
      </c>
      <c r="F268" s="5"/>
    </row>
    <row r="269" spans="1:6" ht="15" hidden="1" customHeight="1">
      <c r="B269" t="s">
        <v>1475</v>
      </c>
      <c r="D269" t="s">
        <v>289</v>
      </c>
      <c r="E269">
        <v>7087800</v>
      </c>
      <c r="F269" s="5"/>
    </row>
    <row r="270" spans="1:6" ht="15" hidden="1" customHeight="1">
      <c r="B270" t="s">
        <v>1469</v>
      </c>
      <c r="C270" t="s">
        <v>1470</v>
      </c>
      <c r="D270" t="s">
        <v>1471</v>
      </c>
      <c r="E270">
        <v>7103526</v>
      </c>
      <c r="F270" s="5"/>
    </row>
    <row r="271" spans="1:6" ht="15" hidden="1" customHeight="1">
      <c r="B271" t="s">
        <v>1264</v>
      </c>
      <c r="D271" t="s">
        <v>1265</v>
      </c>
      <c r="F271" s="5" t="s">
        <v>1266</v>
      </c>
    </row>
    <row r="272" spans="1:6" ht="15" hidden="1" customHeight="1">
      <c r="B272" t="s">
        <v>2918</v>
      </c>
      <c r="C272" t="s">
        <v>2919</v>
      </c>
      <c r="E272">
        <v>22270016</v>
      </c>
      <c r="F272" s="5" t="s">
        <v>2920</v>
      </c>
    </row>
    <row r="273" spans="1:9" ht="15" hidden="1" customHeight="1">
      <c r="B273" t="s">
        <v>881</v>
      </c>
      <c r="E273">
        <v>99896307</v>
      </c>
      <c r="F273" s="5"/>
    </row>
    <row r="274" spans="1:9" ht="15" hidden="1" customHeight="1">
      <c r="B274" t="s">
        <v>1480</v>
      </c>
      <c r="C274">
        <v>0</v>
      </c>
      <c r="E274" t="s">
        <v>1481</v>
      </c>
      <c r="F274" s="5"/>
    </row>
    <row r="275" spans="1:9" ht="15" hidden="1" customHeight="1">
      <c r="B275" t="s">
        <v>1233</v>
      </c>
      <c r="F275" s="5" t="s">
        <v>1484</v>
      </c>
    </row>
    <row r="276" spans="1:9" ht="15" hidden="1" customHeight="1">
      <c r="B276" t="s">
        <v>2669</v>
      </c>
      <c r="C276" t="s">
        <v>2670</v>
      </c>
      <c r="F276" s="5"/>
      <c r="H276">
        <v>0</v>
      </c>
      <c r="I276">
        <v>0</v>
      </c>
    </row>
    <row r="277" spans="1:9" ht="15" hidden="1" customHeight="1">
      <c r="A277">
        <v>131</v>
      </c>
      <c r="B277" t="s">
        <v>871</v>
      </c>
      <c r="C277" t="s">
        <v>872</v>
      </c>
      <c r="D277" t="s">
        <v>804</v>
      </c>
      <c r="E277" s="5"/>
      <c r="F277" s="5"/>
      <c r="G277" s="5">
        <v>2</v>
      </c>
      <c r="H277" s="5"/>
    </row>
    <row r="278" spans="1:9" ht="15" hidden="1" customHeight="1">
      <c r="B278" t="s">
        <v>600</v>
      </c>
      <c r="C278" t="s">
        <v>601</v>
      </c>
      <c r="E278" s="5"/>
      <c r="F278" s="5" t="s">
        <v>602</v>
      </c>
      <c r="G278" s="5"/>
      <c r="H278" s="5"/>
    </row>
    <row r="279" spans="1:9" ht="15" hidden="1" customHeight="1">
      <c r="B279" t="s">
        <v>1057</v>
      </c>
      <c r="E279" t="s">
        <v>1058</v>
      </c>
      <c r="F279" s="5"/>
    </row>
    <row r="280" spans="1:9" ht="15" hidden="1" customHeight="1">
      <c r="B280" t="s">
        <v>1256</v>
      </c>
      <c r="E280" t="s">
        <v>1257</v>
      </c>
      <c r="F280" s="5"/>
    </row>
    <row r="281" spans="1:9" ht="15" hidden="1" customHeight="1">
      <c r="B281" t="s">
        <v>668</v>
      </c>
      <c r="F281" s="5" t="s">
        <v>669</v>
      </c>
    </row>
    <row r="282" spans="1:9" ht="15" hidden="1" customHeight="1">
      <c r="B282" t="s">
        <v>4244</v>
      </c>
      <c r="D282">
        <v>95869483</v>
      </c>
    </row>
    <row r="283" spans="1:9" ht="15" hidden="1" customHeight="1">
      <c r="B283" t="s">
        <v>696</v>
      </c>
      <c r="D283" t="s">
        <v>341</v>
      </c>
      <c r="E283" t="s">
        <v>697</v>
      </c>
      <c r="F283" s="5" t="s">
        <v>1176</v>
      </c>
    </row>
    <row r="284" spans="1:9" ht="15" hidden="1" customHeight="1">
      <c r="B284" t="s">
        <v>1220</v>
      </c>
      <c r="C284" t="s">
        <v>516</v>
      </c>
      <c r="F284" s="5" t="s">
        <v>1091</v>
      </c>
    </row>
    <row r="285" spans="1:9" ht="15" hidden="1" customHeight="1">
      <c r="B285" t="s">
        <v>3954</v>
      </c>
      <c r="C285" t="s">
        <v>3955</v>
      </c>
      <c r="F285">
        <v>98775880</v>
      </c>
    </row>
    <row r="286" spans="1:9" ht="15" hidden="1" customHeight="1">
      <c r="B286" t="s">
        <v>1213</v>
      </c>
      <c r="F286" s="5" t="s">
        <v>1197</v>
      </c>
    </row>
    <row r="287" spans="1:9" ht="15" hidden="1" customHeight="1">
      <c r="B287" t="s">
        <v>763</v>
      </c>
      <c r="C287" s="7" t="s">
        <v>764</v>
      </c>
      <c r="F287" s="5"/>
    </row>
    <row r="288" spans="1:9" ht="15" hidden="1" customHeight="1">
      <c r="B288" t="s">
        <v>1921</v>
      </c>
      <c r="C288" s="7" t="s">
        <v>2897</v>
      </c>
      <c r="F288" s="5" t="s">
        <v>2896</v>
      </c>
    </row>
    <row r="289" spans="2:8" ht="15" hidden="1" customHeight="1">
      <c r="B289" t="s">
        <v>2075</v>
      </c>
      <c r="C289" t="s">
        <v>2076</v>
      </c>
      <c r="E289">
        <v>93803521</v>
      </c>
      <c r="F289" s="5"/>
    </row>
    <row r="290" spans="2:8" ht="15" hidden="1" customHeight="1">
      <c r="B290" t="s">
        <v>1634</v>
      </c>
      <c r="E290">
        <v>99064303</v>
      </c>
      <c r="F290" s="5" t="s">
        <v>1635</v>
      </c>
    </row>
    <row r="291" spans="2:8" ht="15" hidden="1" customHeight="1">
      <c r="B291" t="s">
        <v>4306</v>
      </c>
      <c r="E291">
        <v>96222802</v>
      </c>
    </row>
    <row r="292" spans="2:8" ht="15" hidden="1" customHeight="1">
      <c r="B292" t="s">
        <v>3591</v>
      </c>
      <c r="F292" s="5" t="s">
        <v>3592</v>
      </c>
    </row>
    <row r="293" spans="2:8" ht="15" hidden="1" customHeight="1">
      <c r="B293" t="s">
        <v>2273</v>
      </c>
      <c r="F293" s="5" t="s">
        <v>2272</v>
      </c>
    </row>
    <row r="294" spans="2:8" ht="15" hidden="1" customHeight="1">
      <c r="B294" t="s">
        <v>737</v>
      </c>
      <c r="E294" t="s">
        <v>753</v>
      </c>
      <c r="F294" s="5" t="s">
        <v>738</v>
      </c>
    </row>
    <row r="295" spans="2:8" ht="15" hidden="1" customHeight="1">
      <c r="B295" t="s">
        <v>2269</v>
      </c>
      <c r="E295" t="s">
        <v>2270</v>
      </c>
      <c r="F295" s="5" t="s">
        <v>2271</v>
      </c>
    </row>
    <row r="296" spans="2:8" ht="15" hidden="1" customHeight="1">
      <c r="B296" t="s">
        <v>2267</v>
      </c>
      <c r="F296" s="5" t="s">
        <v>2268</v>
      </c>
    </row>
    <row r="297" spans="2:8" ht="15" hidden="1" customHeight="1">
      <c r="B297" t="s">
        <v>846</v>
      </c>
      <c r="C297" t="s">
        <v>847</v>
      </c>
      <c r="E297" t="s">
        <v>848</v>
      </c>
      <c r="F297" s="5" t="s">
        <v>849</v>
      </c>
    </row>
    <row r="298" spans="2:8" ht="15" hidden="1" customHeight="1">
      <c r="B298" t="s">
        <v>1489</v>
      </c>
      <c r="D298" t="s">
        <v>1479</v>
      </c>
      <c r="F298" s="5" t="s">
        <v>1490</v>
      </c>
    </row>
    <row r="299" spans="2:8" ht="15" hidden="1" customHeight="1">
      <c r="B299" t="s">
        <v>1609</v>
      </c>
      <c r="D299">
        <v>98437699</v>
      </c>
      <c r="F299" s="5"/>
    </row>
    <row r="300" spans="2:8" ht="15" hidden="1" customHeight="1">
      <c r="B300" t="s">
        <v>2001</v>
      </c>
      <c r="F300" s="5" t="s">
        <v>2002</v>
      </c>
    </row>
    <row r="301" spans="2:8" ht="15" hidden="1" customHeight="1">
      <c r="B301" t="s">
        <v>575</v>
      </c>
      <c r="C301" t="s">
        <v>635</v>
      </c>
      <c r="E301" s="5"/>
      <c r="F301" s="5"/>
      <c r="G301" s="5"/>
      <c r="H301" s="5"/>
    </row>
    <row r="302" spans="2:8" ht="15" hidden="1" customHeight="1">
      <c r="B302" t="s">
        <v>2274</v>
      </c>
      <c r="E302">
        <v>99565375</v>
      </c>
      <c r="F302" s="5"/>
    </row>
    <row r="303" spans="2:8" ht="15" hidden="1" customHeight="1">
      <c r="B303" t="s">
        <v>2522</v>
      </c>
      <c r="F303" s="5" t="s">
        <v>2521</v>
      </c>
    </row>
    <row r="304" spans="2:8" ht="15" hidden="1" customHeight="1">
      <c r="B304" t="s">
        <v>1263</v>
      </c>
      <c r="E304">
        <v>99327007</v>
      </c>
      <c r="F304" s="5"/>
    </row>
    <row r="305" spans="1:9" ht="15" hidden="1" customHeight="1">
      <c r="B305" t="s">
        <v>1408</v>
      </c>
      <c r="C305" t="s">
        <v>1409</v>
      </c>
      <c r="E305">
        <v>47233559</v>
      </c>
      <c r="F305" s="5" t="s">
        <v>1410</v>
      </c>
    </row>
    <row r="306" spans="1:9" ht="15" hidden="1" customHeight="1">
      <c r="B306" t="s">
        <v>2718</v>
      </c>
      <c r="C306" t="s">
        <v>2719</v>
      </c>
      <c r="E306" t="s">
        <v>2720</v>
      </c>
      <c r="F306" s="5"/>
    </row>
    <row r="307" spans="1:9" ht="15" hidden="1" customHeight="1">
      <c r="B307" t="s">
        <v>659</v>
      </c>
      <c r="C307" t="s">
        <v>660</v>
      </c>
      <c r="D307" t="s">
        <v>661</v>
      </c>
      <c r="F307" s="5"/>
      <c r="G307" t="s">
        <v>664</v>
      </c>
      <c r="I307" s="5" t="s">
        <v>1094</v>
      </c>
    </row>
    <row r="308" spans="1:9" ht="15" hidden="1" customHeight="1">
      <c r="A308">
        <v>1137</v>
      </c>
      <c r="B308" t="s">
        <v>877</v>
      </c>
      <c r="C308" t="s">
        <v>878</v>
      </c>
      <c r="E308" s="5" t="s">
        <v>879</v>
      </c>
      <c r="F308" s="5"/>
      <c r="G308" s="5"/>
      <c r="H308" s="5"/>
    </row>
    <row r="309" spans="1:9" ht="15" hidden="1" customHeight="1">
      <c r="B309" t="s">
        <v>2713</v>
      </c>
      <c r="F309" s="5" t="s">
        <v>4562</v>
      </c>
    </row>
    <row r="310" spans="1:9" ht="15" hidden="1" customHeight="1">
      <c r="B310" t="s">
        <v>572</v>
      </c>
      <c r="D310" t="s">
        <v>571</v>
      </c>
      <c r="E310" s="5" t="s">
        <v>573</v>
      </c>
      <c r="F310" s="5" t="s">
        <v>574</v>
      </c>
      <c r="G310" s="5"/>
      <c r="H310" s="5"/>
    </row>
    <row r="311" spans="1:9" ht="15" hidden="1" customHeight="1">
      <c r="B311" t="s">
        <v>572</v>
      </c>
      <c r="C311" t="s">
        <v>2834</v>
      </c>
      <c r="E311" t="s">
        <v>3129</v>
      </c>
    </row>
    <row r="312" spans="1:9" ht="15" hidden="1" customHeight="1">
      <c r="B312" t="s">
        <v>2637</v>
      </c>
      <c r="C312" t="s">
        <v>3247</v>
      </c>
      <c r="D312" t="s">
        <v>2638</v>
      </c>
      <c r="E312" t="s">
        <v>3245</v>
      </c>
      <c r="F312" s="5"/>
    </row>
    <row r="313" spans="1:9" ht="15" hidden="1" customHeight="1">
      <c r="B313" t="s">
        <v>2637</v>
      </c>
      <c r="C313" t="s">
        <v>3258</v>
      </c>
      <c r="D313" t="s">
        <v>2638</v>
      </c>
      <c r="E313" t="s">
        <v>3245</v>
      </c>
      <c r="F313" s="5" t="s">
        <v>3246</v>
      </c>
    </row>
    <row r="314" spans="1:9" ht="15" hidden="1" customHeight="1">
      <c r="B314" t="s">
        <v>119</v>
      </c>
      <c r="C314" t="s">
        <v>581</v>
      </c>
      <c r="D314" t="s">
        <v>582</v>
      </c>
      <c r="E314" s="5"/>
      <c r="F314" s="5" t="s">
        <v>654</v>
      </c>
      <c r="G314" s="5"/>
      <c r="H314" s="5"/>
    </row>
    <row r="315" spans="1:9" ht="15" hidden="1" customHeight="1">
      <c r="B315" t="s">
        <v>735</v>
      </c>
      <c r="F315" s="5" t="s">
        <v>736</v>
      </c>
    </row>
    <row r="316" spans="1:9" ht="15" hidden="1" customHeight="1">
      <c r="A316">
        <v>1132</v>
      </c>
      <c r="B316" t="s">
        <v>971</v>
      </c>
      <c r="C316">
        <v>0</v>
      </c>
      <c r="D316" t="s">
        <v>235</v>
      </c>
      <c r="E316" s="5" t="s">
        <v>972</v>
      </c>
      <c r="F316" s="5" t="s">
        <v>973</v>
      </c>
      <c r="G316" s="5" t="s">
        <v>330</v>
      </c>
      <c r="H316" s="5" t="s">
        <v>330</v>
      </c>
    </row>
    <row r="317" spans="1:9" ht="15" hidden="1" customHeight="1">
      <c r="B317" t="s">
        <v>3078</v>
      </c>
      <c r="E317" t="s">
        <v>3079</v>
      </c>
      <c r="F317" t="s">
        <v>3080</v>
      </c>
    </row>
    <row r="318" spans="1:9" ht="15" hidden="1" customHeight="1">
      <c r="B318" t="s">
        <v>3075</v>
      </c>
      <c r="C318">
        <v>47235156</v>
      </c>
      <c r="F318" s="5" t="s">
        <v>3074</v>
      </c>
    </row>
    <row r="319" spans="1:9" ht="15" hidden="1" customHeight="1">
      <c r="B319" t="s">
        <v>1888</v>
      </c>
      <c r="F319" s="5" t="s">
        <v>1889</v>
      </c>
    </row>
    <row r="320" spans="1:9" ht="15" hidden="1" customHeight="1">
      <c r="B320" t="s">
        <v>1516</v>
      </c>
      <c r="E320">
        <v>99952685</v>
      </c>
      <c r="F320" s="5"/>
    </row>
    <row r="321" spans="1:8" ht="15" hidden="1" customHeight="1">
      <c r="B321" t="s">
        <v>604</v>
      </c>
      <c r="E321" t="s">
        <v>2120</v>
      </c>
      <c r="F321" s="5" t="s">
        <v>2119</v>
      </c>
    </row>
    <row r="322" spans="1:8" ht="15" hidden="1" customHeight="1">
      <c r="B322" s="7" t="s">
        <v>2343</v>
      </c>
      <c r="E322" t="s">
        <v>2344</v>
      </c>
      <c r="F322" s="5"/>
    </row>
    <row r="323" spans="1:8" ht="15" hidden="1" customHeight="1">
      <c r="B323" t="s">
        <v>3883</v>
      </c>
      <c r="D323" t="s">
        <v>328</v>
      </c>
      <c r="E323" s="5"/>
      <c r="F323" s="5" t="s">
        <v>426</v>
      </c>
      <c r="G323" s="5"/>
      <c r="H323" s="5"/>
    </row>
    <row r="324" spans="1:8" ht="15" hidden="1" customHeight="1">
      <c r="B324" t="s">
        <v>1051</v>
      </c>
      <c r="D324">
        <v>99626019</v>
      </c>
      <c r="E324">
        <v>24033466</v>
      </c>
      <c r="F324" s="5"/>
    </row>
    <row r="325" spans="1:8" ht="15" hidden="1" customHeight="1">
      <c r="B325" t="s">
        <v>3049</v>
      </c>
      <c r="C325" t="e">
        <f>-brou001555206-2</f>
        <v>#NAME?</v>
      </c>
      <c r="F325" s="5" t="s">
        <v>2887</v>
      </c>
      <c r="G325">
        <v>0</v>
      </c>
    </row>
    <row r="326" spans="1:8" ht="15" hidden="1" customHeight="1">
      <c r="B326" t="s">
        <v>3048</v>
      </c>
      <c r="C326" t="s">
        <v>1493</v>
      </c>
      <c r="E326">
        <v>26983343</v>
      </c>
      <c r="F326" s="5" t="s">
        <v>1066</v>
      </c>
    </row>
    <row r="327" spans="1:8" ht="15" hidden="1" customHeight="1">
      <c r="B327" t="s">
        <v>2402</v>
      </c>
      <c r="F327" s="5" t="s">
        <v>2027</v>
      </c>
    </row>
    <row r="328" spans="1:8" ht="15" hidden="1" customHeight="1">
      <c r="B328" t="s">
        <v>760</v>
      </c>
      <c r="E328" t="s">
        <v>761</v>
      </c>
      <c r="F328" s="5" t="s">
        <v>762</v>
      </c>
    </row>
    <row r="329" spans="1:8" ht="15" hidden="1" customHeight="1">
      <c r="B329" t="s">
        <v>2778</v>
      </c>
      <c r="F329">
        <v>99382237</v>
      </c>
    </row>
    <row r="330" spans="1:8" ht="15" hidden="1" customHeight="1">
      <c r="B330" t="s">
        <v>656</v>
      </c>
      <c r="C330" t="s">
        <v>2790</v>
      </c>
      <c r="E330" t="s">
        <v>657</v>
      </c>
      <c r="F330" s="5" t="s">
        <v>658</v>
      </c>
    </row>
    <row r="331" spans="1:8" ht="15" hidden="1" customHeight="1">
      <c r="B331" t="s">
        <v>656</v>
      </c>
      <c r="C331" t="s">
        <v>1663</v>
      </c>
      <c r="E331" s="5" t="s">
        <v>1664</v>
      </c>
      <c r="F331" s="5"/>
      <c r="G331" s="5"/>
      <c r="H331" s="5"/>
    </row>
    <row r="332" spans="1:8" ht="15" hidden="1" customHeight="1">
      <c r="A332">
        <v>1137</v>
      </c>
      <c r="B332" t="s">
        <v>976</v>
      </c>
      <c r="C332" t="s">
        <v>977</v>
      </c>
      <c r="D332" t="s">
        <v>361</v>
      </c>
      <c r="E332" s="5"/>
      <c r="F332" s="5" t="s">
        <v>978</v>
      </c>
      <c r="G332" s="5"/>
      <c r="H332" s="5"/>
    </row>
    <row r="333" spans="1:8" ht="15" hidden="1" customHeight="1">
      <c r="B333" t="s">
        <v>979</v>
      </c>
      <c r="C333">
        <v>0</v>
      </c>
      <c r="D333" t="s">
        <v>980</v>
      </c>
      <c r="E333" s="5" t="s">
        <v>981</v>
      </c>
      <c r="F333" s="5"/>
      <c r="G333" s="5"/>
      <c r="H333" s="5"/>
    </row>
    <row r="334" spans="1:8" ht="15" hidden="1" customHeight="1">
      <c r="B334" t="s">
        <v>2242</v>
      </c>
      <c r="E334" t="s">
        <v>2243</v>
      </c>
      <c r="F334" s="5"/>
    </row>
    <row r="335" spans="1:8" ht="15" hidden="1" customHeight="1">
      <c r="B335" t="s">
        <v>2144</v>
      </c>
      <c r="E335">
        <v>91657304</v>
      </c>
      <c r="F335" s="5"/>
    </row>
    <row r="336" spans="1:8" ht="15" hidden="1" customHeight="1">
      <c r="B336" t="s">
        <v>606</v>
      </c>
      <c r="C336" t="s">
        <v>1182</v>
      </c>
      <c r="E336" s="5"/>
      <c r="F336" s="5" t="s">
        <v>605</v>
      </c>
      <c r="G336" s="5"/>
      <c r="H336" s="5"/>
    </row>
    <row r="337" spans="2:8" ht="15" hidden="1" customHeight="1">
      <c r="B337" t="s">
        <v>2200</v>
      </c>
      <c r="E337" t="s">
        <v>2201</v>
      </c>
      <c r="F337" s="5" t="s">
        <v>2202</v>
      </c>
    </row>
    <row r="338" spans="2:8" ht="15" hidden="1" customHeight="1">
      <c r="B338" t="s">
        <v>3076</v>
      </c>
      <c r="C338" t="s">
        <v>615</v>
      </c>
      <c r="E338" t="s">
        <v>3077</v>
      </c>
    </row>
    <row r="339" spans="2:8" ht="15" hidden="1" customHeight="1">
      <c r="B339" t="s">
        <v>3355</v>
      </c>
      <c r="C339" t="s">
        <v>3356</v>
      </c>
      <c r="D339" t="s">
        <v>361</v>
      </c>
      <c r="F339" t="s">
        <v>3357</v>
      </c>
    </row>
    <row r="340" spans="2:8" ht="15" hidden="1" customHeight="1">
      <c r="B340" t="s">
        <v>722</v>
      </c>
      <c r="C340" t="s">
        <v>548</v>
      </c>
      <c r="E340" s="5" t="s">
        <v>808</v>
      </c>
      <c r="F340" s="5" t="s">
        <v>549</v>
      </c>
      <c r="G340" s="5" t="s">
        <v>4238</v>
      </c>
      <c r="H340" s="5"/>
    </row>
    <row r="341" spans="2:8" ht="15" hidden="1" customHeight="1">
      <c r="B341" t="s">
        <v>607</v>
      </c>
      <c r="C341" t="s">
        <v>636</v>
      </c>
      <c r="E341" s="5"/>
      <c r="F341" s="5" t="s">
        <v>608</v>
      </c>
      <c r="G341" s="5"/>
      <c r="H341" s="5"/>
    </row>
    <row r="342" spans="2:8" ht="15" hidden="1" customHeight="1">
      <c r="B342" t="s">
        <v>982</v>
      </c>
      <c r="C342" t="s">
        <v>983</v>
      </c>
      <c r="E342" s="5" t="s">
        <v>984</v>
      </c>
      <c r="F342" s="5" t="s">
        <v>262</v>
      </c>
      <c r="G342" s="5"/>
      <c r="H342" s="5"/>
    </row>
    <row r="343" spans="2:8" ht="15" hidden="1" customHeight="1">
      <c r="B343" t="s">
        <v>4468</v>
      </c>
      <c r="E343">
        <v>91626407</v>
      </c>
    </row>
    <row r="344" spans="2:8" ht="15" hidden="1" customHeight="1">
      <c r="B344" t="s">
        <v>4310</v>
      </c>
      <c r="C344" t="s">
        <v>4311</v>
      </c>
      <c r="E344">
        <v>92242257</v>
      </c>
    </row>
    <row r="345" spans="2:8" ht="15" hidden="1" customHeight="1">
      <c r="B345" t="s">
        <v>709</v>
      </c>
      <c r="E345">
        <v>98312785</v>
      </c>
      <c r="F345" s="5"/>
    </row>
    <row r="346" spans="2:8" ht="15" hidden="1" customHeight="1">
      <c r="B346" t="s">
        <v>709</v>
      </c>
      <c r="C346" s="27" t="s">
        <v>482</v>
      </c>
      <c r="E346">
        <v>98275937</v>
      </c>
      <c r="F346" s="5" t="s">
        <v>1194</v>
      </c>
    </row>
    <row r="347" spans="2:8" ht="15" hidden="1" customHeight="1">
      <c r="B347" t="s">
        <v>2282</v>
      </c>
      <c r="D347" t="s">
        <v>341</v>
      </c>
      <c r="F347" s="5" t="s">
        <v>2283</v>
      </c>
    </row>
    <row r="348" spans="2:8" ht="15" hidden="1" customHeight="1">
      <c r="B348" t="s">
        <v>4155</v>
      </c>
      <c r="C348" t="s">
        <v>4301</v>
      </c>
      <c r="D348" t="s">
        <v>4302</v>
      </c>
      <c r="E348">
        <v>95720697</v>
      </c>
    </row>
    <row r="349" spans="2:8" ht="15" hidden="1" customHeight="1">
      <c r="B349" t="s">
        <v>3472</v>
      </c>
      <c r="D349">
        <v>91907129</v>
      </c>
      <c r="E349">
        <v>98463639</v>
      </c>
    </row>
    <row r="350" spans="2:8" ht="15" hidden="1" customHeight="1">
      <c r="B350" t="s">
        <v>2588</v>
      </c>
      <c r="D350" t="s">
        <v>3600</v>
      </c>
      <c r="F350" s="5" t="s">
        <v>2589</v>
      </c>
    </row>
    <row r="351" spans="2:8" ht="15" hidden="1" customHeight="1">
      <c r="B351" t="s">
        <v>2347</v>
      </c>
      <c r="E351">
        <v>47227406</v>
      </c>
      <c r="F351" s="69" t="s">
        <v>2348</v>
      </c>
    </row>
    <row r="352" spans="2:8" ht="15" hidden="1" customHeight="1">
      <c r="B352" t="s">
        <v>4308</v>
      </c>
      <c r="C352" t="s">
        <v>4307</v>
      </c>
    </row>
    <row r="353" spans="1:8" ht="15" hidden="1" customHeight="1">
      <c r="A353">
        <v>1021</v>
      </c>
      <c r="B353" t="s">
        <v>986</v>
      </c>
      <c r="C353" t="s">
        <v>987</v>
      </c>
      <c r="D353" t="s">
        <v>751</v>
      </c>
      <c r="E353" s="5" t="s">
        <v>988</v>
      </c>
      <c r="F353" s="5"/>
      <c r="G353" s="5">
        <v>4090645</v>
      </c>
      <c r="H353" s="5" t="s">
        <v>239</v>
      </c>
    </row>
    <row r="354" spans="1:8" ht="15" hidden="1" customHeight="1">
      <c r="A354" t="s">
        <v>480</v>
      </c>
      <c r="B354" t="s">
        <v>937</v>
      </c>
      <c r="E354" t="s">
        <v>836</v>
      </c>
      <c r="F354" s="5" t="s">
        <v>835</v>
      </c>
    </row>
    <row r="355" spans="1:8" ht="15" hidden="1" customHeight="1">
      <c r="B355" t="s">
        <v>834</v>
      </c>
      <c r="E355" t="s">
        <v>836</v>
      </c>
      <c r="F355" s="5" t="s">
        <v>835</v>
      </c>
    </row>
    <row r="356" spans="1:8" ht="15" hidden="1" customHeight="1">
      <c r="B356" t="s">
        <v>1099</v>
      </c>
      <c r="C356" t="s">
        <v>1100</v>
      </c>
      <c r="E356" t="s">
        <v>2895</v>
      </c>
      <c r="F356" s="5"/>
    </row>
    <row r="357" spans="1:8" ht="15" customHeight="1">
      <c r="B357" t="s">
        <v>935</v>
      </c>
      <c r="E357" t="s">
        <v>936</v>
      </c>
      <c r="F357" s="5"/>
    </row>
    <row r="358" spans="1:8" ht="15" customHeight="1">
      <c r="B358" t="s">
        <v>4561</v>
      </c>
      <c r="C358" t="s">
        <v>3940</v>
      </c>
      <c r="E358" s="5" t="s">
        <v>1236</v>
      </c>
      <c r="F358" s="5" t="s">
        <v>2979</v>
      </c>
    </row>
    <row r="359" spans="1:8" ht="15" hidden="1" customHeight="1">
      <c r="B359" t="s">
        <v>938</v>
      </c>
      <c r="D359" t="s">
        <v>341</v>
      </c>
      <c r="F359" s="5" t="s">
        <v>939</v>
      </c>
    </row>
    <row r="360" spans="1:8" ht="15" hidden="1" customHeight="1">
      <c r="B360" t="s">
        <v>3893</v>
      </c>
      <c r="C360" t="s">
        <v>2553</v>
      </c>
      <c r="E360">
        <v>92488673</v>
      </c>
    </row>
    <row r="361" spans="1:8" ht="15" hidden="1" customHeight="1">
      <c r="B361" t="s">
        <v>3410</v>
      </c>
      <c r="C361" t="s">
        <v>3066</v>
      </c>
      <c r="E361" t="s">
        <v>3068</v>
      </c>
      <c r="F361" s="5" t="s">
        <v>3067</v>
      </c>
    </row>
    <row r="362" spans="1:8" ht="15" hidden="1" customHeight="1">
      <c r="B362" t="s">
        <v>2671</v>
      </c>
      <c r="C362" t="s">
        <v>2553</v>
      </c>
      <c r="F362" s="5" t="s">
        <v>2672</v>
      </c>
    </row>
    <row r="363" spans="1:8" ht="15" hidden="1" customHeight="1">
      <c r="B363" t="s">
        <v>2552</v>
      </c>
      <c r="C363" t="s">
        <v>2553</v>
      </c>
      <c r="E363">
        <v>47241206</v>
      </c>
      <c r="F363" s="5"/>
    </row>
    <row r="364" spans="1:8" ht="15" hidden="1" customHeight="1">
      <c r="B364" t="s">
        <v>3439</v>
      </c>
      <c r="C364" t="s">
        <v>3440</v>
      </c>
      <c r="D364" t="s">
        <v>361</v>
      </c>
      <c r="F364" t="s">
        <v>4008</v>
      </c>
    </row>
    <row r="365" spans="1:8" ht="15" hidden="1" customHeight="1">
      <c r="B365" t="s">
        <v>652</v>
      </c>
      <c r="C365" t="s">
        <v>707</v>
      </c>
      <c r="F365" s="5" t="s">
        <v>653</v>
      </c>
    </row>
    <row r="366" spans="1:8" ht="15" hidden="1" customHeight="1">
      <c r="B366" t="s">
        <v>1487</v>
      </c>
      <c r="C366" t="s">
        <v>974</v>
      </c>
      <c r="D366" t="s">
        <v>563</v>
      </c>
      <c r="E366" t="s">
        <v>1488</v>
      </c>
      <c r="F366" s="5"/>
    </row>
    <row r="367" spans="1:8" ht="15" hidden="1" customHeight="1">
      <c r="B367" t="s">
        <v>795</v>
      </c>
      <c r="E367" t="s">
        <v>797</v>
      </c>
      <c r="F367" s="5" t="s">
        <v>796</v>
      </c>
    </row>
    <row r="368" spans="1:8" ht="15" hidden="1" customHeight="1">
      <c r="B368" t="s">
        <v>942</v>
      </c>
      <c r="C368" t="s">
        <v>943</v>
      </c>
      <c r="F368" s="5" t="s">
        <v>944</v>
      </c>
    </row>
    <row r="369" spans="2:9" ht="15" hidden="1" customHeight="1">
      <c r="B369" t="s">
        <v>1494</v>
      </c>
      <c r="F369" s="5" t="s">
        <v>1495</v>
      </c>
    </row>
    <row r="370" spans="2:9" ht="15" hidden="1" customHeight="1">
      <c r="B370" t="s">
        <v>861</v>
      </c>
      <c r="E370" t="s">
        <v>862</v>
      </c>
      <c r="F370" s="5" t="s">
        <v>1433</v>
      </c>
    </row>
    <row r="371" spans="2:9" ht="15" hidden="1" customHeight="1">
      <c r="B371" t="s">
        <v>610</v>
      </c>
      <c r="E371" s="5"/>
      <c r="F371" s="5" t="s">
        <v>609</v>
      </c>
      <c r="G371" s="5"/>
      <c r="H371" s="5"/>
    </row>
    <row r="372" spans="2:9" ht="15" hidden="1" customHeight="1">
      <c r="B372" t="s">
        <v>870</v>
      </c>
      <c r="E372">
        <v>99567747</v>
      </c>
      <c r="F372" s="5"/>
    </row>
    <row r="373" spans="2:9" ht="15" hidden="1" customHeight="1">
      <c r="B373" t="s">
        <v>2132</v>
      </c>
      <c r="C373" t="s">
        <v>2606</v>
      </c>
      <c r="E373" s="5" t="s">
        <v>2607</v>
      </c>
      <c r="F373" s="5" t="s">
        <v>2608</v>
      </c>
      <c r="G373" s="5"/>
      <c r="H373" s="5"/>
    </row>
    <row r="374" spans="2:9" ht="15" hidden="1" customHeight="1">
      <c r="B374" t="s">
        <v>4288</v>
      </c>
      <c r="E374" s="5"/>
      <c r="F374" s="5" t="s">
        <v>4289</v>
      </c>
      <c r="G374" s="5"/>
      <c r="H374" s="5"/>
    </row>
    <row r="375" spans="2:9" ht="15" hidden="1" customHeight="1">
      <c r="B375" t="s">
        <v>945</v>
      </c>
      <c r="C375" t="s">
        <v>946</v>
      </c>
      <c r="E375" t="s">
        <v>748</v>
      </c>
      <c r="F375" s="5" t="s">
        <v>2369</v>
      </c>
    </row>
    <row r="376" spans="2:9" ht="15" hidden="1" customHeight="1">
      <c r="B376" t="s">
        <v>3185</v>
      </c>
      <c r="C376" t="s">
        <v>3184</v>
      </c>
      <c r="F376">
        <v>96510774</v>
      </c>
    </row>
    <row r="377" spans="2:9" ht="15" hidden="1" customHeight="1">
      <c r="B377" t="s">
        <v>3499</v>
      </c>
      <c r="D377" t="s">
        <v>361</v>
      </c>
      <c r="F377" t="s">
        <v>3500</v>
      </c>
    </row>
    <row r="378" spans="2:9" ht="15" hidden="1" customHeight="1">
      <c r="B378" t="s">
        <v>874</v>
      </c>
      <c r="C378" t="s">
        <v>3754</v>
      </c>
      <c r="D378" t="s">
        <v>361</v>
      </c>
      <c r="E378" s="5" t="s">
        <v>330</v>
      </c>
      <c r="F378" s="5" t="s">
        <v>875</v>
      </c>
      <c r="G378" s="5" t="s">
        <v>263</v>
      </c>
      <c r="H378" s="5"/>
    </row>
    <row r="379" spans="2:9" ht="15" hidden="1" customHeight="1">
      <c r="B379" t="s">
        <v>775</v>
      </c>
      <c r="C379" t="s">
        <v>2080</v>
      </c>
      <c r="D379" t="s">
        <v>2081</v>
      </c>
      <c r="E379">
        <v>98142173</v>
      </c>
      <c r="F379" s="5" t="s">
        <v>776</v>
      </c>
      <c r="G379">
        <v>99852065</v>
      </c>
      <c r="H379" t="s">
        <v>16</v>
      </c>
      <c r="I379" t="s">
        <v>2351</v>
      </c>
    </row>
    <row r="380" spans="2:9" ht="15" hidden="1" customHeight="1">
      <c r="B380" t="s">
        <v>947</v>
      </c>
      <c r="C380" t="s">
        <v>948</v>
      </c>
      <c r="D380" t="s">
        <v>289</v>
      </c>
      <c r="E380">
        <v>2091616</v>
      </c>
      <c r="F380" s="5"/>
    </row>
    <row r="381" spans="2:9" ht="15" hidden="1" customHeight="1">
      <c r="B381" t="s">
        <v>3645</v>
      </c>
      <c r="C381" t="s">
        <v>3646</v>
      </c>
      <c r="D381">
        <v>22886761</v>
      </c>
    </row>
    <row r="382" spans="2:9" ht="15" hidden="1" customHeight="1">
      <c r="B382" t="s">
        <v>621</v>
      </c>
      <c r="C382" t="s">
        <v>622</v>
      </c>
      <c r="E382" t="s">
        <v>623</v>
      </c>
      <c r="F382" s="5"/>
    </row>
    <row r="383" spans="2:9" ht="15" hidden="1" customHeight="1">
      <c r="B383" t="s">
        <v>1971</v>
      </c>
      <c r="C383">
        <v>0</v>
      </c>
      <c r="E383">
        <v>0</v>
      </c>
      <c r="F383" s="5" t="s">
        <v>1972</v>
      </c>
    </row>
    <row r="384" spans="2:9" ht="15" hidden="1" customHeight="1">
      <c r="B384" t="s">
        <v>1524</v>
      </c>
      <c r="C384" t="s">
        <v>1526</v>
      </c>
      <c r="F384" s="5" t="s">
        <v>1525</v>
      </c>
    </row>
    <row r="385" spans="2:8" ht="15" hidden="1" customHeight="1">
      <c r="B385" t="s">
        <v>1201</v>
      </c>
      <c r="C385" t="s">
        <v>1203</v>
      </c>
      <c r="F385" s="5" t="s">
        <v>1202</v>
      </c>
    </row>
    <row r="386" spans="2:8" ht="15" hidden="1" customHeight="1">
      <c r="B386" t="s">
        <v>3496</v>
      </c>
      <c r="C386" t="s">
        <v>3497</v>
      </c>
      <c r="D386" t="s">
        <v>3498</v>
      </c>
      <c r="E386">
        <v>24005248</v>
      </c>
    </row>
    <row r="387" spans="2:8" ht="15" hidden="1" customHeight="1">
      <c r="B387" t="s">
        <v>1434</v>
      </c>
      <c r="E387" t="s">
        <v>1435</v>
      </c>
      <c r="F387" s="5"/>
    </row>
    <row r="388" spans="2:8" ht="15" hidden="1" customHeight="1">
      <c r="B388" t="s">
        <v>1336</v>
      </c>
      <c r="C388" t="s">
        <v>1757</v>
      </c>
      <c r="F388" s="5" t="s">
        <v>2558</v>
      </c>
    </row>
    <row r="389" spans="2:8" ht="15" hidden="1" customHeight="1">
      <c r="B389" t="s">
        <v>1336</v>
      </c>
      <c r="C389">
        <v>0</v>
      </c>
      <c r="F389" s="5" t="s">
        <v>2558</v>
      </c>
    </row>
    <row r="390" spans="2:8" ht="15" hidden="1" customHeight="1">
      <c r="B390" t="s">
        <v>1136</v>
      </c>
      <c r="C390" t="s">
        <v>1137</v>
      </c>
      <c r="F390" s="5" t="s">
        <v>1138</v>
      </c>
    </row>
    <row r="391" spans="2:8" ht="15" hidden="1" customHeight="1">
      <c r="B391" t="s">
        <v>2682</v>
      </c>
      <c r="C391" t="s">
        <v>2683</v>
      </c>
      <c r="F391" s="5" t="s">
        <v>2684</v>
      </c>
    </row>
    <row r="392" spans="2:8" ht="15" hidden="1" customHeight="1">
      <c r="B392" t="s">
        <v>1901</v>
      </c>
      <c r="C392" t="s">
        <v>1902</v>
      </c>
      <c r="E392" t="s">
        <v>1883</v>
      </c>
      <c r="F392" s="5"/>
    </row>
    <row r="393" spans="2:8" ht="15" hidden="1" customHeight="1">
      <c r="B393" t="s">
        <v>613</v>
      </c>
      <c r="E393" s="5"/>
      <c r="F393" s="5" t="s">
        <v>2590</v>
      </c>
      <c r="G393" s="5"/>
      <c r="H393" s="5"/>
    </row>
    <row r="394" spans="2:8" ht="15" hidden="1" customHeight="1">
      <c r="B394" t="s">
        <v>1205</v>
      </c>
      <c r="F394" s="5" t="s">
        <v>1206</v>
      </c>
    </row>
    <row r="395" spans="2:8" ht="15" hidden="1" customHeight="1">
      <c r="B395" t="s">
        <v>1339</v>
      </c>
      <c r="C395" t="s">
        <v>1340</v>
      </c>
      <c r="F395" s="5"/>
    </row>
    <row r="396" spans="2:8" ht="15" hidden="1" customHeight="1">
      <c r="B396" t="s">
        <v>596</v>
      </c>
      <c r="E396" s="5" t="s">
        <v>330</v>
      </c>
      <c r="F396" s="5" t="s">
        <v>597</v>
      </c>
      <c r="G396" s="5"/>
      <c r="H396" s="5"/>
    </row>
    <row r="397" spans="2:8" ht="15" hidden="1" customHeight="1">
      <c r="B397" t="s">
        <v>31</v>
      </c>
      <c r="E397" t="s">
        <v>851</v>
      </c>
      <c r="F397" s="5"/>
    </row>
    <row r="398" spans="2:8" ht="15" hidden="1" customHeight="1">
      <c r="B398" t="s">
        <v>1224</v>
      </c>
      <c r="C398" t="s">
        <v>1226</v>
      </c>
      <c r="E398" t="s">
        <v>1225</v>
      </c>
      <c r="F398" s="5"/>
    </row>
    <row r="399" spans="2:8" ht="15" hidden="1" customHeight="1">
      <c r="B399" t="s">
        <v>611</v>
      </c>
      <c r="D399" t="s">
        <v>2478</v>
      </c>
      <c r="E399" s="5"/>
      <c r="F399" s="5" t="s">
        <v>612</v>
      </c>
      <c r="G399" s="5"/>
      <c r="H399" s="5"/>
    </row>
    <row r="400" spans="2:8" ht="15" hidden="1" customHeight="1">
      <c r="B400" t="s">
        <v>1523</v>
      </c>
      <c r="D400" t="s">
        <v>236</v>
      </c>
      <c r="E400" s="5" t="s">
        <v>331</v>
      </c>
      <c r="F400" s="5" t="s">
        <v>332</v>
      </c>
      <c r="G400" s="5"/>
      <c r="H400" s="5"/>
    </row>
    <row r="401" spans="2:7" ht="15" customHeight="1">
      <c r="B401" t="s">
        <v>754</v>
      </c>
      <c r="C401" t="s">
        <v>2667</v>
      </c>
      <c r="D401" t="s">
        <v>289</v>
      </c>
      <c r="E401">
        <v>22279119</v>
      </c>
      <c r="F401" s="5"/>
      <c r="G401" t="s">
        <v>1803</v>
      </c>
    </row>
    <row r="402" spans="2:7" ht="15" hidden="1" customHeight="1">
      <c r="B402" t="s">
        <v>949</v>
      </c>
      <c r="E402" t="s">
        <v>950</v>
      </c>
      <c r="F402" s="5"/>
    </row>
    <row r="403" spans="2:7" ht="15" hidden="1" customHeight="1">
      <c r="B403" t="s">
        <v>2448</v>
      </c>
      <c r="D403">
        <v>47242584</v>
      </c>
      <c r="F403" s="5"/>
    </row>
    <row r="404" spans="2:7" ht="15" hidden="1" customHeight="1">
      <c r="B404" t="s">
        <v>1687</v>
      </c>
      <c r="F404" s="5"/>
    </row>
    <row r="405" spans="2:7" ht="15" hidden="1" customHeight="1">
      <c r="B405" t="s">
        <v>1151</v>
      </c>
      <c r="E405" t="s">
        <v>1152</v>
      </c>
      <c r="F405" s="5"/>
    </row>
    <row r="406" spans="2:7" ht="15" hidden="1" customHeight="1">
      <c r="B406" t="s">
        <v>1499</v>
      </c>
      <c r="E406">
        <v>24810610</v>
      </c>
      <c r="F406" s="5" t="s">
        <v>1500</v>
      </c>
    </row>
    <row r="407" spans="2:7" ht="15" hidden="1" customHeight="1">
      <c r="B407" t="s">
        <v>488</v>
      </c>
      <c r="C407" t="s">
        <v>2126</v>
      </c>
      <c r="E407" t="s">
        <v>824</v>
      </c>
      <c r="F407" s="5"/>
    </row>
    <row r="408" spans="2:7" ht="15" hidden="1" customHeight="1">
      <c r="B408" t="s">
        <v>1491</v>
      </c>
      <c r="D408">
        <v>23201736</v>
      </c>
      <c r="E408">
        <v>95449393</v>
      </c>
      <c r="F408" s="5"/>
    </row>
    <row r="409" spans="2:7" ht="15" hidden="1" customHeight="1">
      <c r="B409" t="s">
        <v>951</v>
      </c>
      <c r="E409" t="s">
        <v>952</v>
      </c>
      <c r="F409" s="5"/>
    </row>
    <row r="410" spans="2:7" ht="15" hidden="1" customHeight="1">
      <c r="B410" t="s">
        <v>955</v>
      </c>
      <c r="C410" t="s">
        <v>954</v>
      </c>
      <c r="D410" t="s">
        <v>289</v>
      </c>
      <c r="E410">
        <v>24870285</v>
      </c>
      <c r="F410" s="5" t="s">
        <v>953</v>
      </c>
    </row>
    <row r="411" spans="2:7" ht="15" hidden="1" customHeight="1">
      <c r="B411" t="s">
        <v>615</v>
      </c>
      <c r="F411" s="5" t="s">
        <v>614</v>
      </c>
    </row>
    <row r="412" spans="2:7" ht="15" hidden="1" customHeight="1">
      <c r="B412" t="s">
        <v>1319</v>
      </c>
      <c r="C412" t="s">
        <v>1320</v>
      </c>
      <c r="E412" t="s">
        <v>1321</v>
      </c>
      <c r="F412" s="5"/>
    </row>
    <row r="413" spans="2:7" ht="15" hidden="1" customHeight="1">
      <c r="B413" t="s">
        <v>719</v>
      </c>
      <c r="E413" t="s">
        <v>1633</v>
      </c>
      <c r="F413" s="5"/>
    </row>
    <row r="414" spans="2:7" ht="15" hidden="1" customHeight="1">
      <c r="B414" t="s">
        <v>1102</v>
      </c>
      <c r="F414" s="5" t="s">
        <v>1103</v>
      </c>
    </row>
    <row r="415" spans="2:7" ht="15" hidden="1" customHeight="1">
      <c r="B415" t="s">
        <v>516</v>
      </c>
      <c r="F415" s="5" t="s">
        <v>1091</v>
      </c>
    </row>
    <row r="416" spans="2:7" ht="15" hidden="1" customHeight="1">
      <c r="B416" t="s">
        <v>702</v>
      </c>
      <c r="C416" t="s">
        <v>703</v>
      </c>
      <c r="E416" t="s">
        <v>701</v>
      </c>
      <c r="F416" s="5"/>
    </row>
    <row r="417" spans="2:8" ht="15" hidden="1" customHeight="1">
      <c r="B417" t="s">
        <v>1049</v>
      </c>
      <c r="C417" t="s">
        <v>1050</v>
      </c>
      <c r="E417">
        <v>22091620</v>
      </c>
      <c r="F417" s="5"/>
    </row>
    <row r="418" spans="2:8" ht="15" hidden="1" customHeight="1">
      <c r="B418" t="s">
        <v>34</v>
      </c>
      <c r="E418" s="5" t="s">
        <v>693</v>
      </c>
      <c r="F418" s="5" t="s">
        <v>1882</v>
      </c>
      <c r="G418" s="5"/>
      <c r="H418" s="5"/>
    </row>
    <row r="419" spans="2:8" ht="15" hidden="1" customHeight="1">
      <c r="B419" t="s">
        <v>721</v>
      </c>
      <c r="F419" s="5" t="s">
        <v>616</v>
      </c>
    </row>
    <row r="420" spans="2:8" ht="15" hidden="1" customHeight="1">
      <c r="B420" t="s">
        <v>3259</v>
      </c>
      <c r="E420" s="5" t="s">
        <v>3260</v>
      </c>
      <c r="F420" s="5" t="s">
        <v>330</v>
      </c>
      <c r="G420" s="5"/>
      <c r="H420" s="5"/>
    </row>
    <row r="421" spans="2:8" ht="15" hidden="1" customHeight="1">
      <c r="B421" t="s">
        <v>1513</v>
      </c>
      <c r="E421" t="s">
        <v>1514</v>
      </c>
      <c r="F421" s="5"/>
    </row>
    <row r="422" spans="2:8" ht="15" hidden="1" customHeight="1">
      <c r="B422" t="s">
        <v>1601</v>
      </c>
      <c r="F422" s="5" t="s">
        <v>1602</v>
      </c>
    </row>
    <row r="423" spans="2:8" ht="15" hidden="1" customHeight="1">
      <c r="B423" t="s">
        <v>2121</v>
      </c>
      <c r="E423">
        <v>99451113</v>
      </c>
      <c r="F423" s="5"/>
    </row>
    <row r="424" spans="2:8" ht="15" hidden="1" customHeight="1">
      <c r="B424" t="s">
        <v>1234</v>
      </c>
      <c r="C424" t="s">
        <v>251</v>
      </c>
      <c r="E424" t="s">
        <v>1235</v>
      </c>
      <c r="F424" s="5"/>
    </row>
    <row r="425" spans="2:8" ht="15" hidden="1" customHeight="1">
      <c r="B425" t="s">
        <v>2900</v>
      </c>
      <c r="D425" t="s">
        <v>980</v>
      </c>
      <c r="F425" t="s">
        <v>2901</v>
      </c>
    </row>
    <row r="426" spans="2:8" ht="15" hidden="1" customHeight="1">
      <c r="B426" t="s">
        <v>1627</v>
      </c>
      <c r="F426" s="5" t="s">
        <v>1626</v>
      </c>
    </row>
    <row r="427" spans="2:8" ht="15" hidden="1" customHeight="1">
      <c r="B427" t="s">
        <v>2407</v>
      </c>
      <c r="C427" t="s">
        <v>2408</v>
      </c>
      <c r="D427" t="s">
        <v>980</v>
      </c>
      <c r="F427" s="5" t="s">
        <v>2409</v>
      </c>
    </row>
    <row r="428" spans="2:8" ht="15" hidden="1" customHeight="1">
      <c r="B428" t="s">
        <v>4118</v>
      </c>
      <c r="E428" s="5" t="s">
        <v>4117</v>
      </c>
    </row>
    <row r="429" spans="2:8" ht="15" hidden="1" customHeight="1">
      <c r="B429" t="s">
        <v>765</v>
      </c>
      <c r="C429" t="s">
        <v>766</v>
      </c>
      <c r="F429" s="5"/>
    </row>
    <row r="430" spans="2:8" ht="15" hidden="1" customHeight="1">
      <c r="B430" t="s">
        <v>3321</v>
      </c>
      <c r="E430">
        <v>5701</v>
      </c>
    </row>
    <row r="431" spans="2:8" ht="15" hidden="1" customHeight="1">
      <c r="B431" t="s">
        <v>1289</v>
      </c>
      <c r="C431" t="s">
        <v>1290</v>
      </c>
      <c r="F431" s="5" t="s">
        <v>1291</v>
      </c>
    </row>
    <row r="432" spans="2:8" ht="15" hidden="1" customHeight="1">
      <c r="B432" t="s">
        <v>758</v>
      </c>
      <c r="C432" t="s">
        <v>759</v>
      </c>
      <c r="E432">
        <v>3291</v>
      </c>
      <c r="F432" s="5"/>
    </row>
    <row r="433" spans="1:8" ht="15" hidden="1" customHeight="1">
      <c r="B433" t="s">
        <v>2247</v>
      </c>
      <c r="F433" s="5" t="s">
        <v>2248</v>
      </c>
    </row>
    <row r="434" spans="1:8" ht="15" hidden="1" customHeight="1">
      <c r="B434" t="s">
        <v>2922</v>
      </c>
      <c r="F434" t="s">
        <v>2923</v>
      </c>
    </row>
    <row r="435" spans="1:8" ht="15" hidden="1" customHeight="1">
      <c r="B435" t="s">
        <v>554</v>
      </c>
      <c r="E435" t="s">
        <v>801</v>
      </c>
      <c r="F435" s="5" t="s">
        <v>800</v>
      </c>
    </row>
    <row r="436" spans="1:8" ht="15" hidden="1" customHeight="1">
      <c r="B436" t="s">
        <v>2413</v>
      </c>
      <c r="C436" t="s">
        <v>2415</v>
      </c>
      <c r="F436" s="5" t="s">
        <v>2414</v>
      </c>
    </row>
    <row r="437" spans="1:8" ht="15" hidden="1" customHeight="1">
      <c r="B437" t="s">
        <v>1001</v>
      </c>
      <c r="C437" t="s">
        <v>1859</v>
      </c>
      <c r="E437" s="5"/>
      <c r="F437" s="5" t="s">
        <v>880</v>
      </c>
      <c r="G437" s="5"/>
      <c r="H437" s="5"/>
    </row>
    <row r="438" spans="1:8" ht="15" hidden="1" customHeight="1">
      <c r="B438" t="s">
        <v>2771</v>
      </c>
      <c r="E438" s="5"/>
      <c r="F438" s="5" t="s">
        <v>2772</v>
      </c>
      <c r="G438" s="5"/>
      <c r="H438" s="5"/>
    </row>
    <row r="439" spans="1:8" ht="15" hidden="1" customHeight="1">
      <c r="B439" t="s">
        <v>4010</v>
      </c>
      <c r="C439" t="s">
        <v>2339</v>
      </c>
      <c r="F439" s="5" t="s">
        <v>2341</v>
      </c>
    </row>
    <row r="440" spans="1:8" ht="15" hidden="1" customHeight="1">
      <c r="B440" t="s">
        <v>4010</v>
      </c>
      <c r="C440" t="s">
        <v>4011</v>
      </c>
      <c r="F440" s="5" t="s">
        <v>2340</v>
      </c>
    </row>
    <row r="441" spans="1:8" ht="15" hidden="1" customHeight="1">
      <c r="B441" t="s">
        <v>2442</v>
      </c>
      <c r="C441" t="s">
        <v>3395</v>
      </c>
      <c r="F441" s="5" t="s">
        <v>2443</v>
      </c>
    </row>
    <row r="442" spans="1:8" ht="15" hidden="1" customHeight="1">
      <c r="B442" t="s">
        <v>4349</v>
      </c>
      <c r="C442" t="s">
        <v>4350</v>
      </c>
      <c r="F442" t="s">
        <v>4351</v>
      </c>
    </row>
    <row r="443" spans="1:8" ht="15" hidden="1" customHeight="1">
      <c r="B443" t="s">
        <v>4327</v>
      </c>
      <c r="C443" s="7" t="s">
        <v>4328</v>
      </c>
    </row>
    <row r="444" spans="1:8" ht="15" hidden="1" customHeight="1">
      <c r="B444" t="s">
        <v>2759</v>
      </c>
      <c r="F444">
        <v>91440777</v>
      </c>
    </row>
    <row r="445" spans="1:8" ht="15" hidden="1" customHeight="1">
      <c r="B445" t="s">
        <v>2706</v>
      </c>
      <c r="C445" t="s">
        <v>2707</v>
      </c>
      <c r="F445" s="5" t="s">
        <v>2708</v>
      </c>
    </row>
    <row r="446" spans="1:8" ht="15" hidden="1" customHeight="1">
      <c r="B446" t="s">
        <v>2822</v>
      </c>
      <c r="C446" t="s">
        <v>2824</v>
      </c>
      <c r="E446" t="s">
        <v>2825</v>
      </c>
      <c r="F446" t="s">
        <v>2823</v>
      </c>
    </row>
    <row r="447" spans="1:8" ht="15" hidden="1" customHeight="1">
      <c r="A447" t="s">
        <v>482</v>
      </c>
      <c r="B447" t="s">
        <v>557</v>
      </c>
      <c r="C447" t="s">
        <v>558</v>
      </c>
      <c r="E447" s="5"/>
      <c r="F447" s="5" t="s">
        <v>559</v>
      </c>
      <c r="G447" s="5"/>
      <c r="H447" s="5"/>
    </row>
    <row r="448" spans="1:8" ht="15" hidden="1" customHeight="1">
      <c r="B448" t="s">
        <v>2944</v>
      </c>
      <c r="F448" t="s">
        <v>2943</v>
      </c>
    </row>
    <row r="449" spans="2:8" ht="15" hidden="1" customHeight="1">
      <c r="B449" t="s">
        <v>3179</v>
      </c>
      <c r="E449" t="s">
        <v>3180</v>
      </c>
    </row>
    <row r="450" spans="2:8" ht="15" hidden="1" customHeight="1">
      <c r="B450" t="s">
        <v>3137</v>
      </c>
      <c r="F450" t="s">
        <v>3136</v>
      </c>
    </row>
    <row r="451" spans="2:8" ht="15" hidden="1" customHeight="1">
      <c r="B451" t="s">
        <v>4065</v>
      </c>
      <c r="E451">
        <v>96188846</v>
      </c>
    </row>
    <row r="452" spans="2:8" ht="15" hidden="1" customHeight="1">
      <c r="B452" t="s">
        <v>2380</v>
      </c>
      <c r="C452" t="s">
        <v>2381</v>
      </c>
      <c r="F452" s="5" t="s">
        <v>2382</v>
      </c>
    </row>
    <row r="453" spans="2:8" ht="15" hidden="1" customHeight="1">
      <c r="B453" t="s">
        <v>2404</v>
      </c>
      <c r="C453" t="s">
        <v>2405</v>
      </c>
      <c r="F453" s="5" t="s">
        <v>2406</v>
      </c>
    </row>
    <row r="454" spans="2:8" ht="15" hidden="1" customHeight="1">
      <c r="B454" t="s">
        <v>617</v>
      </c>
      <c r="E454" s="5" t="s">
        <v>2117</v>
      </c>
      <c r="F454" s="5" t="s">
        <v>2118</v>
      </c>
      <c r="G454" s="5"/>
      <c r="H454" s="5"/>
    </row>
    <row r="455" spans="2:8" ht="15" hidden="1" customHeight="1">
      <c r="B455" t="s">
        <v>2603</v>
      </c>
      <c r="C455" t="s">
        <v>2604</v>
      </c>
      <c r="F455" s="5" t="s">
        <v>2605</v>
      </c>
    </row>
    <row r="456" spans="2:8" ht="15" hidden="1" customHeight="1">
      <c r="B456" t="s">
        <v>3138</v>
      </c>
      <c r="F456" t="s">
        <v>2889</v>
      </c>
    </row>
    <row r="457" spans="2:8" ht="15" hidden="1" customHeight="1">
      <c r="B457" t="s">
        <v>2674</v>
      </c>
      <c r="F457" s="5" t="s">
        <v>2675</v>
      </c>
    </row>
    <row r="458" spans="2:8" ht="15" hidden="1" customHeight="1">
      <c r="B458" t="s">
        <v>3121</v>
      </c>
      <c r="C458" t="s">
        <v>3122</v>
      </c>
      <c r="E458">
        <v>0</v>
      </c>
      <c r="F458" s="5" t="s">
        <v>2675</v>
      </c>
    </row>
    <row r="459" spans="2:8" ht="15" hidden="1" customHeight="1">
      <c r="B459" t="s">
        <v>2807</v>
      </c>
      <c r="E459">
        <v>472.20008999999999</v>
      </c>
      <c r="F459" s="5" t="s">
        <v>4554</v>
      </c>
    </row>
    <row r="460" spans="2:8" ht="15" hidden="1" customHeight="1">
      <c r="B460" t="s">
        <v>809</v>
      </c>
      <c r="C460" t="s">
        <v>1150</v>
      </c>
      <c r="E460">
        <v>2222.3305999999998</v>
      </c>
      <c r="F460" s="5" t="s">
        <v>1046</v>
      </c>
    </row>
    <row r="461" spans="2:8" ht="15" hidden="1" customHeight="1">
      <c r="B461" t="s">
        <v>1395</v>
      </c>
      <c r="D461" t="s">
        <v>1396</v>
      </c>
      <c r="E461" t="s">
        <v>1397</v>
      </c>
      <c r="F461" s="5"/>
    </row>
    <row r="462" spans="2:8" ht="15" hidden="1" customHeight="1">
      <c r="B462" t="s">
        <v>783</v>
      </c>
      <c r="C462" t="s">
        <v>784</v>
      </c>
      <c r="E462">
        <v>47229236</v>
      </c>
      <c r="F462" s="5"/>
    </row>
    <row r="463" spans="2:8" ht="15" hidden="1" customHeight="1">
      <c r="B463" t="s">
        <v>2330</v>
      </c>
      <c r="E463" t="s">
        <v>2331</v>
      </c>
      <c r="F463" s="5"/>
    </row>
    <row r="464" spans="2:8" ht="15" hidden="1" customHeight="1">
      <c r="B464" t="s">
        <v>1364</v>
      </c>
      <c r="C464" t="s">
        <v>1365</v>
      </c>
      <c r="E464" t="s">
        <v>1366</v>
      </c>
      <c r="F464" s="5"/>
    </row>
    <row r="465" spans="2:8" ht="15" hidden="1" customHeight="1">
      <c r="B465" t="s">
        <v>905</v>
      </c>
      <c r="C465" t="s">
        <v>906</v>
      </c>
      <c r="D465" t="s">
        <v>289</v>
      </c>
      <c r="E465" s="5" t="s">
        <v>907</v>
      </c>
      <c r="F465" s="5" t="s">
        <v>603</v>
      </c>
      <c r="G465" s="5"/>
      <c r="H465" s="5"/>
    </row>
    <row r="466" spans="2:8" ht="15" hidden="1" customHeight="1">
      <c r="B466" t="s">
        <v>2143</v>
      </c>
      <c r="E466">
        <v>98471147</v>
      </c>
      <c r="F466" s="5"/>
    </row>
    <row r="467" spans="2:8" ht="15" hidden="1" customHeight="1">
      <c r="B467" t="s">
        <v>18</v>
      </c>
      <c r="C467" t="s">
        <v>2015</v>
      </c>
      <c r="D467" t="s">
        <v>720</v>
      </c>
      <c r="E467">
        <v>2323.5675999999999</v>
      </c>
      <c r="F467" s="5" t="s">
        <v>2016</v>
      </c>
    </row>
    <row r="468" spans="2:8" ht="15" hidden="1" customHeight="1">
      <c r="B468" t="s">
        <v>18</v>
      </c>
      <c r="C468" t="s">
        <v>2804</v>
      </c>
      <c r="F468" s="5" t="s">
        <v>2803</v>
      </c>
    </row>
    <row r="469" spans="2:8" ht="15" hidden="1" customHeight="1">
      <c r="B469" t="s">
        <v>1532</v>
      </c>
      <c r="E469" t="s">
        <v>1531</v>
      </c>
      <c r="F469" s="5"/>
    </row>
    <row r="470" spans="2:8" ht="18" hidden="1" customHeight="1">
      <c r="B470" t="s">
        <v>1044</v>
      </c>
      <c r="E470" t="s">
        <v>1187</v>
      </c>
      <c r="F470" s="5"/>
    </row>
    <row r="471" spans="2:8" ht="15" hidden="1" customHeight="1">
      <c r="B471" t="s">
        <v>1191</v>
      </c>
      <c r="C471" t="s">
        <v>1190</v>
      </c>
      <c r="F471" s="5" t="s">
        <v>1192</v>
      </c>
    </row>
    <row r="472" spans="2:8" ht="15" hidden="1" customHeight="1">
      <c r="B472" t="s">
        <v>1092</v>
      </c>
      <c r="C472" t="s">
        <v>3116</v>
      </c>
      <c r="F472" s="5" t="s">
        <v>1093</v>
      </c>
    </row>
    <row r="473" spans="2:8" ht="15" hidden="1" customHeight="1">
      <c r="B473" t="s">
        <v>991</v>
      </c>
      <c r="C473" t="s">
        <v>992</v>
      </c>
      <c r="D473" t="s">
        <v>289</v>
      </c>
      <c r="E473">
        <v>24817590</v>
      </c>
      <c r="F473" s="5"/>
    </row>
    <row r="474" spans="2:8" ht="15" hidden="1" customHeight="1">
      <c r="B474" t="s">
        <v>1701</v>
      </c>
      <c r="E474" t="s">
        <v>1702</v>
      </c>
      <c r="F474" s="5"/>
    </row>
    <row r="475" spans="2:8" ht="15" hidden="1" customHeight="1">
      <c r="B475" t="s">
        <v>2514</v>
      </c>
      <c r="C475" t="s">
        <v>2516</v>
      </c>
      <c r="E475" t="s">
        <v>2515</v>
      </c>
      <c r="F475" s="5"/>
    </row>
    <row r="476" spans="2:8" ht="15" hidden="1" customHeight="1">
      <c r="B476" t="s">
        <v>1381</v>
      </c>
      <c r="C476" t="s">
        <v>1382</v>
      </c>
      <c r="F476" s="5"/>
    </row>
    <row r="477" spans="2:8" ht="15" hidden="1" customHeight="1">
      <c r="B477" t="s">
        <v>993</v>
      </c>
      <c r="C477">
        <v>0</v>
      </c>
      <c r="D477" t="s">
        <v>361</v>
      </c>
      <c r="E477" t="s">
        <v>994</v>
      </c>
      <c r="F477" s="5"/>
    </row>
    <row r="478" spans="2:8" ht="15" hidden="1" customHeight="1">
      <c r="B478" t="s">
        <v>1139</v>
      </c>
      <c r="F478" s="5" t="s">
        <v>1140</v>
      </c>
    </row>
    <row r="479" spans="2:8" ht="15" hidden="1" customHeight="1">
      <c r="B479" t="s">
        <v>2760</v>
      </c>
      <c r="F479">
        <v>47222756</v>
      </c>
    </row>
    <row r="480" spans="2:8" ht="15" hidden="1" customHeight="1">
      <c r="B480" t="s">
        <v>995</v>
      </c>
      <c r="D480" t="s">
        <v>996</v>
      </c>
      <c r="F480" s="5" t="s">
        <v>997</v>
      </c>
    </row>
    <row r="481" spans="1:6" ht="15" hidden="1" customHeight="1">
      <c r="B481" t="s">
        <v>1496</v>
      </c>
      <c r="E481" t="s">
        <v>1497</v>
      </c>
      <c r="F481" s="5"/>
    </row>
    <row r="482" spans="1:6" ht="15" hidden="1" customHeight="1">
      <c r="A482" t="s">
        <v>2648</v>
      </c>
      <c r="B482" t="s">
        <v>2649</v>
      </c>
      <c r="C482" t="s">
        <v>2650</v>
      </c>
      <c r="F482" s="5" t="s">
        <v>2651</v>
      </c>
    </row>
    <row r="483" spans="1:6" ht="15" hidden="1" customHeight="1">
      <c r="B483" t="s">
        <v>2279</v>
      </c>
      <c r="C483" t="s">
        <v>2280</v>
      </c>
      <c r="F483" s="5" t="s">
        <v>2281</v>
      </c>
    </row>
    <row r="484" spans="1:6" ht="15" hidden="1" customHeight="1">
      <c r="B484" t="s">
        <v>787</v>
      </c>
      <c r="C484" t="s">
        <v>788</v>
      </c>
      <c r="E484">
        <v>91248030</v>
      </c>
      <c r="F484" s="5"/>
    </row>
    <row r="485" spans="1:6" ht="15" hidden="1" customHeight="1">
      <c r="B485" t="s">
        <v>821</v>
      </c>
      <c r="C485">
        <v>47224214</v>
      </c>
      <c r="F485" s="5"/>
    </row>
    <row r="486" spans="1:6" ht="15" hidden="1" customHeight="1">
      <c r="B486" t="s">
        <v>1720</v>
      </c>
      <c r="C486" t="s">
        <v>1721</v>
      </c>
      <c r="F486" s="5" t="s">
        <v>1719</v>
      </c>
    </row>
    <row r="487" spans="1:6" ht="15" hidden="1" customHeight="1">
      <c r="B487" t="s">
        <v>999</v>
      </c>
      <c r="C487" t="s">
        <v>1000</v>
      </c>
      <c r="E487">
        <v>23086578</v>
      </c>
      <c r="F487" s="5"/>
    </row>
    <row r="488" spans="1:6" ht="15" hidden="1" customHeight="1">
      <c r="B488" t="s">
        <v>863</v>
      </c>
      <c r="C488" t="s">
        <v>864</v>
      </c>
      <c r="F488" s="5"/>
    </row>
    <row r="489" spans="1:6" ht="15" hidden="1" customHeight="1">
      <c r="B489" t="s">
        <v>1456</v>
      </c>
      <c r="C489" t="s">
        <v>1457</v>
      </c>
      <c r="F489" s="5"/>
    </row>
    <row r="490" spans="1:6" ht="15" hidden="1" customHeight="1">
      <c r="B490" t="s">
        <v>1005</v>
      </c>
      <c r="F490" s="5" t="s">
        <v>1006</v>
      </c>
    </row>
    <row r="491" spans="1:6" ht="15" hidden="1" customHeight="1">
      <c r="B491" t="s">
        <v>1388</v>
      </c>
      <c r="C491" t="s">
        <v>1387</v>
      </c>
      <c r="F491" s="5" t="s">
        <v>1389</v>
      </c>
    </row>
    <row r="492" spans="1:6" ht="15" hidden="1" customHeight="1">
      <c r="B492" t="s">
        <v>1814</v>
      </c>
      <c r="E492" t="s">
        <v>1376</v>
      </c>
      <c r="F492" s="5"/>
    </row>
    <row r="493" spans="1:6" ht="15" hidden="1" customHeight="1">
      <c r="B493" t="s">
        <v>1047</v>
      </c>
      <c r="D493" s="27">
        <v>0</v>
      </c>
      <c r="E493" t="s">
        <v>1048</v>
      </c>
      <c r="F493" s="5"/>
    </row>
    <row r="494" spans="1:6" ht="15" hidden="1" customHeight="1">
      <c r="B494" t="s">
        <v>1250</v>
      </c>
      <c r="E494" t="s">
        <v>1249</v>
      </c>
      <c r="F494" s="5"/>
    </row>
    <row r="495" spans="1:6" ht="15" hidden="1" customHeight="1">
      <c r="B495" t="s">
        <v>1247</v>
      </c>
      <c r="E495" t="s">
        <v>1248</v>
      </c>
      <c r="F495" s="5"/>
    </row>
    <row r="496" spans="1:6" ht="15" hidden="1" customHeight="1">
      <c r="B496" t="s">
        <v>1033</v>
      </c>
      <c r="E496" t="s">
        <v>1032</v>
      </c>
      <c r="F496" s="5"/>
    </row>
    <row r="497" spans="2:10" ht="15" hidden="1" customHeight="1">
      <c r="B497" t="s">
        <v>745</v>
      </c>
      <c r="C497" t="s">
        <v>747</v>
      </c>
      <c r="F497" s="5" t="s">
        <v>746</v>
      </c>
    </row>
    <row r="498" spans="2:10" ht="15" hidden="1" customHeight="1">
      <c r="B498" t="s">
        <v>3056</v>
      </c>
      <c r="F498" s="5" t="s">
        <v>2186</v>
      </c>
    </row>
    <row r="499" spans="2:10" ht="15" hidden="1" customHeight="1">
      <c r="B499" t="s">
        <v>1297</v>
      </c>
      <c r="C499" t="s">
        <v>1298</v>
      </c>
      <c r="D499" t="s">
        <v>289</v>
      </c>
      <c r="E499" t="s">
        <v>1299</v>
      </c>
      <c r="F499" s="5" t="s">
        <v>1300</v>
      </c>
    </row>
    <row r="500" spans="2:10" ht="15" hidden="1" customHeight="1">
      <c r="B500" t="s">
        <v>1862</v>
      </c>
      <c r="D500">
        <v>0</v>
      </c>
      <c r="E500" t="s">
        <v>2329</v>
      </c>
      <c r="F500" s="5" t="s">
        <v>2328</v>
      </c>
    </row>
    <row r="501" spans="2:10" ht="15" hidden="1" customHeight="1">
      <c r="B501" t="s">
        <v>1154</v>
      </c>
      <c r="C501" t="s">
        <v>1155</v>
      </c>
      <c r="E501" t="s">
        <v>1156</v>
      </c>
      <c r="F501" s="5"/>
    </row>
    <row r="502" spans="2:10" ht="15" hidden="1" customHeight="1">
      <c r="B502" t="s">
        <v>1154</v>
      </c>
      <c r="C502" t="s">
        <v>1158</v>
      </c>
      <c r="E502" t="s">
        <v>1157</v>
      </c>
      <c r="F502" s="5"/>
    </row>
    <row r="503" spans="2:10" ht="15" hidden="1" customHeight="1">
      <c r="B503" t="s">
        <v>2196</v>
      </c>
      <c r="F503" s="5" t="s">
        <v>2197</v>
      </c>
    </row>
    <row r="504" spans="2:10" ht="15" hidden="1" customHeight="1">
      <c r="B504" t="s">
        <v>1010</v>
      </c>
      <c r="F504" s="5"/>
    </row>
    <row r="505" spans="2:10" ht="15" hidden="1" customHeight="1">
      <c r="B505" t="s">
        <v>1064</v>
      </c>
      <c r="C505" t="s">
        <v>2835</v>
      </c>
      <c r="F505" s="5" t="s">
        <v>1449</v>
      </c>
    </row>
    <row r="506" spans="2:10" ht="15" hidden="1" customHeight="1">
      <c r="B506" t="s">
        <v>2710</v>
      </c>
      <c r="C506" t="s">
        <v>2892</v>
      </c>
      <c r="E506" t="s">
        <v>2836</v>
      </c>
      <c r="F506" t="s">
        <v>2837</v>
      </c>
    </row>
    <row r="507" spans="2:10" ht="15" hidden="1" customHeight="1">
      <c r="B507" t="s">
        <v>2010</v>
      </c>
      <c r="C507" t="s">
        <v>2805</v>
      </c>
      <c r="D507" t="s">
        <v>3296</v>
      </c>
      <c r="F507" s="5" t="s">
        <v>4199</v>
      </c>
      <c r="G507" t="s">
        <v>2811</v>
      </c>
    </row>
    <row r="508" spans="2:10" ht="15" hidden="1" customHeight="1">
      <c r="B508" t="s">
        <v>1014</v>
      </c>
      <c r="C508" t="s">
        <v>1015</v>
      </c>
      <c r="D508" t="s">
        <v>361</v>
      </c>
      <c r="E508" t="s">
        <v>1016</v>
      </c>
      <c r="F508" s="5"/>
    </row>
    <row r="509" spans="2:10" ht="15" hidden="1" customHeight="1">
      <c r="B509" t="s">
        <v>1504</v>
      </c>
      <c r="F509" s="5" t="s">
        <v>1505</v>
      </c>
      <c r="J509" t="s">
        <v>480</v>
      </c>
    </row>
    <row r="510" spans="2:10" ht="15" hidden="1" customHeight="1">
      <c r="B510" t="s">
        <v>1642</v>
      </c>
      <c r="F510" s="5" t="s">
        <v>2479</v>
      </c>
    </row>
    <row r="511" spans="2:10" ht="15" hidden="1" customHeight="1">
      <c r="B511" t="s">
        <v>2203</v>
      </c>
      <c r="E511" t="s">
        <v>1167</v>
      </c>
      <c r="F511" s="5"/>
    </row>
    <row r="512" spans="2:10" ht="15" hidden="1" customHeight="1">
      <c r="B512" t="s">
        <v>1252</v>
      </c>
      <c r="C512" t="s">
        <v>1253</v>
      </c>
      <c r="E512" t="s">
        <v>1255</v>
      </c>
      <c r="F512" s="5" t="s">
        <v>1254</v>
      </c>
    </row>
    <row r="513" spans="2:8" ht="15" hidden="1" customHeight="1">
      <c r="B513" t="s">
        <v>1407</v>
      </c>
      <c r="C513" t="s">
        <v>695</v>
      </c>
      <c r="F513" s="5" t="s">
        <v>694</v>
      </c>
    </row>
    <row r="514" spans="2:8" ht="15" hidden="1" customHeight="1">
      <c r="B514" t="s">
        <v>4352</v>
      </c>
      <c r="E514">
        <v>472.22748999999999</v>
      </c>
    </row>
    <row r="515" spans="2:8" ht="15" hidden="1" customHeight="1">
      <c r="B515" t="s">
        <v>4116</v>
      </c>
      <c r="C515" t="s">
        <v>4114</v>
      </c>
      <c r="F515" t="s">
        <v>4115</v>
      </c>
    </row>
    <row r="516" spans="2:8" ht="15" hidden="1" customHeight="1">
      <c r="B516" t="s">
        <v>1508</v>
      </c>
      <c r="C516" t="s">
        <v>1515</v>
      </c>
      <c r="E516" t="s">
        <v>1509</v>
      </c>
      <c r="F516" s="5"/>
    </row>
    <row r="517" spans="2:8" ht="15" hidden="1" customHeight="1">
      <c r="B517" t="s">
        <v>1508</v>
      </c>
      <c r="C517" t="s">
        <v>1927</v>
      </c>
      <c r="D517" t="s">
        <v>289</v>
      </c>
      <c r="E517">
        <v>29019149</v>
      </c>
      <c r="F517" s="5"/>
    </row>
    <row r="518" spans="2:8" ht="15" hidden="1" customHeight="1">
      <c r="B518" t="s">
        <v>1925</v>
      </c>
      <c r="D518" t="s">
        <v>361</v>
      </c>
      <c r="E518" t="s">
        <v>1439</v>
      </c>
      <c r="F518" s="5" t="s">
        <v>1926</v>
      </c>
    </row>
    <row r="519" spans="2:8" ht="15" hidden="1" customHeight="1">
      <c r="B519" t="s">
        <v>2937</v>
      </c>
      <c r="C519" t="s">
        <v>2938</v>
      </c>
      <c r="E519">
        <v>2221.9737</v>
      </c>
      <c r="F519" s="5" t="s">
        <v>2939</v>
      </c>
    </row>
    <row r="520" spans="2:8" ht="15" hidden="1" customHeight="1">
      <c r="B520" t="s">
        <v>1011</v>
      </c>
      <c r="C520" t="s">
        <v>1012</v>
      </c>
      <c r="D520" t="s">
        <v>419</v>
      </c>
      <c r="E520" t="s">
        <v>1013</v>
      </c>
      <c r="F520" s="5"/>
    </row>
    <row r="521" spans="2:8" ht="15" hidden="1" customHeight="1">
      <c r="B521" t="s">
        <v>1011</v>
      </c>
      <c r="C521" t="s">
        <v>4387</v>
      </c>
    </row>
    <row r="522" spans="2:8" ht="15" hidden="1" customHeight="1">
      <c r="B522" t="s">
        <v>1242</v>
      </c>
      <c r="C522" t="s">
        <v>337</v>
      </c>
      <c r="E522" s="5" t="s">
        <v>338</v>
      </c>
      <c r="F522" s="5" t="s">
        <v>339</v>
      </c>
      <c r="G522" s="5"/>
      <c r="H522" s="5"/>
    </row>
    <row r="523" spans="2:8" ht="15" hidden="1" customHeight="1">
      <c r="B523" t="s">
        <v>785</v>
      </c>
      <c r="E523">
        <v>99740692</v>
      </c>
      <c r="F523" s="5" t="s">
        <v>786</v>
      </c>
    </row>
    <row r="524" spans="2:8" ht="15" hidden="1" customHeight="1">
      <c r="B524" t="s">
        <v>1811</v>
      </c>
      <c r="C524" t="s">
        <v>3502</v>
      </c>
      <c r="D524" t="s">
        <v>751</v>
      </c>
      <c r="E524">
        <v>22939355</v>
      </c>
      <c r="F524" s="5" t="s">
        <v>3501</v>
      </c>
    </row>
    <row r="525" spans="2:8" hidden="1">
      <c r="B525" t="s">
        <v>1453</v>
      </c>
      <c r="E525">
        <v>99943320</v>
      </c>
      <c r="F525" s="5"/>
    </row>
    <row r="526" spans="2:8" ht="15" hidden="1" customHeight="1">
      <c r="B526" t="s">
        <v>2933</v>
      </c>
      <c r="C526" t="s">
        <v>2932</v>
      </c>
      <c r="E526">
        <v>2364.0574999999999</v>
      </c>
    </row>
    <row r="527" spans="2:8" ht="15" hidden="1" customHeight="1">
      <c r="B527" t="s">
        <v>1237</v>
      </c>
      <c r="C527" t="s">
        <v>1238</v>
      </c>
      <c r="E527">
        <v>99251744</v>
      </c>
      <c r="F527" s="5"/>
    </row>
    <row r="528" spans="2:8" ht="15" hidden="1" customHeight="1">
      <c r="B528" t="s">
        <v>2524</v>
      </c>
      <c r="C528" t="s">
        <v>940</v>
      </c>
      <c r="D528" t="s">
        <v>941</v>
      </c>
      <c r="E528">
        <v>472.20515999999998</v>
      </c>
      <c r="F528" s="67" t="s">
        <v>1860</v>
      </c>
    </row>
    <row r="529" spans="2:8" ht="15" hidden="1" customHeight="1">
      <c r="B529" t="s">
        <v>4066</v>
      </c>
      <c r="C529" t="s">
        <v>4067</v>
      </c>
      <c r="D529" t="s">
        <v>1062</v>
      </c>
      <c r="E529">
        <v>92277925</v>
      </c>
    </row>
    <row r="530" spans="2:8" ht="15" hidden="1" customHeight="1">
      <c r="B530" t="s">
        <v>1063</v>
      </c>
      <c r="C530" t="s">
        <v>3508</v>
      </c>
      <c r="D530" t="s">
        <v>1062</v>
      </c>
      <c r="E530" t="s">
        <v>1061</v>
      </c>
      <c r="F530" s="5"/>
    </row>
    <row r="531" spans="2:8" ht="15" hidden="1" customHeight="1">
      <c r="B531" t="s">
        <v>1815</v>
      </c>
      <c r="C531" t="s">
        <v>1689</v>
      </c>
      <c r="E531">
        <v>0</v>
      </c>
      <c r="F531" s="5"/>
    </row>
    <row r="532" spans="2:8" ht="15" hidden="1" customHeight="1">
      <c r="B532" t="s">
        <v>1436</v>
      </c>
      <c r="C532" t="s">
        <v>2730</v>
      </c>
      <c r="D532">
        <v>0</v>
      </c>
      <c r="E532">
        <v>47542094</v>
      </c>
      <c r="F532" s="5" t="s">
        <v>2586</v>
      </c>
    </row>
    <row r="533" spans="2:8" ht="15" hidden="1" customHeight="1">
      <c r="B533" t="s">
        <v>1750</v>
      </c>
      <c r="D533" t="s">
        <v>751</v>
      </c>
      <c r="E533" t="s">
        <v>2587</v>
      </c>
      <c r="F533" s="5" t="s">
        <v>2549</v>
      </c>
    </row>
    <row r="534" spans="2:8" ht="15" hidden="1" customHeight="1">
      <c r="B534" t="s">
        <v>2936</v>
      </c>
      <c r="C534" t="s">
        <v>2934</v>
      </c>
      <c r="F534" t="s">
        <v>2935</v>
      </c>
    </row>
    <row r="535" spans="2:8" ht="15" hidden="1" customHeight="1">
      <c r="B535" t="s">
        <v>642</v>
      </c>
      <c r="D535" t="s">
        <v>641</v>
      </c>
      <c r="E535" t="s">
        <v>692</v>
      </c>
      <c r="F535" s="5"/>
    </row>
    <row r="536" spans="2:8" ht="15" hidden="1" customHeight="1">
      <c r="B536" t="s">
        <v>640</v>
      </c>
      <c r="E536" t="s">
        <v>1700</v>
      </c>
      <c r="F536" s="5" t="s">
        <v>2304</v>
      </c>
    </row>
    <row r="537" spans="2:8" ht="15" hidden="1" customHeight="1">
      <c r="B537" t="s">
        <v>1928</v>
      </c>
      <c r="C537" t="s">
        <v>3503</v>
      </c>
      <c r="E537" t="s">
        <v>1930</v>
      </c>
      <c r="F537" s="5" t="s">
        <v>1929</v>
      </c>
    </row>
    <row r="538" spans="2:8" ht="15" hidden="1" customHeight="1">
      <c r="B538" t="s">
        <v>1928</v>
      </c>
      <c r="C538" t="s">
        <v>3504</v>
      </c>
    </row>
    <row r="539" spans="2:8" ht="15" hidden="1" customHeight="1">
      <c r="B539" t="s">
        <v>3892</v>
      </c>
      <c r="C539">
        <v>0</v>
      </c>
      <c r="E539">
        <v>0</v>
      </c>
      <c r="F539" s="5"/>
    </row>
    <row r="540" spans="2:8" ht="15" hidden="1" customHeight="1">
      <c r="B540" t="s">
        <v>3892</v>
      </c>
      <c r="C540">
        <v>0</v>
      </c>
      <c r="E540" s="5"/>
      <c r="F540" s="5" t="s">
        <v>330</v>
      </c>
      <c r="G540" s="5"/>
      <c r="H540" s="5"/>
    </row>
    <row r="541" spans="2:8" ht="17.25" hidden="1" customHeight="1">
      <c r="B541" t="s">
        <v>631</v>
      </c>
      <c r="C541" t="s">
        <v>634</v>
      </c>
      <c r="E541" t="s">
        <v>633</v>
      </c>
      <c r="F541" s="5" t="s">
        <v>632</v>
      </c>
    </row>
    <row r="542" spans="2:8" ht="15" hidden="1" customHeight="1">
      <c r="B542" t="s">
        <v>2028</v>
      </c>
      <c r="C542" t="s">
        <v>2028</v>
      </c>
      <c r="E542">
        <v>0</v>
      </c>
      <c r="F542" s="5" t="s">
        <v>998</v>
      </c>
    </row>
    <row r="543" spans="2:8" ht="15" hidden="1" customHeight="1">
      <c r="B543" t="s">
        <v>1318</v>
      </c>
      <c r="C543" t="s">
        <v>807</v>
      </c>
      <c r="E543" s="5" t="s">
        <v>807</v>
      </c>
      <c r="F543" s="5"/>
      <c r="G543" s="5"/>
      <c r="H543" s="5"/>
    </row>
    <row r="544" spans="2:8" ht="15" hidden="1" customHeight="1">
      <c r="B544" t="s">
        <v>1318</v>
      </c>
      <c r="F544">
        <v>0</v>
      </c>
    </row>
    <row r="545" spans="2:8" ht="15" hidden="1" customHeight="1">
      <c r="B545" t="s">
        <v>1318</v>
      </c>
      <c r="E545" s="5" t="s">
        <v>330</v>
      </c>
      <c r="F545" s="5" t="s">
        <v>762</v>
      </c>
      <c r="G545" s="5"/>
      <c r="H545" s="5"/>
    </row>
    <row r="546" spans="2:8" ht="15" hidden="1" customHeight="1">
      <c r="B546" t="s">
        <v>1318</v>
      </c>
      <c r="C546">
        <v>1</v>
      </c>
      <c r="D546">
        <v>1</v>
      </c>
      <c r="E546">
        <v>1</v>
      </c>
      <c r="F546" s="5"/>
    </row>
    <row r="547" spans="2:8" ht="15" hidden="1" customHeight="1">
      <c r="B547" t="s">
        <v>1318</v>
      </c>
      <c r="E547">
        <v>0</v>
      </c>
      <c r="F547" s="5"/>
    </row>
    <row r="548" spans="2:8" ht="15" hidden="1" customHeight="1">
      <c r="B548" t="s">
        <v>1318</v>
      </c>
      <c r="E548">
        <v>92282890</v>
      </c>
      <c r="F548" s="5"/>
    </row>
    <row r="549" spans="2:8" ht="15" hidden="1" customHeight="1">
      <c r="C549">
        <v>0</v>
      </c>
      <c r="F549" s="5"/>
    </row>
    <row r="550" spans="2:8" ht="15" hidden="1" customHeight="1">
      <c r="F550" s="5"/>
    </row>
    <row r="551" spans="2:8" hidden="1">
      <c r="E551" t="s">
        <v>2275</v>
      </c>
      <c r="F551" s="5"/>
    </row>
    <row r="552" spans="2:8" hidden="1">
      <c r="F552" s="5" t="s">
        <v>330</v>
      </c>
    </row>
    <row r="734" spans="5:5">
      <c r="E734" t="s">
        <v>1693</v>
      </c>
    </row>
  </sheetData>
  <autoFilter ref="A1:J552">
    <filterColumn colId="1">
      <filters>
        <filter val="magnu"/>
        <filter val="magric-maccio-millacar"/>
        <filter val="negley-cno,magmanga 8090"/>
      </filters>
    </filterColumn>
    <sortState ref="A2:J552">
      <sortCondition ref="B1:B552"/>
    </sortState>
  </autoFilter>
  <hyperlinks>
    <hyperlink ref="C114" r:id="rId1"/>
    <hyperlink ref="C287" r:id="rId2"/>
    <hyperlink ref="G201" r:id="rId3"/>
    <hyperlink ref="B322" r:id="rId4"/>
    <hyperlink ref="C443" r:id="rId5"/>
  </hyperlinks>
  <pageMargins left="0.7" right="0.7" top="0.75" bottom="0.75" header="0.3" footer="0.3"/>
  <pageSetup orientation="portrait" r:id="rId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6"/>
  <sheetViews>
    <sheetView zoomScale="90" zoomScaleNormal="90" workbookViewId="0">
      <pane xSplit="3" ySplit="1" topLeftCell="G36" activePane="bottomRight" state="frozen"/>
      <selection pane="topRight" activeCell="D1" sqref="D1"/>
      <selection pane="bottomLeft" activeCell="A2" sqref="A2"/>
      <selection pane="bottomRight" activeCell="H76" sqref="H76"/>
    </sheetView>
  </sheetViews>
  <sheetFormatPr baseColWidth="10" defaultRowHeight="15"/>
  <cols>
    <col min="1" max="1" width="18.140625" style="193" customWidth="1"/>
    <col min="2" max="2" width="32.28515625" style="193" customWidth="1"/>
    <col min="3" max="3" width="15.140625" style="4" hidden="1" customWidth="1"/>
    <col min="4" max="4" width="5.42578125" style="4" hidden="1" customWidth="1"/>
    <col min="5" max="5" width="8" style="4" hidden="1" customWidth="1"/>
    <col min="6" max="6" width="16.140625" style="4" hidden="1" customWidth="1"/>
    <col min="7" max="7" width="10" style="4" customWidth="1"/>
    <col min="8" max="8" width="10.140625" style="4" bestFit="1" customWidth="1"/>
    <col min="9" max="9" width="10.140625" style="4" customWidth="1"/>
    <col min="10" max="10" width="5.140625" style="4" hidden="1" customWidth="1"/>
    <col min="11" max="11" width="11" style="4" customWidth="1"/>
    <col min="12" max="13" width="8.7109375" style="4" bestFit="1" customWidth="1"/>
    <col min="14" max="14" width="13.140625" style="4" hidden="1" customWidth="1"/>
    <col min="15" max="15" width="7.140625" customWidth="1"/>
    <col min="16" max="17" width="11.42578125" hidden="1" customWidth="1"/>
    <col min="18" max="18" width="11.42578125" customWidth="1"/>
  </cols>
  <sheetData>
    <row r="1" spans="1:16" ht="18.75">
      <c r="A1" s="194" t="s">
        <v>146</v>
      </c>
      <c r="B1" s="194" t="s">
        <v>147</v>
      </c>
      <c r="C1" s="194" t="s">
        <v>148</v>
      </c>
      <c r="D1" s="194" t="s">
        <v>149</v>
      </c>
      <c r="E1" s="194" t="s">
        <v>150</v>
      </c>
      <c r="F1" s="195" t="s">
        <v>5</v>
      </c>
      <c r="G1" s="195" t="s">
        <v>151</v>
      </c>
      <c r="H1" s="195">
        <v>500</v>
      </c>
      <c r="I1" s="195">
        <v>100</v>
      </c>
      <c r="J1" s="195" t="s">
        <v>152</v>
      </c>
      <c r="K1" s="195">
        <v>50</v>
      </c>
      <c r="L1" s="195">
        <v>25</v>
      </c>
      <c r="M1" s="195">
        <v>10</v>
      </c>
      <c r="N1" s="6" t="s">
        <v>6</v>
      </c>
      <c r="O1" s="6" t="s">
        <v>524</v>
      </c>
    </row>
    <row r="2" spans="1:16" ht="24.95" customHeight="1">
      <c r="A2" s="73" t="s">
        <v>153</v>
      </c>
      <c r="B2" s="73" t="s">
        <v>154</v>
      </c>
      <c r="C2" s="73" t="s">
        <v>23</v>
      </c>
      <c r="D2" s="73">
        <v>60</v>
      </c>
      <c r="E2" s="73">
        <v>45</v>
      </c>
      <c r="F2" s="73">
        <v>1.2</v>
      </c>
      <c r="G2" s="74">
        <f t="shared" ref="G2:G10" si="0">D2*E2*F2</f>
        <v>3240</v>
      </c>
      <c r="H2" s="74">
        <f t="shared" ref="H2:H42" si="1">G2/2</f>
        <v>1620</v>
      </c>
      <c r="I2" s="74">
        <f t="shared" ref="I2:I42" si="2">(H2/5)*1.1</f>
        <v>356.40000000000003</v>
      </c>
      <c r="J2" s="73">
        <v>1.2</v>
      </c>
      <c r="K2" s="74">
        <f t="shared" ref="K2:K40" si="3">(I2/2)*J2</f>
        <v>213.84</v>
      </c>
      <c r="L2" s="74">
        <f t="shared" ref="L2:L42" si="4">(K2/2)*J2</f>
        <v>128.304</v>
      </c>
      <c r="M2" s="74">
        <f>(L2/2.5)*1.3</f>
        <v>66.71808</v>
      </c>
      <c r="N2" s="199">
        <v>45518</v>
      </c>
      <c r="O2" s="200" t="s">
        <v>525</v>
      </c>
    </row>
    <row r="3" spans="1:16" ht="15.75">
      <c r="A3" s="192" t="s">
        <v>153</v>
      </c>
      <c r="B3" s="192" t="s">
        <v>3791</v>
      </c>
      <c r="C3" s="66" t="s">
        <v>1748</v>
      </c>
      <c r="D3" s="66">
        <v>40</v>
      </c>
      <c r="E3" s="73">
        <v>45</v>
      </c>
      <c r="F3" s="66">
        <v>1.2</v>
      </c>
      <c r="G3" s="74">
        <f t="shared" si="0"/>
        <v>2160</v>
      </c>
      <c r="H3" s="74">
        <f t="shared" si="1"/>
        <v>1080</v>
      </c>
      <c r="I3" s="74">
        <f t="shared" si="2"/>
        <v>237.60000000000002</v>
      </c>
      <c r="J3" s="73">
        <v>2.2000000000000002</v>
      </c>
      <c r="K3" s="74">
        <f t="shared" si="3"/>
        <v>261.36000000000007</v>
      </c>
      <c r="L3" s="74">
        <f t="shared" si="4"/>
        <v>287.49600000000009</v>
      </c>
      <c r="M3" s="74">
        <f t="shared" ref="M3:M58" si="5">(L3/2.5)*1.3</f>
        <v>149.49792000000005</v>
      </c>
      <c r="N3" s="201">
        <v>45566</v>
      </c>
      <c r="O3" s="16"/>
    </row>
    <row r="4" spans="1:16" ht="15.75">
      <c r="A4" s="73" t="s">
        <v>155</v>
      </c>
      <c r="B4" s="73" t="s">
        <v>1610</v>
      </c>
      <c r="C4" s="73" t="s">
        <v>23</v>
      </c>
      <c r="D4" s="73">
        <v>136</v>
      </c>
      <c r="E4" s="73">
        <v>45</v>
      </c>
      <c r="F4" s="73">
        <v>1.2</v>
      </c>
      <c r="G4" s="74">
        <f t="shared" si="0"/>
        <v>7344</v>
      </c>
      <c r="H4" s="74">
        <f t="shared" si="1"/>
        <v>3672</v>
      </c>
      <c r="I4" s="74">
        <f t="shared" si="2"/>
        <v>807.84</v>
      </c>
      <c r="J4" s="73">
        <v>1.2</v>
      </c>
      <c r="K4" s="74">
        <f t="shared" si="3"/>
        <v>484.70400000000001</v>
      </c>
      <c r="L4" s="74">
        <f t="shared" si="4"/>
        <v>290.82240000000002</v>
      </c>
      <c r="M4" s="74">
        <f t="shared" si="5"/>
        <v>151.22764800000002</v>
      </c>
      <c r="N4" s="199">
        <v>44869</v>
      </c>
      <c r="O4" s="200" t="s">
        <v>526</v>
      </c>
    </row>
    <row r="5" spans="1:16" ht="15.75" hidden="1">
      <c r="A5" s="73" t="s">
        <v>156</v>
      </c>
      <c r="B5" s="73" t="s">
        <v>157</v>
      </c>
      <c r="C5" s="73" t="s">
        <v>23</v>
      </c>
      <c r="D5" s="73">
        <v>273</v>
      </c>
      <c r="E5" s="73">
        <v>42</v>
      </c>
      <c r="F5" s="73">
        <v>1.1000000000000001</v>
      </c>
      <c r="G5" s="74">
        <f t="shared" si="0"/>
        <v>12612.6</v>
      </c>
      <c r="H5" s="74">
        <f t="shared" si="1"/>
        <v>6306.3</v>
      </c>
      <c r="I5" s="74">
        <f t="shared" si="2"/>
        <v>1387.3860000000002</v>
      </c>
      <c r="J5" s="73">
        <v>1.2</v>
      </c>
      <c r="K5" s="74">
        <f t="shared" si="3"/>
        <v>832.43160000000012</v>
      </c>
      <c r="L5" s="74">
        <f t="shared" si="4"/>
        <v>499.45896000000005</v>
      </c>
      <c r="M5" s="74">
        <f t="shared" si="5"/>
        <v>259.71865920000005</v>
      </c>
      <c r="N5" s="199">
        <v>43364</v>
      </c>
      <c r="O5" s="200" t="s">
        <v>527</v>
      </c>
    </row>
    <row r="6" spans="1:16" ht="15.75">
      <c r="A6" s="73" t="s">
        <v>155</v>
      </c>
      <c r="B6" s="73" t="s">
        <v>990</v>
      </c>
      <c r="C6" s="73" t="s">
        <v>23</v>
      </c>
      <c r="D6" s="73">
        <v>124</v>
      </c>
      <c r="E6" s="73">
        <v>45</v>
      </c>
      <c r="F6" s="73">
        <v>1.3</v>
      </c>
      <c r="G6" s="74">
        <f t="shared" si="0"/>
        <v>7254</v>
      </c>
      <c r="H6" s="74">
        <f t="shared" si="1"/>
        <v>3627</v>
      </c>
      <c r="I6" s="74">
        <f t="shared" si="2"/>
        <v>797.94</v>
      </c>
      <c r="J6" s="73">
        <v>1.2</v>
      </c>
      <c r="K6" s="74">
        <f t="shared" si="3"/>
        <v>478.76400000000001</v>
      </c>
      <c r="L6" s="74">
        <f t="shared" si="4"/>
        <v>287.25839999999999</v>
      </c>
      <c r="M6" s="74">
        <f t="shared" si="5"/>
        <v>149.374368</v>
      </c>
      <c r="N6" s="199">
        <v>43633</v>
      </c>
      <c r="O6" s="200" t="s">
        <v>526</v>
      </c>
    </row>
    <row r="7" spans="1:16" ht="15.75">
      <c r="A7" s="73" t="s">
        <v>156</v>
      </c>
      <c r="B7" s="73" t="s">
        <v>1612</v>
      </c>
      <c r="C7" s="73" t="s">
        <v>1613</v>
      </c>
      <c r="D7" s="73">
        <v>50</v>
      </c>
      <c r="E7" s="73">
        <v>45</v>
      </c>
      <c r="F7" s="73">
        <v>1.1000000000000001</v>
      </c>
      <c r="G7" s="74"/>
      <c r="H7" s="74"/>
      <c r="I7" s="74">
        <v>2326</v>
      </c>
      <c r="J7" s="73">
        <v>1.2</v>
      </c>
      <c r="K7" s="74">
        <f t="shared" si="3"/>
        <v>1395.6</v>
      </c>
      <c r="L7" s="74">
        <f t="shared" si="4"/>
        <v>837.3599999999999</v>
      </c>
      <c r="M7" s="74">
        <f t="shared" si="5"/>
        <v>435.42719999999997</v>
      </c>
      <c r="N7" s="199">
        <v>45518</v>
      </c>
      <c r="O7" s="200" t="s">
        <v>527</v>
      </c>
    </row>
    <row r="8" spans="1:16" ht="15.75" hidden="1">
      <c r="A8" s="73" t="s">
        <v>158</v>
      </c>
      <c r="B8" s="73" t="s">
        <v>159</v>
      </c>
      <c r="C8" s="73" t="s">
        <v>23</v>
      </c>
      <c r="D8" s="73">
        <v>262</v>
      </c>
      <c r="E8" s="73">
        <v>42</v>
      </c>
      <c r="F8" s="73">
        <v>1.25</v>
      </c>
      <c r="G8" s="74">
        <f t="shared" si="0"/>
        <v>13755</v>
      </c>
      <c r="H8" s="74">
        <f t="shared" si="1"/>
        <v>6877.5</v>
      </c>
      <c r="I8" s="74">
        <f t="shared" si="2"/>
        <v>1513.0500000000002</v>
      </c>
      <c r="J8" s="73">
        <v>1.2</v>
      </c>
      <c r="K8" s="74">
        <f t="shared" si="3"/>
        <v>907.83</v>
      </c>
      <c r="L8" s="74">
        <f t="shared" si="4"/>
        <v>544.69799999999998</v>
      </c>
      <c r="M8" s="74">
        <f t="shared" si="5"/>
        <v>283.24295999999998</v>
      </c>
      <c r="N8" s="199">
        <v>43633</v>
      </c>
      <c r="O8" s="200" t="s">
        <v>527</v>
      </c>
    </row>
    <row r="9" spans="1:16" ht="15.75" hidden="1">
      <c r="A9" s="73" t="s">
        <v>160</v>
      </c>
      <c r="B9" s="73" t="s">
        <v>822</v>
      </c>
      <c r="C9" s="73" t="s">
        <v>23</v>
      </c>
      <c r="D9" s="73">
        <v>19</v>
      </c>
      <c r="E9" s="73">
        <v>42</v>
      </c>
      <c r="F9" s="73">
        <v>1.3</v>
      </c>
      <c r="G9" s="74">
        <f t="shared" si="0"/>
        <v>1037.4000000000001</v>
      </c>
      <c r="H9" s="74">
        <f t="shared" si="1"/>
        <v>518.70000000000005</v>
      </c>
      <c r="I9" s="74">
        <f t="shared" si="2"/>
        <v>114.11400000000002</v>
      </c>
      <c r="J9" s="73">
        <v>1.2</v>
      </c>
      <c r="K9" s="74">
        <f t="shared" si="3"/>
        <v>68.468400000000003</v>
      </c>
      <c r="L9" s="74">
        <f t="shared" si="4"/>
        <v>41.081040000000002</v>
      </c>
      <c r="M9" s="74">
        <f t="shared" si="5"/>
        <v>21.362140800000002</v>
      </c>
      <c r="N9" s="199">
        <v>43959</v>
      </c>
      <c r="O9" s="200" t="s">
        <v>528</v>
      </c>
    </row>
    <row r="10" spans="1:16" ht="15.75" hidden="1">
      <c r="A10" s="73" t="s">
        <v>160</v>
      </c>
      <c r="B10" s="73" t="s">
        <v>822</v>
      </c>
      <c r="C10" s="73" t="s">
        <v>1613</v>
      </c>
      <c r="D10" s="73">
        <v>12.5</v>
      </c>
      <c r="E10" s="73">
        <v>42</v>
      </c>
      <c r="F10" s="73">
        <v>1.3</v>
      </c>
      <c r="G10" s="74">
        <f t="shared" si="0"/>
        <v>682.5</v>
      </c>
      <c r="H10" s="74">
        <f t="shared" si="1"/>
        <v>341.25</v>
      </c>
      <c r="I10" s="74">
        <f t="shared" si="2"/>
        <v>75.075000000000003</v>
      </c>
      <c r="J10" s="73">
        <v>1.2</v>
      </c>
      <c r="K10" s="74">
        <f t="shared" si="3"/>
        <v>45.045000000000002</v>
      </c>
      <c r="L10" s="74">
        <f t="shared" si="4"/>
        <v>27.027000000000001</v>
      </c>
      <c r="M10" s="74">
        <f t="shared" si="5"/>
        <v>14.054040000000001</v>
      </c>
      <c r="N10" s="199">
        <v>43970</v>
      </c>
      <c r="O10" s="200"/>
    </row>
    <row r="11" spans="1:16" ht="15.75">
      <c r="A11" s="73" t="s">
        <v>158</v>
      </c>
      <c r="B11" s="73" t="s">
        <v>1614</v>
      </c>
      <c r="C11" s="73" t="s">
        <v>1706</v>
      </c>
      <c r="D11" s="73">
        <v>282</v>
      </c>
      <c r="E11" s="73">
        <v>45</v>
      </c>
      <c r="F11" s="73">
        <v>1.1000000000000001</v>
      </c>
      <c r="G11" s="74">
        <v>11840</v>
      </c>
      <c r="H11" s="74">
        <f t="shared" si="1"/>
        <v>5920</v>
      </c>
      <c r="I11" s="74">
        <v>1530</v>
      </c>
      <c r="J11" s="73">
        <v>1.2</v>
      </c>
      <c r="K11" s="74">
        <f t="shared" si="3"/>
        <v>918</v>
      </c>
      <c r="L11" s="74">
        <f t="shared" si="4"/>
        <v>550.79999999999995</v>
      </c>
      <c r="M11" s="74">
        <f t="shared" si="5"/>
        <v>286.416</v>
      </c>
      <c r="N11" s="199">
        <v>45743</v>
      </c>
      <c r="O11" s="200" t="s">
        <v>527</v>
      </c>
      <c r="P11" t="s">
        <v>3134</v>
      </c>
    </row>
    <row r="12" spans="1:16" ht="15.75">
      <c r="A12" s="73" t="s">
        <v>160</v>
      </c>
      <c r="B12" s="73" t="s">
        <v>2054</v>
      </c>
      <c r="C12" s="73" t="s">
        <v>23</v>
      </c>
      <c r="D12" s="73">
        <v>26</v>
      </c>
      <c r="E12" s="73">
        <v>45</v>
      </c>
      <c r="F12" s="73">
        <v>1.3</v>
      </c>
      <c r="G12" s="74">
        <v>924</v>
      </c>
      <c r="H12" s="74">
        <f t="shared" si="1"/>
        <v>462</v>
      </c>
      <c r="I12" s="74">
        <f t="shared" si="2"/>
        <v>101.64000000000001</v>
      </c>
      <c r="J12" s="73">
        <v>1.2</v>
      </c>
      <c r="K12" s="74">
        <f t="shared" si="3"/>
        <v>60.984000000000009</v>
      </c>
      <c r="L12" s="74">
        <f t="shared" si="4"/>
        <v>36.590400000000002</v>
      </c>
      <c r="M12" s="74">
        <f t="shared" si="5"/>
        <v>19.027008000000002</v>
      </c>
      <c r="N12" s="199">
        <v>45101</v>
      </c>
      <c r="O12" s="16"/>
    </row>
    <row r="13" spans="1:16" ht="15.75">
      <c r="A13" s="73" t="s">
        <v>160</v>
      </c>
      <c r="B13" s="73" t="s">
        <v>4146</v>
      </c>
      <c r="C13" s="73" t="s">
        <v>1613</v>
      </c>
      <c r="D13" s="73">
        <v>14</v>
      </c>
      <c r="E13" s="73">
        <v>45</v>
      </c>
      <c r="F13" s="73">
        <v>1.3</v>
      </c>
      <c r="G13" s="74">
        <f>+D13*E13</f>
        <v>630</v>
      </c>
      <c r="H13" s="74">
        <f t="shared" ref="H13" si="6">G13/2</f>
        <v>315</v>
      </c>
      <c r="I13" s="74">
        <f t="shared" ref="I13" si="7">(H13/5)*1.1</f>
        <v>69.300000000000011</v>
      </c>
      <c r="J13" s="73">
        <v>2.2000000000000002</v>
      </c>
      <c r="K13" s="74">
        <f t="shared" ref="K13" si="8">(I13/2)*J13</f>
        <v>76.230000000000018</v>
      </c>
      <c r="L13" s="74">
        <f t="shared" ref="L13" si="9">(K13/2)*J13</f>
        <v>83.853000000000023</v>
      </c>
      <c r="M13" s="74">
        <f t="shared" ref="M13" si="10">(L13/2.5)*1.3</f>
        <v>43.603560000000016</v>
      </c>
      <c r="N13" s="199">
        <v>45739</v>
      </c>
      <c r="O13" s="16"/>
    </row>
    <row r="14" spans="1:16" ht="15.75">
      <c r="A14" s="73" t="s">
        <v>161</v>
      </c>
      <c r="B14" s="73" t="s">
        <v>162</v>
      </c>
      <c r="C14" s="73" t="s">
        <v>23</v>
      </c>
      <c r="D14" s="73">
        <v>332</v>
      </c>
      <c r="E14" s="73">
        <v>45</v>
      </c>
      <c r="F14" s="73">
        <v>1.25</v>
      </c>
      <c r="G14" s="74">
        <f t="shared" ref="G14:G20" si="11">D14*E14*F14</f>
        <v>18675</v>
      </c>
      <c r="H14" s="74">
        <f t="shared" si="1"/>
        <v>9337.5</v>
      </c>
      <c r="I14" s="74">
        <f t="shared" si="2"/>
        <v>2054.25</v>
      </c>
      <c r="J14" s="73">
        <v>1.2</v>
      </c>
      <c r="K14" s="74">
        <f t="shared" si="3"/>
        <v>1232.55</v>
      </c>
      <c r="L14" s="74">
        <f t="shared" si="4"/>
        <v>739.53</v>
      </c>
      <c r="M14" s="74">
        <f t="shared" si="5"/>
        <v>384.55560000000003</v>
      </c>
      <c r="N14" s="199">
        <v>44872</v>
      </c>
      <c r="O14" s="200"/>
    </row>
    <row r="15" spans="1:16" ht="15.75" hidden="1">
      <c r="A15" s="73" t="s">
        <v>165</v>
      </c>
      <c r="B15" s="73" t="s">
        <v>1212</v>
      </c>
      <c r="C15" s="73" t="s">
        <v>741</v>
      </c>
      <c r="D15" s="73">
        <v>150</v>
      </c>
      <c r="E15" s="73">
        <v>42</v>
      </c>
      <c r="F15" s="73">
        <v>1.25</v>
      </c>
      <c r="G15" s="74">
        <f t="shared" si="11"/>
        <v>7875</v>
      </c>
      <c r="H15" s="74">
        <f t="shared" si="1"/>
        <v>3937.5</v>
      </c>
      <c r="I15" s="74">
        <f t="shared" si="2"/>
        <v>866.25000000000011</v>
      </c>
      <c r="J15" s="73">
        <v>1.2</v>
      </c>
      <c r="K15" s="74">
        <f t="shared" si="3"/>
        <v>519.75</v>
      </c>
      <c r="L15" s="74">
        <f t="shared" si="4"/>
        <v>311.84999999999997</v>
      </c>
      <c r="M15" s="74">
        <f t="shared" si="5"/>
        <v>162.16199999999998</v>
      </c>
      <c r="N15" s="199">
        <v>43633</v>
      </c>
      <c r="O15" s="200"/>
    </row>
    <row r="16" spans="1:16" ht="15.75">
      <c r="A16" s="73" t="s">
        <v>163</v>
      </c>
      <c r="B16" s="73" t="s">
        <v>164</v>
      </c>
      <c r="C16" s="73" t="s">
        <v>1611</v>
      </c>
      <c r="D16" s="73">
        <v>120</v>
      </c>
      <c r="E16" s="73">
        <v>45</v>
      </c>
      <c r="F16" s="73">
        <v>1.25</v>
      </c>
      <c r="G16" s="74">
        <f t="shared" si="11"/>
        <v>6750</v>
      </c>
      <c r="H16" s="74">
        <f t="shared" si="1"/>
        <v>3375</v>
      </c>
      <c r="I16" s="74">
        <f t="shared" si="2"/>
        <v>742.50000000000011</v>
      </c>
      <c r="J16" s="73">
        <v>1.2</v>
      </c>
      <c r="K16" s="74">
        <f t="shared" si="3"/>
        <v>445.50000000000006</v>
      </c>
      <c r="L16" s="74">
        <f t="shared" si="4"/>
        <v>267.3</v>
      </c>
      <c r="M16" s="74">
        <f t="shared" si="5"/>
        <v>138.99600000000001</v>
      </c>
      <c r="N16" s="199">
        <v>45026</v>
      </c>
      <c r="O16" s="200" t="s">
        <v>526</v>
      </c>
    </row>
    <row r="17" spans="1:17" ht="15.75">
      <c r="A17" s="73" t="s">
        <v>165</v>
      </c>
      <c r="B17" s="73" t="s">
        <v>2773</v>
      </c>
      <c r="C17" s="73" t="s">
        <v>23</v>
      </c>
      <c r="D17" s="73">
        <v>197</v>
      </c>
      <c r="E17" s="73">
        <v>45</v>
      </c>
      <c r="F17" s="73">
        <v>1.25</v>
      </c>
      <c r="G17" s="74">
        <f t="shared" si="11"/>
        <v>11081.25</v>
      </c>
      <c r="H17" s="74">
        <f t="shared" si="1"/>
        <v>5540.625</v>
      </c>
      <c r="I17" s="74">
        <f t="shared" si="2"/>
        <v>1218.9375</v>
      </c>
      <c r="J17" s="73">
        <v>1.2</v>
      </c>
      <c r="K17" s="74">
        <f t="shared" si="3"/>
        <v>731.36249999999995</v>
      </c>
      <c r="L17" s="74">
        <f t="shared" si="4"/>
        <v>438.81749999999994</v>
      </c>
      <c r="M17" s="74">
        <f t="shared" si="5"/>
        <v>228.18509999999998</v>
      </c>
      <c r="N17" s="199">
        <v>44872</v>
      </c>
      <c r="O17" s="200" t="s">
        <v>527</v>
      </c>
    </row>
    <row r="18" spans="1:17" ht="15.75">
      <c r="A18" s="73" t="s">
        <v>165</v>
      </c>
      <c r="B18" s="73" t="s">
        <v>1104</v>
      </c>
      <c r="C18" s="73" t="s">
        <v>23</v>
      </c>
      <c r="D18" s="73">
        <v>175</v>
      </c>
      <c r="E18" s="73">
        <v>45</v>
      </c>
      <c r="F18" s="73">
        <v>1.25</v>
      </c>
      <c r="G18" s="74">
        <f t="shared" si="11"/>
        <v>9843.75</v>
      </c>
      <c r="H18" s="74">
        <f t="shared" si="1"/>
        <v>4921.875</v>
      </c>
      <c r="I18" s="74">
        <f t="shared" si="2"/>
        <v>1082.8125</v>
      </c>
      <c r="J18" s="73">
        <v>1.2</v>
      </c>
      <c r="K18" s="74">
        <f t="shared" si="3"/>
        <v>649.6875</v>
      </c>
      <c r="L18" s="74">
        <f t="shared" si="4"/>
        <v>389.8125</v>
      </c>
      <c r="M18" s="74">
        <f t="shared" si="5"/>
        <v>202.70250000000001</v>
      </c>
      <c r="N18" s="202">
        <v>44872</v>
      </c>
      <c r="O18" s="16"/>
    </row>
    <row r="19" spans="1:17" ht="15.75" hidden="1">
      <c r="A19" s="73" t="s">
        <v>1210</v>
      </c>
      <c r="B19" s="73" t="s">
        <v>1699</v>
      </c>
      <c r="C19" s="73" t="s">
        <v>1613</v>
      </c>
      <c r="D19" s="73">
        <v>126</v>
      </c>
      <c r="E19" s="73">
        <v>42</v>
      </c>
      <c r="F19" s="73">
        <v>1.25</v>
      </c>
      <c r="G19" s="74">
        <f t="shared" si="11"/>
        <v>6615</v>
      </c>
      <c r="H19" s="74">
        <f t="shared" si="1"/>
        <v>3307.5</v>
      </c>
      <c r="I19" s="74">
        <f t="shared" si="2"/>
        <v>727.65000000000009</v>
      </c>
      <c r="J19" s="73">
        <v>1.2</v>
      </c>
      <c r="K19" s="74">
        <f t="shared" si="3"/>
        <v>436.59000000000003</v>
      </c>
      <c r="L19" s="74">
        <f t="shared" si="4"/>
        <v>261.95400000000001</v>
      </c>
      <c r="M19" s="74">
        <f t="shared" si="5"/>
        <v>136.21608000000001</v>
      </c>
      <c r="N19" s="199">
        <v>43970</v>
      </c>
      <c r="O19" s="200"/>
    </row>
    <row r="20" spans="1:17" ht="15.75">
      <c r="A20" s="73" t="s">
        <v>1210</v>
      </c>
      <c r="B20" s="73" t="s">
        <v>1211</v>
      </c>
      <c r="C20" s="73" t="s">
        <v>23</v>
      </c>
      <c r="D20" s="73">
        <v>187</v>
      </c>
      <c r="E20" s="73">
        <v>45</v>
      </c>
      <c r="F20" s="73">
        <v>1.25</v>
      </c>
      <c r="G20" s="74">
        <f t="shared" si="11"/>
        <v>10518.75</v>
      </c>
      <c r="H20" s="74">
        <f t="shared" si="1"/>
        <v>5259.375</v>
      </c>
      <c r="I20" s="74">
        <f t="shared" si="2"/>
        <v>1157.0625</v>
      </c>
      <c r="J20" s="73">
        <v>1.2</v>
      </c>
      <c r="K20" s="74">
        <f t="shared" si="3"/>
        <v>694.23749999999995</v>
      </c>
      <c r="L20" s="74">
        <f t="shared" si="4"/>
        <v>416.54249999999996</v>
      </c>
      <c r="M20" s="74">
        <f t="shared" si="5"/>
        <v>216.60210000000001</v>
      </c>
      <c r="N20" s="199">
        <v>45701</v>
      </c>
      <c r="O20" s="16"/>
      <c r="P20" t="s">
        <v>4076</v>
      </c>
    </row>
    <row r="21" spans="1:17" ht="15.75">
      <c r="A21" s="73" t="s">
        <v>1068</v>
      </c>
      <c r="B21" s="73" t="s">
        <v>1069</v>
      </c>
      <c r="C21" s="73" t="s">
        <v>23</v>
      </c>
      <c r="D21" s="73">
        <v>430</v>
      </c>
      <c r="E21" s="73">
        <v>45</v>
      </c>
      <c r="F21" s="73">
        <v>1.1000000000000001</v>
      </c>
      <c r="G21" s="74">
        <f t="shared" ref="G21:G73" si="12">D21*E21*F21</f>
        <v>21285</v>
      </c>
      <c r="H21" s="74">
        <f t="shared" si="1"/>
        <v>10642.5</v>
      </c>
      <c r="I21" s="74">
        <f t="shared" si="2"/>
        <v>2341.3500000000004</v>
      </c>
      <c r="J21" s="73">
        <v>1.2</v>
      </c>
      <c r="K21" s="74">
        <f t="shared" si="3"/>
        <v>1404.8100000000002</v>
      </c>
      <c r="L21" s="74">
        <f t="shared" si="4"/>
        <v>842.88600000000008</v>
      </c>
      <c r="M21" s="74">
        <f t="shared" si="5"/>
        <v>438.30072000000001</v>
      </c>
      <c r="N21" s="199">
        <v>43633</v>
      </c>
      <c r="O21" s="200"/>
    </row>
    <row r="22" spans="1:17" ht="15.75">
      <c r="A22" s="73" t="s">
        <v>859</v>
      </c>
      <c r="B22" s="73" t="s">
        <v>860</v>
      </c>
      <c r="C22" s="73" t="s">
        <v>23</v>
      </c>
      <c r="D22" s="73">
        <v>170</v>
      </c>
      <c r="E22" s="73">
        <v>45</v>
      </c>
      <c r="F22" s="73">
        <v>1.45</v>
      </c>
      <c r="G22" s="74">
        <f t="shared" si="12"/>
        <v>11092.5</v>
      </c>
      <c r="H22" s="74">
        <f t="shared" si="1"/>
        <v>5546.25</v>
      </c>
      <c r="I22" s="74">
        <f t="shared" si="2"/>
        <v>1220.1750000000002</v>
      </c>
      <c r="J22" s="73">
        <v>1.2</v>
      </c>
      <c r="K22" s="74">
        <f t="shared" si="3"/>
        <v>732.10500000000013</v>
      </c>
      <c r="L22" s="74">
        <f t="shared" si="4"/>
        <v>439.26300000000009</v>
      </c>
      <c r="M22" s="74">
        <f t="shared" si="5"/>
        <v>228.41676000000007</v>
      </c>
      <c r="N22" s="199">
        <v>45134</v>
      </c>
      <c r="O22" s="200" t="s">
        <v>529</v>
      </c>
    </row>
    <row r="23" spans="1:17" ht="15.75">
      <c r="A23" s="73" t="s">
        <v>166</v>
      </c>
      <c r="B23" s="73" t="s">
        <v>167</v>
      </c>
      <c r="C23" s="73" t="s">
        <v>23</v>
      </c>
      <c r="D23" s="73">
        <v>361</v>
      </c>
      <c r="E23" s="73">
        <v>45</v>
      </c>
      <c r="F23" s="73">
        <v>1.2</v>
      </c>
      <c r="G23" s="74">
        <f t="shared" si="12"/>
        <v>19494</v>
      </c>
      <c r="H23" s="74">
        <f t="shared" si="1"/>
        <v>9747</v>
      </c>
      <c r="I23" s="74">
        <v>1966</v>
      </c>
      <c r="J23" s="73">
        <v>1.2</v>
      </c>
      <c r="K23" s="74">
        <f t="shared" si="3"/>
        <v>1179.5999999999999</v>
      </c>
      <c r="L23" s="74">
        <f t="shared" si="4"/>
        <v>707.75999999999988</v>
      </c>
      <c r="M23" s="74">
        <f t="shared" si="5"/>
        <v>368.03519999999992</v>
      </c>
      <c r="N23" s="199">
        <v>45743</v>
      </c>
      <c r="O23" s="200" t="s">
        <v>527</v>
      </c>
    </row>
    <row r="24" spans="1:17" ht="15.75" hidden="1">
      <c r="A24" s="73" t="s">
        <v>170</v>
      </c>
      <c r="B24" s="73" t="s">
        <v>1600</v>
      </c>
      <c r="C24" s="73" t="s">
        <v>23</v>
      </c>
      <c r="D24" s="73">
        <v>0</v>
      </c>
      <c r="E24" s="73">
        <v>42</v>
      </c>
      <c r="F24" s="73">
        <v>1.2</v>
      </c>
      <c r="G24" s="74">
        <f t="shared" si="12"/>
        <v>0</v>
      </c>
      <c r="H24" s="74">
        <f t="shared" si="1"/>
        <v>0</v>
      </c>
      <c r="I24" s="74">
        <f t="shared" si="2"/>
        <v>0</v>
      </c>
      <c r="J24" s="73">
        <v>1.2</v>
      </c>
      <c r="K24" s="74">
        <f t="shared" si="3"/>
        <v>0</v>
      </c>
      <c r="L24" s="74">
        <f t="shared" si="4"/>
        <v>0</v>
      </c>
      <c r="M24" s="74">
        <f t="shared" si="5"/>
        <v>0</v>
      </c>
      <c r="N24" s="199">
        <v>43914</v>
      </c>
      <c r="O24" s="200" t="s">
        <v>330</v>
      </c>
    </row>
    <row r="25" spans="1:17" ht="15.75" hidden="1">
      <c r="A25" s="73" t="s">
        <v>170</v>
      </c>
      <c r="B25" s="73" t="s">
        <v>1813</v>
      </c>
      <c r="C25" s="73" t="s">
        <v>1611</v>
      </c>
      <c r="D25" s="73">
        <v>45</v>
      </c>
      <c r="E25" s="73">
        <v>42</v>
      </c>
      <c r="F25" s="73">
        <v>1.2</v>
      </c>
      <c r="G25" s="74">
        <f t="shared" si="12"/>
        <v>2268</v>
      </c>
      <c r="H25" s="74">
        <f t="shared" si="1"/>
        <v>1134</v>
      </c>
      <c r="I25" s="74">
        <f t="shared" si="2"/>
        <v>249.48000000000005</v>
      </c>
      <c r="J25" s="73">
        <v>1.2</v>
      </c>
      <c r="K25" s="74">
        <f t="shared" si="3"/>
        <v>149.68800000000002</v>
      </c>
      <c r="L25" s="74">
        <f t="shared" si="4"/>
        <v>89.81280000000001</v>
      </c>
      <c r="M25" s="74">
        <f t="shared" si="5"/>
        <v>46.702656000000012</v>
      </c>
      <c r="N25" s="199">
        <v>44048</v>
      </c>
      <c r="O25" s="200"/>
    </row>
    <row r="26" spans="1:17" ht="15.75" hidden="1">
      <c r="A26" s="73" t="s">
        <v>170</v>
      </c>
      <c r="B26" s="73" t="s">
        <v>503</v>
      </c>
      <c r="C26" s="73" t="s">
        <v>23</v>
      </c>
      <c r="D26" s="73">
        <v>2.1</v>
      </c>
      <c r="E26" s="73">
        <v>42</v>
      </c>
      <c r="F26" s="73">
        <v>1.25</v>
      </c>
      <c r="G26" s="74">
        <f t="shared" si="12"/>
        <v>110.25</v>
      </c>
      <c r="H26" s="74">
        <f t="shared" si="1"/>
        <v>55.125</v>
      </c>
      <c r="I26" s="74">
        <f t="shared" si="2"/>
        <v>12.127500000000001</v>
      </c>
      <c r="J26" s="73">
        <v>1.2</v>
      </c>
      <c r="K26" s="74">
        <f t="shared" si="3"/>
        <v>7.2765000000000004</v>
      </c>
      <c r="L26" s="74">
        <f t="shared" si="4"/>
        <v>4.3658999999999999</v>
      </c>
      <c r="M26" s="74">
        <f t="shared" si="5"/>
        <v>2.2702680000000002</v>
      </c>
      <c r="N26" s="202">
        <v>43902</v>
      </c>
      <c r="O26" s="200" t="s">
        <v>528</v>
      </c>
    </row>
    <row r="27" spans="1:17" ht="15.75">
      <c r="A27" s="73" t="s">
        <v>168</v>
      </c>
      <c r="B27" s="73" t="s">
        <v>169</v>
      </c>
      <c r="C27" s="73" t="s">
        <v>23</v>
      </c>
      <c r="D27" s="73">
        <v>154</v>
      </c>
      <c r="E27" s="73">
        <v>45</v>
      </c>
      <c r="F27" s="73">
        <v>1.25</v>
      </c>
      <c r="G27" s="74">
        <f t="shared" si="12"/>
        <v>8662.5</v>
      </c>
      <c r="H27" s="74">
        <f t="shared" si="1"/>
        <v>4331.25</v>
      </c>
      <c r="I27" s="74">
        <f t="shared" si="2"/>
        <v>952.87500000000011</v>
      </c>
      <c r="J27" s="73">
        <v>1.2</v>
      </c>
      <c r="K27" s="74">
        <f t="shared" si="3"/>
        <v>571.72500000000002</v>
      </c>
      <c r="L27" s="74">
        <f t="shared" si="4"/>
        <v>343.03500000000003</v>
      </c>
      <c r="M27" s="74">
        <f t="shared" si="5"/>
        <v>178.37819999999999</v>
      </c>
      <c r="N27" s="199">
        <v>45101</v>
      </c>
      <c r="O27" s="200" t="s">
        <v>526</v>
      </c>
    </row>
    <row r="28" spans="1:17" ht="15.75">
      <c r="A28" s="73" t="s">
        <v>170</v>
      </c>
      <c r="B28" s="73" t="s">
        <v>2053</v>
      </c>
      <c r="C28" s="73" t="s">
        <v>23</v>
      </c>
      <c r="D28" s="73">
        <v>45</v>
      </c>
      <c r="E28" s="73">
        <v>45</v>
      </c>
      <c r="F28" s="73">
        <v>1.2</v>
      </c>
      <c r="G28" s="74">
        <f t="shared" si="12"/>
        <v>2430</v>
      </c>
      <c r="H28" s="74">
        <f t="shared" si="1"/>
        <v>1215</v>
      </c>
      <c r="I28" s="74">
        <f t="shared" si="2"/>
        <v>267.3</v>
      </c>
      <c r="J28" s="73">
        <v>1.2</v>
      </c>
      <c r="K28" s="74">
        <f t="shared" si="3"/>
        <v>160.38</v>
      </c>
      <c r="L28" s="74">
        <f t="shared" si="4"/>
        <v>96.227999999999994</v>
      </c>
      <c r="M28" s="74">
        <f t="shared" si="5"/>
        <v>50.038560000000004</v>
      </c>
      <c r="N28" s="199">
        <v>45391</v>
      </c>
      <c r="O28" s="200"/>
    </row>
    <row r="29" spans="1:17" ht="15.75" hidden="1">
      <c r="A29" s="73" t="s">
        <v>173</v>
      </c>
      <c r="B29" s="73" t="s">
        <v>1208</v>
      </c>
      <c r="C29" s="73" t="s">
        <v>23</v>
      </c>
      <c r="D29" s="73">
        <v>120</v>
      </c>
      <c r="E29" s="73">
        <v>42</v>
      </c>
      <c r="F29" s="73">
        <v>1.1000000000000001</v>
      </c>
      <c r="G29" s="74">
        <f t="shared" si="12"/>
        <v>5544</v>
      </c>
      <c r="H29" s="74">
        <f t="shared" si="1"/>
        <v>2772</v>
      </c>
      <c r="I29" s="74">
        <f t="shared" si="2"/>
        <v>609.84</v>
      </c>
      <c r="J29" s="73">
        <v>1.2</v>
      </c>
      <c r="K29" s="74">
        <f t="shared" si="3"/>
        <v>365.904</v>
      </c>
      <c r="L29" s="74">
        <f t="shared" si="4"/>
        <v>219.54239999999999</v>
      </c>
      <c r="M29" s="74">
        <f t="shared" si="5"/>
        <v>114.162048</v>
      </c>
      <c r="N29" s="199">
        <v>43633</v>
      </c>
      <c r="O29" s="200" t="s">
        <v>526</v>
      </c>
    </row>
    <row r="30" spans="1:17" ht="15.75">
      <c r="A30" s="73" t="s">
        <v>171</v>
      </c>
      <c r="B30" s="73" t="s">
        <v>172</v>
      </c>
      <c r="C30" s="73" t="s">
        <v>23</v>
      </c>
      <c r="D30" s="73">
        <v>25</v>
      </c>
      <c r="E30" s="73">
        <v>45</v>
      </c>
      <c r="F30" s="73">
        <v>1.3</v>
      </c>
      <c r="G30" s="74">
        <f t="shared" si="12"/>
        <v>1462.5</v>
      </c>
      <c r="H30" s="74">
        <f t="shared" si="1"/>
        <v>731.25</v>
      </c>
      <c r="I30" s="74">
        <f t="shared" si="2"/>
        <v>160.875</v>
      </c>
      <c r="J30" s="73">
        <v>1.2</v>
      </c>
      <c r="K30" s="74">
        <f t="shared" si="3"/>
        <v>96.524999999999991</v>
      </c>
      <c r="L30" s="74">
        <f t="shared" si="4"/>
        <v>57.914999999999992</v>
      </c>
      <c r="M30" s="74">
        <f t="shared" si="5"/>
        <v>30.115799999999997</v>
      </c>
      <c r="N30" s="199">
        <v>44872</v>
      </c>
      <c r="O30" s="200"/>
    </row>
    <row r="31" spans="1:17" ht="15.75">
      <c r="A31" s="73" t="s">
        <v>1334</v>
      </c>
      <c r="B31" s="73" t="s">
        <v>1335</v>
      </c>
      <c r="C31" s="73" t="s">
        <v>23</v>
      </c>
      <c r="D31" s="73">
        <v>162</v>
      </c>
      <c r="E31" s="73">
        <v>45</v>
      </c>
      <c r="F31" s="73">
        <v>1.25</v>
      </c>
      <c r="G31" s="74">
        <v>9240</v>
      </c>
      <c r="H31" s="74">
        <f t="shared" si="1"/>
        <v>4620</v>
      </c>
      <c r="I31" s="74">
        <f t="shared" si="2"/>
        <v>1016.4000000000001</v>
      </c>
      <c r="J31" s="73">
        <v>1.2</v>
      </c>
      <c r="K31" s="74">
        <f t="shared" si="3"/>
        <v>609.84</v>
      </c>
      <c r="L31" s="74">
        <f t="shared" si="4"/>
        <v>365.904</v>
      </c>
      <c r="M31" s="74">
        <f t="shared" si="5"/>
        <v>190.27008000000001</v>
      </c>
      <c r="N31" s="202">
        <v>44029</v>
      </c>
      <c r="O31" s="200" t="s">
        <v>526</v>
      </c>
      <c r="Q31" t="s">
        <v>2714</v>
      </c>
    </row>
    <row r="32" spans="1:17" ht="15.75" hidden="1">
      <c r="A32" s="73" t="s">
        <v>123</v>
      </c>
      <c r="B32" s="73" t="s">
        <v>175</v>
      </c>
      <c r="C32" s="73" t="s">
        <v>23</v>
      </c>
      <c r="D32" s="73">
        <v>35</v>
      </c>
      <c r="E32" s="73">
        <v>42</v>
      </c>
      <c r="F32" s="73">
        <v>1.2</v>
      </c>
      <c r="G32" s="74">
        <f t="shared" si="12"/>
        <v>1764</v>
      </c>
      <c r="H32" s="74">
        <f t="shared" si="1"/>
        <v>882</v>
      </c>
      <c r="I32" s="74">
        <f t="shared" si="2"/>
        <v>194.04000000000002</v>
      </c>
      <c r="J32" s="73">
        <v>1.2</v>
      </c>
      <c r="K32" s="74">
        <f t="shared" si="3"/>
        <v>116.42400000000001</v>
      </c>
      <c r="L32" s="74">
        <f t="shared" si="4"/>
        <v>69.854399999999998</v>
      </c>
      <c r="M32" s="74">
        <f t="shared" si="5"/>
        <v>36.324288000000003</v>
      </c>
      <c r="N32" s="199">
        <v>44051</v>
      </c>
      <c r="O32" s="200" t="s">
        <v>526</v>
      </c>
    </row>
    <row r="33" spans="1:15" ht="15.75">
      <c r="A33" s="73" t="s">
        <v>173</v>
      </c>
      <c r="B33" s="73" t="s">
        <v>2980</v>
      </c>
      <c r="C33" s="73" t="s">
        <v>23</v>
      </c>
      <c r="D33" s="73">
        <v>238</v>
      </c>
      <c r="E33" s="73">
        <v>45</v>
      </c>
      <c r="F33" s="73">
        <v>1.1000000000000001</v>
      </c>
      <c r="G33" s="74">
        <v>10234</v>
      </c>
      <c r="H33" s="74">
        <f t="shared" si="1"/>
        <v>5117</v>
      </c>
      <c r="I33" s="74">
        <f t="shared" si="2"/>
        <v>1125.74</v>
      </c>
      <c r="J33" s="73">
        <v>1.2</v>
      </c>
      <c r="K33" s="74">
        <f t="shared" si="3"/>
        <v>675.44399999999996</v>
      </c>
      <c r="L33" s="74">
        <f t="shared" si="4"/>
        <v>405.26639999999998</v>
      </c>
      <c r="M33" s="74">
        <f t="shared" si="5"/>
        <v>210.738528</v>
      </c>
      <c r="N33" s="199">
        <v>45545</v>
      </c>
      <c r="O33" s="200" t="s">
        <v>526</v>
      </c>
    </row>
    <row r="34" spans="1:15" ht="15.75">
      <c r="A34" s="73" t="s">
        <v>173</v>
      </c>
      <c r="B34" s="73" t="s">
        <v>2286</v>
      </c>
      <c r="C34" s="73" t="s">
        <v>23</v>
      </c>
      <c r="D34" s="73">
        <v>197</v>
      </c>
      <c r="E34" s="73">
        <v>45</v>
      </c>
      <c r="F34" s="73">
        <v>1.25</v>
      </c>
      <c r="G34" s="74">
        <f t="shared" si="12"/>
        <v>11081.25</v>
      </c>
      <c r="H34" s="74">
        <f t="shared" si="1"/>
        <v>5540.625</v>
      </c>
      <c r="I34" s="74">
        <f t="shared" si="2"/>
        <v>1218.9375</v>
      </c>
      <c r="J34" s="73">
        <v>1.2</v>
      </c>
      <c r="K34" s="74">
        <f t="shared" si="3"/>
        <v>731.36249999999995</v>
      </c>
      <c r="L34" s="74">
        <f t="shared" si="4"/>
        <v>438.81749999999994</v>
      </c>
      <c r="M34" s="74">
        <f t="shared" si="5"/>
        <v>228.18509999999998</v>
      </c>
      <c r="N34" s="199">
        <v>45545</v>
      </c>
      <c r="O34" s="200" t="s">
        <v>526</v>
      </c>
    </row>
    <row r="35" spans="1:15" ht="15.75">
      <c r="A35" s="73" t="s">
        <v>173</v>
      </c>
      <c r="B35" s="73" t="s">
        <v>174</v>
      </c>
      <c r="C35" s="73" t="s">
        <v>23</v>
      </c>
      <c r="D35" s="73">
        <v>211</v>
      </c>
      <c r="E35" s="73">
        <v>45</v>
      </c>
      <c r="F35" s="73">
        <v>1.25</v>
      </c>
      <c r="G35" s="74">
        <f t="shared" si="12"/>
        <v>11868.75</v>
      </c>
      <c r="H35" s="74">
        <f t="shared" si="1"/>
        <v>5934.375</v>
      </c>
      <c r="I35" s="74">
        <f t="shared" si="2"/>
        <v>1305.5625</v>
      </c>
      <c r="J35" s="73">
        <v>1.2</v>
      </c>
      <c r="K35" s="74">
        <f t="shared" si="3"/>
        <v>783.33749999999998</v>
      </c>
      <c r="L35" s="74">
        <f t="shared" si="4"/>
        <v>470.00249999999994</v>
      </c>
      <c r="M35" s="74">
        <f t="shared" si="5"/>
        <v>244.40129999999996</v>
      </c>
      <c r="N35" s="199">
        <v>45328</v>
      </c>
      <c r="O35" s="200" t="s">
        <v>526</v>
      </c>
    </row>
    <row r="36" spans="1:15" ht="15.75">
      <c r="A36" s="73" t="s">
        <v>123</v>
      </c>
      <c r="B36" s="73" t="s">
        <v>4367</v>
      </c>
      <c r="C36" s="73" t="s">
        <v>3752</v>
      </c>
      <c r="D36" s="73">
        <v>112</v>
      </c>
      <c r="E36" s="73">
        <v>45</v>
      </c>
      <c r="F36" s="73">
        <v>1.25</v>
      </c>
      <c r="G36" s="74">
        <v>2829</v>
      </c>
      <c r="H36" s="74">
        <f t="shared" si="1"/>
        <v>1414.5</v>
      </c>
      <c r="I36" s="74">
        <f t="shared" si="2"/>
        <v>311.19</v>
      </c>
      <c r="J36" s="73">
        <v>1.2</v>
      </c>
      <c r="K36" s="74">
        <f t="shared" si="3"/>
        <v>186.714</v>
      </c>
      <c r="L36" s="74">
        <f t="shared" si="4"/>
        <v>112.02839999999999</v>
      </c>
      <c r="M36" s="74">
        <f t="shared" si="5"/>
        <v>58.254767999999991</v>
      </c>
      <c r="N36" s="199">
        <v>45916</v>
      </c>
      <c r="O36" s="200" t="s">
        <v>526</v>
      </c>
    </row>
    <row r="37" spans="1:15" ht="15.75">
      <c r="A37" s="73" t="s">
        <v>176</v>
      </c>
      <c r="B37" s="73" t="s">
        <v>177</v>
      </c>
      <c r="C37" s="73" t="s">
        <v>23</v>
      </c>
      <c r="D37" s="73">
        <v>133</v>
      </c>
      <c r="E37" s="73">
        <v>45</v>
      </c>
      <c r="F37" s="73">
        <v>1.25</v>
      </c>
      <c r="G37" s="74">
        <f t="shared" si="12"/>
        <v>7481.25</v>
      </c>
      <c r="H37" s="74">
        <f t="shared" si="1"/>
        <v>3740.625</v>
      </c>
      <c r="I37" s="74">
        <f t="shared" si="2"/>
        <v>822.93750000000011</v>
      </c>
      <c r="J37" s="73">
        <v>1.2</v>
      </c>
      <c r="K37" s="74">
        <f t="shared" si="3"/>
        <v>493.76250000000005</v>
      </c>
      <c r="L37" s="74">
        <f t="shared" si="4"/>
        <v>296.25749999999999</v>
      </c>
      <c r="M37" s="74">
        <f t="shared" si="5"/>
        <v>154.0539</v>
      </c>
      <c r="N37" s="199">
        <v>44872</v>
      </c>
      <c r="O37" s="200" t="s">
        <v>526</v>
      </c>
    </row>
    <row r="38" spans="1:15" ht="15.75">
      <c r="A38" s="73" t="s">
        <v>178</v>
      </c>
      <c r="B38" s="73" t="s">
        <v>179</v>
      </c>
      <c r="C38" s="73" t="s">
        <v>23</v>
      </c>
      <c r="D38" s="73">
        <v>311</v>
      </c>
      <c r="E38" s="73">
        <v>45</v>
      </c>
      <c r="F38" s="73">
        <v>1.25</v>
      </c>
      <c r="G38" s="74">
        <f t="shared" si="12"/>
        <v>17493.75</v>
      </c>
      <c r="H38" s="74">
        <f t="shared" si="1"/>
        <v>8746.875</v>
      </c>
      <c r="I38" s="74">
        <f t="shared" si="2"/>
        <v>1924.3125000000002</v>
      </c>
      <c r="J38" s="73">
        <v>1.2</v>
      </c>
      <c r="K38" s="74">
        <f t="shared" si="3"/>
        <v>1154.5875000000001</v>
      </c>
      <c r="L38" s="74">
        <f t="shared" si="4"/>
        <v>692.75250000000005</v>
      </c>
      <c r="M38" s="74">
        <f t="shared" si="5"/>
        <v>360.23130000000003</v>
      </c>
      <c r="N38" s="199">
        <v>43984</v>
      </c>
      <c r="O38" s="200" t="s">
        <v>526</v>
      </c>
    </row>
    <row r="39" spans="1:15" ht="15.75">
      <c r="A39" s="73" t="s">
        <v>180</v>
      </c>
      <c r="B39" s="73" t="s">
        <v>858</v>
      </c>
      <c r="C39" s="73" t="s">
        <v>1611</v>
      </c>
      <c r="D39" s="73">
        <v>136</v>
      </c>
      <c r="E39" s="73">
        <v>45</v>
      </c>
      <c r="F39" s="73">
        <v>1.25</v>
      </c>
      <c r="G39" s="74">
        <f t="shared" si="12"/>
        <v>7650</v>
      </c>
      <c r="H39" s="74">
        <f t="shared" si="1"/>
        <v>3825</v>
      </c>
      <c r="I39" s="74">
        <f t="shared" si="2"/>
        <v>841.50000000000011</v>
      </c>
      <c r="J39" s="73">
        <v>1.2</v>
      </c>
      <c r="K39" s="74">
        <f t="shared" si="3"/>
        <v>504.90000000000003</v>
      </c>
      <c r="L39" s="74">
        <f t="shared" si="4"/>
        <v>302.94</v>
      </c>
      <c r="M39" s="74">
        <f t="shared" si="5"/>
        <v>157.52880000000002</v>
      </c>
      <c r="N39" s="199">
        <v>45027</v>
      </c>
      <c r="O39" s="16"/>
    </row>
    <row r="40" spans="1:15" ht="15.75">
      <c r="A40" s="73" t="s">
        <v>180</v>
      </c>
      <c r="B40" s="73" t="s">
        <v>4368</v>
      </c>
      <c r="C40" s="73"/>
      <c r="D40" s="73"/>
      <c r="E40" s="73"/>
      <c r="F40" s="73"/>
      <c r="G40" s="74">
        <v>7680</v>
      </c>
      <c r="H40" s="74">
        <f t="shared" ref="H40" si="13">G40/2</f>
        <v>3840</v>
      </c>
      <c r="I40" s="74">
        <f t="shared" ref="I40" si="14">(H40/5)*1.1</f>
        <v>844.80000000000007</v>
      </c>
      <c r="J40" s="73">
        <v>1.2</v>
      </c>
      <c r="K40" s="74">
        <f t="shared" si="3"/>
        <v>506.88</v>
      </c>
      <c r="L40" s="74">
        <f t="shared" ref="L40" si="15">(K40/2)*J40</f>
        <v>304.12799999999999</v>
      </c>
      <c r="M40" s="74">
        <f t="shared" ref="M40" si="16">(L40/2.5)*1.3</f>
        <v>158.14655999999999</v>
      </c>
      <c r="N40" s="199">
        <v>45916</v>
      </c>
      <c r="O40" s="16"/>
    </row>
    <row r="41" spans="1:15" ht="15.75">
      <c r="A41" s="73" t="s">
        <v>181</v>
      </c>
      <c r="B41" s="73" t="s">
        <v>1820</v>
      </c>
      <c r="C41" s="73" t="s">
        <v>23</v>
      </c>
      <c r="D41" s="73">
        <v>0</v>
      </c>
      <c r="E41" s="73">
        <v>45</v>
      </c>
      <c r="F41" s="73">
        <v>1.25</v>
      </c>
      <c r="G41" s="74">
        <f t="shared" si="12"/>
        <v>0</v>
      </c>
      <c r="H41" s="74">
        <f t="shared" si="1"/>
        <v>0</v>
      </c>
      <c r="I41" s="74">
        <f t="shared" si="2"/>
        <v>0</v>
      </c>
      <c r="J41" s="73">
        <v>1.2</v>
      </c>
      <c r="K41" s="74">
        <v>1166</v>
      </c>
      <c r="L41" s="74">
        <f t="shared" si="4"/>
        <v>699.6</v>
      </c>
      <c r="M41" s="74">
        <f t="shared" si="5"/>
        <v>363.79200000000003</v>
      </c>
      <c r="N41" s="199">
        <v>44051</v>
      </c>
      <c r="O41" s="200" t="s">
        <v>526</v>
      </c>
    </row>
    <row r="42" spans="1:15" ht="15.75">
      <c r="A42" s="73" t="s">
        <v>1804</v>
      </c>
      <c r="B42" s="73" t="s">
        <v>3913</v>
      </c>
      <c r="C42" s="73" t="s">
        <v>23</v>
      </c>
      <c r="D42" s="73">
        <v>43</v>
      </c>
      <c r="E42" s="73">
        <v>0</v>
      </c>
      <c r="F42" s="73">
        <v>1.25</v>
      </c>
      <c r="G42" s="74">
        <f t="shared" si="12"/>
        <v>0</v>
      </c>
      <c r="H42" s="74">
        <f t="shared" si="1"/>
        <v>0</v>
      </c>
      <c r="I42" s="74">
        <f t="shared" si="2"/>
        <v>0</v>
      </c>
      <c r="J42" s="73">
        <v>1.2</v>
      </c>
      <c r="K42" s="74">
        <f>(I42/2)*J42</f>
        <v>0</v>
      </c>
      <c r="L42" s="74">
        <f t="shared" si="4"/>
        <v>0</v>
      </c>
      <c r="M42" s="74">
        <f t="shared" si="5"/>
        <v>0</v>
      </c>
      <c r="N42" s="199">
        <v>45622</v>
      </c>
      <c r="O42" s="16"/>
    </row>
    <row r="43" spans="1:15" ht="15.75" hidden="1">
      <c r="A43" s="73" t="s">
        <v>185</v>
      </c>
      <c r="B43" s="73" t="s">
        <v>630</v>
      </c>
      <c r="C43" s="73" t="s">
        <v>23</v>
      </c>
      <c r="D43" s="73">
        <v>40</v>
      </c>
      <c r="E43" s="73">
        <v>42</v>
      </c>
      <c r="F43" s="73">
        <v>1.25</v>
      </c>
      <c r="G43" s="74">
        <f t="shared" si="12"/>
        <v>2100</v>
      </c>
      <c r="H43" s="74">
        <f>G43/2</f>
        <v>1050</v>
      </c>
      <c r="I43" s="74">
        <f>(H43/5)*1.1</f>
        <v>231.00000000000003</v>
      </c>
      <c r="J43" s="73">
        <v>1.2</v>
      </c>
      <c r="K43" s="74">
        <f>(I43/2)*J43</f>
        <v>138.60000000000002</v>
      </c>
      <c r="L43" s="74">
        <f>(K43/2)*J43</f>
        <v>83.160000000000011</v>
      </c>
      <c r="M43" s="74">
        <f t="shared" si="5"/>
        <v>43.243200000000009</v>
      </c>
      <c r="N43" s="199">
        <v>43633</v>
      </c>
      <c r="O43" s="200" t="s">
        <v>528</v>
      </c>
    </row>
    <row r="44" spans="1:15" ht="15.75" hidden="1">
      <c r="A44" s="73" t="s">
        <v>185</v>
      </c>
      <c r="B44" s="73" t="s">
        <v>188</v>
      </c>
      <c r="C44" s="73" t="s">
        <v>23</v>
      </c>
      <c r="D44" s="73">
        <v>36</v>
      </c>
      <c r="E44" s="73">
        <v>42</v>
      </c>
      <c r="F44" s="73">
        <v>1.25</v>
      </c>
      <c r="G44" s="74">
        <f t="shared" si="12"/>
        <v>1890</v>
      </c>
      <c r="H44" s="74">
        <f>G44/2</f>
        <v>945</v>
      </c>
      <c r="I44" s="74">
        <f>(H44/5)*1.1</f>
        <v>207.9</v>
      </c>
      <c r="J44" s="73">
        <v>1.2</v>
      </c>
      <c r="K44" s="74">
        <f>(I44/2)*J44</f>
        <v>124.74</v>
      </c>
      <c r="L44" s="74">
        <f>(K44/2)*J44</f>
        <v>74.843999999999994</v>
      </c>
      <c r="M44" s="74">
        <f t="shared" si="5"/>
        <v>38.918879999999994</v>
      </c>
      <c r="N44" s="199">
        <v>43633</v>
      </c>
      <c r="O44" s="200"/>
    </row>
    <row r="45" spans="1:15" ht="15.75" hidden="1">
      <c r="A45" s="73" t="s">
        <v>186</v>
      </c>
      <c r="B45" s="73" t="s">
        <v>187</v>
      </c>
      <c r="C45" s="73" t="s">
        <v>23</v>
      </c>
      <c r="D45" s="73">
        <v>36</v>
      </c>
      <c r="E45" s="73">
        <v>42</v>
      </c>
      <c r="F45" s="73">
        <v>1.25</v>
      </c>
      <c r="G45" s="74">
        <f t="shared" si="12"/>
        <v>1890</v>
      </c>
      <c r="H45" s="74">
        <f>G45/2</f>
        <v>945</v>
      </c>
      <c r="I45" s="74">
        <f>(H45/5)*1.1</f>
        <v>207.9</v>
      </c>
      <c r="J45" s="73">
        <v>1.2</v>
      </c>
      <c r="K45" s="74">
        <f>(I45/2)*J45</f>
        <v>124.74</v>
      </c>
      <c r="L45" s="74">
        <f>(K45/2)*J45</f>
        <v>74.843999999999994</v>
      </c>
      <c r="M45" s="74">
        <f t="shared" si="5"/>
        <v>38.918879999999994</v>
      </c>
      <c r="N45" s="199">
        <v>43633</v>
      </c>
      <c r="O45" s="200" t="s">
        <v>529</v>
      </c>
    </row>
    <row r="46" spans="1:15" ht="15.75">
      <c r="A46" s="192" t="s">
        <v>182</v>
      </c>
      <c r="B46" s="192" t="s">
        <v>3794</v>
      </c>
      <c r="C46" s="66" t="s">
        <v>1748</v>
      </c>
      <c r="D46" s="66">
        <v>10.4</v>
      </c>
      <c r="E46" s="73">
        <v>45</v>
      </c>
      <c r="F46" s="73">
        <v>1.25</v>
      </c>
      <c r="G46" s="74">
        <v>0</v>
      </c>
      <c r="H46" s="66">
        <v>0</v>
      </c>
      <c r="I46" s="66">
        <f>+D46*E46*F46</f>
        <v>585</v>
      </c>
      <c r="J46" s="73">
        <v>1.2</v>
      </c>
      <c r="K46" s="74">
        <f>(I46/2)*J46</f>
        <v>351</v>
      </c>
      <c r="L46" s="74">
        <f>(K46/2)*J46</f>
        <v>210.6</v>
      </c>
      <c r="M46" s="74">
        <f t="shared" si="5"/>
        <v>109.512</v>
      </c>
      <c r="N46" s="201">
        <v>45566</v>
      </c>
      <c r="O46" s="200" t="s">
        <v>526</v>
      </c>
    </row>
    <row r="47" spans="1:15" ht="15.75">
      <c r="A47" s="192" t="s">
        <v>182</v>
      </c>
      <c r="B47" s="192" t="s">
        <v>4348</v>
      </c>
      <c r="C47" s="66" t="s">
        <v>1748</v>
      </c>
      <c r="D47" s="66">
        <v>11.2</v>
      </c>
      <c r="E47" s="73">
        <v>45</v>
      </c>
      <c r="F47" s="73">
        <v>1.25</v>
      </c>
      <c r="G47" s="74">
        <v>1100</v>
      </c>
      <c r="H47" s="66"/>
      <c r="I47" s="66"/>
      <c r="J47" s="73">
        <v>1.2</v>
      </c>
      <c r="K47" s="66"/>
      <c r="L47" s="66"/>
      <c r="M47" s="74">
        <f t="shared" si="5"/>
        <v>0</v>
      </c>
      <c r="N47" s="201">
        <v>45566</v>
      </c>
      <c r="O47" s="200" t="s">
        <v>526</v>
      </c>
    </row>
    <row r="48" spans="1:15" ht="15.75">
      <c r="A48" s="73" t="s">
        <v>183</v>
      </c>
      <c r="B48" s="73" t="s">
        <v>184</v>
      </c>
      <c r="C48" s="73" t="s">
        <v>23</v>
      </c>
      <c r="D48" s="73">
        <v>88</v>
      </c>
      <c r="E48" s="73">
        <v>45</v>
      </c>
      <c r="F48" s="73">
        <v>1.25</v>
      </c>
      <c r="G48" s="74">
        <f t="shared" si="12"/>
        <v>4950</v>
      </c>
      <c r="H48" s="74">
        <f>G48/2</f>
        <v>2475</v>
      </c>
      <c r="I48" s="74">
        <f>(H48/5)*1.1</f>
        <v>544.5</v>
      </c>
      <c r="J48" s="73">
        <v>1.2</v>
      </c>
      <c r="K48" s="74">
        <f>(I48/2)*J48</f>
        <v>326.7</v>
      </c>
      <c r="L48" s="74">
        <f>(K48/2)*J48</f>
        <v>196.01999999999998</v>
      </c>
      <c r="M48" s="74">
        <f t="shared" si="5"/>
        <v>101.93039999999999</v>
      </c>
      <c r="N48" s="199">
        <v>45391</v>
      </c>
      <c r="O48" s="200" t="s">
        <v>526</v>
      </c>
    </row>
    <row r="49" spans="1:15" ht="15.75">
      <c r="A49" s="73" t="s">
        <v>183</v>
      </c>
      <c r="B49" s="73" t="s">
        <v>3117</v>
      </c>
      <c r="C49" s="73" t="s">
        <v>23</v>
      </c>
      <c r="D49" s="73">
        <v>190</v>
      </c>
      <c r="E49" s="73">
        <v>45</v>
      </c>
      <c r="F49" s="73">
        <v>1.25</v>
      </c>
      <c r="G49" s="74">
        <f t="shared" si="12"/>
        <v>10687.5</v>
      </c>
      <c r="H49" s="74">
        <f>G49/2</f>
        <v>5343.75</v>
      </c>
      <c r="I49" s="74">
        <f>(H49/5)*1.1</f>
        <v>1175.625</v>
      </c>
      <c r="J49" s="73">
        <v>1.2</v>
      </c>
      <c r="K49" s="74">
        <f>(I49/2)*J49</f>
        <v>705.375</v>
      </c>
      <c r="L49" s="74">
        <f>(K49/2)*J49</f>
        <v>423.22499999999997</v>
      </c>
      <c r="M49" s="74">
        <f t="shared" si="5"/>
        <v>220.077</v>
      </c>
      <c r="N49" s="199">
        <v>45141</v>
      </c>
      <c r="O49" s="200"/>
    </row>
    <row r="50" spans="1:15" ht="15.75">
      <c r="A50" s="192" t="s">
        <v>3792</v>
      </c>
      <c r="B50" s="192" t="s">
        <v>4150</v>
      </c>
      <c r="C50" s="73" t="s">
        <v>23</v>
      </c>
      <c r="D50" s="66">
        <v>107.2</v>
      </c>
      <c r="E50" s="73">
        <v>45</v>
      </c>
      <c r="F50" s="73">
        <v>1.25</v>
      </c>
      <c r="G50" s="74">
        <f t="shared" si="12"/>
        <v>6030</v>
      </c>
      <c r="H50" s="66" t="s">
        <v>3795</v>
      </c>
      <c r="I50" s="66">
        <v>1813</v>
      </c>
      <c r="J50" s="73">
        <v>1.2</v>
      </c>
      <c r="K50" s="74">
        <f>(I50/2)*J50</f>
        <v>1087.8</v>
      </c>
      <c r="L50" s="74">
        <f>(K50/2)*J50</f>
        <v>652.67999999999995</v>
      </c>
      <c r="M50" s="74">
        <f t="shared" ref="M50" si="17">(L50/2.5)*1.3</f>
        <v>339.39359999999999</v>
      </c>
      <c r="N50" s="201">
        <v>45743</v>
      </c>
      <c r="O50" s="200" t="s">
        <v>527</v>
      </c>
    </row>
    <row r="51" spans="1:15" ht="15.75">
      <c r="A51" s="192" t="s">
        <v>185</v>
      </c>
      <c r="B51" s="192" t="s">
        <v>3793</v>
      </c>
      <c r="C51" s="66" t="s">
        <v>1748</v>
      </c>
      <c r="D51" s="66">
        <v>19.2</v>
      </c>
      <c r="E51" s="73">
        <v>45</v>
      </c>
      <c r="F51" s="73">
        <v>1.25</v>
      </c>
      <c r="G51" s="74">
        <f t="shared" si="12"/>
        <v>1080</v>
      </c>
      <c r="H51" s="74">
        <f>G51/2</f>
        <v>540</v>
      </c>
      <c r="I51" s="74">
        <f t="shared" ref="I51:I73" si="18">(H51/5)*1.1</f>
        <v>118.80000000000001</v>
      </c>
      <c r="J51" s="73">
        <v>1.2</v>
      </c>
      <c r="K51" s="74">
        <f t="shared" ref="K51:K73" si="19">(I51/2)*J51</f>
        <v>71.28</v>
      </c>
      <c r="L51" s="74"/>
      <c r="M51" s="74"/>
      <c r="N51" s="201">
        <v>45566</v>
      </c>
      <c r="O51" s="200"/>
    </row>
    <row r="52" spans="1:15" ht="15.75">
      <c r="A52" s="73" t="s">
        <v>185</v>
      </c>
      <c r="B52" s="73" t="s">
        <v>3904</v>
      </c>
      <c r="C52" s="73" t="s">
        <v>23</v>
      </c>
      <c r="D52" s="73">
        <v>64</v>
      </c>
      <c r="E52" s="73">
        <v>45</v>
      </c>
      <c r="F52" s="73">
        <v>1.25</v>
      </c>
      <c r="G52" s="74">
        <f t="shared" si="12"/>
        <v>3600</v>
      </c>
      <c r="H52" s="74">
        <f>G50/2</f>
        <v>3015</v>
      </c>
      <c r="I52" s="74">
        <f t="shared" si="18"/>
        <v>663.30000000000007</v>
      </c>
      <c r="J52" s="73">
        <v>1.2</v>
      </c>
      <c r="K52" s="74">
        <f t="shared" si="19"/>
        <v>397.98</v>
      </c>
      <c r="L52" s="74">
        <f t="shared" ref="L52:L73" si="20">(K52/2)*J52</f>
        <v>238.78800000000001</v>
      </c>
      <c r="M52" s="74">
        <f t="shared" si="5"/>
        <v>124.16976000000001</v>
      </c>
      <c r="N52" s="199">
        <v>45051</v>
      </c>
      <c r="O52" s="200" t="s">
        <v>529</v>
      </c>
    </row>
    <row r="53" spans="1:15" ht="15.75">
      <c r="A53" s="73" t="s">
        <v>189</v>
      </c>
      <c r="B53" s="73" t="s">
        <v>3113</v>
      </c>
      <c r="C53" s="73" t="s">
        <v>23</v>
      </c>
      <c r="D53" s="73">
        <v>220</v>
      </c>
      <c r="E53" s="73">
        <v>45</v>
      </c>
      <c r="F53" s="73">
        <v>1.25</v>
      </c>
      <c r="G53" s="74">
        <f t="shared" si="12"/>
        <v>12375</v>
      </c>
      <c r="H53" s="74">
        <f t="shared" ref="H53:H73" si="21">G53/2</f>
        <v>6187.5</v>
      </c>
      <c r="I53" s="74">
        <v>1305</v>
      </c>
      <c r="J53" s="73">
        <v>1.2</v>
      </c>
      <c r="K53" s="74">
        <f t="shared" si="19"/>
        <v>783</v>
      </c>
      <c r="L53" s="74">
        <f t="shared" si="20"/>
        <v>469.79999999999995</v>
      </c>
      <c r="M53" s="74">
        <f t="shared" si="5"/>
        <v>244.29599999999999</v>
      </c>
      <c r="N53" s="199">
        <v>45743</v>
      </c>
      <c r="O53" s="200"/>
    </row>
    <row r="54" spans="1:15" ht="15.75">
      <c r="A54" s="73" t="s">
        <v>190</v>
      </c>
      <c r="B54" s="73" t="s">
        <v>2204</v>
      </c>
      <c r="C54" s="73" t="s">
        <v>23</v>
      </c>
      <c r="D54" s="73">
        <v>79</v>
      </c>
      <c r="E54" s="73">
        <v>45</v>
      </c>
      <c r="F54" s="73">
        <v>1.25</v>
      </c>
      <c r="G54" s="74">
        <f t="shared" si="12"/>
        <v>4443.75</v>
      </c>
      <c r="H54" s="74">
        <f t="shared" si="21"/>
        <v>2221.875</v>
      </c>
      <c r="I54" s="74">
        <f t="shared" si="18"/>
        <v>488.81250000000006</v>
      </c>
      <c r="J54" s="73">
        <v>1.2</v>
      </c>
      <c r="K54" s="74">
        <f t="shared" si="19"/>
        <v>293.28750000000002</v>
      </c>
      <c r="L54" s="74">
        <f t="shared" si="20"/>
        <v>175.9725</v>
      </c>
      <c r="M54" s="74">
        <f t="shared" si="5"/>
        <v>91.505700000000004</v>
      </c>
      <c r="N54" s="199">
        <v>45328</v>
      </c>
      <c r="O54" s="200" t="s">
        <v>526</v>
      </c>
    </row>
    <row r="55" spans="1:15" ht="15.75">
      <c r="A55" s="73" t="s">
        <v>190</v>
      </c>
      <c r="B55" s="73" t="s">
        <v>1317</v>
      </c>
      <c r="C55" s="73" t="s">
        <v>23</v>
      </c>
      <c r="D55" s="73">
        <v>79</v>
      </c>
      <c r="E55" s="73">
        <v>45</v>
      </c>
      <c r="F55" s="73">
        <v>1.25</v>
      </c>
      <c r="G55" s="74">
        <f t="shared" si="12"/>
        <v>4443.75</v>
      </c>
      <c r="H55" s="74">
        <f t="shared" si="21"/>
        <v>2221.875</v>
      </c>
      <c r="I55" s="74">
        <f t="shared" si="18"/>
        <v>488.81250000000006</v>
      </c>
      <c r="J55" s="73">
        <v>1.2</v>
      </c>
      <c r="K55" s="74">
        <f t="shared" si="19"/>
        <v>293.28750000000002</v>
      </c>
      <c r="L55" s="74">
        <f t="shared" si="20"/>
        <v>175.9725</v>
      </c>
      <c r="M55" s="74">
        <f t="shared" si="5"/>
        <v>91.505700000000004</v>
      </c>
      <c r="N55" s="202">
        <v>44872</v>
      </c>
      <c r="O55" s="200"/>
    </row>
    <row r="56" spans="1:15" ht="15.75">
      <c r="A56" s="73" t="s">
        <v>191</v>
      </c>
      <c r="B56" s="73" t="s">
        <v>192</v>
      </c>
      <c r="C56" s="73" t="s">
        <v>23</v>
      </c>
      <c r="D56" s="73">
        <v>89</v>
      </c>
      <c r="E56" s="73">
        <v>45</v>
      </c>
      <c r="F56" s="73">
        <v>1.25</v>
      </c>
      <c r="G56" s="74">
        <v>4214</v>
      </c>
      <c r="H56" s="74">
        <f t="shared" si="21"/>
        <v>2107</v>
      </c>
      <c r="I56" s="74">
        <f t="shared" si="18"/>
        <v>463.54</v>
      </c>
      <c r="J56" s="73">
        <v>1.2</v>
      </c>
      <c r="K56" s="74">
        <f t="shared" si="19"/>
        <v>278.12400000000002</v>
      </c>
      <c r="L56" s="74">
        <f t="shared" si="20"/>
        <v>166.87440000000001</v>
      </c>
      <c r="M56" s="74">
        <f t="shared" si="5"/>
        <v>86.774688000000012</v>
      </c>
      <c r="N56" s="199">
        <v>45391</v>
      </c>
      <c r="O56" s="200"/>
    </row>
    <row r="57" spans="1:15" ht="15.75">
      <c r="A57" s="73" t="s">
        <v>193</v>
      </c>
      <c r="B57" s="73" t="s">
        <v>1209</v>
      </c>
      <c r="C57" s="73" t="s">
        <v>23</v>
      </c>
      <c r="D57" s="73">
        <v>190</v>
      </c>
      <c r="E57" s="73">
        <v>45</v>
      </c>
      <c r="F57" s="73">
        <v>1.25</v>
      </c>
      <c r="G57" s="74">
        <f t="shared" si="12"/>
        <v>10687.5</v>
      </c>
      <c r="H57" s="74">
        <f t="shared" si="21"/>
        <v>5343.75</v>
      </c>
      <c r="I57" s="74">
        <f t="shared" si="18"/>
        <v>1175.625</v>
      </c>
      <c r="J57" s="73">
        <v>1.2</v>
      </c>
      <c r="K57" s="74">
        <f t="shared" si="19"/>
        <v>705.375</v>
      </c>
      <c r="L57" s="74">
        <f t="shared" si="20"/>
        <v>423.22499999999997</v>
      </c>
      <c r="M57" s="74">
        <f t="shared" si="5"/>
        <v>220.077</v>
      </c>
      <c r="N57" s="202">
        <v>44988</v>
      </c>
      <c r="O57" s="200" t="s">
        <v>526</v>
      </c>
    </row>
    <row r="58" spans="1:15" ht="15.75">
      <c r="A58" s="73" t="s">
        <v>193</v>
      </c>
      <c r="B58" s="73" t="s">
        <v>194</v>
      </c>
      <c r="C58" s="73" t="s">
        <v>23</v>
      </c>
      <c r="D58" s="73">
        <v>145</v>
      </c>
      <c r="E58" s="73">
        <v>45</v>
      </c>
      <c r="F58" s="73">
        <v>1.25</v>
      </c>
      <c r="G58" s="74">
        <v>6525</v>
      </c>
      <c r="H58" s="74">
        <f t="shared" si="21"/>
        <v>3262.5</v>
      </c>
      <c r="I58" s="74">
        <f t="shared" si="18"/>
        <v>717.75000000000011</v>
      </c>
      <c r="J58" s="73">
        <v>1.2</v>
      </c>
      <c r="K58" s="74">
        <f t="shared" si="19"/>
        <v>430.65000000000003</v>
      </c>
      <c r="L58" s="74">
        <f t="shared" si="20"/>
        <v>258.39</v>
      </c>
      <c r="M58" s="74">
        <f t="shared" si="5"/>
        <v>134.36279999999999</v>
      </c>
      <c r="N58" s="199">
        <v>45051</v>
      </c>
      <c r="O58" s="200" t="s">
        <v>526</v>
      </c>
    </row>
    <row r="59" spans="1:15" ht="15.75" hidden="1">
      <c r="A59" s="73" t="s">
        <v>989</v>
      </c>
      <c r="B59" s="73" t="s">
        <v>1451</v>
      </c>
      <c r="C59" s="73" t="s">
        <v>23</v>
      </c>
      <c r="D59" s="73">
        <v>69</v>
      </c>
      <c r="E59" s="73">
        <v>42</v>
      </c>
      <c r="F59" s="73">
        <v>1.25</v>
      </c>
      <c r="G59" s="74">
        <f t="shared" si="12"/>
        <v>3622.5</v>
      </c>
      <c r="H59" s="74">
        <f t="shared" si="21"/>
        <v>1811.25</v>
      </c>
      <c r="I59" s="74">
        <f t="shared" si="18"/>
        <v>398.47500000000002</v>
      </c>
      <c r="J59" s="73">
        <v>1.2</v>
      </c>
      <c r="K59" s="74">
        <f t="shared" si="19"/>
        <v>239.08500000000001</v>
      </c>
      <c r="L59" s="74">
        <f t="shared" si="20"/>
        <v>143.45099999999999</v>
      </c>
      <c r="M59" s="74">
        <f t="shared" ref="M59:M73" si="22">(L59/2.5)*1.3</f>
        <v>74.594519999999989</v>
      </c>
      <c r="N59" s="202">
        <v>43816</v>
      </c>
      <c r="O59" s="200" t="s">
        <v>529</v>
      </c>
    </row>
    <row r="60" spans="1:15" ht="15.75">
      <c r="A60" s="73" t="s">
        <v>195</v>
      </c>
      <c r="B60" s="73" t="s">
        <v>140</v>
      </c>
      <c r="C60" s="73" t="s">
        <v>23</v>
      </c>
      <c r="D60" s="73">
        <v>72</v>
      </c>
      <c r="E60" s="73">
        <v>45</v>
      </c>
      <c r="F60" s="73">
        <v>1.25</v>
      </c>
      <c r="G60" s="74">
        <f t="shared" si="12"/>
        <v>4050</v>
      </c>
      <c r="H60" s="74">
        <f t="shared" si="21"/>
        <v>2025</v>
      </c>
      <c r="I60" s="74">
        <v>612</v>
      </c>
      <c r="J60" s="73">
        <v>1.2</v>
      </c>
      <c r="K60" s="74">
        <f t="shared" si="19"/>
        <v>367.2</v>
      </c>
      <c r="L60" s="74">
        <f t="shared" si="20"/>
        <v>220.32</v>
      </c>
      <c r="M60" s="74">
        <f t="shared" si="22"/>
        <v>114.5664</v>
      </c>
      <c r="N60" s="199">
        <v>45743</v>
      </c>
      <c r="O60" s="200" t="s">
        <v>526</v>
      </c>
    </row>
    <row r="61" spans="1:15" ht="15.75">
      <c r="A61" s="73" t="s">
        <v>197</v>
      </c>
      <c r="B61" s="73" t="s">
        <v>196</v>
      </c>
      <c r="C61" s="73" t="s">
        <v>23</v>
      </c>
      <c r="D61" s="73">
        <v>186</v>
      </c>
      <c r="E61" s="73">
        <v>45</v>
      </c>
      <c r="F61" s="73">
        <v>1.25</v>
      </c>
      <c r="G61" s="74">
        <f t="shared" si="12"/>
        <v>10462.5</v>
      </c>
      <c r="H61" s="74">
        <f t="shared" si="21"/>
        <v>5231.25</v>
      </c>
      <c r="I61" s="74">
        <f t="shared" si="18"/>
        <v>1150.875</v>
      </c>
      <c r="J61" s="73">
        <v>1.2</v>
      </c>
      <c r="K61" s="74">
        <f t="shared" si="19"/>
        <v>690.52499999999998</v>
      </c>
      <c r="L61" s="74">
        <f t="shared" si="20"/>
        <v>414.315</v>
      </c>
      <c r="M61" s="74">
        <f t="shared" si="22"/>
        <v>215.44380000000001</v>
      </c>
      <c r="N61" s="199">
        <v>45612</v>
      </c>
      <c r="O61" s="200" t="s">
        <v>526</v>
      </c>
    </row>
    <row r="62" spans="1:15" ht="15.75">
      <c r="A62" s="73" t="s">
        <v>198</v>
      </c>
      <c r="B62" s="73" t="s">
        <v>199</v>
      </c>
      <c r="C62" s="73" t="s">
        <v>23</v>
      </c>
      <c r="D62" s="73">
        <v>804</v>
      </c>
      <c r="E62" s="73">
        <v>45</v>
      </c>
      <c r="F62" s="73">
        <v>1.25</v>
      </c>
      <c r="G62" s="74">
        <f t="shared" si="12"/>
        <v>45225</v>
      </c>
      <c r="H62" s="74">
        <f t="shared" si="21"/>
        <v>22612.5</v>
      </c>
      <c r="I62" s="74">
        <f t="shared" si="18"/>
        <v>4974.75</v>
      </c>
      <c r="J62" s="73">
        <v>1.2</v>
      </c>
      <c r="K62" s="74">
        <f t="shared" si="19"/>
        <v>2984.85</v>
      </c>
      <c r="L62" s="74">
        <f t="shared" si="20"/>
        <v>1790.9099999999999</v>
      </c>
      <c r="M62" s="74">
        <f t="shared" si="22"/>
        <v>931.27319999999997</v>
      </c>
      <c r="N62" s="202">
        <v>44495</v>
      </c>
      <c r="O62" s="200" t="s">
        <v>527</v>
      </c>
    </row>
    <row r="63" spans="1:15" ht="15.75">
      <c r="A63" s="73" t="s">
        <v>198</v>
      </c>
      <c r="B63" s="73" t="s">
        <v>1812</v>
      </c>
      <c r="C63" s="73" t="s">
        <v>1748</v>
      </c>
      <c r="D63" s="73">
        <v>227</v>
      </c>
      <c r="E63" s="73">
        <v>45</v>
      </c>
      <c r="F63" s="73">
        <v>1.25</v>
      </c>
      <c r="G63" s="74">
        <f t="shared" si="12"/>
        <v>12768.75</v>
      </c>
      <c r="H63" s="74">
        <f t="shared" si="21"/>
        <v>6384.375</v>
      </c>
      <c r="I63" s="74">
        <f t="shared" si="18"/>
        <v>1404.5625</v>
      </c>
      <c r="J63" s="73">
        <v>1.2</v>
      </c>
      <c r="K63" s="74">
        <f t="shared" si="19"/>
        <v>842.73749999999995</v>
      </c>
      <c r="L63" s="74">
        <f t="shared" si="20"/>
        <v>505.64249999999993</v>
      </c>
      <c r="M63" s="74">
        <f t="shared" si="22"/>
        <v>262.9341</v>
      </c>
      <c r="N63" s="202">
        <v>44048</v>
      </c>
      <c r="O63" s="200" t="s">
        <v>527</v>
      </c>
    </row>
    <row r="64" spans="1:15" ht="15.75">
      <c r="A64" s="73" t="s">
        <v>198</v>
      </c>
      <c r="B64" s="73" t="s">
        <v>200</v>
      </c>
      <c r="C64" s="73" t="s">
        <v>23</v>
      </c>
      <c r="D64" s="73">
        <v>402</v>
      </c>
      <c r="E64" s="73">
        <v>45</v>
      </c>
      <c r="F64" s="73">
        <v>1.25</v>
      </c>
      <c r="G64" s="74">
        <f t="shared" si="12"/>
        <v>22612.5</v>
      </c>
      <c r="H64" s="74">
        <f t="shared" si="21"/>
        <v>11306.25</v>
      </c>
      <c r="I64" s="74">
        <f t="shared" si="18"/>
        <v>2487.375</v>
      </c>
      <c r="J64" s="73">
        <v>1.2</v>
      </c>
      <c r="K64" s="74">
        <f t="shared" si="19"/>
        <v>1492.425</v>
      </c>
      <c r="L64" s="74">
        <f t="shared" si="20"/>
        <v>895.45499999999993</v>
      </c>
      <c r="M64" s="74">
        <f t="shared" si="22"/>
        <v>465.63659999999999</v>
      </c>
      <c r="N64" s="202">
        <v>44872</v>
      </c>
      <c r="O64" s="200" t="s">
        <v>527</v>
      </c>
    </row>
    <row r="65" spans="1:15" ht="15.75">
      <c r="A65" s="73" t="s">
        <v>198</v>
      </c>
      <c r="B65" s="73" t="s">
        <v>1070</v>
      </c>
      <c r="C65" s="73" t="s">
        <v>23</v>
      </c>
      <c r="D65" s="73">
        <v>210</v>
      </c>
      <c r="E65" s="73">
        <v>45</v>
      </c>
      <c r="F65" s="73">
        <v>1.25</v>
      </c>
      <c r="G65" s="74">
        <f t="shared" si="12"/>
        <v>11812.5</v>
      </c>
      <c r="H65" s="74">
        <f t="shared" si="21"/>
        <v>5906.25</v>
      </c>
      <c r="I65" s="74">
        <f t="shared" si="18"/>
        <v>1299.375</v>
      </c>
      <c r="J65" s="73">
        <v>1.2</v>
      </c>
      <c r="K65" s="74">
        <f t="shared" si="19"/>
        <v>779.625</v>
      </c>
      <c r="L65" s="74">
        <f t="shared" si="20"/>
        <v>467.77499999999998</v>
      </c>
      <c r="M65" s="74">
        <f t="shared" si="22"/>
        <v>243.24299999999999</v>
      </c>
      <c r="N65" s="199">
        <v>44093</v>
      </c>
      <c r="O65" s="200" t="s">
        <v>527</v>
      </c>
    </row>
    <row r="66" spans="1:15" ht="15.75">
      <c r="A66" s="73" t="s">
        <v>989</v>
      </c>
      <c r="B66" s="73" t="s">
        <v>2205</v>
      </c>
      <c r="C66" s="73" t="s">
        <v>23</v>
      </c>
      <c r="D66" s="73">
        <v>87</v>
      </c>
      <c r="E66" s="73">
        <v>45</v>
      </c>
      <c r="F66" s="73">
        <v>1.25</v>
      </c>
      <c r="G66" s="74">
        <f t="shared" si="12"/>
        <v>4893.75</v>
      </c>
      <c r="H66" s="74">
        <f t="shared" si="21"/>
        <v>2446.875</v>
      </c>
      <c r="I66" s="74">
        <f t="shared" si="18"/>
        <v>538.3125</v>
      </c>
      <c r="J66" s="73">
        <v>1.2</v>
      </c>
      <c r="K66" s="74">
        <f t="shared" si="19"/>
        <v>322.98750000000001</v>
      </c>
      <c r="L66" s="74">
        <f t="shared" si="20"/>
        <v>193.79249999999999</v>
      </c>
      <c r="M66" s="74">
        <f t="shared" si="22"/>
        <v>100.77209999999999</v>
      </c>
      <c r="N66" s="202">
        <v>44872</v>
      </c>
      <c r="O66" s="200" t="s">
        <v>527</v>
      </c>
    </row>
    <row r="67" spans="1:15" ht="15.75">
      <c r="A67" s="73" t="s">
        <v>989</v>
      </c>
      <c r="B67" s="73" t="s">
        <v>1816</v>
      </c>
      <c r="C67" s="73" t="s">
        <v>23</v>
      </c>
      <c r="D67" s="73">
        <v>130</v>
      </c>
      <c r="E67" s="73">
        <v>45</v>
      </c>
      <c r="F67" s="73">
        <v>1.25</v>
      </c>
      <c r="G67" s="74">
        <f t="shared" si="12"/>
        <v>7312.5</v>
      </c>
      <c r="H67" s="74">
        <f t="shared" si="21"/>
        <v>3656.25</v>
      </c>
      <c r="I67" s="74">
        <f t="shared" si="18"/>
        <v>804.37500000000011</v>
      </c>
      <c r="J67" s="73">
        <v>1.2</v>
      </c>
      <c r="K67" s="74">
        <f t="shared" si="19"/>
        <v>482.62500000000006</v>
      </c>
      <c r="L67" s="74">
        <f t="shared" si="20"/>
        <v>289.57500000000005</v>
      </c>
      <c r="M67" s="74">
        <f t="shared" si="22"/>
        <v>150.57900000000001</v>
      </c>
      <c r="N67" s="202">
        <v>44988</v>
      </c>
      <c r="O67" s="200" t="s">
        <v>527</v>
      </c>
    </row>
    <row r="68" spans="1:15" ht="15.75">
      <c r="A68" s="73" t="s">
        <v>989</v>
      </c>
      <c r="B68" s="73" t="s">
        <v>3751</v>
      </c>
      <c r="C68" s="73" t="s">
        <v>1748</v>
      </c>
      <c r="D68" s="73">
        <v>96</v>
      </c>
      <c r="E68" s="73">
        <v>45</v>
      </c>
      <c r="F68" s="73">
        <v>1.25</v>
      </c>
      <c r="G68" s="74">
        <f t="shared" si="12"/>
        <v>5400</v>
      </c>
      <c r="H68" s="74">
        <f t="shared" si="21"/>
        <v>2700</v>
      </c>
      <c r="I68" s="74">
        <f t="shared" si="18"/>
        <v>594</v>
      </c>
      <c r="J68" s="73">
        <v>1.2</v>
      </c>
      <c r="K68" s="74">
        <f t="shared" si="19"/>
        <v>356.4</v>
      </c>
      <c r="L68" s="74">
        <f t="shared" si="20"/>
        <v>213.83999999999997</v>
      </c>
      <c r="M68" s="74">
        <f t="shared" si="22"/>
        <v>111.19679999999998</v>
      </c>
      <c r="N68" s="202">
        <v>45545</v>
      </c>
      <c r="O68" s="200"/>
    </row>
    <row r="69" spans="1:15" ht="15.75">
      <c r="A69" s="73" t="s">
        <v>989</v>
      </c>
      <c r="B69" s="73" t="s">
        <v>2400</v>
      </c>
      <c r="C69" s="73" t="s">
        <v>23</v>
      </c>
      <c r="D69" s="73">
        <v>112</v>
      </c>
      <c r="E69" s="73">
        <v>45</v>
      </c>
      <c r="F69" s="73">
        <v>1.25</v>
      </c>
      <c r="G69" s="74">
        <f t="shared" si="12"/>
        <v>6300</v>
      </c>
      <c r="H69" s="74">
        <f t="shared" si="21"/>
        <v>3150</v>
      </c>
      <c r="I69" s="74">
        <f t="shared" si="18"/>
        <v>693</v>
      </c>
      <c r="J69" s="73">
        <v>1.2</v>
      </c>
      <c r="K69" s="74">
        <f t="shared" si="19"/>
        <v>415.8</v>
      </c>
      <c r="L69" s="74">
        <f t="shared" si="20"/>
        <v>249.48</v>
      </c>
      <c r="M69" s="74">
        <f t="shared" si="22"/>
        <v>129.7296</v>
      </c>
      <c r="N69" s="202">
        <v>44872</v>
      </c>
      <c r="O69" s="200" t="s">
        <v>526</v>
      </c>
    </row>
    <row r="70" spans="1:15" ht="15.75">
      <c r="A70" s="73" t="s">
        <v>201</v>
      </c>
      <c r="B70" s="73" t="s">
        <v>202</v>
      </c>
      <c r="C70" s="73" t="s">
        <v>1748</v>
      </c>
      <c r="D70" s="73">
        <v>62.5</v>
      </c>
      <c r="E70" s="73">
        <v>45</v>
      </c>
      <c r="F70" s="73">
        <v>1.25</v>
      </c>
      <c r="G70" s="74">
        <f t="shared" si="12"/>
        <v>3515.625</v>
      </c>
      <c r="H70" s="74">
        <f t="shared" si="21"/>
        <v>1757.8125</v>
      </c>
      <c r="I70" s="74">
        <f t="shared" si="18"/>
        <v>386.71875000000006</v>
      </c>
      <c r="J70" s="73">
        <v>1.2</v>
      </c>
      <c r="K70" s="74">
        <f t="shared" si="19"/>
        <v>232.03125000000003</v>
      </c>
      <c r="L70" s="74">
        <f t="shared" si="20"/>
        <v>139.21875</v>
      </c>
      <c r="M70" s="74">
        <f t="shared" si="22"/>
        <v>72.393749999999997</v>
      </c>
      <c r="N70" s="202">
        <v>45545</v>
      </c>
      <c r="O70" s="200" t="s">
        <v>529</v>
      </c>
    </row>
    <row r="71" spans="1:15" ht="15.75">
      <c r="A71" s="73" t="s">
        <v>203</v>
      </c>
      <c r="B71" s="73" t="s">
        <v>1450</v>
      </c>
      <c r="C71" s="73" t="s">
        <v>23</v>
      </c>
      <c r="D71" s="73">
        <v>365</v>
      </c>
      <c r="E71" s="73">
        <v>45</v>
      </c>
      <c r="F71" s="73">
        <v>1.25</v>
      </c>
      <c r="G71" s="74">
        <f t="shared" si="12"/>
        <v>20531.25</v>
      </c>
      <c r="H71" s="74">
        <f t="shared" si="21"/>
        <v>10265.625</v>
      </c>
      <c r="I71" s="74">
        <f t="shared" si="18"/>
        <v>2258.4375</v>
      </c>
      <c r="J71" s="73">
        <v>1.2</v>
      </c>
      <c r="K71" s="74">
        <f t="shared" si="19"/>
        <v>1355.0625</v>
      </c>
      <c r="L71" s="74">
        <f t="shared" si="20"/>
        <v>813.03750000000002</v>
      </c>
      <c r="M71" s="74">
        <f t="shared" si="22"/>
        <v>422.77950000000004</v>
      </c>
      <c r="N71" s="202">
        <v>45545</v>
      </c>
      <c r="O71" s="200"/>
    </row>
    <row r="72" spans="1:15" ht="15.75">
      <c r="A72" s="73" t="s">
        <v>203</v>
      </c>
      <c r="B72" s="73" t="s">
        <v>3753</v>
      </c>
      <c r="C72" s="73" t="s">
        <v>1748</v>
      </c>
      <c r="D72" s="73">
        <v>120</v>
      </c>
      <c r="E72" s="73">
        <v>45</v>
      </c>
      <c r="F72" s="73">
        <v>1.25</v>
      </c>
      <c r="G72" s="74">
        <f t="shared" si="12"/>
        <v>6750</v>
      </c>
      <c r="H72" s="74">
        <f t="shared" si="21"/>
        <v>3375</v>
      </c>
      <c r="I72" s="74">
        <f t="shared" si="18"/>
        <v>742.50000000000011</v>
      </c>
      <c r="J72" s="73">
        <v>1.2</v>
      </c>
      <c r="K72" s="74">
        <f t="shared" si="19"/>
        <v>445.50000000000006</v>
      </c>
      <c r="L72" s="74">
        <f t="shared" si="20"/>
        <v>267.3</v>
      </c>
      <c r="M72" s="74">
        <f t="shared" si="22"/>
        <v>138.99600000000001</v>
      </c>
      <c r="N72" s="202">
        <v>45545</v>
      </c>
      <c r="O72" s="200" t="s">
        <v>526</v>
      </c>
    </row>
    <row r="73" spans="1:15" ht="15.75">
      <c r="A73" s="73" t="s">
        <v>203</v>
      </c>
      <c r="B73" s="73" t="s">
        <v>204</v>
      </c>
      <c r="C73" s="73" t="s">
        <v>1748</v>
      </c>
      <c r="D73" s="73">
        <v>280</v>
      </c>
      <c r="E73" s="73">
        <v>45</v>
      </c>
      <c r="F73" s="73">
        <v>1.25</v>
      </c>
      <c r="G73" s="74">
        <f t="shared" si="12"/>
        <v>15750</v>
      </c>
      <c r="H73" s="74">
        <f t="shared" si="21"/>
        <v>7875</v>
      </c>
      <c r="I73" s="74">
        <f t="shared" si="18"/>
        <v>1732.5000000000002</v>
      </c>
      <c r="J73" s="73">
        <v>1.2</v>
      </c>
      <c r="K73" s="74">
        <f t="shared" si="19"/>
        <v>1039.5</v>
      </c>
      <c r="L73" s="74">
        <f t="shared" si="20"/>
        <v>623.69999999999993</v>
      </c>
      <c r="M73" s="74">
        <f t="shared" si="22"/>
        <v>324.32399999999996</v>
      </c>
      <c r="N73" s="202">
        <v>45545</v>
      </c>
      <c r="O73" s="16"/>
    </row>
    <row r="74" spans="1:15" ht="15.75">
      <c r="A74" s="196"/>
      <c r="B74" s="196"/>
      <c r="C74" s="197"/>
      <c r="D74" s="197">
        <v>0</v>
      </c>
      <c r="E74" s="197"/>
      <c r="F74" s="198">
        <v>1.25</v>
      </c>
      <c r="G74" s="197"/>
      <c r="H74" s="197"/>
      <c r="I74" s="197"/>
      <c r="J74" s="197"/>
      <c r="K74" s="197"/>
      <c r="L74" s="197"/>
      <c r="M74" s="197"/>
    </row>
    <row r="75" spans="1:15" ht="15.75">
      <c r="A75" s="192"/>
      <c r="B75" s="192"/>
      <c r="C75" s="66"/>
      <c r="D75" s="66"/>
      <c r="E75" s="66"/>
      <c r="F75" s="73">
        <v>1.25</v>
      </c>
      <c r="G75" s="66"/>
      <c r="H75" s="66"/>
      <c r="I75" s="66"/>
      <c r="J75" s="66"/>
      <c r="K75" s="66"/>
      <c r="L75" s="66"/>
      <c r="M75" s="66"/>
    </row>
    <row r="76" spans="1:15" ht="15.75">
      <c r="A76" s="192"/>
      <c r="B76" s="192"/>
      <c r="C76" s="66"/>
      <c r="D76" s="66"/>
      <c r="E76" s="66"/>
      <c r="F76" s="73">
        <v>1.25</v>
      </c>
      <c r="G76" s="66"/>
      <c r="H76" s="66"/>
      <c r="I76" s="66"/>
      <c r="J76" s="66"/>
      <c r="K76" s="66"/>
      <c r="L76" s="66"/>
      <c r="M76" s="66"/>
    </row>
  </sheetData>
  <autoFilter ref="A1:N59">
    <sortState ref="A2:N83">
      <sortCondition ref="B1:B67"/>
    </sortState>
  </autoFilter>
  <sortState ref="A2:Q82">
    <sortCondition ref="A2"/>
  </sortState>
  <pageMargins left="0.7" right="0.7" top="0.75" bottom="0.75" header="0.3" footer="0.3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Gráficos</vt:lpstr>
      </vt:variant>
      <vt:variant>
        <vt:i4>1</vt:i4>
      </vt:variant>
    </vt:vector>
  </HeadingPairs>
  <TitlesOfParts>
    <vt:vector size="5" baseType="lpstr">
      <vt:lpstr>PRECIO</vt:lpstr>
      <vt:lpstr>Hoja1</vt:lpstr>
      <vt:lpstr>AGENDA</vt:lpstr>
      <vt:lpstr>SEMILLA</vt:lpstr>
      <vt:lpstr>Gráfico1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Equipo</dc:creator>
  <cp:lastModifiedBy>Usuario</cp:lastModifiedBy>
  <cp:lastPrinted>2025-09-16T14:24:55Z</cp:lastPrinted>
  <dcterms:created xsi:type="dcterms:W3CDTF">2017-01-19T18:19:21Z</dcterms:created>
  <dcterms:modified xsi:type="dcterms:W3CDTF">2026-01-10T15:10:41Z</dcterms:modified>
</cp:coreProperties>
</file>